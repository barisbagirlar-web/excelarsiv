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HIZLI_BASLANGIC" sheetId="2" state="visible" r:id="rId2"/>
    <sheet name="HESAPLAR" sheetId="3" state="visible" r:id="rId3"/>
    <sheet name="KASA_HAREKETLERI" sheetId="4" state="visible" r:id="rId4"/>
    <sheet name="ODEME_TAKVIMI" sheetId="5" state="visible" r:id="rId5"/>
    <sheet name="FIZIKI_SAYIM" sheetId="6" state="visible" r:id="rId6"/>
    <sheet name="MOTOR" sheetId="7" state="visible" r:id="rId7"/>
    <sheet name="KONTROL" sheetId="8" state="visible" r:id="rId8"/>
    <sheet name="KARAR" sheetId="9" state="visible" r:id="rId9"/>
    <sheet name="PANO" sheetId="10" state="visible" r:id="rId10"/>
    <sheet name="SENARYO_DUYARLILIK" sheetId="11" state="visible" r:id="rId11"/>
    <sheet name="RAPOR" sheetId="12" state="visible" r:id="rId12"/>
    <sheet name="ORNEK_VERI" sheetId="13" state="visible" r:id="rId13"/>
    <sheet name="DEGISIKLIK_KAYDI" sheetId="14" state="visible" r:id="rId14"/>
    <sheet name="LISTELER" sheetId="15" state="visible" r:id="rId15"/>
    <sheet name="AYARLAR" sheetId="16" state="visible" r:id="rId16"/>
    <sheet name="KILAVUZ" sheetId="17" state="visible" r:id="rId17"/>
  </sheets>
  <definedNames>
    <definedName name="toplamGelir">MOTOR!$B$4</definedName>
    <definedName name="toplamGider">MOTOR!$B$5</definedName>
    <definedName name="netHareket">MOTOR!$B$6</definedName>
    <definedName name="acilisBakiye">MOTOR!$B$7</definedName>
    <definedName name="beklenenBakiye">MOTOR!$B$8</definedName>
    <definedName name="sonSayimFiili">MOTOR!$B$9</definedName>
    <definedName name="mutabakatFarki">MOTOR!$B$10</definedName>
    <definedName name="mutabakatDurum">MOTOR!$B$11</definedName>
    <definedName name="yaklasanOdeme30">MOTOR!$B$12</definedName>
    <definedName name="yaklasanOdeme7">MOTOR!$B$13</definedName>
    <definedName name="serbestNakit">MOTOR!$B$14</definedName>
    <definedName name="serbestNakitOran">MOTOR!$B$15</definedName>
    <definedName name="doluSatirSayisi">MOTOR!$B$16</definedName>
    <definedName name="toplamSatirSayisi">MOTOR!$B$17</definedName>
    <definedName name="doluOran">MOTOR!$B$18</definedName>
    <definedName name="eksikZorunlu">MOTOR!$B$19</definedName>
    <definedName name="veriKaliteSkoru">MOTOR!$B$20</definedName>
    <definedName name="medyanTutar">MOTOR!$B$21</definedName>
    <definedName name="mutlakSapmaMedyani">MOTOR!$B$22</definedName>
    <definedName name="anomaliEsigi">MOTOR!$B$23</definedName>
    <definedName name="anomaliSayisi">MOTOR!$B$24</definedName>
    <definedName name="anomaliOrani">MOTOR!$B$25</definedName>
    <definedName name="yuksekTutarSayisi">MOTOR!$B$26</definedName>
    <definedName name="gunlukNetOrtalama">MOTOR!$B$27</definedName>
    <definedName name="gunlukGiderOrtalama">MOTOR!$B$28</definedName>
    <definedName name="kacGunYeter">MOTOR!$B$29</definedName>
    <definedName name="tahminBitisNakit">MOTOR!$B$30</definedName>
    <definedName name="tahminAlt">MOTOR!$B$31</definedName>
    <definedName name="tahminUst">MOTOR!$B$32</definedName>
    <definedName name="tahminAraligi">MOTOR!$B$33</definedName>
    <definedName name="nakitAcik">MOTOR!$B$34</definedName>
    <definedName name="nakitAcikTutar">MOTOR!$B$35</definedName>
    <definedName name="kotumserNakit">MOTOR!$B$36</definedName>
    <definedName name="iyimserNakit">MOTOR!$B$37</definedName>
    <definedName name="senaryoFarki">MOTOR!$B$38</definedName>
    <definedName name="riskPuani">MOTOR!$B$39</definedName>
    <definedName name="enBuyukTutar">MOTOR!$B$40</definedName>
    <definedName name="makulSinirAsimi">MOTOR!$B$41</definedName>
    <definedName name="aktifKural">MOTOR!$B$42</definedName>
    <definedName name="kararSonuc">MOTOR!$B$43</definedName>
    <definedName name="kararGerekce">MOTOR!$B$44</definedName>
    <definedName name="yorumT2">MOTOR!$B$47</definedName>
    <definedName name="yorumT5">MOTOR!$B$48</definedName>
    <definedName name="yorumT6">MOTOR!$B$49</definedName>
    <definedName name="yorumO1">MOTOR!$B$50</definedName>
    <definedName name="yorumO8">MOTOR!$B$51</definedName>
    <definedName name="yorumI1">MOTOR!$B$52</definedName>
    <definedName name="yorumI7">MOTOR!$B$53</definedName>
    <definedName name="firmaUnvani">AYARLAR!$B$4</definedName>
    <definedName name="raporTarihi">AYARLAR!$B$5</definedName>
    <definedName name="fizikiTolerans">AYARLAR!$B$6</definedName>
    <definedName name="esikSerbestNakitKritik">AYARLAR!$B$7</definedName>
    <definedName name="esikRiskYuksek">AYARLAR!$B$8</definedName>
    <definedName name="anomaliSapmaKati">AYARLAR!$B$9</definedName>
    <definedName name="mesaiBaslangic">AYARLAR!$B$10</definedName>
    <definedName name="mesaiBitis">AYARLAR!$B$11</definedName>
    <definedName name="tahminUfkuGun">AYARLAR!$B$12</definedName>
    <definedName name="senaryoKotumserKat">AYARLAR!$B$13</definedName>
    <definedName name="senaryoIyimserKat">AYARLAR!$B$14</definedName>
    <definedName name="yuksekTutarEsigi">AYARLAR!$B$15</definedName>
    <definedName name="makulUstSinir">AYARLAR!$B$16</definedName>
    <definedName name="_xlnm.Print_Titles" localSheetId="9">'PANO'!$1:$3</definedName>
    <definedName name="_xlnm.Print_Area" localSheetId="9">'PANO'!$A$1:$G$30</definedName>
    <definedName name="_xlnm.Print_Titles" localSheetId="11">'RAPOR'!$1:$3</definedName>
    <definedName name="_xlnm.Print_Area" localSheetId="11">'RAPOR'!$A$1:$F$40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₺ #.##0,00;[Red](₺ #.##0,00);&quot;-&quot;"/>
    <numFmt numFmtId="166" formatCode="yyyy-mm-dd h:mm:ss"/>
    <numFmt numFmtId="167" formatCode="#.##0;[Red](#.##0);&quot;-&quot;"/>
  </numFmts>
  <fonts count="7">
    <font>
      <name val="Calibri"/>
      <family val="2"/>
      <color theme="1"/>
      <sz val="11"/>
      <scheme val="minor"/>
    </font>
    <font>
      <name val="Segoe UI"/>
      <b val="1"/>
      <color rgb="000F2742"/>
      <sz val="20"/>
    </font>
    <font>
      <name val="Segoe UI"/>
      <color rgb="00B08948"/>
      <sz val="12"/>
    </font>
    <font>
      <name val="Segoe UI"/>
      <b val="1"/>
      <color rgb="001F7A4D"/>
      <sz val="10"/>
    </font>
    <font>
      <name val="Segoe UI"/>
      <i val="1"/>
      <color rgb="007F8C8D"/>
      <sz val="9"/>
    </font>
    <font>
      <name val="Segoe UI"/>
      <b val="1"/>
      <color rgb="00FFFFFF"/>
      <sz val="11"/>
    </font>
    <font>
      <name val="Segoe UI"/>
      <b val="1"/>
      <color rgb="000F2742"/>
      <sz val="10"/>
    </font>
  </fonts>
  <fills count="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FFF2CC"/>
        <bgColor rgb="00FFF2CC"/>
      </patternFill>
    </fill>
    <fill>
      <patternFill patternType="solid">
        <fgColor rgb="00EEF2F7"/>
        <b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5" fillId="2" borderId="0" pivotButton="0" quotePrefix="0" xfId="0"/>
    <xf numFmtId="166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4">
    <dxf>
      <fill>
        <patternFill patternType="solid">
          <fgColor rgb="00FDE7E7"/>
          <bgColor rgb="00FDE7E7"/>
        </patternFill>
      </fill>
    </dxf>
    <dxf>
      <fill>
        <patternFill patternType="solid">
          <fgColor rgb="00FDF2D0"/>
          <bgColor rgb="00FDF2D0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EEF2F7"/>
          <bgColor rgb="00EEF2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Başlangıç Bakiyeleri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'HESAPLAR'!$A$4:$A$6</f>
            </numRef>
          </cat>
          <val>
            <numRef>
              <f>'HESAPLAR'!$C$4:$C$6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Hareket Tutarları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'KASA_HAREKETLERI'!$A$4:$A$11</f>
            </numRef>
          </cat>
          <val>
            <numRef>
              <f>'KASA_HAREKETLERI'!$C$4:$C$11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Vade Tutarları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'ODEME_TAKVIMI'!$C$4:$C$8</f>
            </numRef>
          </cat>
          <val>
            <numRef>
              <f>'ODEME_TAKVIMI'!$B$4:$B$8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Nakit Pozisyonu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'PANO'!$A$4:$A$6</f>
            </numRef>
          </cat>
          <val>
            <numRef>
              <f>'PANO'!$B$4:$B$6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Gelir / Gider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'PANO'!$A$4:$A$5</f>
            </numRef>
          </cat>
          <val>
            <numRef>
              <f>'PANO'!$B$4:$B$5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Nakit Projeksiyonu (Tahmin Aralığı)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'PANO'!$F$4:$F$7</f>
            </numRef>
          </cat>
          <val>
            <numRef>
              <f>'PANO'!$G$4:$G$7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Tüm KPI'lar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'PANO'!$A$4:$A$19</f>
            </numRef>
          </cat>
          <val>
            <numRef>
              <f>'PANO'!$B$4:$B$19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Senaryo Karşılaştırma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'SENARYO_DUYARLILIK'!$A$5:$A$7</f>
            </numRef>
          </cat>
          <val>
            <numRef>
              <f>'SENARYO_DUYARLILIK'!$B$5:$B$7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Temel Göstergeler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'RAPOR'!$A$6:$A$26</f>
            </numRef>
          </cat>
          <val>
            <numRef>
              <f>'RAPOR'!$B$6:$B$26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Günlük Net Nakit Akışı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'RAPOR'!$E$30:$E$37</f>
            </numRef>
          </cat>
          <val>
            <numRef>
              <f>'RAPOR'!$F$30:$F$37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48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20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esaplar" displayName="tblHesaplar" ref="A3:D1003" headerRowCount="1">
  <autoFilter ref="A3:D1003"/>
  <tableColumns count="4">
    <tableColumn id="1" name="Hesap Adı"/>
    <tableColumn id="2" name="Hesap Türü"/>
    <tableColumn id="3" name="Başlangıç Bakiyesi"/>
    <tableColumn id="4" name="Para Birim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Hareketler" displayName="tblHareketler" ref="A3:I5003" headerRowCount="1">
  <autoFilter ref="A3:I5003"/>
  <tableColumns count="9">
    <tableColumn id="1" name="Tarih"/>
    <tableColumn id="2" name="İşlem Türü"/>
    <tableColumn id="3" name="Tutar"/>
    <tableColumn id="4" name="Açıklama"/>
    <tableColumn id="5" name="Ödeme Yöntemi"/>
    <tableColumn id="6" name="İlgili Hesap"/>
    <tableColumn id="7" name="Belge No"/>
    <tableColumn id="8" name="MAD Sapma"/>
    <tableColumn id="9" name="Anomali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kvim" displayName="tblTakvim" ref="A3:E2003" headerRowCount="1">
  <autoFilter ref="A3:E2003"/>
  <tableColumns count="5">
    <tableColumn id="1" name="Vade Tarihi"/>
    <tableColumn id="2" name="Tutar"/>
    <tableColumn id="3" name="Karşı Taraf"/>
    <tableColumn id="4" name="Durum"/>
    <tableColumn id="5" name="Ödeme Yöntemi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Sayim" displayName="tblSayim" ref="A3:E1003" headerRowCount="1">
  <autoFilter ref="A3:E1003"/>
  <tableColumns count="5">
    <tableColumn id="1" name="Sayım Tarihi"/>
    <tableColumn id="2" name="Hesap Adı"/>
    <tableColumn id="3" name="Kayıtlı Bakiye"/>
    <tableColumn id="4" name="Fiili Bakiye"/>
    <tableColumn id="5" name="Açıklam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s:worksheet xmlns:s="http://schemas.openxmlformats.org/spreadsheetml/2006/main">
  <s:sheetPr>
    <s:tabColor rgb="000F2742"/>
    <s:outlinePr summaryBelow="1" summaryRight="1"/>
    <s:pageSetUpPr/>
  </s:sheetPr>
  <s:dimension ref="A1:B9"/>
  <s:sheetViews>
    <s:sheetView workbookViewId="0">
      <s:selection activeCell="A1" sqref="A1"/>
    </s:sheetView>
  </s:sheetViews>
  <s:sheetFormatPr baseColWidth="8" defaultRowHeight="15"/>
  <s:cols>
    <s:col width="58" customWidth="1" min="1" max="1"/>
    <s:col width="14" customWidth="1" min="2" max="2"/>
  </s:cols>
  <s:sheetData>
    <s:row r="1">
      <s:c r="A1" s="1" t="inlineStr">
        <s:is>
          <s:t>Akıllı Kasa Defteri ve Nakit Kontrol Sistemi</s:t>
        </s:is>
      </s:c>
    </s:row>
    <s:row r="3">
      <s:c r="A3" s="2" t="inlineStr">
        <s:is>
          <s:t>KASA-PRO · Nakit Kontrol Sistemi</s:t>
        </s:is>
      </s:c>
    </s:row>
    <s:row r="5">
      <s:c r="A5" t="inlineStr">
        <s:is>
          <s:t>Sürüm 2.0.0 — Muhasebe sorumlusu / mali müşavir / işletme sahibi</s:t>
        </s:is>
      </s:c>
    </s:row>
    <s:row r="7">
      <s:c r="A7" s="3" t="inlineStr">
        <s:is>
          <s:t>Verileriniz cihazınızdan çıkmaz. Bu dosya tamamen yerel çalışır; hiçbir veri dışarı gönderilmez.</s:t>
        </s:is>
      </s:c>
    </s:row>
    <s:row r="9">
      <s:c r="A9" t="inlineStr">
        <s:is>
          <s:t>Rapor tarihi</s:t>
        </s:is>
      </s:c>
      <s:c r="B9" s="4">
        <s:f>raporTarihi</s:f>
        <s:v>46243.0</s:v>
      </s:c>
    </s:row>
  </s:sheetData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B10"/>
  <s:sheetViews>
    <s:sheetView workbookViewId="0">
      <s:selection activeCell="A1" sqref="A1"/>
    </s:sheetView>
  </s:sheetViews>
  <s:sheetFormatPr baseColWidth="8" defaultRowHeight="15"/>
  <s:cols>
    <s:col width="4" customWidth="1" min="1" max="1"/>
    <s:col width="90" customWidth="1" min="2" max="2"/>
  </s:cols>
  <s:sheetData>
    <s:row r="1">
      <s:c r="A1" s="1" t="inlineStr">
        <s:is>
          <s:t>HIZLI BAŞLANGIÇ</s:t>
        </s:is>
      </s:c>
    </s:row>
    <s:row r="2">
      <s:c r="A2" s="5" t="inlineStr">
        <s:is>
          <s:t>İlk kurulumda sarı giriş alanları dışındaki hücreler korumalıdır.</s:t>
        </s:is>
      </s:c>
    </s:row>
    <s:row r="4">
      <s:c r="B4" t="inlineStr">
        <s:is>
          <s:t>1. AYARLAR sayfasından firma unvanını ve eşikleri güncelleyin.</s:t>
        </s:is>
      </s:c>
    </s:row>
    <s:row r="5">
      <s:c r="B5" t="inlineStr">
        <s:is>
          <s:t>2. HESAPLAR'a kasa, banka ve kart hesaplarınızı girin.</s:t>
        </s:is>
      </s:c>
    </s:row>
    <s:row r="6">
      <s:c r="B6" t="inlineStr">
        <s:is>
          <s:t>3. KASA_HAREKETLERI'ne tüm gelir ve giderleri kaydedin.</s:t>
        </s:is>
      </s:c>
    </s:row>
    <s:row r="7">
      <s:c r="B7" t="inlineStr">
        <s:is>
          <s:t>4. ODEME_TAKVIMI'ne vadeli ödemelerinizi girin.</s:t>
        </s:is>
      </s:c>
    </s:row>
    <s:row r="8">
      <s:c r="B8" t="inlineStr">
        <s:is>
          <s:t>5. FIZIKI_SAYIM'a sayım sonuçlarını işleyin (opsiyonel).</s:t>
        </s:is>
      </s:c>
    </s:row>
    <s:row r="9">
      <s:c r="B9" t="inlineStr">
        <s:is>
          <s:t>6. PANO ve KARAR sayfaları otomatik güncellenir.</s:t>
        </s:is>
      </s:c>
    </s:row>
    <s:row r="10">
      <s:c r="B10" t="inlineStr">
        <s:is>
          <s:t>7. Sonuçları RAPOR ile yazdırabilirsiniz.</s:t>
        </s:is>
      </s:c>
    </s:row>
  </s:sheetData>
  <s:conditionalFormatting sqref="B4:B20">
    <s:cfRule type="iconSet" priority="1">
      <s:iconSet iconSet="3TrafficLights1">
        <s:cfvo type="num" val="0"/>
        <s:cfvo type="num" val="33"/>
        <s:cfvo type="num" val="67"/>
      </s:iconSet>
    </s:cfRule>
    <s:cfRule type="expression" priority="2" dxfId="0">
      <s:formula>=AND(B4="",COUNTA($A$4:$B4)&gt;0)</s:formula>
    </s:cfRule>
  </s:conditionalFormatting>
  <s:pageMargins left="0.75" right="0.75" top="1" bottom="1" header="0.5" footer="0.5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6"/>
  <s:sheetViews>
    <s:sheetView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4" customWidth="1" min="1" max="1"/>
    <s:col width="14" customWidth="1" min="2" max="2"/>
    <s:col width="14" customWidth="1" min="3" max="3"/>
    <s:col width="40" customWidth="1" min="4" max="4"/>
  </s:cols>
  <s:sheetData>
    <s:row r="1">
      <s:c r="A1" s="1" t="inlineStr">
        <s:is>
          <s:t>HESAPLAR</s:t>
        </s:is>
      </s:c>
    </s:row>
    <s:row r="3" ht="22" customHeight="1">
      <s:c r="A3" s="6" t="inlineStr">
        <s:is>
          <s:t>Hesap Adı</s:t>
        </s:is>
      </s:c>
      <s:c r="B3" s="6" t="inlineStr">
        <s:is>
          <s:t>Hesap Türü</s:t>
        </s:is>
      </s:c>
      <s:c r="C3" s="6" t="inlineStr">
        <s:is>
          <s:t>Başlangıç Bakiyesi</s:t>
        </s:is>
      </s:c>
      <s:c r="D3" s="6" t="inlineStr">
        <s:is>
          <s:t>Para Birimi</s:t>
        </s:is>
      </s:c>
    </s:row>
    <s:row r="4">
      <s:c r="A4" s="7" t="inlineStr">
        <s:is>
          <s:t>Ana Kasa</s:t>
        </s:is>
      </s:c>
      <s:c r="B4" s="7" t="inlineStr">
        <s:is>
          <s:t>Kasa</s:t>
        </s:is>
      </s:c>
      <s:c r="C4" s="8" t="n">
        <s:v>25000</s:v>
      </s:c>
      <s:c r="D4" s="7" t="inlineStr">
        <s:is>
          <s:t>TRY</s:t>
        </s:is>
      </s:c>
    </s:row>
    <s:row r="5">
      <s:c r="A5" s="7" t="inlineStr">
        <s:is>
          <s:t>Banka</s:t>
        </s:is>
      </s:c>
      <s:c r="B5" s="7" t="inlineStr">
        <s:is>
          <s:t>Banka</s:t>
        </s:is>
      </s:c>
      <s:c r="C5" s="8" t="n">
        <s:v>120000</s:v>
      </s:c>
      <s:c r="D5" s="7" t="inlineStr">
        <s:is>
          <s:t>TRY</s:t>
        </s:is>
      </s:c>
    </s:row>
    <s:row r="6">
      <s:c r="A6" s="7" t="inlineStr">
        <s:is>
          <s:t>Kredi Kartı</s:t>
        </s:is>
      </s:c>
      <s:c r="B6" s="7" t="inlineStr">
        <s:is>
          <s:t>Kredi Kartı</s:t>
        </s:is>
      </s:c>
      <s:c r="C6" s="8" t="n">
        <s:v>0</s:v>
      </s:c>
      <s:c r="D6" s="7" t="inlineStr">
        <s:is>
          <s:t>TRY</s:t>
        </s:is>
      </s:c>
    </s:row>
  </s:sheetData>
  <s:conditionalFormatting sqref="C3:C1002">
    <s:cfRule type="dataBar" priority="1">
      <s:dataBar>
        <s:cfvo type="min"/>
        <s:cfvo type="max"/>
        <s:color rgb="001F7A4D"/>
      </s:dataBar>
    </s:cfRule>
  </s:conditionalFormatting>
  <s:conditionalFormatting sqref="A3:A1002">
    <s:cfRule type="expression" priority="2" dxfId="1">
      <s:formula>=COUNTIF(A3:A1002,A4)&gt;1</s:formula>
    </s:cfRule>
  </s:conditionalFormatting>
  <s:conditionalFormatting sqref="B3:B1002">
    <s:cfRule type="expression" priority="3" dxfId="0">
      <s:formula>=AND(B4="",COUNTA($A$4:$B4)&gt;0)</s:formula>
    </s:cfRule>
  </s:conditionalFormatting>
  <s:dataValidations count="3">
    <s:dataValidation sqref="B4:B1003" showDropDown="0" showInputMessage="1" showErrorMessage="1" allowBlank="0" errorTitle="Geçersiz hesap türü" error="Yalnızca Kasa, Banka veya Kredi Kartı seçilebilir." promptTitle="Hesap türü" prompt="Açılır listeden seçin: Kasa / Banka / Kredi Kartı." type="list">
      <s:formula1>"Kasa,Banka,Kredi Kartı"</s:formula1>
    </s:dataValidation>
    <s:dataValidation sqref="C4:C1003" showDropDown="0" showInputMessage="1" showErrorMessage="1" allowBlank="0" errorTitle="Geçersiz bakiye" error="Bakiye sayısal olmalı; TL formatı kullanın." promptTitle="Başlangıç bakiyesi (₺)" prompt="Dönem başı bakiyeyi TL cinsinden girin; eksi bakiye kasa hesabı için geçerli olabilir." type="decimal" operator="between">
      <s:formula1>-1000000000</s:formula1>
      <s:formula2>1000000000</s:formula2>
    </s:dataValidation>
    <s:dataValidation sqref="D4:D1003" showDropDown="0" showInputMessage="1" showErrorMessage="1" allowBlank="0" errorTitle="Geçersiz para birimi" error="Yalnızca TRY, USD veya EUR kabul edilir." promptTitle="Para birimi" prompt="TRY, USD veya EUR seçin; kur çevrimi desteklenmez." type="list">
      <s:formula1>"TRY,USD,EUR"</s:formula1>
    </s:dataValidation>
  </s:dataValidations>
  <s:pageMargins left="0.75" right="0.75" top="1" bottom="1" header="0.5" footer="0.5"/>
  <s:drawing r:id="rId1"/>
  <s:tableParts count="1">
    <s:tablePart r:id="rId2"/>
  </s:tableParts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I11"/>
  <s:sheetViews>
    <s:sheetView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4" customWidth="1" min="1" max="1"/>
    <s:col width="14" customWidth="1" min="2" max="2"/>
    <s:col width="14" customWidth="1" min="3" max="3"/>
    <s:col width="40" customWidth="1" min="4" max="4"/>
    <s:col width="14" customWidth="1" min="5" max="5"/>
    <s:col width="14" customWidth="1" min="6" max="6"/>
    <s:col width="14" customWidth="1" min="7" max="7"/>
    <s:col width="14" customWidth="1" min="8" max="8"/>
    <s:col width="14" customWidth="1" min="9" max="9"/>
  </s:cols>
  <s:sheetData>
    <s:row r="1">
      <s:c r="A1" s="1" t="inlineStr">
        <s:is>
          <s:t>KASA HAREKETLERI</s:t>
        </s:is>
      </s:c>
    </s:row>
    <s:row r="3" ht="22" customHeight="1">
      <s:c r="A3" s="6" t="inlineStr">
        <s:is>
          <s:t>Tarih</s:t>
        </s:is>
      </s:c>
      <s:c r="B3" s="6" t="inlineStr">
        <s:is>
          <s:t>İşlem Türü</s:t>
        </s:is>
      </s:c>
      <s:c r="C3" s="6" t="inlineStr">
        <s:is>
          <s:t>Tutar</s:t>
        </s:is>
      </s:c>
      <s:c r="D3" s="6" t="inlineStr">
        <s:is>
          <s:t>Açıklama</s:t>
        </s:is>
      </s:c>
      <s:c r="E3" s="6" t="inlineStr">
        <s:is>
          <s:t>Ödeme Yöntemi</s:t>
        </s:is>
      </s:c>
      <s:c r="F3" s="6" t="inlineStr">
        <s:is>
          <s:t>İlgili Hesap</s:t>
        </s:is>
      </s:c>
      <s:c r="G3" s="6" t="inlineStr">
        <s:is>
          <s:t>Belge No</s:t>
        </s:is>
      </s:c>
      <s:c r="H3" s="6" t="inlineStr">
        <s:is>
          <s:t>MAD Sapma</s:t>
        </s:is>
      </s:c>
      <s:c r="I3" s="6" t="inlineStr">
        <s:is>
          <s:t>Anomali</s:t>
        </s:is>
      </s:c>
    </s:row>
    <s:row r="4">
      <s:c r="A4" s="9" t="n">
        <s:v>46239</s:v>
      </s:c>
      <s:c r="B4" s="7" t="inlineStr">
        <s:is>
          <s:t>Gelir</s:t>
        </s:is>
      </s:c>
      <s:c r="C4" s="8" t="n">
        <s:v>12000</s:v>
      </s:c>
      <s:c r="D4" s="7" t="inlineStr">
        <s:is>
          <s:t>Peşin tahsilat</s:t>
        </s:is>
      </s:c>
      <s:c r="E4" s="7" t="inlineStr">
        <s:is>
          <s:t>Nakit</s:t>
        </s:is>
      </s:c>
      <s:c r="F4" s="7" t="inlineStr">
        <s:is>
          <s:t>Ana Kasa</s:t>
        </s:is>
      </s:c>
      <s:c r="G4" s="7" t="inlineStr">
        <s:is>
          <s:t>AD-2026-101</s:t>
        </s:is>
      </s:c>
      <s:c r="H4" s="10">
        <s:f>IF(C4="","",ABS(C4-medyanTutar))</s:f>
        <s:v>4000</s:v>
      </s:c>
      <s:c r="I4" s="11">
        <s:f>IF(C4="","",IF(ABS(C4-medyanTutar)&gt;anomaliEsigi,1,0))</s:f>
        <s:v>0</s:v>
      </s:c>
    </s:row>
    <s:row r="5">
      <s:c r="A5" s="9" t="n">
        <s:v>46240</s:v>
      </s:c>
      <s:c r="B5" s="7" t="inlineStr">
        <s:is>
          <s:t>Gider</s:t>
        </s:is>
      </s:c>
      <s:c r="C5" s="8" t="n">
        <s:v>8000</s:v>
      </s:c>
      <s:c r="D5" s="7" t="inlineStr">
        <s:is>
          <s:t>Tedarikçi ödemesi</s:t>
        </s:is>
      </s:c>
      <s:c r="E5" s="7" t="inlineStr">
        <s:is>
          <s:t>EFT</s:t>
        </s:is>
      </s:c>
      <s:c r="F5" s="7" t="inlineStr">
        <s:is>
          <s:t>Banka</s:t>
        </s:is>
      </s:c>
      <s:c r="G5" s="7" t="inlineStr">
        <s:is>
          <s:t>AD-2026-102</s:t>
        </s:is>
      </s:c>
      <s:c r="H5" s="10">
        <s:f>IF(C5="","",ABS(C5-medyanTutar))</s:f>
        <s:v>0</s:v>
      </s:c>
      <s:c r="I5" s="11">
        <s:f>IF(C5="","",IF(ABS(C5-medyanTutar)&gt;anomaliEsigi,1,0))</s:f>
        <s:v>0</s:v>
      </s:c>
    </s:row>
    <s:row r="6">
      <s:c r="A6" s="9" t="n">
        <s:v>46241</s:v>
      </s:c>
      <s:c r="B6" s="7" t="inlineStr">
        <s:is>
          <s:t>Gelir</s:t>
        </s:is>
      </s:c>
      <s:c r="C6" s="8" t="n">
        <s:v>10000</s:v>
      </s:c>
      <s:c r="D6" s="7" t="inlineStr">
        <s:is>
          <s:t>Cari tahsilat</s:t>
        </s:is>
      </s:c>
      <s:c r="E6" s="7" t="inlineStr">
        <s:is>
          <s:t>EFT</s:t>
        </s:is>
      </s:c>
      <s:c r="F6" s="7" t="inlineStr">
        <s:is>
          <s:t>Banka</s:t>
        </s:is>
      </s:c>
      <s:c r="G6" s="7" t="inlineStr">
        <s:is>
          <s:t>AD-2026-103</s:t>
        </s:is>
      </s:c>
      <s:c r="H6" s="10">
        <s:f>IF(C6="","",ABS(C6-medyanTutar))</s:f>
        <s:v>2000</s:v>
      </s:c>
      <s:c r="I6" s="11">
        <s:f>IF(C6="","",IF(ABS(C6-medyanTutar)&gt;anomaliEsigi,1,0))</s:f>
        <s:v>0</s:v>
      </s:c>
    </s:row>
    <s:row r="7">
      <s:c r="A7" s="9" t="n">
        <s:v>46242</s:v>
      </s:c>
      <s:c r="B7" s="7" t="inlineStr">
        <s:is>
          <s:t>Gider</s:t>
        </s:is>
      </s:c>
      <s:c r="C7" s="8" t="n">
        <s:v>7000</s:v>
      </s:c>
      <s:c r="D7" s="7" t="inlineStr">
        <s:is>
          <s:t>Kira ödemesi</s:t>
        </s:is>
      </s:c>
      <s:c r="E7" s="7" t="inlineStr">
        <s:is>
          <s:t>EFT</s:t>
        </s:is>
      </s:c>
      <s:c r="F7" s="7" t="inlineStr">
        <s:is>
          <s:t>Banka</s:t>
        </s:is>
      </s:c>
      <s:c r="G7" s="7" t="inlineStr">
        <s:is>
          <s:t>AD-2026-104</s:t>
        </s:is>
      </s:c>
      <s:c r="H7" s="10">
        <s:f>IF(C7="","",ABS(C7-medyanTutar))</s:f>
        <s:v>1000</s:v>
      </s:c>
      <s:c r="I7" s="11">
        <s:f>IF(C7="","",IF(ABS(C7-medyanTutar)&gt;anomaliEsigi,1,0))</s:f>
        <s:v>0</s:v>
      </s:c>
    </s:row>
    <s:row r="8">
      <s:c r="A8" s="9" t="n">
        <s:v>46243</s:v>
      </s:c>
      <s:c r="B8" s="7" t="inlineStr">
        <s:is>
          <s:t>Gider</s:t>
        </s:is>
      </s:c>
      <s:c r="C8" s="8" t="n">
        <s:v>4500</s:v>
      </s:c>
      <s:c r="D8" s="7" t="inlineStr">
        <s:is>
          <s:t>Ofis gideri</s:t>
        </s:is>
      </s:c>
      <s:c r="E8" s="7" t="inlineStr">
        <s:is>
          <s:t>Kart</s:t>
        </s:is>
      </s:c>
      <s:c r="F8" s="7" t="inlineStr">
        <s:is>
          <s:t>Kredi Kartı</s:t>
        </s:is>
      </s:c>
      <s:c r="G8" s="7" t="inlineStr">
        <s:is>
          <s:t>AD-2026-105</s:t>
        </s:is>
      </s:c>
      <s:c r="H8" s="10">
        <s:f>IF(C8="","",ABS(C8-medyanTutar))</s:f>
        <s:v>3500</s:v>
      </s:c>
      <s:c r="I8" s="11">
        <s:f>IF(C8="","",IF(ABS(C8-medyanTutar)&gt;anomaliEsigi,1,0))</s:f>
        <s:v>0</s:v>
      </s:c>
    </s:row>
    <s:row r="9">
      <s:c r="A9" s="9" t="n">
        <s:v>46244</s:v>
      </s:c>
      <s:c r="B9" s="7" t="inlineStr">
        <s:is>
          <s:t>Gelir</s:t>
        </s:is>
      </s:c>
      <s:c r="C9" s="8" t="n">
        <s:v>9000</s:v>
      </s:c>
      <s:c r="D9" s="7" t="inlineStr">
        <s:is>
          <s:t>Peşin tahsilat</s:t>
        </s:is>
      </s:c>
      <s:c r="E9" s="7" t="inlineStr">
        <s:is>
          <s:t>Nakit</s:t>
        </s:is>
      </s:c>
      <s:c r="F9" s="7" t="inlineStr">
        <s:is>
          <s:t>Ana Kasa</s:t>
        </s:is>
      </s:c>
      <s:c r="G9" s="7" t="inlineStr">
        <s:is>
          <s:t>AD-2026-106</s:t>
        </s:is>
      </s:c>
      <s:c r="H9" s="10">
        <s:f>IF(C9="","",ABS(C9-medyanTutar))</s:f>
        <s:v>1000</s:v>
      </s:c>
      <s:c r="I9" s="11">
        <s:f>IF(C9="","",IF(ABS(C9-medyanTutar)&gt;anomaliEsigi,1,0))</s:f>
        <s:v>0</s:v>
      </s:c>
    </s:row>
    <s:row r="10">
      <s:c r="A10" s="9" t="n">
        <s:v>46245</s:v>
      </s:c>
      <s:c r="B10" s="7" t="inlineStr">
        <s:is>
          <s:t>Gider</s:t>
        </s:is>
      </s:c>
      <s:c r="C10" s="8" t="n">
        <s:v>5500</s:v>
      </s:c>
      <s:c r="D10" s="7" t="inlineStr">
        <s:is>
          <s:t>Maaş avansı</s:t>
        </s:is>
      </s:c>
      <s:c r="E10" s="7" t="inlineStr">
        <s:is>
          <s:t>EFT</s:t>
        </s:is>
      </s:c>
      <s:c r="F10" s="7" t="inlineStr">
        <s:is>
          <s:t>Banka</s:t>
        </s:is>
      </s:c>
      <s:c r="G10" s="7" t="inlineStr">
        <s:is>
          <s:t>AD-2026-107</s:t>
        </s:is>
      </s:c>
      <s:c r="H10" s="10">
        <s:f>IF(C10="","",ABS(C10-medyanTutar))</s:f>
        <s:v>2500</s:v>
      </s:c>
      <s:c r="I10" s="11">
        <s:f>IF(C10="","",IF(ABS(C10-medyanTutar)&gt;anomaliEsigi,1,0))</s:f>
        <s:v>0</s:v>
      </s:c>
    </s:row>
    <s:row r="11">
      <s:c r="A11" s="9" t="n">
        <s:v>46246</s:v>
      </s:c>
      <s:c r="B11" s="7" t="inlineStr">
        <s:is>
          <s:t>Gelir</s:t>
        </s:is>
      </s:c>
      <s:c r="C11" s="8" t="n">
        <s:v>8000</s:v>
      </s:c>
      <s:c r="D11" s="7" t="inlineStr">
        <s:is>
          <s:t>Proje tahsilatı</s:t>
        </s:is>
      </s:c>
      <s:c r="E11" s="7" t="inlineStr">
        <s:is>
          <s:t>Nakit</s:t>
        </s:is>
      </s:c>
      <s:c r="F11" s="7" t="inlineStr">
        <s:is>
          <s:t>Ana Kasa</s:t>
        </s:is>
      </s:c>
      <s:c r="G11" s="7" t="inlineStr">
        <s:is>
          <s:t>AD-2026-108</s:t>
        </s:is>
      </s:c>
      <s:c r="H11" s="10">
        <s:f>IF(C11="","",ABS(C11-medyanTutar))</s:f>
        <s:v>0</s:v>
      </s:c>
      <s:c r="I11" s="11">
        <s:f>IF(C11="","",IF(ABS(C11-medyanTutar)&gt;anomaliEsigi,1,0))</s:f>
        <s:v>0</s:v>
      </s:c>
    </s:row>
  </s:sheetData>
  <s:conditionalFormatting sqref="C3:C5002">
    <s:cfRule type="dataBar" priority="1">
      <s:dataBar>
        <s:cfvo type="min"/>
        <s:cfvo type="max"/>
        <s:color rgb="00B08948"/>
      </s:dataBar>
    </s:cfRule>
    <s:cfRule type="expression" priority="2" dxfId="0">
      <s:formula>$C4&gt;=yuksekTutarEsigi</s:formula>
    </s:cfRule>
    <s:cfRule type="colorScale" priority="3">
      <s:colorScale>
        <s:cfvo type="min"/>
        <s:cfvo type="percentile" val="50"/>
        <s:cfvo type="max"/>
        <s:color rgb="00FDE7E7"/>
        <s:color rgb="00FFF2CC"/>
        <s:color rgb="001F7A4D"/>
      </s:colorScale>
    </s:cfRule>
    <s:cfRule type="expression" priority="7" dxfId="0">
      <s:formula>=AND(C4="",COUNTA($A$4:$C4)&gt;0)</s:formula>
    </s:cfRule>
    <s:cfRule type="expression" priority="9" dxfId="0">
      <s:formula>=ABS($C4-medyanTutar)&gt;anomaliEsigi</s:formula>
    </s:cfRule>
  </s:conditionalFormatting>
  <s:conditionalFormatting sqref="A3:A5002">
    <s:cfRule type="expression" priority="4" dxfId="2">
      <s:formula>=AND(A4&lt;&gt;"",A4&gt;raporTarihi+365)</s:formula>
    </s:cfRule>
    <s:cfRule type="expression" priority="5" dxfId="0">
      <s:formula>=AND(A4="",COUNTA($A$4:$A4)&gt;0)</s:formula>
    </s:cfRule>
    <s:cfRule type="expression" priority="8" dxfId="1">
      <s:formula>=COUNTIF(A3:A5002,A4)&gt;1</s:formula>
    </s:cfRule>
  </s:conditionalFormatting>
  <s:conditionalFormatting sqref="B3:B5002">
    <s:cfRule type="expression" priority="6" dxfId="0">
      <s:formula>=AND(B4="",COUNTA($A$4:$B4)&gt;0)</s:formula>
    </s:cfRule>
  </s:conditionalFormatting>
  <s:conditionalFormatting sqref="E3:E5002">
    <s:cfRule type="expression" priority="10" dxfId="3">
      <s:formula>=AND(E4="",COUNTA($A$4:$E4)&gt;0)</s:formula>
    </s:cfRule>
  </s:conditionalFormatting>
  <s:conditionalFormatting sqref="G3:G5002">
    <s:cfRule type="expression" priority="11" dxfId="1">
      <s:formula>=COUNTIF(G3:G5002,G4)&gt;1</s:formula>
    </s:cfRule>
  </s:conditionalFormatting>
  <s:dataValidations count="5">
    <s:dataValidation sqref="A4:A5003" showDropDown="0" showInputMessage="1" showErrorMessage="1" allowBlank="0" errorTitle="Geçersiz tarih" error="Tarih 01.01.2020'den önce veya 1 yıldan uzak gelecekte olamaz." promptTitle="İşlem Tarihi" prompt="Kasa hareketinin gerçekleştiği tarihi gg.aa.yyyy olarak girin." type="date" operator="between">
      <s:formula1>=DATE(2020,1,1)</s:formula1>
      <s:formula2>=raporTarihi+365</s:formula2>
    </s:dataValidation>
    <s:dataValidation sqref="B4:B5003" showDropDown="0" showInputMessage="1" showErrorMessage="1" allowBlank="0" errorTitle="Geçersiz işlem türü" error="Yalnızca Gelir veya Gider seçilebilir." promptTitle="İşlem türü" prompt="Gelir veya Gider seçin. Tutarı daima pozitif girin." type="list">
      <s:formula1>"Gelir,Gider"</s:formula1>
    </s:dataValidation>
    <s:dataValidation sqref="C4:C5003" showDropDown="0" showInputMessage="1" showErrorMessage="1" allowBlank="0" errorTitle="Geçersiz tutar" error="Tutar 0'dan büyük olmalı. Gideri eksi işaretle girmeyin; İşlem Türü'nü 'Gider' seçin." promptTitle="Tutar (₺)" prompt="Pozitif girin. Gider/gelir ayrımını İşlem Türü kolonu yapar." type="decimal" operator="between">
      <s:formula1>0.01</s:formula1>
      <s:formula2>100000000</s:formula2>
    </s:dataValidation>
    <s:dataValidation sqref="E4:E5003" showDropDown="0" showInputMessage="1" showErrorMessage="1" allowBlank="1" errorTitle="Geçersiz yöntem" error="Yalnızca listedeki yöntemler kabul edilir." promptTitle="Ödeme yöntemi" prompt="Nakit, Kart, EFT, Çek veya Senet seçin; boş bırakılabilir." type="list">
      <s:formula1>"Nakit,Kart,EFT,Çek,Senet"</s:formula1>
    </s:dataValidation>
    <s:dataValidation sqref="F4:F5003" showDropDown="0" showInputMessage="1" showErrorMessage="1" allowBlank="1" errorTitle="Geçersiz hesap" error="Yalnızca HESAPLAR sayfasındaki hesaplar kabul edilir." promptTitle="İlgili hesap" prompt="Hareketin bağlı olduğu hesabı seçin; boş bırakılabilir." type="list">
      <s:formula1>"Ana Kasa,Banka,Kredi Kartı"</s:formula1>
    </s:dataValidation>
  </s:dataValidations>
  <s:pageMargins left="0.75" right="0.75" top="1" bottom="1" header="0.5" footer="0.5"/>
  <s:drawing r:id="rId1"/>
  <s:tableParts count="1">
    <s:tablePart r:id="rId2"/>
  </s:tableParts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E8"/>
  <s:sheetViews>
    <s:sheetView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4" customWidth="1" min="1" max="1"/>
    <s:col width="14" customWidth="1" min="2" max="2"/>
    <s:col width="14" customWidth="1" min="3" max="3"/>
    <s:col width="40" customWidth="1" min="4" max="4"/>
    <s:col width="14" customWidth="1" min="5" max="5"/>
  </s:cols>
  <s:sheetData>
    <s:row r="1">
      <s:c r="A1" s="1" t="inlineStr">
        <s:is>
          <s:t>ODEME TAKVIMI</s:t>
        </s:is>
      </s:c>
    </s:row>
    <s:row r="3" ht="22" customHeight="1">
      <s:c r="A3" s="6" t="inlineStr">
        <s:is>
          <s:t>Vade Tarihi</s:t>
        </s:is>
      </s:c>
      <s:c r="B3" s="6" t="inlineStr">
        <s:is>
          <s:t>Tutar</s:t>
        </s:is>
      </s:c>
      <s:c r="C3" s="6" t="inlineStr">
        <s:is>
          <s:t>Karşı Taraf</s:t>
        </s:is>
      </s:c>
      <s:c r="D3" s="6" t="inlineStr">
        <s:is>
          <s:t>Durum</s:t>
        </s:is>
      </s:c>
      <s:c r="E3" s="6" t="inlineStr">
        <s:is>
          <s:t>Ödeme Yöntemi</s:t>
        </s:is>
      </s:c>
    </s:row>
    <s:row r="4">
      <s:c r="A4" s="9" t="n">
        <s:v>46249</s:v>
      </s:c>
      <s:c r="B4" s="8" t="n">
        <s:v>12000</s:v>
      </s:c>
      <s:c r="C4" s="7" t="inlineStr">
        <s:is>
          <s:t>Tedarikçi A</s:t>
        </s:is>
      </s:c>
      <s:c r="D4" s="7" t="inlineStr">
        <s:is>
          <s:t>Bekliyor</s:t>
        </s:is>
      </s:c>
      <s:c r="E4" s="7" t="inlineStr">
        <s:is>
          <s:t>EFT</s:t>
        </s:is>
      </s:c>
    </s:row>
    <s:row r="5">
      <s:c r="A5" s="9" t="n">
        <s:v>46259</s:v>
      </s:c>
      <s:c r="B5" s="8" t="n">
        <s:v>18000</s:v>
      </s:c>
      <s:c r="C5" s="7" t="inlineStr">
        <s:is>
          <s:t>Tedarikçi B</s:t>
        </s:is>
      </s:c>
      <s:c r="D5" s="7" t="inlineStr">
        <s:is>
          <s:t>Bekliyor</s:t>
        </s:is>
      </s:c>
      <s:c r="E5" s="7" t="inlineStr">
        <s:is>
          <s:t>EFT</s:t>
        </s:is>
      </s:c>
    </s:row>
    <s:row r="6">
      <s:c r="A6" s="9" t="n">
        <s:v>46270</s:v>
      </s:c>
      <s:c r="B6" s="8" t="n">
        <s:v>9000</s:v>
      </s:c>
      <s:c r="C6" s="7" t="inlineStr">
        <s:is>
          <s:t>Vergi Dairesi</s:t>
        </s:is>
      </s:c>
      <s:c r="D6" s="7" t="inlineStr">
        <s:is>
          <s:t>Bekliyor</s:t>
        </s:is>
      </s:c>
      <s:c r="E6" s="7" t="inlineStr">
        <s:is>
          <s:t>EFT</s:t>
        </s:is>
      </s:c>
    </s:row>
    <s:row r="7">
      <s:c r="A7" s="9" t="n">
        <s:v>46285</s:v>
      </s:c>
      <s:c r="B7" s="8" t="n">
        <s:v>15000</s:v>
      </s:c>
      <s:c r="C7" s="7" t="inlineStr">
        <s:is>
          <s:t>Tedarikçi C</s:t>
        </s:is>
      </s:c>
      <s:c r="D7" s="7" t="inlineStr">
        <s:is>
          <s:t>Bekliyor</s:t>
        </s:is>
      </s:c>
      <s:c r="E7" s="7" t="inlineStr">
        <s:is>
          <s:t>Çek</s:t>
        </s:is>
      </s:c>
    </s:row>
    <s:row r="8">
      <s:c r="A8" s="9" t="n">
        <s:v>46305</s:v>
      </s:c>
      <s:c r="B8" s="8" t="n">
        <s:v>20000</s:v>
      </s:c>
      <s:c r="C8" s="7" t="inlineStr">
        <s:is>
          <s:t>Kira</s:t>
        </s:is>
      </s:c>
      <s:c r="D8" s="7" t="inlineStr">
        <s:is>
          <s:t>Bekliyor</s:t>
        </s:is>
      </s:c>
      <s:c r="E8" s="7" t="inlineStr">
        <s:is>
          <s:t>EFT</s:t>
        </s:is>
      </s:c>
    </s:row>
  </s:sheetData>
  <s:conditionalFormatting sqref="B3:B2002">
    <s:cfRule type="dataBar" priority="1">
      <s:dataBar>
        <s:cfvo type="min"/>
        <s:cfvo type="max"/>
        <s:color rgb="00B3261E"/>
      </s:dataBar>
    </s:cfRule>
    <s:cfRule type="expression" priority="2" dxfId="0">
      <s:formula>$B4&gt;=yuksekTutarEsigi</s:formula>
    </s:cfRule>
  </s:conditionalFormatting>
  <s:conditionalFormatting sqref="D3:D2002">
    <s:cfRule type="iconSet" priority="3">
      <s:iconSet iconSet="3TrafficLights1">
        <s:cfvo type="num" val="0"/>
        <s:cfvo type="num" val="33"/>
        <s:cfvo type="num" val="67"/>
      </s:iconSet>
    </s:cfRule>
    <s:cfRule type="expression" priority="6" dxfId="0">
      <s:formula>=AND(D4="",COUNTA($A$4:$D4)&gt;0)</s:formula>
    </s:cfRule>
  </s:conditionalFormatting>
  <s:conditionalFormatting sqref="A3:A2002">
    <s:cfRule type="expression" priority="4" dxfId="2">
      <s:formula>=AND(A4&lt;&gt;"",A4&gt;raporTarihi+30)</s:formula>
    </s:cfRule>
    <s:cfRule type="expression" priority="5" dxfId="0">
      <s:formula>=AND($A4&lt;raporTarihi,$D4="Bekliyor")</s:formula>
    </s:cfRule>
    <s:cfRule type="expression" priority="7" dxfId="1">
      <s:formula>=COUNTIF(A3:A2002,A4)&gt;1</s:formula>
    </s:cfRule>
  </s:conditionalFormatting>
  <s:dataValidations count="4">
    <s:dataValidation sqref="A4:A2003" showDropDown="0" showInputMessage="1" showErrorMessage="1" allowBlank="0" errorTitle="Geçersiz vade" error="Vade 01.01.2020'den önce veya 2 yıldan uzak gelecekte olamaz." promptTitle="Vade tarihi" prompt="Ödemenin vadesini gg.aa.yyyy girin." type="date" operator="between">
      <s:formula1>=DATE(2020,1,1)</s:formula1>
      <s:formula2>=raporTarihi+730</s:formula2>
    </s:dataValidation>
    <s:dataValidation sqref="B4:B2003" showDropDown="0" showInputMessage="1" showErrorMessage="1" allowBlank="0" errorTitle="Geçersiz tutar" error="Tutar 0'dan büyük olmalı." promptTitle="Tutar (₺)" prompt="Vadeli ödeme tutarını pozitif girin." type="decimal" operator="between">
      <s:formula1>0.01</s:formula1>
      <s:formula2>100000000</s:formula2>
    </s:dataValidation>
    <s:dataValidation sqref="D4:D2003" showDropDown="0" showInputMessage="1" showErrorMessage="1" allowBlank="0" errorTitle="Geçersiz durum" error="Yalnızca Bekliyor, Ödendi veya İptal kabul edilir." promptTitle="Durum" prompt="Bekliyor, Ödendi veya İptal seçin." type="list">
      <s:formula1>"Bekliyor,Ödendi,İptal"</s:formula1>
    </s:dataValidation>
    <s:dataValidation sqref="E4:E2003" showDropDown="0" showInputMessage="1" showErrorMessage="1" allowBlank="1" errorTitle="Geçersiz yöntem" error="Yalnızca listedeki yöntemler kabul edilir." promptTitle="Ödeme yöntemi" prompt="Vadenin nasıl ödeneceğini seçin." type="list">
      <s:formula1>"Nakit,Kart,EFT,Çek,Senet"</s:formula1>
    </s:dataValidation>
  </s:dataValidations>
  <s:pageMargins left="0.75" right="0.75" top="1" bottom="1" header="0.5" footer="0.5"/>
  <s:drawing r:id="rId1"/>
  <s:tableParts count="1">
    <s:tablePart r:id="rId2"/>
  </s:tableParts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E4"/>
  <s:sheetViews>
    <s:sheetView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4" customWidth="1" min="1" max="1"/>
    <s:col width="14" customWidth="1" min="2" max="2"/>
    <s:col width="14" customWidth="1" min="3" max="3"/>
    <s:col width="40" customWidth="1" min="4" max="4"/>
    <s:col width="14" customWidth="1" min="5" max="5"/>
  </s:cols>
  <s:sheetData>
    <s:row r="1">
      <s:c r="A1" s="1" t="inlineStr">
        <s:is>
          <s:t>FIZIKI SAYIM</s:t>
        </s:is>
      </s:c>
    </s:row>
    <s:row r="3" ht="22" customHeight="1">
      <s:c r="A3" s="6" t="inlineStr">
        <s:is>
          <s:t>Sayım Tarihi</s:t>
        </s:is>
      </s:c>
      <s:c r="B3" s="6" t="inlineStr">
        <s:is>
          <s:t>Hesap Adı</s:t>
        </s:is>
      </s:c>
      <s:c r="C3" s="6" t="inlineStr">
        <s:is>
          <s:t>Kayıtlı Bakiye</s:t>
        </s:is>
      </s:c>
      <s:c r="D3" s="6" t="inlineStr">
        <s:is>
          <s:t>Fiili Bakiye</s:t>
        </s:is>
      </s:c>
      <s:c r="E3" s="6" t="inlineStr">
        <s:is>
          <s:t>Açıklama</s:t>
        </s:is>
      </s:c>
    </s:row>
    <s:row r="4">
      <s:c r="A4" s="9" t="n">
        <s:v>46265</s:v>
      </s:c>
      <s:c r="B4" s="7" t="inlineStr">
        <s:is>
          <s:t>Ana Kasa</s:t>
        </s:is>
      </s:c>
      <s:c r="C4" s="8" t="n">
        <s:v>159000</s:v>
      </s:c>
      <s:c r="D4" s="8" t="n">
        <s:v>159000</s:v>
      </s:c>
      <s:c r="E4" s="7" t="inlineStr">
        <s:is>
          <s:t>Sayım kayıtlarla uyumlu</s:t>
        </s:is>
      </s:c>
    </s:row>
  </s:sheetData>
  <s:conditionalFormatting sqref="D3:D1002">
    <s:cfRule type="dataBar" priority="1">
      <s:dataBar>
        <s:cfvo type="min"/>
        <s:cfvo type="max"/>
        <s:color rgb="00B08948"/>
      </s:dataBar>
    </s:cfRule>
    <s:cfRule type="expression" priority="5" dxfId="0">
      <s:formula>=AND(D4="",COUNTA($A$4:$D4)&gt;0)</s:formula>
    </s:cfRule>
  </s:conditionalFormatting>
  <s:conditionalFormatting sqref="C3:C1002">
    <s:cfRule type="colorScale" priority="2">
      <s:colorScale>
        <s:cfvo type="min"/>
        <s:cfvo type="percentile" val="50"/>
        <s:cfvo type="max"/>
        <s:color rgb="00FDE7E7"/>
        <s:color rgb="00FFF2CC"/>
        <s:color rgb="001F7A4D"/>
      </s:colorScale>
    </s:cfRule>
  </s:conditionalFormatting>
  <s:conditionalFormatting sqref="A3:A1002">
    <s:cfRule type="expression" priority="3" dxfId="2">
      <s:formula>=AND(A4&lt;&gt;"",A4&gt;raporTarihi+30)</s:formula>
    </s:cfRule>
  </s:conditionalFormatting>
  <s:conditionalFormatting sqref="B3:B1002">
    <s:cfRule type="expression" priority="4" dxfId="0">
      <s:formula>=AND(B4="",COUNTA($A$4:$B4)&gt;0)</s:formula>
    </s:cfRule>
  </s:conditionalFormatting>
  <s:dataValidations count="4">
    <s:dataValidation sqref="A4:A1003" showDropDown="0" showInputMessage="1" showErrorMessage="1" allowBlank="0" errorTitle="Geçersiz sayım tarihi" error="Sayım tarihi 30 günden ileri olamaz." promptTitle="Sayım tarihi" prompt="Fiziki sayımın yapıldığı günü girin." type="date" operator="between">
      <s:formula1>=DATE(2020,1,1)</s:formula1>
      <s:formula2>=raporTarihi+30</s:formula2>
    </s:dataValidation>
    <s:dataValidation sqref="B4:B1003" showDropDown="0" showInputMessage="1" showErrorMessage="1" allowBlank="0" errorTitle="Geçersiz hesap" error="Yalnızca HESAPLAR sayfasındaki hesaplar kabul edilir." promptTitle="Hesap adı" prompt="Sayımı yapılan hesabı seçin." type="list">
      <s:formula1>"Ana Kasa,Banka,Kredi Kartı"</s:formula1>
    </s:dataValidation>
    <s:dataValidation sqref="C4:C1003" showDropDown="0" showInputMessage="1" showErrorMessage="1" allowBlank="0" errorTitle="Geçersiz bakiye" error="Sayısal TL değeri girin." promptTitle="Kayıtlı bakiye (₺)" prompt="Defterde görünen bakiye; otomatik gelebilir, elle doğrulanabilir." type="decimal" operator="between">
      <s:formula1>-1000000000</s:formula1>
      <s:formula2>1000000000</s:formula2>
    </s:dataValidation>
    <s:dataValidation sqref="D4:D1003" showDropDown="0" showInputMessage="1" showErrorMessage="1" allowBlank="0" errorTitle="Geçersiz bakiye" error="Sayısal TL değeri girin." promptTitle="Fiili bakiye (₺)" prompt="Fiziki sayımda bulunan tutar." type="decimal" operator="between">
      <s:formula1>-1000000000</s:formula1>
      <s:formula2>1000000000</s:formula2>
    </s:dataValidation>
  </s:dataValidations>
  <s:pageMargins left="0.75" right="0.75" top="1" bottom="1" header="0.5" footer="0.5"/>
  <s:tableParts count="1">
    <s:tablePart r:id="rId1"/>
  </s:tableParts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D53"/>
  <s:sheetViews>
    <s:sheetView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2" customWidth="1" min="1" max="1"/>
    <s:col width="90" customWidth="1" min="2" max="2"/>
    <s:col width="10" customWidth="1" min="3" max="3"/>
    <s:col width="70" customWidth="1" min="4" max="4"/>
  </s:cols>
  <s:sheetData>
    <s:row r="1">
      <s:c r="A1" s="1" t="inlineStr">
        <s:is>
          <s:t>MOTOR — HESAP KATMANI (40 isimli adım + 7 makine yorumu)</s:t>
        </s:is>
      </s:c>
    </s:row>
    <s:row r="3" ht="22" customHeight="1">
      <s:c r="A3" s="6" t="inlineStr">
        <s:is>
          <s:t>Ad</s:t>
        </s:is>
      </s:c>
      <s:c r="B3" s="6" t="inlineStr">
        <s:is>
          <s:t>Formül</s:t>
        </s:is>
      </s:c>
      <s:c r="C3" s="6" t="inlineStr">
        <s:is>
          <s:t>Birim</s:t>
        </s:is>
      </s:c>
      <s:c r="D3" s="6" t="inlineStr">
        <s:is>
          <s:t>İşlev</s:t>
        </s:is>
      </s:c>
    </s:row>
    <s:row r="4">
      <s:c r="A4" s="12" t="inlineStr">
        <s:is>
          <s:t>toplamGelir</s:t>
        </s:is>
      </s:c>
      <s:c r="B4" s="13">
        <s:f>SUMIFS(tblHareketler[Tutar],tblHareketler[İşlem Türü],"Gelir")</s:f>
        <s:v>39000</s:v>
      </s:c>
      <s:c r="C4" t="inlineStr">
        <s:is>
          <s:t>₺</s:t>
        </s:is>
      </s:c>
      <s:c r="D4" t="inlineStr">
        <s:is>
          <s:t>Dönem gelir toplamı</s:t>
        </s:is>
      </s:c>
    </s:row>
    <s:row r="5">
      <s:c r="A5" s="12" t="inlineStr">
        <s:is>
          <s:t>toplamGider</s:t>
        </s:is>
      </s:c>
      <s:c r="B5" s="13">
        <s:f>SUMIFS(tblHareketler[Tutar],tblHareketler[İşlem Türü],"Gider")</s:f>
        <s:v>25000</s:v>
      </s:c>
      <s:c r="C5" t="inlineStr">
        <s:is>
          <s:t>₺</s:t>
        </s:is>
      </s:c>
      <s:c r="D5" t="inlineStr">
        <s:is>
          <s:t>Dönem gider toplamı</s:t>
        </s:is>
      </s:c>
    </s:row>
    <s:row r="6">
      <s:c r="A6" s="12" t="inlineStr">
        <s:is>
          <s:t>netHareket</s:t>
        </s:is>
      </s:c>
      <s:c r="B6" s="13">
        <s:f>toplamGelir-toplamGider</s:f>
        <s:v>14000</s:v>
      </s:c>
      <s:c r="C6" t="inlineStr">
        <s:is>
          <s:t>₺</s:t>
        </s:is>
      </s:c>
      <s:c r="D6" t="inlineStr">
        <s:is>
          <s:t>Dönem net nakit hareketi</s:t>
        </s:is>
      </s:c>
    </s:row>
    <s:row r="7">
      <s:c r="A7" s="12" t="inlineStr">
        <s:is>
          <s:t>acilisBakiye</s:t>
        </s:is>
      </s:c>
      <s:c r="B7" s="13">
        <s:f>SUM(tblHesaplar[Başlangıç Bakiyesi])</s:f>
        <s:v>145000</s:v>
      </s:c>
      <s:c r="C7" t="inlineStr">
        <s:is>
          <s:t>₺</s:t>
        </s:is>
      </s:c>
      <s:c r="D7" t="inlineStr">
        <s:is>
          <s:t>Tüm hesapların dönem başı toplamı</s:t>
        </s:is>
      </s:c>
    </s:row>
    <s:row r="8">
      <s:c r="A8" s="12" t="inlineStr">
        <s:is>
          <s:t>beklenenBakiye</s:t>
        </s:is>
      </s:c>
      <s:c r="B8" s="13">
        <s:f>acilisBakiye+netHareket</s:f>
        <s:v>159000</s:v>
      </s:c>
      <s:c r="C8" t="inlineStr">
        <s:is>
          <s:t>₺</s:t>
        </s:is>
      </s:c>
      <s:c r="D8" t="inlineStr">
        <s:is>
          <s:t>Defterde olması gereken kasa toplamı</s:t>
        </s:is>
      </s:c>
    </s:row>
    <s:row r="9">
      <s:c r="A9" s="12" t="inlineStr">
        <s:is>
          <s:t>sonSayimFiili</s:t>
        </s:is>
      </s:c>
      <s:c r="B9" s="13">
        <s:f>IFERROR(LOOKUP(9.99999999999999E+307,tblSayim[Fiili Bakiye]),0)</s:f>
        <s:v>159000</s:v>
      </s:c>
      <s:c r="C9" t="inlineStr">
        <s:is>
          <s:t>₺</s:t>
        </s:is>
      </s:c>
      <s:c r="D9" t="inlineStr">
        <s:is>
          <s:t>En son fiziki sayım fiili tutarı</s:t>
        </s:is>
      </s:c>
    </s:row>
    <s:row r="10">
      <s:c r="A10" s="12" t="inlineStr">
        <s:is>
          <s:t>mutabakatFarki</s:t>
        </s:is>
      </s:c>
      <s:c r="B10" s="13">
        <s:f>beklenenBakiye-sonSayimFiili</s:f>
        <s:v>0</s:v>
      </s:c>
      <s:c r="C10" t="inlineStr">
        <s:is>
          <s:t>₺</s:t>
        </s:is>
      </s:c>
      <s:c r="D10" t="inlineStr">
        <s:is>
          <s:t>Kasa defteri ile fiili sayım farkı (T5)</s:t>
        </s:is>
      </s:c>
    </s:row>
    <s:row r="11">
      <s:c r="A11" s="12" t="inlineStr">
        <s:is>
          <s:t>mutabakatDurum</s:t>
        </s:is>
      </s:c>
      <s:c r="B11" s="13" t="str">
        <s:f>IF(ABS(mutabakatFarki)&lt;=fizikiTolerans,"UYGUN","FARK VAR")</s:f>
        <s:v>UYGUN</s:v>
      </s:c>
      <s:c r="C11" t="inlineStr">
        <s:is>
          <s:t>metin</s:t>
        </s:is>
      </s:c>
      <s:c r="D11" t="inlineStr">
        <s:is>
          <s:t>Mutabakat sonucu</s:t>
        </s:is>
      </s:c>
    </s:row>
    <s:row r="12">
      <s:c r="A12" s="12" t="inlineStr">
        <s:is>
          <s:t>yaklasanOdeme30</s:t>
        </s:is>
      </s:c>
      <s:c r="B12" s="13">
        <s:f>SUMIFS(tblTakvim[Tutar],tblTakvim[Durum],"Bekliyor",tblTakvim[Vade Tarihi],"&gt;="&amp;raporTarihi,tblTakvim[Vade Tarihi],"&lt;="&amp;raporTarihi+30)</s:f>
        <s:v>39000</s:v>
      </s:c>
      <s:c r="C12" t="inlineStr">
        <s:is>
          <s:t>₺</s:t>
        </s:is>
      </s:c>
      <s:c r="D12" t="inlineStr">
        <s:is>
          <s:t>30 gün içindeki bekleyen ödeme yükü</s:t>
        </s:is>
      </s:c>
    </s:row>
    <s:row r="13">
      <s:c r="A13" s="12" t="inlineStr">
        <s:is>
          <s:t>yaklasanOdeme7</s:t>
        </s:is>
      </s:c>
      <s:c r="B13" s="13">
        <s:f>SUMIFS(tblTakvim[Tutar],tblTakvim[Durum],"Bekliyor",tblTakvim[Vade Tarihi],"&gt;="&amp;raporTarihi,tblTakvim[Vade Tarihi],"&lt;="&amp;raporTarihi+7)</s:f>
        <s:v>12000</s:v>
      </s:c>
      <s:c r="C13" t="inlineStr">
        <s:is>
          <s:t>₺</s:t>
        </s:is>
      </s:c>
      <s:c r="D13" t="inlineStr">
        <s:is>
          <s:t>7 gün içindeki bekleyen ödeme yükü</s:t>
        </s:is>
      </s:c>
    </s:row>
    <s:row r="14">
      <s:c r="A14" s="12" t="inlineStr">
        <s:is>
          <s:t>serbestNakit</s:t>
        </s:is>
      </s:c>
      <s:c r="B14" s="13">
        <s:f>beklenenBakiye-yaklasanOdeme30</s:f>
        <s:v>120000</s:v>
      </s:c>
      <s:c r="C14" t="inlineStr">
        <s:is>
          <s:t>₺</s:t>
        </s:is>
      </s:c>
      <s:c r="D14" t="inlineStr">
        <s:is>
          <s:t>30 günlük yükümlülükler sonrası serbest nakit</s:t>
        </s:is>
      </s:c>
    </s:row>
    <s:row r="15">
      <s:c r="A15" s="12" t="inlineStr">
        <s:is>
          <s:t>serbestNakitOran</s:t>
        </s:is>
      </s:c>
      <s:c r="B15" s="13">
        <s:f>IFERROR(serbestNakit/MAX(beklenenBakiye,1),0)</s:f>
        <s:v>0.754716981132076</s:v>
      </s:c>
      <s:c r="C15" t="inlineStr">
        <s:is>
          <s:t>kat</s:t>
        </s:is>
      </s:c>
      <s:c r="D15" t="inlineStr">
        <s:is>
          <s:t>Serbest nakit oranı</s:t>
        </s:is>
      </s:c>
    </s:row>
    <s:row r="16">
      <s:c r="A16" s="12" t="inlineStr">
        <s:is>
          <s:t>doluSatirSayisi</s:t>
        </s:is>
      </s:c>
      <s:c r="B16" s="13">
        <s:f>COUNT(tblHareketler[Tarih])</s:f>
        <s:v>8</s:v>
      </s:c>
      <s:c r="C16" t="inlineStr">
        <s:is>
          <s:t>adet</s:t>
        </s:is>
      </s:c>
      <s:c r="D16" t="inlineStr">
        <s:is>
          <s:t>Dolu hareket sayısı</s:t>
        </s:is>
      </s:c>
    </s:row>
    <s:row r="17">
      <s:c r="A17" s="12" t="inlineStr">
        <s:is>
          <s:t>toplamSatirSayisi</s:t>
        </s:is>
      </s:c>
      <s:c r="B17" s="13">
        <s:f>ROWS(tblHareketler)</s:f>
        <s:v>5001</s:v>
      </s:c>
      <s:c r="C17" t="inlineStr">
        <s:is>
          <s:t>adet</s:t>
        </s:is>
      </s:c>
      <s:c r="D17" t="inlineStr">
        <s:is>
          <s:t>Tablodaki toplam satır sayısı</s:t>
        </s:is>
      </s:c>
    </s:row>
    <s:row r="18">
      <s:c r="A18" s="12" t="inlineStr">
        <s:is>
          <s:t>doluOran</s:t>
        </s:is>
      </s:c>
      <s:c r="B18" s="13">
        <s:f>IFERROR(doluSatirSayisi/MAX(toplamSatirSayisi,1),0)</s:f>
        <s:v>0.0015996800639872</s:v>
      </s:c>
      <s:c r="C18" t="inlineStr">
        <s:is>
          <s:t>kat</s:t>
        </s:is>
      </s:c>
      <s:c r="D18" t="inlineStr">
        <s:is>
          <s:t>Veri doluluk oranı</s:t>
        </s:is>
      </s:c>
    </s:row>
    <s:row r="19">
      <s:c r="A19" s="12" t="inlineStr">
        <s:is>
          <s:t>eksikZorunlu</s:t>
        </s:is>
      </s:c>
      <s:c r="B19" s="13">
        <s:f>SUMPRODUCT((tblHareketler[Tarih]&lt;&gt;"")*((tblHareketler[Tutar]="")+(tblHareketler[İşlem Türü]="")))</s:f>
        <s:v>0</s:v>
      </s:c>
      <s:c r="C19" t="inlineStr">
        <s:is>
          <s:t>adet</s:t>
        </s:is>
      </s:c>
      <s:c r="D19" t="inlineStr">
        <s:is>
          <s:t>Dolu satırlarda eksik zorunlu alan sayısı</s:t>
        </s:is>
      </s:c>
    </s:row>
    <s:row r="20">
      <s:c r="A20" s="12" t="inlineStr">
        <s:is>
          <s:t>veriKaliteSkoru</s:t>
        </s:is>
      </s:c>
      <s:c r="B20" s="13">
        <s:f>IFERROR(ROUND(100*(1-eksikZorunlu/MAX(doluSatirSayisi,1)),0),0)</s:f>
        <s:v>100</s:v>
      </s:c>
      <s:c r="C20" t="inlineStr">
        <s:is>
          <s:t>puan</s:t>
        </s:is>
      </s:c>
      <s:c r="D20" t="inlineStr">
        <s:is>
          <s:t>Canlı veri kalite skoru 0-100 (O8)</s:t>
        </s:is>
      </s:c>
    </s:row>
    <s:row r="21">
      <s:c r="A21" s="12" t="inlineStr">
        <s:is>
          <s:t>medyanTutar</s:t>
        </s:is>
      </s:c>
      <s:c r="B21" s="13">
        <s:f>IFERROR(MEDIAN(tblHareketler[Tutar]),0)</s:f>
        <s:v>8000</s:v>
      </s:c>
      <s:c r="C21" t="inlineStr">
        <s:is>
          <s:t>₺</s:t>
        </s:is>
      </s:c>
      <s:c r="D21" t="inlineStr">
        <s:is>
          <s:t>Tutar medyanı</s:t>
        </s:is>
      </s:c>
    </s:row>
    <s:row r="22">
      <s:c r="A22" s="12" t="inlineStr">
        <s:is>
          <s:t>mutlakSapmaMedyani</s:t>
        </s:is>
      </s:c>
      <s:c r="B22" s="13">
        <s:f>IFERROR(AVERAGE(tblHareketler[MAD Sapma]),0)</s:f>
        <s:v>1750</s:v>
      </s:c>
      <s:c r="C22" t="inlineStr">
        <s:is>
          <s:t>₺</s:t>
        </s:is>
      </s:c>
      <s:c r="D22" t="inlineStr">
        <s:is>
          <s:t>Ortalama mutlak sapma (yardımcı kolon, dizi yok)</s:t>
        </s:is>
      </s:c>
    </s:row>
    <s:row r="23">
      <s:c r="A23" s="12" t="inlineStr">
        <s:is>
          <s:t>anomaliEsigi</s:t>
        </s:is>
      </s:c>
      <s:c r="B23" s="13">
        <s:f>anomaliSapmaKati*mutlakSapmaMedyani</s:f>
        <s:v>5250</s:v>
      </s:c>
      <s:c r="C23" t="inlineStr">
        <s:is>
          <s:t>₺</s:t>
        </s:is>
      </s:c>
      <s:c r="D23" t="inlineStr">
        <s:is>
          <s:t>Anomali eşiği</s:t>
        </s:is>
      </s:c>
    </s:row>
    <s:row r="24">
      <s:c r="A24" s="12" t="inlineStr">
        <s:is>
          <s:t>anomaliSayisi</s:t>
        </s:is>
      </s:c>
      <s:c r="B24" s="13">
        <s:f>SUM(tblHareketler[Anomali])</s:f>
        <s:v>0</s:v>
      </s:c>
      <s:c r="C24" t="inlineStr">
        <s:is>
          <s:t>adet</s:t>
        </s:is>
      </s:c>
      <s:c r="D24" t="inlineStr">
        <s:is>
          <s:t>Medyan sapması eşiği aşan hareket sayısı (O1)</s:t>
        </s:is>
      </s:c>
    </s:row>
    <s:row r="25">
      <s:c r="A25" s="12" t="inlineStr">
        <s:is>
          <s:t>anomaliOrani</s:t>
        </s:is>
      </s:c>
      <s:c r="B25" s="13">
        <s:f>IFERROR(anomaliSayisi/MAX(doluSatirSayisi,1),0)</s:f>
        <s:v>0</s:v>
      </s:c>
      <s:c r="C25" t="inlineStr">
        <s:is>
          <s:t>kat</s:t>
        </s:is>
      </s:c>
      <s:c r="D25" t="inlineStr">
        <s:is>
          <s:t>Anomali oranı</s:t>
        </s:is>
      </s:c>
    </s:row>
    <s:row r="26">
      <s:c r="A26" s="12" t="inlineStr">
        <s:is>
          <s:t>yuksekTutarSayisi</s:t>
        </s:is>
      </s:c>
      <s:c r="B26" s="13">
        <s:f>COUNTIF(tblHareketler[Tutar],"&gt;="&amp;yuksekTutarEsigi)</s:f>
        <s:v>0</s:v>
      </s:c>
      <s:c r="C26" t="inlineStr">
        <s:is>
          <s:t>adet</s:t>
        </s:is>
      </s:c>
      <s:c r="D26" t="inlineStr">
        <s:is>
          <s:t>Yüksek tutar eşiğini aşan hareket sayısı</s:t>
        </s:is>
      </s:c>
    </s:row>
    <s:row r="27">
      <s:c r="A27" s="12" t="inlineStr">
        <s:is>
          <s:t>gunlukNetOrtalama</s:t>
        </s:is>
      </s:c>
      <s:c r="B27" s="13">
        <s:f>IFERROR(netHareket/MAX(doluSatirSayisi,1),0)</s:f>
        <s:v>1750</s:v>
      </s:c>
      <s:c r="C27" t="inlineStr">
        <s:is>
          <s:t>₺/gün</s:t>
        </s:is>
      </s:c>
      <s:c r="D27" t="inlineStr">
        <s:is>
          <s:t>Günlük ortalama net nakit (T2 trend tabanı)</s:t>
        </s:is>
      </s:c>
    </s:row>
    <s:row r="28">
      <s:c r="A28" s="12" t="inlineStr">
        <s:is>
          <s:t>gunlukGiderOrtalama</s:t>
        </s:is>
      </s:c>
      <s:c r="B28" s="13">
        <s:f>IFERROR(toplamGider/MAX(doluSatirSayisi,1),0)</s:f>
        <s:v>3125</s:v>
      </s:c>
      <s:c r="C28" t="inlineStr">
        <s:is>
          <s:t>₺/gün</s:t>
        </s:is>
      </s:c>
      <s:c r="D28" t="inlineStr">
        <s:is>
          <s:t>Günlük ortalama gider</s:t>
        </s:is>
      </s:c>
    </s:row>
    <s:row r="29">
      <s:c r="A29" s="12" t="inlineStr">
        <s:is>
          <s:t>kacGunYeter</s:t>
        </s:is>
      </s:c>
      <s:c r="B29" s="13">
        <s:f>IFERROR(serbestNakit/MAX(gunlukGiderOrtalama,1),0)</s:f>
        <s:v>38.4</s:v>
      </s:c>
      <s:c r="C29" t="inlineStr">
        <s:is>
          <s:t>gün</s:t>
        </s:is>
      </s:c>
      <s:c r="D29" t="inlineStr">
        <s:is>
          <s:t>Serbest nakit kaç gün gideri karşılar (T6 kırılım)</s:t>
        </s:is>
      </s:c>
    </s:row>
    <s:row r="30">
      <s:c r="A30" s="12" t="inlineStr">
        <s:is>
          <s:t>tahminBitisNakit</s:t>
        </s:is>
      </s:c>
      <s:c r="B30" s="13">
        <s:f>serbestNakit+gunlukNetOrtalama*tahminUfkuGun</s:f>
        <s:v>277500</s:v>
      </s:c>
      <s:c r="C30" t="inlineStr">
        <s:is>
          <s:t>₺</s:t>
        </s:is>
      </s:c>
      <s:c r="D30" t="inlineStr">
        <s:is>
          <s:t>Tahmin ufku sonundaki beklenen nakit (I1 orta)</s:t>
        </s:is>
      </s:c>
    </s:row>
    <s:row r="31">
      <s:c r="A31" s="12" t="inlineStr">
        <s:is>
          <s:t>tahminAlt</s:t>
        </s:is>
      </s:c>
      <s:c r="B31" s="13">
        <s:f>IFERROR(tahminBitisNakit-STDEV.P(tblHareketler[Tutar])*SQRT(tahminUfkuGun),tahminBitisNakit)</s:f>
        <s:v>277500</s:v>
      </s:c>
      <s:c r="C31" t="inlineStr">
        <s:is>
          <s:t>₺</s:t>
        </s:is>
      </s:c>
      <s:c r="D31" t="inlineStr">
        <s:is>
          <s:t>Tahmin alt bandı (I1 aralık)</s:t>
        </s:is>
      </s:c>
    </s:row>
    <s:row r="32">
      <s:c r="A32" s="12" t="inlineStr">
        <s:is>
          <s:t>tahminUst</s:t>
        </s:is>
      </s:c>
      <s:c r="B32" s="13">
        <s:f>IFERROR(tahminBitisNakit+STDEV.P(tblHareketler[Tutar])*SQRT(tahminUfkuGun),tahminBitisNakit)</s:f>
        <s:v>277500</s:v>
      </s:c>
      <s:c r="C32" t="inlineStr">
        <s:is>
          <s:t>₺</s:t>
        </s:is>
      </s:c>
      <s:c r="D32" t="inlineStr">
        <s:is>
          <s:t>Tahmin üst bandı (I1 aralık)</s:t>
        </s:is>
      </s:c>
    </s:row>
    <s:row r="33">
      <s:c r="A33" s="12" t="inlineStr">
        <s:is>
          <s:t>tahminAraligi</s:t>
        </s:is>
      </s:c>
      <s:c r="B33" s="13">
        <s:f>tahminUst-tahminAlt</s:f>
        <s:v>0</s:v>
      </s:c>
      <s:c r="C33" t="inlineStr">
        <s:is>
          <s:t>₺</s:t>
        </s:is>
      </s:c>
      <s:c r="D33" t="inlineStr">
        <s:is>
          <s:t>Tahmin belirsizlik aralığı</s:t>
        </s:is>
      </s:c>
    </s:row>
    <s:row r="34">
      <s:c r="A34" s="12" t="inlineStr">
        <s:is>
          <s:t>nakitAcik</s:t>
        </s:is>
      </s:c>
      <s:c r="B34" s="13" t="str">
        <s:f>IF(tahminAlt&lt;0,"EVET","HAYIR")</s:f>
        <s:v>HAYIR</s:v>
      </s:c>
      <s:c r="C34" t="inlineStr">
        <s:is>
          <s:t>metin</s:t>
        </s:is>
      </s:c>
      <s:c r="D34" t="inlineStr">
        <s:is>
          <s:t>Tahmin ufkunda nakit açığı var mı</s:t>
        </s:is>
      </s:c>
    </s:row>
    <s:row r="35">
      <s:c r="A35" s="12" t="inlineStr">
        <s:is>
          <s:t>nakitAcikTutar</s:t>
        </s:is>
      </s:c>
      <s:c r="B35" s="13">
        <s:f>MAX(0,-tahminAlt)</s:f>
        <s:v>0</s:v>
      </s:c>
      <s:c r="C35" t="inlineStr">
        <s:is>
          <s:t>₺</s:t>
        </s:is>
      </s:c>
      <s:c r="D35" t="inlineStr">
        <s:is>
          <s:t>Nakit açığı tutarı (I7 köprüleme)</s:t>
        </s:is>
      </s:c>
    </s:row>
    <s:row r="36">
      <s:c r="A36" s="12" t="inlineStr">
        <s:is>
          <s:t>kotumserNakit</s:t>
        </s:is>
      </s:c>
      <s:c r="B36" s="13">
        <s:f>serbestNakit*senaryoKotumserKat+gunlukNetOrtalama*tahminUfkuGun*senaryoKotumserKat</s:f>
        <s:v>235875</s:v>
      </s:c>
      <s:c r="C36" t="inlineStr">
        <s:is>
          <s:t>₺</s:t>
        </s:is>
      </s:c>
      <s:c r="D36" t="inlineStr">
        <s:is>
          <s:t>Kötümser senaryo sonu nakdi</s:t>
        </s:is>
      </s:c>
    </s:row>
    <s:row r="37">
      <s:c r="A37" s="12" t="inlineStr">
        <s:is>
          <s:t>iyimserNakit</s:t>
        </s:is>
      </s:c>
      <s:c r="B37" s="13">
        <s:f>serbestNakit*senaryoIyimserKat+gunlukNetOrtalama*tahminUfkuGun*senaryoIyimserKat</s:f>
        <s:v>319125</s:v>
      </s:c>
      <s:c r="C37" t="inlineStr">
        <s:is>
          <s:t>₺</s:t>
        </s:is>
      </s:c>
      <s:c r="D37" t="inlineStr">
        <s:is>
          <s:t>İyimser senaryo sonu nakdi</s:t>
        </s:is>
      </s:c>
    </s:row>
    <s:row r="38">
      <s:c r="A38" s="12" t="inlineStr">
        <s:is>
          <s:t>senaryoFarki</s:t>
        </s:is>
      </s:c>
      <s:c r="B38" s="13">
        <s:f>iyimserNakit-kotumserNakit</s:f>
        <s:v>83250</s:v>
      </s:c>
      <s:c r="C38" t="inlineStr">
        <s:is>
          <s:t>₺</s:t>
        </s:is>
      </s:c>
      <s:c r="D38" t="inlineStr">
        <s:is>
          <s:t>Senaryo farkı (duyarlılık)</s:t>
        </s:is>
      </s:c>
    </s:row>
    <s:row r="39">
      <s:c r="A39" s="12" t="inlineStr">
        <s:is>
          <s:t>riskPuani</s:t>
        </s:is>
      </s:c>
      <s:c r="B39" s="13">
        <s:f>MIN(100,ROUND(50*(1-veriKaliteSkoru/100)+30*anomaliOrani+20*IF(nakitAcik="EVET",1,0),0))</s:f>
        <s:v>0</s:v>
      </s:c>
      <s:c r="C39" t="inlineStr">
        <s:is>
          <s:t>puan</s:t>
        </s:is>
      </s:c>
      <s:c r="D39" t="inlineStr">
        <s:is>
          <s:t>Bileşik risk skoru 0-100</s:t>
        </s:is>
      </s:c>
    </s:row>
    <s:row r="40">
      <s:c r="A40" s="12" t="inlineStr">
        <s:is>
          <s:t>enBuyukTutar</s:t>
        </s:is>
      </s:c>
      <s:c r="B40" s="13">
        <s:f>MAX(tblHareketler[Tutar])</s:f>
        <s:v>12000</s:v>
      </s:c>
      <s:c r="C40" t="inlineStr">
        <s:is>
          <s:t>₺</s:t>
        </s:is>
      </s:c>
      <s:c r="D40" t="inlineStr">
        <s:is>
          <s:t>En büyük tek hareket tutarı</s:t>
        </s:is>
      </s:c>
    </s:row>
    <s:row r="41">
      <s:c r="A41" s="12" t="inlineStr">
        <s:is>
          <s:t>makulSinirAsimi</s:t>
        </s:is>
      </s:c>
      <s:c r="B41" s="13">
        <s:f>IF(enBuyukTutar&gt;makulUstSinir,1,0)</s:f>
        <s:v>0</s:v>
      </s:c>
      <s:c r="C41" t="inlineStr">
        <s:is>
          <s:t>adet</s:t>
        </s:is>
      </s:c>
      <s:c r="D41" t="inlineStr">
        <s:is>
          <s:t>Makul üst sınırı aşan giriş var mı (gerçek dışı veri)</s:t>
        </s:is>
      </s:c>
    </s:row>
    <s:row r="42">
      <s:c r="A42" s="12" t="inlineStr">
        <s:is>
          <s:t>aktifKural</s:t>
        </s:is>
      </s:c>
      <s:c r="B42" s="13" t="str">
        <s:f>IF(serbestNakit&lt;esikSerbestNakitKritik,"K1",IF(anomaliSayisi&gt;0,"K2",IF(makulSinirAsimi=1,"K4",IF(veriKaliteSkoru&lt;70,"K3","K0"))))</s:f>
        <s:v>K0</s:v>
      </s:c>
      <s:c r="C42" t="inlineStr">
        <s:is>
          <s:t>metin</s:t>
        </s:is>
      </s:c>
      <s:c r="D42" t="inlineStr">
        <s:is>
          <s:t>Tetiklenen karar kuralı kodu</s:t>
        </s:is>
      </s:c>
    </s:row>
    <s:row r="43">
      <s:c r="A43" s="12" t="inlineStr">
        <s:is>
          <s:t>kararSonuc</s:t>
        </s:is>
      </s:c>
      <s:c r="B43" s="13" t="str">
        <s:f>IF(doluSatirSayisi&lt;3,"VERİ YOK",IF(serbestNakit&lt;esikSerbestNakitKritik,"DURDUR",IF(anomaliSayisi&gt;0,"İNCELE",IF(makulSinirAsimi=1,"İNCELE",IF(veriKaliteSkoru&lt;70,"İNCELE",IF(nakitAcik="EVET","İNCELE","UYGUN"))))))</s:f>
        <s:v>UYGUN</s:v>
      </s:c>
      <s:c r="C43" t="inlineStr">
        <s:is>
          <s:t>metin</s:t>
        </s:is>
      </s:c>
      <s:c r="D43" t="inlineStr">
        <s:is>
          <s:t>Nihai karar (D11: veri yoksa karar yok)</s:t>
        </s:is>
      </s:c>
    </s:row>
    <s:row r="44">
      <s:c r="A44" s="12" t="inlineStr">
        <s:is>
          <s:t>kararGerekce</s:t>
        </s:is>
      </s:c>
      <s:c r="B44" s="13" t="str">
        <s:f>_xlfn.TEXTJOIN(" | ",TRUE,aktifKural,IF(riskPuani&gt;=esikRiskYuksek,"Risk yüksek","Risk normal"),IF(veriKaliteSkoru&lt;70,"Veri kalitesi düşük","Veri kalitesi yeterli"),IF(nakitAcik="EVET","Nakit açığı var","Nakit açığı yok"))</s:f>
        <s:v>K0 | Risk normal | Veri kalitesi yeterli | Nakit açığı yok</s:v>
      </s:c>
      <s:c r="C44" t="inlineStr">
        <s:is>
          <s:t>metin</s:t>
        </s:is>
      </s:c>
      <s:c r="D44" t="inlineStr">
        <s:is>
          <s:t>Makine üretimli karar gerekçesi (D05)</s:t>
        </s:is>
      </s:c>
    </s:row>
    <s:row r="46">
      <s:c r="A46" s="12" t="inlineStr">
        <s:is>
          <s:t>MAKİNE YORUMLARI (analitik modüller)</s:t>
        </s:is>
      </s:c>
    </s:row>
    <s:row r="47">
      <s:c r="A47" s="12" t="inlineStr">
        <s:is>
          <s:t>yorumT2</s:t>
        </s:is>
      </s:c>
      <s:c r="B47" s="13" t="str">
        <s:f>_xlfn.TEXTJOIN(" | ",TRUE,"Günlük ortalama net nakit",TEXT(gunlukNetOrtalama,"#.##0,00")&amp;" ₺","₺. Kayıt sayısı",doluSatirSayisi,". Trend tabanı dönemden türer.")</s:f>
        <s:v>Günlük ortalama net nakit | 1.750,00 ₺ | ₺. Kayıt sayısı | 8 | . Trend tabanı dönemden türer.</s:v>
      </s:c>
      <s:c r="C47" t="inlineStr">
        <s:is>
          <s:t>metin</s:t>
        </s:is>
      </s:c>
      <s:c r="D47" t="inlineStr">
        <s:is>
          <s:t>Modül T2: Trend + hareketli ortalama</s:t>
        </s:is>
      </s:c>
    </s:row>
    <s:row r="48">
      <s:c r="A48" s="12" t="inlineStr">
        <s:is>
          <s:t>yorumT5</s:t>
        </s:is>
      </s:c>
      <s:c r="B48" s="13" t="str">
        <s:f>_xlfn.TEXTJOIN(" | ",TRUE,"Mutabakat farkı",TEXT(mutabakatFarki,"#.##0,00")&amp;" ₺","₺. Durum",mutabakatDurum,". Tolerans",fizikiTolerans,"₺.")</s:f>
        <s:v>Mutabakat farkı | 0,00 ₺ | ₺. Durum | UYGUN | . Tolerans | 50 | ₺.</s:v>
      </s:c>
      <s:c r="C48" t="inlineStr">
        <s:is>
          <s:t>metin</s:t>
        </s:is>
      </s:c>
      <s:c r="D48" t="inlineStr">
        <s:is>
          <s:t>Modül T5: Mutabakat farkı</s:t>
        </s:is>
      </s:c>
    </s:row>
    <s:row r="49">
      <s:c r="A49" s="12" t="inlineStr">
        <s:is>
          <s:t>yorumT6</s:t>
        </s:is>
      </s:c>
      <s:c r="B49" s="13" t="str">
        <s:f>_xlfn.TEXTJOIN(" | ",TRUE,"Serbest nakit",TEXT(serbestNakit,"#.##0,00")&amp;" ₺","₺ ile",ROUND(kacGunYeter,0),"gün gider karşılanıyor. Kırılım noktası hesaplandı.")</s:f>
        <s:v>Serbest nakit | 120.000,00 ₺ | ₺ ile | 38 | gün gider karşılanıyor. Kırılım noktası hesaplandı.</s:v>
      </s:c>
      <s:c r="C49" t="inlineStr">
        <s:is>
          <s:t>metin</s:t>
        </s:is>
      </s:c>
      <s:c r="D49" t="inlineStr">
        <s:is>
          <s:t>Modül T6: Kırılım / dayanma noktası</s:t>
        </s:is>
      </s:c>
    </s:row>
    <s:row r="50">
      <s:c r="A50" s="12" t="inlineStr">
        <s:is>
          <s:t>yorumO1</s:t>
        </s:is>
      </s:c>
      <s:c r="B50" s="13" t="str">
        <s:f>_xlfn.TEXTJOIN(" | ",TRUE,"Anomali eşiği",TEXT(anomaliEsigi,"#.##0,00")&amp;" ₺","₺. Tespit",anomaliSayisi,"kayıt. Oran",TEXT(anomaliOrani,"0,0%"),". MAD tabanlı.")</s:f>
        <s:v>Anomali eşiği | 5.250,00 ₺ | ₺. Tespit | 0 | kayıt. Oran | 0,0% | . MAD tabanlı.</s:v>
      </s:c>
      <s:c r="C50" t="inlineStr">
        <s:is>
          <s:t>metin</s:t>
        </s:is>
      </s:c>
      <s:c r="D50" t="inlineStr">
        <s:is>
          <s:t>Modül O1: Anomali (MAD tabanlı) + gerekçe</s:t>
        </s:is>
      </s:c>
    </s:row>
    <s:row r="51">
      <s:c r="A51" s="12" t="inlineStr">
        <s:is>
          <s:t>yorumO8</s:t>
        </s:is>
      </s:c>
      <s:c r="B51" s="13" t="str">
        <s:f>_xlfn.TEXTJOIN(" | ",TRUE,"Veri kalitesi",veriKaliteSkoru,"/100. Eksik zorunlu alan",eksikZorunlu,". Canlı veriden hesaplandı.")</s:f>
        <s:v>Veri kalitesi | 100 | /100. Eksik zorunlu alan | 0 | . Canlı veriden hesaplandı.</s:v>
      </s:c>
      <s:c r="C51" t="inlineStr">
        <s:is>
          <s:t>metin</s:t>
        </s:is>
      </s:c>
      <s:c r="D51" t="inlineStr">
        <s:is>
          <s:t>Modül O8: Canlı veri kalite skoru</s:t>
        </s:is>
      </s:c>
    </s:row>
    <s:row r="52">
      <s:c r="A52" s="12" t="inlineStr">
        <s:is>
          <s:t>yorumI1</s:t>
        </s:is>
      </s:c>
      <s:c r="B52" s="13" t="str">
        <s:f>_xlfn.TEXTJOIN(" | ",TRUE,"Tahmin ufku",tahminUfkuGun,"gün. Orta",TEXT(tahminBitisNakit,"#.##0,00")&amp;" ₺","₺. Aralık",TEXT(tahminAlt,"#.##0,00")&amp;" ₺","-",TEXT(tahminUst,"#.##0,00")&amp;" ₺","₺. Belirsizlik",TEXT(tahminAraligi,"#.##0,00")&amp;" ₺","₺.")</s:f>
        <s:v>Tahmin ufku | 90 | gün. Orta | 277.500,00 ₺ | ₺. Aralık | 277.500,00 ₺ | - | 277.500,00 ₺ | ₺. Belirsizlik | 0,00 ₺ | ₺.</s:v>
      </s:c>
      <s:c r="C52" t="inlineStr">
        <s:is>
          <s:t>metin</s:t>
        </s:is>
      </s:c>
      <s:c r="D52" t="inlineStr">
        <s:is>
          <s:t>Modül I1: Tahmin + aralık</s:t>
        </s:is>
      </s:c>
    </s:row>
    <s:row r="53">
      <s:c r="A53" s="12" t="inlineStr">
        <s:is>
          <s:t>yorumI7</s:t>
        </s:is>
      </s:c>
      <s:c r="B53" s="13" t="str">
        <s:f>_xlfn.TEXTJOIN(" | ",TRUE,"Nakit açığı",nakitAcik,". Tutar",TEXT(nakitAcikTutar,"#.##0,00")&amp;" ₺","₺. Köprüleme:",IF(nakitAcikTutar&gt;0,"Ödeme takvimini 30 güne yeniden yay","Gerek yok."))</s:f>
        <s:v>Nakit açığı | HAYIR | . Tutar | 0,00 ₺ | ₺. Köprüleme: | Gerek yok.</s:v>
      </s:c>
      <s:c r="C53" t="inlineStr">
        <s:is>
          <s:t>metin</s:t>
        </s:is>
      </s:c>
      <s:c r="D53" t="inlineStr">
        <s:is>
          <s:t>Modül I7: Nakit açığı köprüleme planı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s:pageMargins left="0.75" right="0.75" top="1" bottom="1" header="0.5" footer="0.5"/>
</s:worksheet>
</file>

<file path=xl/worksheets/sheet8.xml><?xml version="1.0" encoding="utf-8"?>
<s:worksheet xmlns:s="http://schemas.openxmlformats.org/spreadsheetml/2006/main">
  <s:sheetPr>
    <s:outlinePr summaryBelow="1" summaryRight="1"/>
    <s:pageSetUpPr/>
  </s:sheetPr>
  <s:dimension ref="A1:D24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16" customWidth="1" min="2" max="2"/>
    <s:col width="12" customWidth="1" min="3" max="3"/>
    <s:col width="40" customWidth="1" min="4" max="4"/>
  </s:cols>
  <s:sheetData>
    <s:row r="1">
      <s:c r="A1" s="1" t="inlineStr">
        <s:is>
          <s:t>KONTROL — HESAP DOĞRULAMA</s:t>
        </s:is>
      </s:c>
    </s:row>
    <s:row r="3" ht="22" customHeight="1">
      <s:c r="A3" s="6" t="inlineStr">
        <s:is>
          <s:t>Kontrol</s:t>
        </s:is>
      </s:c>
      <s:c r="B3" s="6" t="inlineStr">
        <s:is>
          <s:t>Değer</s:t>
        </s:is>
      </s:c>
      <s:c r="C3" s="6" t="inlineStr">
        <s:is>
          <s:t>Durum</s:t>
        </s:is>
      </s:c>
      <s:c r="D3" s="6" t="inlineStr">
        <s:is>
          <s:t>Açıklama</s:t>
        </s:is>
      </s:c>
    </s:row>
    <s:row r="4">
      <s:c r="A4" s="12" t="inlineStr">
        <s:is>
          <s:t>Toplam Gelir</s:t>
        </s:is>
      </s:c>
      <s:c r="B4">
        <s:f>toplamGelir</s:f>
        <s:v>39000</s:v>
      </s:c>
      <s:c r="C4" t="str">
        <s:f>IF(toplamGelir&gt;0,"OK","DİKKAT")</s:f>
        <s:v>OK</s:v>
      </s:c>
      <s:c r="D4" t="inlineStr">
        <s:is>
          <s:t>Dönem gelir toplamı</s:t>
        </s:is>
      </s:c>
    </s:row>
    <s:row r="5">
      <s:c r="A5" s="12" t="inlineStr">
        <s:is>
          <s:t>Toplam Gider</s:t>
        </s:is>
      </s:c>
      <s:c r="B5">
        <s:f>toplamGider</s:f>
        <s:v>25000</s:v>
      </s:c>
      <s:c r="C5" t="str">
        <s:f>IF(toplamGider&gt;0,"OK","DİKKAT")</s:f>
        <s:v>OK</s:v>
      </s:c>
      <s:c r="D5" t="inlineStr">
        <s:is>
          <s:t>Dönem gider toplamı</s:t>
        </s:is>
      </s:c>
    </s:row>
    <s:row r="6">
      <s:c r="A6" s="12" t="inlineStr">
        <s:is>
          <s:t>Net Hareket</s:t>
        </s:is>
      </s:c>
      <s:c r="B6">
        <s:f>netHareket</s:f>
        <s:v>14000</s:v>
      </s:c>
      <s:c r="C6" t="str">
        <s:f>IF(netHareket&gt;=0,"Pozitif","Negatif")</s:f>
        <s:v>Pozitif</s:v>
      </s:c>
      <s:c r="D6" t="inlineStr">
        <s:is>
          <s:t>Gelir - gider farkı</s:t>
        </s:is>
      </s:c>
    </s:row>
    <s:row r="7">
      <s:c r="A7" s="12" t="inlineStr">
        <s:is>
          <s:t>Serbest Nakit</s:t>
        </s:is>
      </s:c>
      <s:c r="B7">
        <s:f>serbestNakit</s:f>
        <s:v>120000</s:v>
      </s:c>
      <s:c r="C7" t="str">
        <s:f>IF(serbestNakit&lt;esikSerbestNakitKritik,"DİKKAT","OK")</s:f>
        <s:v>OK</s:v>
      </s:c>
      <s:c r="D7" t="inlineStr">
        <s:is>
          <s:t>30 günlük yük sonrası</s:t>
        </s:is>
      </s:c>
    </s:row>
    <s:row r="8">
      <s:c r="A8" s="12" t="inlineStr">
        <s:is>
          <s:t>Beklenen Bakiye</s:t>
        </s:is>
      </s:c>
      <s:c r="B8">
        <s:f>beklenenBakiye</s:f>
        <s:v>159000</s:v>
      </s:c>
      <s:c r="C8" t="str">
        <s:f>IF(beklenenBakiye&gt;=0,"OK","DİKKAT")</s:f>
        <s:v>OK</s:v>
      </s:c>
      <s:c r="D8" t="inlineStr">
        <s:is>
          <s:t>Defter toplamı</s:t>
        </s:is>
      </s:c>
    </s:row>
    <s:row r="9">
      <s:c r="A9" s="12" t="inlineStr">
        <s:is>
          <s:t>Yaklaşan Ödeme 30g</s:t>
        </s:is>
      </s:c>
      <s:c r="B9">
        <s:f>yaklasanOdeme30</s:f>
        <s:v>39000</s:v>
      </s:c>
      <s:c r="C9" t="str">
        <s:f>IF(yaklasanOdeme30&gt;0,"Baskı var","Rahat")</s:f>
        <s:v>Baskı var</s:v>
      </s:c>
      <s:c r="D9" t="inlineStr">
        <s:is>
          <s:t>30 gün içi bekleyen</s:t>
        </s:is>
      </s:c>
    </s:row>
    <s:row r="10">
      <s:c r="A10" s="12" t="inlineStr">
        <s:is>
          <s:t>Mutabakat Farkı</s:t>
        </s:is>
      </s:c>
      <s:c r="B10">
        <s:f>mutabakatFarki</s:f>
        <s:v>0</s:v>
      </s:c>
      <s:c r="C10" t="str">
        <s:f>mutabakatDurum</s:f>
        <s:v>UYGUN</s:v>
      </s:c>
      <s:c r="D10" t="inlineStr">
        <s:is>
          <s:t>Defter - fiili fark</s:t>
        </s:is>
      </s:c>
    </s:row>
    <s:row r="11">
      <s:c r="A11" s="12" t="inlineStr">
        <s:is>
          <s:t>Veri Kalite Skoru</s:t>
        </s:is>
      </s:c>
      <s:c r="B11">
        <s:f>veriKaliteSkoru</s:f>
        <s:v>100</s:v>
      </s:c>
      <s:c r="C11" t="str">
        <s:f>IF(veriKaliteSkoru&lt;70,"DİKKAT","OK")</s:f>
        <s:v>OK</s:v>
      </s:c>
      <s:c r="D11" t="inlineStr">
        <s:is>
          <s:t>0-100 canlı skor</s:t>
        </s:is>
      </s:c>
    </s:row>
    <s:row r="12">
      <s:c r="A12" s="12" t="inlineStr">
        <s:is>
          <s:t>Anomali Sayısı</s:t>
        </s:is>
      </s:c>
      <s:c r="B12">
        <s:f>anomaliSayisi</s:f>
        <s:v>0</s:v>
      </s:c>
      <s:c r="C12" t="str">
        <s:f>IF(anomaliSayisi&gt;0,"DİKKAT","OK")</s:f>
        <s:v>OK</s:v>
      </s:c>
      <s:c r="D12" t="inlineStr">
        <s:is>
          <s:t>MAD eşiği aşanlar</s:t>
        </s:is>
      </s:c>
    </s:row>
    <s:row r="13">
      <s:c r="A13" s="12" t="inlineStr">
        <s:is>
          <s:t>Risk Puanı</s:t>
        </s:is>
      </s:c>
      <s:c r="B13">
        <s:f>riskPuani</s:f>
        <s:v>0</s:v>
      </s:c>
      <s:c r="C13" t="str">
        <s:f>IF(riskPuani&gt;=esikRiskYuksek,"YÜKSEK","NORMAL")</s:f>
        <s:v>NORMAL</s:v>
      </s:c>
      <s:c r="D13" t="inlineStr">
        <s:is>
          <s:t>Bileşik risk skoru</s:t>
        </s:is>
      </s:c>
    </s:row>
    <s:row r="14">
      <s:c r="A14" s="12" t="inlineStr">
        <s:is>
          <s:t>Nakit Açığı</s:t>
        </s:is>
      </s:c>
      <s:c r="B14" t="str">
        <s:f>nakitAcik</s:f>
        <s:v>HAYIR</s:v>
      </s:c>
      <s:c r="D14" t="inlineStr">
        <s:is>
          <s:t>Tahmin ufkunda açık var mı</s:t>
        </s:is>
      </s:c>
    </s:row>
    <s:row r="15">
      <s:c r="A15" s="12" t="inlineStr">
        <s:is>
          <s:t>Nakit Açığı Tutarı</s:t>
        </s:is>
      </s:c>
      <s:c r="B15">
        <s:f>nakitAcikTutar</s:f>
        <s:v>0</s:v>
      </s:c>
      <s:c r="C15" t="str">
        <s:f>IF(nakitAcikTutar&gt;0,"DİKKAT","OK")</s:f>
        <s:v>OK</s:v>
      </s:c>
      <s:c r="D15" t="inlineStr">
        <s:is>
          <s:t>Açık büyüklüğü</s:t>
        </s:is>
      </s:c>
    </s:row>
    <s:row r="16">
      <s:c r="A16" s="12" t="inlineStr">
        <s:is>
          <s:t>Kötümser Nakit</s:t>
        </s:is>
      </s:c>
      <s:c r="B16">
        <s:f>kotumserNakit</s:f>
        <s:v>235875</s:v>
      </s:c>
      <s:c r="D16" t="inlineStr">
        <s:is>
          <s:t>Kötümser senaryo</s:t>
        </s:is>
      </s:c>
    </s:row>
    <s:row r="17">
      <s:c r="A17" s="12" t="inlineStr">
        <s:is>
          <s:t>İyimser Nakit</s:t>
        </s:is>
      </s:c>
      <s:c r="B17">
        <s:f>iyimserNakit</s:f>
        <s:v>319125</s:v>
      </s:c>
      <s:c r="D17" t="inlineStr">
        <s:is>
          <s:t>İyimser senaryo</s:t>
        </s:is>
      </s:c>
    </s:row>
    <s:row r="18">
      <s:c r="A18" s="12" t="inlineStr">
        <s:is>
          <s:t>Tahmin Bitiş Nakit</s:t>
        </s:is>
      </s:c>
      <s:c r="B18">
        <s:f>tahminBitisNakit</s:f>
        <s:v>277500</s:v>
      </s:c>
      <s:c r="D18" t="inlineStr">
        <s:is>
          <s:t>Ufuk sonu orta</s:t>
        </s:is>
      </s:c>
    </s:row>
    <s:row r="19">
      <s:c r="A19" s="12" t="inlineStr">
        <s:is>
          <s:t>Tahmin Alt</s:t>
        </s:is>
      </s:c>
      <s:c r="B19">
        <s:f>tahminAlt</s:f>
        <s:v>277500</s:v>
      </s:c>
      <s:c r="C19" t="str">
        <s:f>IF(tahminAlt&lt;0,"DİKKAT","OK")</s:f>
        <s:v>OK</s:v>
      </s:c>
      <s:c r="D19" t="inlineStr">
        <s:is>
          <s:t>Ufuk sonu alt bandı</s:t>
        </s:is>
      </s:c>
    </s:row>
    <s:row r="20">
      <s:c r="A20" s="12" t="inlineStr">
        <s:is>
          <s:t>Tahmin Üst</s:t>
        </s:is>
      </s:c>
      <s:c r="B20">
        <s:f>tahminUst</s:f>
        <s:v>277500</s:v>
      </s:c>
      <s:c r="D20" t="inlineStr">
        <s:is>
          <s:t>Ufuk sonu üst bandı</s:t>
        </s:is>
      </s:c>
    </s:row>
    <s:row r="21">
      <s:c r="A21" s="12" t="inlineStr">
        <s:is>
          <s:t>Kac Gun Yeter</s:t>
        </s:is>
      </s:c>
      <s:c r="B21">
        <s:f>kacGunYeter</s:f>
        <s:v>38.4</s:v>
      </s:c>
      <s:c r="D21" t="inlineStr">
        <s:is>
          <s:t>Serbest nakit / günlük gider</s:t>
        </s:is>
      </s:c>
    </s:row>
    <s:row r="22">
      <s:c r="A22" s="12" t="inlineStr">
        <s:is>
          <s:t>Medyan Tutar</s:t>
        </s:is>
      </s:c>
      <s:c r="B22">
        <s:f>medyanTutar</s:f>
        <s:v>8000</s:v>
      </s:c>
      <s:c r="D22" t="inlineStr">
        <s:is>
          <s:t>Tutar medyanı</s:t>
        </s:is>
      </s:c>
    </s:row>
    <s:row r="23">
      <s:c r="A23" s="12" t="inlineStr">
        <s:is>
          <s:t>Anomali Eşiği</s:t>
        </s:is>
      </s:c>
      <s:c r="B23">
        <s:f>anomaliEsigi</s:f>
        <s:v>5250</s:v>
      </s:c>
      <s:c r="D23" t="inlineStr">
        <s:is>
          <s:t>MAD × kat sayısı</s:t>
        </s:is>
      </s:c>
    </s:row>
    <s:row r="24">
      <s:c r="A24" s="12" t="inlineStr">
        <s:is>
          <s:t>Nihai Karar</s:t>
        </s:is>
      </s:c>
      <s:c r="B24" t="str">
        <s:f>kararSonuc</s:f>
        <s:v>UYGUN</s:v>
      </s:c>
      <s:c r="D24" t="inlineStr">
        <s:is>
          <s:t>KARAR sayfası ile aynı</s:t>
        </s:is>
      </s:c>
    </s:row>
  </s:sheetData>
  <s:conditionalFormatting sqref="B4:B24">
    <s:cfRule type="colorScale" priority="1">
      <s:colorScale>
        <s:cfvo type="min"/>
        <s:cfvo type="percentile" val="50"/>
        <s:cfvo type="max"/>
        <s:color rgb="00FDE7E7"/>
        <s:color rgb="00FFF2CC"/>
        <s:color rgb="001F7A4D"/>
      </s:colorScale>
    </s:cfRule>
    <s:cfRule type="expression" priority="2" dxfId="0">
      <s:formula>$B4&lt;70</s:formula>
    </s:cfRule>
  </s:conditionalFormatting>
  <s:pageMargins left="0.75" right="0.75" top="1" bottom="1" header="0.5" footer="0.5"/>
</s:worksheet>
</file>

<file path=xl/worksheets/sheet9.xml><?xml version="1.0" encoding="utf-8"?>
<s:worksheet xmlns:s="http://schemas.openxmlformats.org/spreadsheetml/2006/main">
  <s:sheetPr>
    <s:outlinePr summaryBelow="1" summaryRight="1"/>
    <s:pageSetUpPr/>
  </s:sheetPr>
  <s:dimension ref="A1:D15"/>
  <s:sheetViews>
    <s:sheetView workbookViewId="0">
      <s:selection activeCell="A1" sqref="A1"/>
    </s:sheetView>
  </s:sheetViews>
  <s:sheetFormatPr baseColWidth="8" defaultRowHeight="15"/>
  <s:cols>
    <s:col width="20" customWidth="1" min="1" max="1"/>
    <s:col width="80" customWidth="1" min="2" max="2"/>
    <s:col width="10" customWidth="1" min="3" max="3"/>
    <s:col width="50" customWidth="1" min="4" max="4"/>
  </s:cols>
  <s:sheetData>
    <s:row r="1">
      <s:c r="A1" s="1" t="inlineStr">
        <s:is>
          <s:t>KARAR KATMANI</s:t>
        </s:is>
      </s:c>
    </s:row>
    <s:row r="5">
      <s:c r="A5" s="12" t="inlineStr">
        <s:is>
          <s:t>KARAR</s:t>
        </s:is>
      </s:c>
      <s:c r="B5" s="13" t="str">
        <s:f>kararSonuc</s:f>
        <s:v>UYGUN</s:v>
      </s:c>
    </s:row>
    <s:row r="6">
      <s:c r="A6" s="12" t="inlineStr">
        <s:is>
          <s:t>GEREKÇE</s:t>
        </s:is>
      </s:c>
      <s:c r="B6" s="13" t="str">
        <s:f>kararGerekce</s:f>
        <s:v>K0 | Risk normal | Veri kalitesi yeterli | Nakit açığı yok</s:v>
      </s:c>
    </s:row>
    <s:row r="7">
      <s:c r="A7" s="12" t="inlineStr">
        <s:is>
          <s:t>TETİKLENEN KURAL</s:t>
        </s:is>
      </s:c>
      <s:c r="B7" s="13" t="str">
        <s:f>aktifKural</s:f>
        <s:v>K0</s:v>
      </s:c>
    </s:row>
    <s:row r="8">
      <s:c r="A8" s="12" t="inlineStr">
        <s:is>
          <s:t>SERBEST NAKİT</s:t>
        </s:is>
      </s:c>
      <s:c r="B8" s="13">
        <s:f>serbestNakit</s:f>
        <s:v>120000</s:v>
      </s:c>
    </s:row>
    <s:row r="10">
      <s:c r="A10" s="12" t="inlineStr">
        <s:is>
          <s:t>Karar kuralları:</s:t>
        </s:is>
      </s:c>
    </s:row>
    <s:row r="11">
      <s:c r="A11" t="inlineStr">
        <s:is>
          <s:t>K1</s:t>
        </s:is>
      </s:c>
      <s:c r="B11" t="inlineStr">
        <s:is>
          <s:t>serbestNakit &lt; esikSerbestNakitKritik</s:t>
        </s:is>
      </s:c>
      <s:c r="C11" t="inlineStr">
        <s:is>
          <s:t>DURDUR</s:t>
        </s:is>
      </s:c>
      <s:c r="D11" t="inlineStr">
        <s:is>
          <s:t>Serbest nakit kritik eşiğin altında</s:t>
        </s:is>
      </s:c>
    </s:row>
    <s:row r="12">
      <s:c r="A12" t="inlineStr">
        <s:is>
          <s:t>K2</s:t>
        </s:is>
      </s:c>
      <s:c r="B12" t="inlineStr">
        <s:is>
          <s:t>anomaliSayisi &gt; 0</s:t>
        </s:is>
      </s:c>
      <s:c r="C12" t="inlineStr">
        <s:is>
          <s:t>INCELE</s:t>
        </s:is>
      </s:c>
      <s:c r="D12" t="inlineStr">
        <s:is>
          <s:t>Anomali işaretli kayıt var</s:t>
        </s:is>
      </s:c>
    </s:row>
    <s:row r="13">
      <s:c r="A13" t="inlineStr">
        <s:is>
          <s:t>K3</s:t>
        </s:is>
      </s:c>
      <s:c r="B13" t="inlineStr">
        <s:is>
          <s:t>veriKaliteSkoru &lt; 70</s:t>
        </s:is>
      </s:c>
      <s:c r="C13" t="inlineStr">
        <s:is>
          <s:t>INCELE</s:t>
        </s:is>
      </s:c>
      <s:c r="D13" t="inlineStr">
        <s:is>
          <s:t>Veri kalitesi düşük, sonuçlar güvenilir değil</s:t>
        </s:is>
      </s:c>
    </s:row>
    <s:row r="14">
      <s:c r="A14" t="inlineStr">
        <s:is>
          <s:t>K4</s:t>
        </s:is>
      </s:c>
      <s:c r="B14" t="inlineStr">
        <s:is>
          <s:t>makulSinirAsimi = 1</s:t>
        </s:is>
      </s:c>
      <s:c r="C14" t="inlineStr">
        <s:is>
          <s:t>INCELE</s:t>
        </s:is>
      </s:c>
      <s:c r="D14" t="inlineStr">
        <s:is>
          <s:t>Makul üst sınırı aşan tutar girişi var — gerçek dışı veri kontrol edilmeli</s:t>
        </s:is>
      </s:c>
    </s:row>
    <s:row r="15">
      <s:c r="A15" t="inlineStr">
        <s:is>
          <s:t>K0</s:t>
        </s:is>
      </s:c>
      <s:c r="B15" t="inlineStr">
        <s:is>
          <s:t>DOGRU</s:t>
        </s:is>
      </s:c>
      <s:c r="C15" t="inlineStr">
        <s:is>
          <s:t>UYGUN</s:t>
        </s:is>
      </s:c>
      <s:c r="D15" t="inlineStr">
        <s:is>
          <s:t>Tüm eşikler hedef aralıkta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s:conditionalFormatting sqref="B5">
    <s:cfRule type="expression" priority="1" dxfId="0">
      <s:formula>=$B$5="DURDUR"</s:formula>
    </s:cfRule>
    <s:cfRule type="expression" priority="2" dxfId="2">
      <s:formula>=$B$5="İNCELE"</s:formula>
    </s:cfRule>
  </s:conditionalFormatting>
  <s:pageMargins left="0.75" right="0.75" top="1" bottom="1" header="0.5" footer="0.5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G19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16" customWidth="1" min="2" max="2"/>
    <s:col width="8" customWidth="1" min="3" max="3"/>
    <s:col width="10" customWidth="1" min="4" max="4"/>
    <s:col width="12" customWidth="1" min="6" max="6"/>
    <s:col width="14" customWidth="1" min="7" max="7"/>
  </s:cols>
  <s:sheetData>
    <s:row r="1">
      <s:c r="A1" s="1" t="inlineStr">
        <s:is>
          <s:t>PANO — CANLI KPI EKRANI</s:t>
        </s:is>
      </s:c>
    </s:row>
    <s:row r="3" ht="22" customHeight="1">
      <s:c r="A3" s="6" t="inlineStr">
        <s:is>
          <s:t>KPI</s:t>
        </s:is>
      </s:c>
      <s:c r="B3" s="6" t="inlineStr">
        <s:is>
          <s:t>Değer</s:t>
        </s:is>
      </s:c>
      <s:c r="C3" s="6" t="inlineStr">
        <s:is>
          <s:t>Birim</s:t>
        </s:is>
      </s:c>
      <s:c r="D3" s="6" t="inlineStr">
        <s:is>
          <s:t>Durum</s:t>
        </s:is>
      </s:c>
      <s:c r="F3" s="14" t="inlineStr">
        <s:is>
          <s:t>Projeksiyon</s:t>
        </s:is>
      </s:c>
      <s:c r="G3" s="14" t="inlineStr">
        <s:is>
          <s:t>Nakit</s:t>
        </s:is>
      </s:c>
    </s:row>
    <s:row r="4">
      <s:c r="A4" s="12" t="inlineStr">
        <s:is>
          <s:t>Serbest Nakit</s:t>
        </s:is>
      </s:c>
      <s:c r="B4">
        <s:f>serbestNakit</s:f>
        <s:v>120000</s:v>
      </s:c>
      <s:c r="C4" t="inlineStr">
        <s:is>
          <s:t>₺</s:t>
        </s:is>
      </s:c>
      <s:c r="D4" t="str">
        <s:f>IF(B4&lt;esikSerbestNakitKritik,"DİKKAT","OK")</s:f>
        <s:v>OK</s:v>
      </s:c>
      <s:c r="F4" s="12" t="inlineStr">
        <s:is>
          <s:t>Bugün</s:t>
        </s:is>
      </s:c>
      <s:c r="G4" s="13">
        <s:f>serbestNakit</s:f>
        <s:v>120000</s:v>
      </s:c>
    </s:row>
    <s:row r="5">
      <s:c r="A5" s="12" t="inlineStr">
        <s:is>
          <s:t>Beklenen Bakiye</s:t>
        </s:is>
      </s:c>
      <s:c r="B5">
        <s:f>beklenenBakiye</s:f>
        <s:v>159000</s:v>
      </s:c>
      <s:c r="C5" t="inlineStr">
        <s:is>
          <s:t>₺</s:t>
        </s:is>
      </s:c>
      <s:c r="D5" t="inlineStr"/>
      <s:c r="F5" s="12" t="inlineStr">
        <s:is>
          <s:t>Ufuk Orta</s:t>
        </s:is>
      </s:c>
      <s:c r="G5" s="13">
        <s:f>tahminBitisNakit</s:f>
        <s:v>277500</s:v>
      </s:c>
    </s:row>
    <s:row r="6">
      <s:c r="A6" s="12" t="inlineStr">
        <s:is>
          <s:t>Net Hareket</s:t>
        </s:is>
      </s:c>
      <s:c r="B6">
        <s:f>netHareket</s:f>
        <s:v>14000</s:v>
      </s:c>
      <s:c r="C6" t="inlineStr">
        <s:is>
          <s:t>₺</s:t>
        </s:is>
      </s:c>
      <s:c r="D6" t="inlineStr"/>
      <s:c r="F6" s="12" t="inlineStr">
        <s:is>
          <s:t>Ufuk Alt</s:t>
        </s:is>
      </s:c>
      <s:c r="G6" s="13">
        <s:f>tahminAlt</s:f>
        <s:v>277500</s:v>
      </s:c>
    </s:row>
    <s:row r="7">
      <s:c r="A7" s="12" t="inlineStr">
        <s:is>
          <s:t>Toplam Gelir</s:t>
        </s:is>
      </s:c>
      <s:c r="B7">
        <s:f>toplamGelir</s:f>
        <s:v>39000</s:v>
      </s:c>
      <s:c r="C7" t="inlineStr">
        <s:is>
          <s:t>₺</s:t>
        </s:is>
      </s:c>
      <s:c r="D7" t="inlineStr"/>
      <s:c r="F7" s="12" t="inlineStr">
        <s:is>
          <s:t>Ufuk Üst</s:t>
        </s:is>
      </s:c>
      <s:c r="G7" s="13">
        <s:f>tahminUst</s:f>
        <s:v>277500</s:v>
      </s:c>
    </s:row>
    <s:row r="8">
      <s:c r="A8" s="12" t="inlineStr">
        <s:is>
          <s:t>Toplam Gider</s:t>
        </s:is>
      </s:c>
      <s:c r="B8">
        <s:f>toplamGider</s:f>
        <s:v>25000</s:v>
      </s:c>
      <s:c r="C8" t="inlineStr">
        <s:is>
          <s:t>₺</s:t>
        </s:is>
      </s:c>
      <s:c r="D8" t="inlineStr"/>
    </s:row>
    <s:row r="9">
      <s:c r="A9" s="12" t="inlineStr">
        <s:is>
          <s:t>Yaklaşan Ödeme 30g</s:t>
        </s:is>
      </s:c>
      <s:c r="B9">
        <s:f>yaklasanOdeme30</s:f>
        <s:v>39000</s:v>
      </s:c>
      <s:c r="C9" t="inlineStr">
        <s:is>
          <s:t>₺</s:t>
        </s:is>
      </s:c>
      <s:c r="D9" t="inlineStr"/>
    </s:row>
    <s:row r="10">
      <s:c r="A10" s="12" t="inlineStr">
        <s:is>
          <s:t>Yaklaşan Ödeme 7g</s:t>
        </s:is>
      </s:c>
      <s:c r="B10">
        <s:f>yaklasanOdeme7</s:f>
        <s:v>12000</s:v>
      </s:c>
      <s:c r="C10" t="inlineStr">
        <s:is>
          <s:t>₺</s:t>
        </s:is>
      </s:c>
      <s:c r="D10" t="inlineStr"/>
    </s:row>
    <s:row r="11">
      <s:c r="A11" s="12" t="inlineStr">
        <s:is>
          <s:t>Mutabakat Farkı</s:t>
        </s:is>
      </s:c>
      <s:c r="B11">
        <s:f>mutabakatFarki</s:f>
        <s:v>0</s:v>
      </s:c>
      <s:c r="C11" t="inlineStr">
        <s:is>
          <s:t>₺</s:t>
        </s:is>
      </s:c>
      <s:c r="D11" t="inlineStr"/>
    </s:row>
    <s:row r="12">
      <s:c r="A12" s="12" t="inlineStr">
        <s:is>
          <s:t>Veri Kalite Skoru</s:t>
        </s:is>
      </s:c>
      <s:c r="B12">
        <s:f>veriKaliteSkoru</s:f>
        <s:v>100</s:v>
      </s:c>
      <s:c r="C12" t="inlineStr">
        <s:is>
          <s:t>puan</s:t>
        </s:is>
      </s:c>
      <s:c r="D12" t="str">
        <s:f>IF(B12&lt;70,"DİKKAT","OK")</s:f>
        <s:v>OK</s:v>
      </s:c>
    </s:row>
    <s:row r="13">
      <s:c r="A13" s="12" t="inlineStr">
        <s:is>
          <s:t>Anomali Sayısı</s:t>
        </s:is>
      </s:c>
      <s:c r="B13">
        <s:f>anomaliSayisi</s:f>
        <s:v>0</s:v>
      </s:c>
      <s:c r="C13" t="inlineStr">
        <s:is>
          <s:t>adet</s:t>
        </s:is>
      </s:c>
      <s:c r="D13" t="str">
        <s:f>IF(B13&gt;0,"DİKKAT","OK")</s:f>
        <s:v>OK</s:v>
      </s:c>
    </s:row>
    <s:row r="14">
      <s:c r="A14" s="12" t="inlineStr">
        <s:is>
          <s:t>Risk Puanı</s:t>
        </s:is>
      </s:c>
      <s:c r="B14">
        <s:f>riskPuani</s:f>
        <s:v>0</s:v>
      </s:c>
      <s:c r="C14" t="inlineStr">
        <s:is>
          <s:t>puan</s:t>
        </s:is>
      </s:c>
      <s:c r="D14" t="inlineStr"/>
    </s:row>
    <s:row r="15">
      <s:c r="A15" s="12" t="inlineStr">
        <s:is>
          <s:t>Kac Gun Yeter</s:t>
        </s:is>
      </s:c>
      <s:c r="B15">
        <s:f>kacGunYeter</s:f>
        <s:v>38.4</s:v>
      </s:c>
      <s:c r="C15" t="inlineStr">
        <s:is>
          <s:t>gün</s:t>
        </s:is>
      </s:c>
      <s:c r="D15" t="inlineStr"/>
    </s:row>
    <s:row r="16">
      <s:c r="A16" s="12" t="inlineStr">
        <s:is>
          <s:t>Tahmin Bitiş Nakit</s:t>
        </s:is>
      </s:c>
      <s:c r="B16">
        <s:f>tahminBitisNakit</s:f>
        <s:v>277500</s:v>
      </s:c>
      <s:c r="C16" t="inlineStr">
        <s:is>
          <s:t>₺</s:t>
        </s:is>
      </s:c>
      <s:c r="D16" t="inlineStr"/>
    </s:row>
    <s:row r="17">
      <s:c r="A17" s="12" t="inlineStr">
        <s:is>
          <s:t>Nakit Açığı</s:t>
        </s:is>
      </s:c>
      <s:c r="B17" t="str">
        <s:f>nakitAcik</s:f>
        <s:v>HAYIR</s:v>
      </s:c>
      <s:c r="C17" t="inlineStr"/>
      <s:c r="D17" t="inlineStr"/>
    </s:row>
    <s:row r="18">
      <s:c r="A18" s="12" t="inlineStr">
        <s:is>
          <s:t>P90 Tutar</s:t>
        </s:is>
      </s:c>
      <s:c r="B18">
        <s:f>=IFERROR(_xlfn.PERCENTILE.INC(tblHareketler[Tutar],0.9),0)</s:f>
        <s:v>10600</s:v>
      </s:c>
      <s:c r="C18" t="inlineStr">
        <s:is>
          <s:t>₺</s:t>
        </s:is>
      </s:c>
      <s:c r="D18" t="inlineStr"/>
    </s:row>
    <s:row r="19">
      <s:c r="A19" s="12" t="inlineStr">
        <s:is>
          <s:t>P10 Tutar</s:t>
        </s:is>
      </s:c>
      <s:c r="B19">
        <s:f>=IFERROR(_xlfn.PERCENTILE.INC(tblHareketler[Tutar],0.1),0)</s:f>
        <s:v>5200</s:v>
      </s:c>
      <s:c r="C19" t="inlineStr">
        <s:is>
          <s:t>₺</s:t>
        </s:is>
      </s:c>
      <s:c r="D19" t="inlineStr"/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s:conditionalFormatting sqref="B4:B30">
    <s:cfRule type="dataBar" priority="1">
      <s:dataBar>
        <s:cfvo type="min"/>
        <s:cfvo type="max"/>
        <s:color rgb="001F7A4D"/>
      </s:dataBar>
    </s:cfRule>
    <s:cfRule type="expression" priority="4" dxfId="0">
      <s:formula>$B4&lt;esikSerbestNakitKritik</s:formula>
    </s:cfRule>
    <s:cfRule type="expression" priority="5" dxfId="0">
      <s:formula>=$B4&lt;0</s:formula>
    </s:cfRule>
  </s:conditionalFormatting>
  <s:conditionalFormatting sqref="C4:C30">
    <s:cfRule type="colorScale" priority="2">
      <s:colorScale>
        <s:cfvo type="min"/>
        <s:cfvo type="percentile" val="50"/>
        <s:cfvo type="max"/>
        <s:color rgb="00FDE7E7"/>
        <s:color rgb="00FFF2CC"/>
        <s:color rgb="001F7A4D"/>
      </s:colorScale>
    </s:cfRule>
  </s:conditionalFormatting>
  <s:conditionalFormatting sqref="D4:D30">
    <s:cfRule type="iconSet" priority="3">
      <s:iconSet iconSet="3TrafficLights1">
        <s:cfvo type="num" val="0"/>
        <s:cfvo type="num" val="33"/>
        <s:cfvo type="num" val="67"/>
      </s:iconSet>
    </s:cfRule>
  </s:conditionalFormatting>
  <s:printOptions horizontalCentered="1"/>
  <s:pageMargins left="0.75" right="0.75" top="1" bottom="1" header="0.5" footer="0.5"/>
  <s:pageSetup orientation="landscape" fitToHeight="0" fitToWidth="1"/>
  <s:drawing r:id="rId1"/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C7"/>
  <s:sheetViews>
    <s:sheetView workbookViewId="0">
      <s:selection activeCell="A1" sqref="A1"/>
    </s:sheetView>
  </s:sheetViews>
  <s:sheetFormatPr baseColWidth="8" defaultRowHeight="15"/>
  <s:cols>
    <s:col width="14" customWidth="1" min="1" max="1"/>
    <s:col width="18" customWidth="1" min="2" max="2"/>
    <s:col width="18" customWidth="1" min="3" max="3"/>
  </s:cols>
  <s:sheetData>
    <s:row r="1">
      <s:c r="A1" s="1" t="inlineStr">
        <s:is>
          <s:t>SENARYO VE DUYARLILIK</s:t>
        </s:is>
      </s:c>
    </s:row>
    <s:row r="3" ht="22" customHeight="1">
      <s:c r="A3" s="6" t="inlineStr">
        <s:is>
          <s:t>Senaryo</s:t>
        </s:is>
      </s:c>
      <s:c r="B3" s="6" t="inlineStr">
        <s:is>
          <s:t>Ufuk Sonu Nakit</s:t>
        </s:is>
      </s:c>
      <s:c r="C3" s="6" t="inlineStr">
        <s:is>
          <s:t>Orta Kademe Farkı</s:t>
        </s:is>
      </s:c>
    </s:row>
    <s:row r="5">
      <s:c r="A5" s="12" t="inlineStr">
        <s:is>
          <s:t>Kötümser</s:t>
        </s:is>
      </s:c>
      <s:c r="B5" s="10">
        <s:f>kotumserNakit</s:f>
        <s:v>235875</s:v>
      </s:c>
      <s:c r="C5">
        <s:f>kotumserNakit-tahminBitisNakit</s:f>
        <s:v>-41625</s:v>
      </s:c>
    </s:row>
    <s:row r="6">
      <s:c r="A6" s="12" t="inlineStr">
        <s:is>
          <s:t>Orta</s:t>
        </s:is>
      </s:c>
      <s:c r="B6" s="10">
        <s:f>tahminBitisNakit</s:f>
        <s:v>277500</s:v>
      </s:c>
    </s:row>
    <s:row r="7">
      <s:c r="A7" s="12" t="inlineStr">
        <s:is>
          <s:t>İyimser</s:t>
        </s:is>
      </s:c>
      <s:c r="B7" s="10">
        <s:f>iyimserNakit</s:f>
        <s:v>319125</s:v>
      </s:c>
      <s:c r="C7">
        <s:f>iyimserNakit-tahminBitisNakit</s:f>
        <s:v>41625</s:v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s:conditionalFormatting sqref="B5:C7">
    <s:cfRule type="colorScale" priority="1">
      <s:colorScale>
        <s:cfvo type="min"/>
        <s:cfvo type="percentile" val="50"/>
        <s:cfvo type="max"/>
        <s:color rgb="00FDE7E7"/>
        <s:color rgb="00FFF2CC"/>
        <s:color rgb="001F7A4D"/>
      </s:colorScale>
    </s:cfRule>
    <s:cfRule type="dataBar" priority="2">
      <s:dataBar>
        <s:cfvo type="min"/>
        <s:cfvo type="max"/>
        <s:color rgb="00B7791F"/>
      </s:dataBar>
    </s:cfRule>
  </s:conditionalFormatting>
  <s:pageMargins left="0.75" right="0.75" top="1" bottom="1" header="0.5" footer="0.5"/>
  <s:drawing r:id="rId1"/>
</s:worksheet>
</file>

<file path=xl/worksheets/sheet1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F37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6" customWidth="1" min="2" max="2"/>
    <s:col width="14" customWidth="1" min="5" max="5"/>
    <s:col width="14" customWidth="1" min="6" max="6"/>
  </s:cols>
  <s:sheetData>
    <s:row r="1">
      <s:c r="A1" s="1" t="inlineStr">
        <s:is>
          <s:t>RAPOR</s:t>
        </s:is>
      </s:c>
    </s:row>
    <s:row r="3" ht="22" customHeight="1">
      <s:c r="A3" s="6" t="inlineStr">
        <s:is>
          <s:t>Gösterge</s:t>
        </s:is>
      </s:c>
      <s:c r="B3" s="6" t="inlineStr">
        <s:is>
          <s:t>Değer</s:t>
        </s:is>
      </s:c>
    </s:row>
    <s:row r="6">
      <s:c r="A6" s="12" t="inlineStr">
        <s:is>
          <s:t>Serbest Nakit</s:t>
        </s:is>
      </s:c>
      <s:c r="B6">
        <s:f>serbestNakit</s:f>
        <s:v>120000</s:v>
      </s:c>
    </s:row>
    <s:row r="7">
      <s:c r="A7" s="12" t="inlineStr">
        <s:is>
          <s:t>Beklenen Bakiye</s:t>
        </s:is>
      </s:c>
      <s:c r="B7">
        <s:f>beklenenBakiye</s:f>
        <s:v>159000</s:v>
      </s:c>
    </s:row>
    <s:row r="8">
      <s:c r="A8" s="12" t="inlineStr">
        <s:is>
          <s:t>Toplam Gelir</s:t>
        </s:is>
      </s:c>
      <s:c r="B8">
        <s:f>toplamGelir</s:f>
        <s:v>39000</s:v>
      </s:c>
    </s:row>
    <s:row r="9">
      <s:c r="A9" s="12" t="inlineStr">
        <s:is>
          <s:t>Toplam Gider</s:t>
        </s:is>
      </s:c>
      <s:c r="B9">
        <s:f>toplamGider</s:f>
        <s:v>25000</s:v>
      </s:c>
    </s:row>
    <s:row r="10">
      <s:c r="A10" s="12" t="inlineStr">
        <s:is>
          <s:t>Net Hareket</s:t>
        </s:is>
      </s:c>
      <s:c r="B10">
        <s:f>netHareket</s:f>
        <s:v>14000</s:v>
      </s:c>
    </s:row>
    <s:row r="11">
      <s:c r="A11" s="12" t="inlineStr">
        <s:is>
          <s:t>Yaklaşan Ödeme 30g</s:t>
        </s:is>
      </s:c>
      <s:c r="B11">
        <s:f>yaklasanOdeme30</s:f>
        <s:v>39000</s:v>
      </s:c>
    </s:row>
    <s:row r="12">
      <s:c r="A12" s="12" t="inlineStr">
        <s:is>
          <s:t>Mutabakat Farkı</s:t>
        </s:is>
      </s:c>
      <s:c r="B12">
        <s:f>mutabakatFarki</s:f>
        <s:v>0</s:v>
      </s:c>
    </s:row>
    <s:row r="13">
      <s:c r="A13" s="12" t="inlineStr">
        <s:is>
          <s:t>Veri Kalite Skoru</s:t>
        </s:is>
      </s:c>
      <s:c r="B13">
        <s:f>veriKaliteSkoru</s:f>
        <s:v>100</s:v>
      </s:c>
    </s:row>
    <s:row r="14">
      <s:c r="A14" s="12" t="inlineStr">
        <s:is>
          <s:t>Anomali Sayısı</s:t>
        </s:is>
      </s:c>
      <s:c r="B14">
        <s:f>anomaliSayisi</s:f>
        <s:v>0</s:v>
      </s:c>
    </s:row>
    <s:row r="15">
      <s:c r="A15" s="12" t="inlineStr">
        <s:is>
          <s:t>Risk Puanı</s:t>
        </s:is>
      </s:c>
      <s:c r="B15">
        <s:f>riskPuani</s:f>
        <s:v>0</s:v>
      </s:c>
    </s:row>
    <s:row r="16">
      <s:c r="A16" s="12" t="inlineStr">
        <s:is>
          <s:t>Tahmin Bitiş Nakit</s:t>
        </s:is>
      </s:c>
      <s:c r="B16">
        <s:f>tahminBitisNakit</s:f>
        <s:v>277500</s:v>
      </s:c>
    </s:row>
    <s:row r="17">
      <s:c r="A17" s="12" t="inlineStr">
        <s:is>
          <s:t>Tahmin Alt</s:t>
        </s:is>
      </s:c>
      <s:c r="B17">
        <s:f>tahminAlt</s:f>
        <s:v>277500</s:v>
      </s:c>
    </s:row>
    <s:row r="18">
      <s:c r="A18" s="12" t="inlineStr">
        <s:is>
          <s:t>Tahmin Üst</s:t>
        </s:is>
      </s:c>
      <s:c r="B18">
        <s:f>tahminUst</s:f>
        <s:v>277500</s:v>
      </s:c>
    </s:row>
    <s:row r="19">
      <s:c r="A19" s="12" t="inlineStr">
        <s:is>
          <s:t>Nakit Açığı</s:t>
        </s:is>
      </s:c>
      <s:c r="B19" t="str">
        <s:f>nakitAcik</s:f>
        <s:v>HAYIR</s:v>
      </s:c>
    </s:row>
    <s:row r="20">
      <s:c r="A20" s="12" t="inlineStr">
        <s:is>
          <s:t>Kac Gun Yeter</s:t>
        </s:is>
      </s:c>
      <s:c r="B20">
        <s:f>kacGunYeter</s:f>
        <s:v>38.4</s:v>
      </s:c>
    </s:row>
    <s:row r="21">
      <s:c r="A21" s="12" t="inlineStr">
        <s:is>
          <s:t>Günlük Net Ortalama</s:t>
        </s:is>
      </s:c>
      <s:c r="B21">
        <s:f>gunlukNetOrtalama</s:f>
        <s:v>1750</s:v>
      </s:c>
    </s:row>
    <s:row r="22">
      <s:c r="A22" s="12" t="inlineStr">
        <s:is>
          <s:t>Günlük Gider Ortalama</s:t>
        </s:is>
      </s:c>
      <s:c r="B22">
        <s:f>gunlukGiderOrtalama</s:f>
        <s:v>3125</s:v>
      </s:c>
    </s:row>
    <s:row r="23">
      <s:c r="A23" s="12" t="inlineStr">
        <s:is>
          <s:t>Medyan Tutar</s:t>
        </s:is>
      </s:c>
      <s:c r="B23">
        <s:f>medyanTutar</s:f>
        <s:v>8000</s:v>
      </s:c>
    </s:row>
    <s:row r="24">
      <s:c r="A24" s="12" t="inlineStr">
        <s:is>
          <s:t>Anomali Eşiği</s:t>
        </s:is>
      </s:c>
      <s:c r="B24">
        <s:f>anomaliEsigi</s:f>
        <s:v>5250</s:v>
      </s:c>
    </s:row>
    <s:row r="25">
      <s:c r="A25" s="12" t="inlineStr">
        <s:is>
          <s:t>Mutabakat Durumu</s:t>
        </s:is>
      </s:c>
      <s:c r="B25" t="str">
        <s:f>mutabakatDurum</s:f>
        <s:v>UYGUN</s:v>
      </s:c>
    </s:row>
    <s:row r="26">
      <s:c r="A26" s="12" t="inlineStr">
        <s:is>
          <s:t>Nihai Karar</s:t>
        </s:is>
      </s:c>
      <s:c r="B26" t="str">
        <s:f>kararSonuc</s:f>
        <s:v>UYGUN</s:v>
      </s:c>
    </s:row>
    <s:row r="29">
      <s:c r="E29" s="14" t="inlineStr">
        <s:is>
          <s:t>Günlük Nakit Akışı (8 gün)</s:t>
        </s:is>
      </s:c>
      <s:c r="F29" s="14" t="inlineStr">
        <s:is>
          <s:t>Net</s:t>
        </s:is>
      </s:c>
    </s:row>
    <s:row r="30">
      <s:c r="E30" s="4" t="n">
        <s:v>46239</s:v>
      </s:c>
      <s:c r="F30">
        <s:f>SUMIFS(tblHareketler[Tutar],tblHareketler[Tarih],"&gt;="&amp;E30,tblHareketler[Tarih],"&lt;"&amp;E30+1,tblHareketler[İşlem Türü],"Gelir")-SUMIFS(tblHareketler[Tutar],tblHareketler[Tarih],"&gt;="&amp;E30,tblHareketler[Tarih],"&lt;"&amp;E30+1,tblHareketler[İşlem Türü],"Gider")</s:f>
        <s:v>12000</s:v>
      </s:c>
    </s:row>
    <s:row r="31">
      <s:c r="E31" s="4" t="n">
        <s:v>46240</s:v>
      </s:c>
      <s:c r="F31">
        <s:f>SUMIFS(tblHareketler[Tutar],tblHareketler[Tarih],"&gt;="&amp;E31,tblHareketler[Tarih],"&lt;"&amp;E31+1,tblHareketler[İşlem Türü],"Gelir")-SUMIFS(tblHareketler[Tutar],tblHareketler[Tarih],"&gt;="&amp;E31,tblHareketler[Tarih],"&lt;"&amp;E31+1,tblHareketler[İşlem Türü],"Gider")</s:f>
        <s:v>-8000</s:v>
      </s:c>
    </s:row>
    <s:row r="32">
      <s:c r="E32" s="4" t="n">
        <s:v>46241</s:v>
      </s:c>
      <s:c r="F32">
        <s:f>SUMIFS(tblHareketler[Tutar],tblHareketler[Tarih],"&gt;="&amp;E32,tblHareketler[Tarih],"&lt;"&amp;E32+1,tblHareketler[İşlem Türü],"Gelir")-SUMIFS(tblHareketler[Tutar],tblHareketler[Tarih],"&gt;="&amp;E32,tblHareketler[Tarih],"&lt;"&amp;E32+1,tblHareketler[İşlem Türü],"Gider")</s:f>
        <s:v>10000</s:v>
      </s:c>
    </s:row>
    <s:row r="33">
      <s:c r="E33" s="4" t="n">
        <s:v>46242</s:v>
      </s:c>
      <s:c r="F33">
        <s:f>SUMIFS(tblHareketler[Tutar],tblHareketler[Tarih],"&gt;="&amp;E33,tblHareketler[Tarih],"&lt;"&amp;E33+1,tblHareketler[İşlem Türü],"Gelir")-SUMIFS(tblHareketler[Tutar],tblHareketler[Tarih],"&gt;="&amp;E33,tblHareketler[Tarih],"&lt;"&amp;E33+1,tblHareketler[İşlem Türü],"Gider")</s:f>
        <s:v>-7000</s:v>
      </s:c>
    </s:row>
    <s:row r="34">
      <s:c r="E34" s="4" t="n">
        <s:v>46243</s:v>
      </s:c>
      <s:c r="F34">
        <s:f>SUMIFS(tblHareketler[Tutar],tblHareketler[Tarih],"&gt;="&amp;E34,tblHareketler[Tarih],"&lt;"&amp;E34+1,tblHareketler[İşlem Türü],"Gelir")-SUMIFS(tblHareketler[Tutar],tblHareketler[Tarih],"&gt;="&amp;E34,tblHareketler[Tarih],"&lt;"&amp;E34+1,tblHareketler[İşlem Türü],"Gider")</s:f>
        <s:v>-4500</s:v>
      </s:c>
    </s:row>
    <s:row r="35">
      <s:c r="E35" s="4" t="n">
        <s:v>46244</s:v>
      </s:c>
      <s:c r="F35">
        <s:f>SUMIFS(tblHareketler[Tutar],tblHareketler[Tarih],"&gt;="&amp;E35,tblHareketler[Tarih],"&lt;"&amp;E35+1,tblHareketler[İşlem Türü],"Gelir")-SUMIFS(tblHareketler[Tutar],tblHareketler[Tarih],"&gt;="&amp;E35,tblHareketler[Tarih],"&lt;"&amp;E35+1,tblHareketler[İşlem Türü],"Gider")</s:f>
        <s:v>9000</s:v>
      </s:c>
    </s:row>
    <s:row r="36">
      <s:c r="E36" s="4" t="n">
        <s:v>46245</s:v>
      </s:c>
      <s:c r="F36">
        <s:f>SUMIFS(tblHareketler[Tutar],tblHareketler[Tarih],"&gt;="&amp;E36,tblHareketler[Tarih],"&lt;"&amp;E36+1,tblHareketler[İşlem Türü],"Gelir")-SUMIFS(tblHareketler[Tutar],tblHareketler[Tarih],"&gt;="&amp;E36,tblHareketler[Tarih],"&lt;"&amp;E36+1,tblHareketler[İşlem Türü],"Gider")</s:f>
        <s:v>-5500</s:v>
      </s:c>
    </s:row>
    <s:row r="37">
      <s:c r="E37" s="4" t="n">
        <s:v>46246</s:v>
      </s:c>
      <s:c r="F37">
        <s:f>SUMIFS(tblHareketler[Tutar],tblHareketler[Tarih],"&gt;="&amp;E37,tblHareketler[Tarih],"&lt;"&amp;E37+1,tblHareketler[İşlem Türü],"Gelir")-SUMIFS(tblHareketler[Tutar],tblHareketler[Tarih],"&gt;="&amp;E37,tblHareketler[Tarih],"&lt;"&amp;E37+1,tblHareketler[İşlem Türü],"Gider")</s:f>
        <s:v>8000</s:v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s:conditionalFormatting sqref="B6:B26">
    <s:cfRule type="colorScale" priority="1">
      <s:colorScale>
        <s:cfvo type="min"/>
        <s:cfvo type="percentile" val="50"/>
        <s:cfvo type="max"/>
        <s:color rgb="00FDE7E7"/>
        <s:color rgb="00FFF2CC"/>
        <s:color rgb="001F7A4D"/>
      </s:colorScale>
    </s:cfRule>
    <s:cfRule type="dataBar" priority="2">
      <s:dataBar>
        <s:cfvo type="min"/>
        <s:cfvo type="max"/>
        <s:color rgb="00B08948"/>
      </s:dataBar>
    </s:cfRule>
  </s:conditionalFormatting>
  <s:conditionalFormatting sqref="C6:C26">
    <s:cfRule type="expression" priority="3" dxfId="0">
      <s:formula>=$C6="DURDUR"</s:formula>
    </s:cfRule>
  </s:conditionalFormatting>
  <s:printOptions horizontalCentered="1"/>
  <s:pageMargins left="0.75" right="0.75" top="1" bottom="1" header="0.5" footer="0.5"/>
  <s:pageSetup orientation="landscape" fitToHeight="0" fitToWidth="1"/>
  <s:drawing r:id="rId1"/>
</s:worksheet>
</file>

<file path=xl/worksheets/sheet13.xml><?xml version="1.0" encoding="utf-8"?>
<s:worksheet xmlns:s="http://schemas.openxmlformats.org/spreadsheetml/2006/main">
  <s:sheetPr>
    <s:outlinePr summaryBelow="1" summaryRight="1"/>
    <s:pageSetUpPr/>
  </s:sheetPr>
  <s:dimension ref="A1:F11"/>
  <s:sheetViews>
    <s:sheetView workbookViewId="0">
      <s:selection activeCell="A1" sqref="A1"/>
    </s:sheetView>
  </s:sheetViews>
  <s:sheetFormatPr baseColWidth="8" defaultRowHeight="15"/>
  <s:cols>
    <s:col width="12" customWidth="1" min="1" max="1"/>
    <s:col width="12" customWidth="1" min="2" max="2"/>
    <s:col width="14" customWidth="1" min="3" max="3"/>
    <s:col width="30" customWidth="1" min="4" max="4"/>
    <s:col width="14" customWidth="1" min="5" max="5"/>
    <s:col width="14" customWidth="1" min="6" max="6"/>
  </s:cols>
  <s:sheetData>
    <s:row r="1">
      <s:c r="A1" s="1" t="inlineStr">
        <s:is>
          <s:t>ÖRNEK VERİ — KASA HAREKETLERI örneği</s:t>
        </s:is>
      </s:c>
    </s:row>
    <s:row r="2">
      <s:c r="A2" s="5" t="inlineStr">
        <s:is>
          <s:t>Bu sayfa bilgilendirme amaçlıdır; gerçek hesaplamalar tablolardan gelir.</s:t>
        </s:is>
      </s:c>
    </s:row>
    <s:row r="3" ht="22" customHeight="1">
      <s:c r="A3" s="6" t="inlineStr">
        <s:is>
          <s:t>Tarih</s:t>
        </s:is>
      </s:c>
      <s:c r="B3" s="6" t="inlineStr">
        <s:is>
          <s:t>İşlem Türü</s:t>
        </s:is>
      </s:c>
      <s:c r="C3" s="6" t="inlineStr">
        <s:is>
          <s:t>Tutar</s:t>
        </s:is>
      </s:c>
      <s:c r="D3" s="6" t="inlineStr">
        <s:is>
          <s:t>Açıklama</s:t>
        </s:is>
      </s:c>
      <s:c r="E3" s="6" t="inlineStr">
        <s:is>
          <s:t>Ödeme Yöntemi</s:t>
        </s:is>
      </s:c>
      <s:c r="F3" s="6" t="inlineStr">
        <s:is>
          <s:t>İlgili Hesap</s:t>
        </s:is>
      </s:c>
    </s:row>
    <s:row r="4">
      <s:c r="A4" s="15" t="n">
        <s:v>46239</s:v>
      </s:c>
      <s:c r="B4" t="inlineStr">
        <s:is>
          <s:t>Gelir</s:t>
        </s:is>
      </s:c>
      <s:c r="C4" t="n">
        <s:v>12000</s:v>
      </s:c>
      <s:c r="D4" t="inlineStr">
        <s:is>
          <s:t>Peşin tahsilat</s:t>
        </s:is>
      </s:c>
      <s:c r="E4" t="inlineStr">
        <s:is>
          <s:t>Nakit</s:t>
        </s:is>
      </s:c>
      <s:c r="F4" t="inlineStr">
        <s:is>
          <s:t>Ana Kasa</s:t>
        </s:is>
      </s:c>
    </s:row>
    <s:row r="5">
      <s:c r="A5" s="15" t="n">
        <s:v>46240</s:v>
      </s:c>
      <s:c r="B5" t="inlineStr">
        <s:is>
          <s:t>Gider</s:t>
        </s:is>
      </s:c>
      <s:c r="C5" t="n">
        <s:v>8000</s:v>
      </s:c>
      <s:c r="D5" t="inlineStr">
        <s:is>
          <s:t>Tedarikçi ödemesi</s:t>
        </s:is>
      </s:c>
      <s:c r="E5" t="inlineStr">
        <s:is>
          <s:t>EFT</s:t>
        </s:is>
      </s:c>
      <s:c r="F5" t="inlineStr">
        <s:is>
          <s:t>Banka</s:t>
        </s:is>
      </s:c>
    </s:row>
    <s:row r="6">
      <s:c r="A6" s="15" t="n">
        <s:v>46241</s:v>
      </s:c>
      <s:c r="B6" t="inlineStr">
        <s:is>
          <s:t>Gelir</s:t>
        </s:is>
      </s:c>
      <s:c r="C6" t="n">
        <s:v>10000</s:v>
      </s:c>
      <s:c r="D6" t="inlineStr">
        <s:is>
          <s:t>Cari tahsilat</s:t>
        </s:is>
      </s:c>
      <s:c r="E6" t="inlineStr">
        <s:is>
          <s:t>EFT</s:t>
        </s:is>
      </s:c>
      <s:c r="F6" t="inlineStr">
        <s:is>
          <s:t>Banka</s:t>
        </s:is>
      </s:c>
    </s:row>
    <s:row r="7">
      <s:c r="A7" s="15" t="n">
        <s:v>46242</s:v>
      </s:c>
      <s:c r="B7" t="inlineStr">
        <s:is>
          <s:t>Gider</s:t>
        </s:is>
      </s:c>
      <s:c r="C7" t="n">
        <s:v>7000</s:v>
      </s:c>
      <s:c r="D7" t="inlineStr">
        <s:is>
          <s:t>Kira ödemesi</s:t>
        </s:is>
      </s:c>
      <s:c r="E7" t="inlineStr">
        <s:is>
          <s:t>EFT</s:t>
        </s:is>
      </s:c>
      <s:c r="F7" t="inlineStr">
        <s:is>
          <s:t>Banka</s:t>
        </s:is>
      </s:c>
    </s:row>
    <s:row r="8">
      <s:c r="A8" s="15" t="n">
        <s:v>46243</s:v>
      </s:c>
      <s:c r="B8" t="inlineStr">
        <s:is>
          <s:t>Gider</s:t>
        </s:is>
      </s:c>
      <s:c r="C8" t="n">
        <s:v>4500</s:v>
      </s:c>
      <s:c r="D8" t="inlineStr">
        <s:is>
          <s:t>Ofis gideri</s:t>
        </s:is>
      </s:c>
      <s:c r="E8" t="inlineStr">
        <s:is>
          <s:t>Kart</s:t>
        </s:is>
      </s:c>
      <s:c r="F8" t="inlineStr">
        <s:is>
          <s:t>Kredi Kartı</s:t>
        </s:is>
      </s:c>
    </s:row>
    <s:row r="9">
      <s:c r="A9" s="15" t="n">
        <s:v>46244</s:v>
      </s:c>
      <s:c r="B9" t="inlineStr">
        <s:is>
          <s:t>Gelir</s:t>
        </s:is>
      </s:c>
      <s:c r="C9" t="n">
        <s:v>9000</s:v>
      </s:c>
      <s:c r="D9" t="inlineStr">
        <s:is>
          <s:t>Peşin tahsilat</s:t>
        </s:is>
      </s:c>
      <s:c r="E9" t="inlineStr">
        <s:is>
          <s:t>Nakit</s:t>
        </s:is>
      </s:c>
      <s:c r="F9" t="inlineStr">
        <s:is>
          <s:t>Ana Kasa</s:t>
        </s:is>
      </s:c>
    </s:row>
    <s:row r="10">
      <s:c r="A10" s="15" t="n">
        <s:v>46245</s:v>
      </s:c>
      <s:c r="B10" t="inlineStr">
        <s:is>
          <s:t>Gider</s:t>
        </s:is>
      </s:c>
      <s:c r="C10" t="n">
        <s:v>5500</s:v>
      </s:c>
      <s:c r="D10" t="inlineStr">
        <s:is>
          <s:t>Maaş avansı</s:t>
        </s:is>
      </s:c>
      <s:c r="E10" t="inlineStr">
        <s:is>
          <s:t>EFT</s:t>
        </s:is>
      </s:c>
      <s:c r="F10" t="inlineStr">
        <s:is>
          <s:t>Banka</s:t>
        </s:is>
      </s:c>
    </s:row>
    <s:row r="11">
      <s:c r="A11" s="15" t="n">
        <s:v>46246</s:v>
      </s:c>
      <s:c r="B11" t="inlineStr">
        <s:is>
          <s:t>Gelir</s:t>
        </s:is>
      </s:c>
      <s:c r="C11" t="n">
        <s:v>8000</s:v>
      </s:c>
      <s:c r="D11" t="inlineStr">
        <s:is>
          <s:t>Proje tahsilatı</s:t>
        </s:is>
      </s:c>
      <s:c r="E11" t="inlineStr">
        <s:is>
          <s:t>Nakit</s:t>
        </s:is>
      </s:c>
      <s:c r="F11" t="inlineStr">
        <s:is>
          <s:t>Ana Kasa</s:t>
        </s:is>
      </s:c>
    </s:row>
  </s:sheetData>
  <s:conditionalFormatting sqref="A1:F20">
    <s:cfRule type="dataBar" priority="1">
      <s:dataBar>
        <s:cfvo type="min"/>
        <s:cfvo type="max"/>
        <s:color rgb="00B08948"/>
      </s:dataBar>
    </s:cfRule>
    <s:cfRule type="colorScale" priority="2">
      <s:colorScale>
        <s:cfvo type="min"/>
        <s:cfvo type="percentile" val="50"/>
        <s:cfvo type="max"/>
        <s:color rgb="00FDE7E7"/>
        <s:color rgb="00FFF2CC"/>
        <s:color rgb="001F7A4D"/>
      </s:colorScale>
    </s:cfRule>
  </s:conditionalFormatting>
  <s:pageMargins left="0.75" right="0.75" top="1" bottom="1" header="0.5" footer="0.5"/>
</s:worksheet>
</file>

<file path=xl/worksheets/sheet14.xml><?xml version="1.0" encoding="utf-8"?>
<s:worksheet xmlns:s="http://schemas.openxmlformats.org/spreadsheetml/2006/main">
  <s:sheetPr>
    <s:outlinePr summaryBelow="1" summaryRight="1"/>
    <s:pageSetUpPr/>
  </s:sheetPr>
  <s:dimension ref="A1:C5"/>
  <s:sheetViews>
    <s:sheetView workbookViewId="0">
      <s:selection activeCell="A1" sqref="A1"/>
    </s:sheetView>
  </s:sheetViews>
  <s:sheetFormatPr baseColWidth="8" defaultRowHeight="15"/>
  <s:cols>
    <s:col width="10" customWidth="1" min="1" max="1"/>
    <s:col width="12" customWidth="1" min="2" max="2"/>
    <s:col width="80" customWidth="1" min="3" max="3"/>
  </s:cols>
  <s:sheetData>
    <s:row r="1">
      <s:c r="A1" s="1" t="inlineStr">
        <s:is>
          <s:t>DEĞİŞİKLİK KAYDI</s:t>
        </s:is>
      </s:c>
    </s:row>
    <s:row r="3" ht="22" customHeight="1">
      <s:c r="A3" s="6" t="inlineStr">
        <s:is>
          <s:t>Sürüm</s:t>
        </s:is>
      </s:c>
      <s:c r="B3" s="6" t="inlineStr">
        <s:is>
          <s:t>Tarih</s:t>
        </s:is>
      </s:c>
      <s:c r="C3" s="6" t="inlineStr">
        <s:is>
          <s:t>Değişiklik</s:t>
        </s:is>
      </s:c>
    </s:row>
    <s:row r="4">
      <s:c r="A4" t="inlineStr">
        <s:is>
          <s:t>2.0.0</s:t>
        </s:is>
      </s:c>
      <s:c r="B4" t="inlineStr">
        <s:is>
          <s:t>09.08.2026</s:t>
        </s:is>
      </s:c>
      <s:c r="C4" t="inlineStr">
        <s:is>
          <s:t>v4 mandata uyumlu yeniden üretim: 44 kapı sözleşmesi, canlı motor, makine yorumları</s:t>
        </s:is>
      </s:c>
    </s:row>
    <s:row r="5">
      <s:c r="A5" t="inlineStr">
        <s:is>
          <s:t>1.0.0</s:t>
        </s:is>
      </s:c>
      <s:c r="B5" t="inlineStr">
        <s:is>
          <s:t>2024</s:t>
        </s:is>
      </s:c>
      <s:c r="C5" t="inlineStr">
        <s:is>
          <s:t>İlk yayın</s:t>
        </s:is>
      </s:c>
    </s:row>
  </s:sheetData>
  <s:pageMargins left="0.75" right="0.75" top="1" bottom="1" header="0.5" footer="0.5"/>
</s:worksheet>
</file>

<file path=xl/worksheets/sheet15.xml><?xml version="1.0" encoding="utf-8"?>
<s:worksheet xmlns:s="http://schemas.openxmlformats.org/spreadsheetml/2006/main">
  <s:sheetPr>
    <s:outlinePr summaryBelow="1" summaryRight="1"/>
    <s:pageSetUpPr/>
  </s:sheetPr>
  <s:dimension ref="A1:I8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18" customWidth="1" min="3" max="3"/>
    <s:col width="18" customWidth="1" min="5" max="5"/>
    <s:col width="18" customWidth="1" min="7" max="7"/>
    <s:col width="18" customWidth="1" min="9" max="9"/>
  </s:cols>
  <s:sheetData>
    <s:row r="1">
      <s:c r="A1" s="1" t="inlineStr">
        <s:is>
          <s:t>LİSTELER — AÇILIR MENÜ KAYNAKLARI</s:t>
        </s:is>
      </s:c>
    </s:row>
    <s:row r="3">
      <s:c r="A3" s="14" t="inlineStr">
        <s:is>
          <s:t>İşlem Türleri</s:t>
        </s:is>
      </s:c>
      <s:c r="C3" s="14" t="inlineStr">
        <s:is>
          <s:t>Ödeme Yöntemleri</s:t>
        </s:is>
      </s:c>
      <s:c r="E3" s="14" t="inlineStr">
        <s:is>
          <s:t>Hesap Türleri</s:t>
        </s:is>
      </s:c>
      <s:c r="G3" s="14" t="inlineStr">
        <s:is>
          <s:t>Para Birimleri</s:t>
        </s:is>
      </s:c>
      <s:c r="I3" s="14" t="inlineStr">
        <s:is>
          <s:t>Vade Durumları</s:t>
        </s:is>
      </s:c>
    </s:row>
    <s:row r="4">
      <s:c r="A4" t="inlineStr">
        <s:is>
          <s:t>Gelir</s:t>
        </s:is>
      </s:c>
      <s:c r="C4" t="inlineStr">
        <s:is>
          <s:t>Nakit</s:t>
        </s:is>
      </s:c>
      <s:c r="E4" t="inlineStr">
        <s:is>
          <s:t>Kasa</s:t>
        </s:is>
      </s:c>
      <s:c r="G4" t="inlineStr">
        <s:is>
          <s:t>TRY</s:t>
        </s:is>
      </s:c>
      <s:c r="I4" t="inlineStr">
        <s:is>
          <s:t>Bekliyor</s:t>
        </s:is>
      </s:c>
    </s:row>
    <s:row r="5">
      <s:c r="A5" t="inlineStr">
        <s:is>
          <s:t>Gider</s:t>
        </s:is>
      </s:c>
      <s:c r="C5" t="inlineStr">
        <s:is>
          <s:t>Kart</s:t>
        </s:is>
      </s:c>
      <s:c r="E5" t="inlineStr">
        <s:is>
          <s:t>Banka</s:t>
        </s:is>
      </s:c>
      <s:c r="G5" t="inlineStr">
        <s:is>
          <s:t>USD</s:t>
        </s:is>
      </s:c>
      <s:c r="I5" t="inlineStr">
        <s:is>
          <s:t>Ödendi</s:t>
        </s:is>
      </s:c>
    </s:row>
    <s:row r="6">
      <s:c r="C6" t="inlineStr">
        <s:is>
          <s:t>EFT</s:t>
        </s:is>
      </s:c>
      <s:c r="E6" t="inlineStr">
        <s:is>
          <s:t>Kredi Kartı</s:t>
        </s:is>
      </s:c>
      <s:c r="G6" t="inlineStr">
        <s:is>
          <s:t>EUR</s:t>
        </s:is>
      </s:c>
      <s:c r="I6" t="inlineStr">
        <s:is>
          <s:t>İptal</s:t>
        </s:is>
      </s:c>
    </s:row>
    <s:row r="7">
      <s:c r="C7" t="inlineStr">
        <s:is>
          <s:t>Çek</s:t>
        </s:is>
      </s:c>
    </s:row>
    <s:row r="8">
      <s:c r="C8" t="inlineStr">
        <s:is>
          <s:t>Senet</s:t>
        </s:is>
      </s:c>
    </s:row>
  </s:sheetData>
  <s:pageMargins left="0.75" right="0.75" top="1" bottom="1" header="0.5" footer="0.5"/>
</s:worksheet>
</file>

<file path=xl/worksheets/sheet16.xml><?xml version="1.0" encoding="utf-8"?>
<s:worksheet xmlns:s="http://schemas.openxmlformats.org/spreadsheetml/2006/main">
  <s:sheetPr>
    <s:outlinePr summaryBelow="1" summaryRight="1"/>
    <s:pageSetUpPr/>
  </s:sheetPr>
  <s:dimension ref="A1:G16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16" customWidth="1" min="2" max="2"/>
    <s:col width="8" customWidth="1" min="3" max="3"/>
    <s:col width="44" customWidth="1" min="4" max="4"/>
    <s:col width="22" customWidth="1" min="5" max="5"/>
    <s:col width="14" customWidth="1" min="6" max="6"/>
    <s:col width="16" customWidth="1" min="7" max="7"/>
  </s:cols>
  <s:sheetData>
    <s:row r="1">
      <s:c r="A1" s="1" t="inlineStr">
        <s:is>
          <s:t>AYARLAR — PARAMETRE MERKEZİ</s:t>
        </s:is>
      </s:c>
    </s:row>
    <s:row r="3" ht="22" customHeight="1">
      <s:c r="A3" s="6" t="inlineStr">
        <s:is>
          <s:t>anahtar</s:t>
        </s:is>
      </s:c>
      <s:c r="B3" s="6" t="inlineStr">
        <s:is>
          <s:t>deger</s:t>
        </s:is>
      </s:c>
      <s:c r="C3" s="6" t="inlineStr">
        <s:is>
          <s:t>birim</s:t>
        </s:is>
      </s:c>
      <s:c r="D3" s="6" t="inlineStr">
        <s:is>
          <s:t>aciklama</s:t>
        </s:is>
      </s:c>
      <s:c r="E3" s="6" t="inlineStr">
        <s:is>
          <s:t>kaynak</s:t>
        </s:is>
      </s:c>
      <s:c r="F3" s="6" t="inlineStr">
        <s:is>
          <s:t>yururluk_tarihi</s:t>
        </s:is>
      </s:c>
      <s:c r="G3" s="6" t="inlineStr">
        <s:is>
          <s:t>dogrulama_tarihi</s:t>
        </s:is>
      </s:c>
    </s:row>
    <s:row r="4">
      <s:c r="A4" s="12" t="inlineStr">
        <s:is>
          <s:t>firmaUnvani</s:t>
        </s:is>
      </s:c>
      <s:c r="B4" s="16" t="inlineStr">
        <s:is>
          <s:t>İşletme Adı</s:t>
        </s:is>
      </s:c>
      <s:c r="C4" t="inlineStr">
        <s:is>
          <s:t>metin</s:t>
        </s:is>
      </s:c>
      <s:c r="D4" t="inlineStr">
        <s:is>
          <s:t>Rapor başlığında görünür</s:t>
        </s:is>
      </s:c>
      <s:c r="E4" t="inlineStr">
        <s:is>
          <s:t>Kullanıcı girişi</s:t>
        </s:is>
      </s:c>
      <s:c r="F4" t="inlineStr">
        <s:is>
          <s:t>2026-01-01</s:t>
        </s:is>
      </s:c>
      <s:c r="G4" t="inlineStr">
        <s:is>
          <s:t>2026-08-09</s:t>
        </s:is>
      </s:c>
    </s:row>
    <s:row r="5">
      <s:c r="A5" s="12" t="inlineStr">
        <s:is>
          <s:t>raporTarihi</s:t>
        </s:is>
      </s:c>
      <s:c r="B5" s="17">
        <s:f>TODAY()</s:f>
        <s:v>46243.0</s:v>
      </s:c>
      <s:c r="C5" t="inlineStr">
        <s:is>
          <s:t>tarih</s:t>
        </s:is>
      </s:c>
      <s:c r="D5" t="inlineStr">
        <s:is>
          <s:t>Dosyadaki TEK tarih kaynağı; başka yerde TODAY() kullanılmaz</s:t>
        </s:is>
      </s:c>
      <s:c r="E5" t="inlineStr">
        <s:is>
          <s:t>Sistem — dosya açılış tarihi</s:t>
        </s:is>
      </s:c>
      <s:c r="F5" t="inlineStr">
        <s:is>
          <s:t>2026-01-01</s:t>
        </s:is>
      </s:c>
      <s:c r="G5" t="inlineStr">
        <s:is>
          <s:t>2026-08-09</s:t>
        </s:is>
      </s:c>
    </s:row>
    <s:row r="6">
      <s:c r="A6" s="12" t="inlineStr">
        <s:is>
          <s:t>fizikiTolerans</s:t>
        </s:is>
      </s:c>
      <s:c r="B6" s="18" t="n">
        <s:v>50</s:v>
      </s:c>
      <s:c r="C6" t="inlineStr">
        <s:is>
          <s:t>₺</s:t>
        </s:is>
      </s:c>
      <s:c r="D6" t="inlineStr">
        <s:is>
          <s:t>Fiziki sayım farkı bu tutarın altındaysa uyarı verilmez</s:t>
        </s:is>
      </s:c>
      <s:c r="E6" t="inlineStr">
        <s:is>
          <s:t>İşletme kararı</s:t>
        </s:is>
      </s:c>
      <s:c r="F6" t="inlineStr">
        <s:is>
          <s:t>2026-01-01</s:t>
        </s:is>
      </s:c>
      <s:c r="G6" t="inlineStr">
        <s:is>
          <s:t>2026-08-09</s:t>
        </s:is>
      </s:c>
    </s:row>
    <s:row r="7">
      <s:c r="A7" s="12" t="inlineStr">
        <s:is>
          <s:t>esikSerbestNakitKritik</s:t>
        </s:is>
      </s:c>
      <s:c r="B7" s="18" t="n">
        <s:v>25000</s:v>
      </s:c>
      <s:c r="C7" t="inlineStr">
        <s:is>
          <s:t>₺</s:t>
        </s:is>
      </s:c>
      <s:c r="D7" t="inlineStr">
        <s:is>
          <s:t>Serbest nakit bu eşiğin altındaysa karar DURDUR</s:t>
        </s:is>
      </s:c>
      <s:c r="E7" t="inlineStr">
        <s:is>
          <s:t>İşletme kararı</s:t>
        </s:is>
      </s:c>
      <s:c r="F7" t="inlineStr">
        <s:is>
          <s:t>2026-01-01</s:t>
        </s:is>
      </s:c>
      <s:c r="G7" t="inlineStr">
        <s:is>
          <s:t>2026-08-09</s:t>
        </s:is>
      </s:c>
    </s:row>
    <s:row r="8">
      <s:c r="A8" s="12" t="inlineStr">
        <s:is>
          <s:t>esikRiskYuksek</s:t>
        </s:is>
      </s:c>
      <s:c r="B8" s="16" t="n">
        <s:v>70</s:v>
      </s:c>
      <s:c r="C8" t="inlineStr">
        <s:is>
          <s:t>puan</s:t>
        </s:is>
      </s:c>
      <s:c r="D8" t="inlineStr">
        <s:is>
          <s:t>Risk puanı bu eşiği aşarsa yüksek risk damgası basılır</s:t>
        </s:is>
      </s:c>
      <s:c r="E8" t="inlineStr">
        <s:is>
          <s:t>İşletme kararı</s:t>
        </s:is>
      </s:c>
      <s:c r="F8" t="inlineStr">
        <s:is>
          <s:t>2026-01-01</s:t>
        </s:is>
      </s:c>
      <s:c r="G8" t="inlineStr">
        <s:is>
          <s:t>2026-08-09</s:t>
        </s:is>
      </s:c>
    </s:row>
    <s:row r="9">
      <s:c r="A9" s="12" t="inlineStr">
        <s:is>
          <s:t>anomaliSapmaKati</s:t>
        </s:is>
      </s:c>
      <s:c r="B9" s="16" t="n">
        <s:v>3</s:v>
      </s:c>
      <s:c r="C9" t="inlineStr">
        <s:is>
          <s:t>kat</s:t>
        </s:is>
      </s:c>
      <s:c r="D9" t="inlineStr">
        <s:is>
          <s:t>Medyan mutlak sapmanın kaç katı anomali sayılır</s:t>
        </s:is>
      </s:c>
      <s:c r="E9" t="inlineStr">
        <s:is>
          <s:t>İstatistik kuralı — MAD eşiği</s:t>
        </s:is>
      </s:c>
      <s:c r="F9" t="inlineStr">
        <s:is>
          <s:t>2026-01-01</s:t>
        </s:is>
      </s:c>
      <s:c r="G9" t="inlineStr">
        <s:is>
          <s:t>2026-08-09</s:t>
        </s:is>
      </s:c>
    </s:row>
    <s:row r="10">
      <s:c r="A10" s="12" t="inlineStr">
        <s:is>
          <s:t>mesaiBaslangic</s:t>
        </s:is>
      </s:c>
      <s:c r="B10" s="16" t="inlineStr">
        <s:is>
          <s:t>08:00</s:t>
        </s:is>
      </s:c>
      <s:c r="C10" t="inlineStr">
        <s:is>
          <s:t>saat</s:t>
        </s:is>
      </s:c>
      <s:c r="D10" t="inlineStr">
        <s:is>
          <s:t>Nakit giriş/çıkış pencere başlangıcı</s:t>
        </s:is>
      </s:c>
      <s:c r="E10" t="inlineStr">
        <s:is>
          <s:t>İşletme kararı</s:t>
        </s:is>
      </s:c>
      <s:c r="F10" t="inlineStr">
        <s:is>
          <s:t>2026-01-01</s:t>
        </s:is>
      </s:c>
      <s:c r="G10" t="inlineStr">
        <s:is>
          <s:t>2026-08-09</s:t>
        </s:is>
      </s:c>
    </s:row>
    <s:row r="11">
      <s:c r="A11" s="12" t="inlineStr">
        <s:is>
          <s:t>mesaiBitis</s:t>
        </s:is>
      </s:c>
      <s:c r="B11" s="16" t="inlineStr">
        <s:is>
          <s:t>19:00</s:t>
        </s:is>
      </s:c>
      <s:c r="C11" t="inlineStr">
        <s:is>
          <s:t>saat</s:t>
        </s:is>
      </s:c>
      <s:c r="D11" t="inlineStr">
        <s:is>
          <s:t>Nakit giriş/çıkış pencere bitişi</s:t>
        </s:is>
      </s:c>
      <s:c r="E11" t="inlineStr">
        <s:is>
          <s:t>İşletme kararı</s:t>
        </s:is>
      </s:c>
      <s:c r="F11" t="inlineStr">
        <s:is>
          <s:t>2026-01-01</s:t>
        </s:is>
      </s:c>
      <s:c r="G11" t="inlineStr">
        <s:is>
          <s:t>2026-08-09</s:t>
        </s:is>
      </s:c>
    </s:row>
    <s:row r="12">
      <s:c r="A12" s="12" t="inlineStr">
        <s:is>
          <s:t>tahminUfkuGun</s:t>
        </s:is>
      </s:c>
      <s:c r="B12" s="16" t="n">
        <s:v>90</s:v>
      </s:c>
      <s:c r="C12" t="inlineStr">
        <s:is>
          <s:t>gün</s:t>
        </s:is>
      </s:c>
      <s:c r="D12" t="inlineStr">
        <s:is>
          <s:t>Nakit tahmin ufku (gün)</s:t>
        </s:is>
      </s:c>
      <s:c r="E12" t="inlineStr">
        <s:is>
          <s:t>İşletme kararı</s:t>
        </s:is>
      </s:c>
      <s:c r="F12" t="inlineStr">
        <s:is>
          <s:t>2026-01-01</s:t>
        </s:is>
      </s:c>
      <s:c r="G12" t="inlineStr">
        <s:is>
          <s:t>2026-08-09</s:t>
        </s:is>
      </s:c>
    </s:row>
    <s:row r="13">
      <s:c r="A13" s="12" t="inlineStr">
        <s:is>
          <s:t>senaryoKotumserKat</s:t>
        </s:is>
      </s:c>
      <s:c r="B13" s="16" t="n">
        <s:v>0.85</s:v>
      </s:c>
      <s:c r="C13" t="inlineStr">
        <s:is>
          <s:t>kat</s:t>
        </s:is>
      </s:c>
      <s:c r="D13" t="inlineStr">
        <s:is>
          <s:t>Kötümser senaryo çarpanı</s:t>
        </s:is>
      </s:c>
      <s:c r="E13" t="inlineStr">
        <s:is>
          <s:t>İşletme kararı</s:t>
        </s:is>
      </s:c>
      <s:c r="F13" t="inlineStr">
        <s:is>
          <s:t>2026-01-01</s:t>
        </s:is>
      </s:c>
      <s:c r="G13" t="inlineStr">
        <s:is>
          <s:t>2026-08-09</s:t>
        </s:is>
      </s:c>
    </s:row>
    <s:row r="14">
      <s:c r="A14" s="12" t="inlineStr">
        <s:is>
          <s:t>senaryoIyimserKat</s:t>
        </s:is>
      </s:c>
      <s:c r="B14" s="16" t="n">
        <s:v>1.15</s:v>
      </s:c>
      <s:c r="C14" t="inlineStr">
        <s:is>
          <s:t>kat</s:t>
        </s:is>
      </s:c>
      <s:c r="D14" t="inlineStr">
        <s:is>
          <s:t>İyimser senaryo çarpanı</s:t>
        </s:is>
      </s:c>
      <s:c r="E14" t="inlineStr">
        <s:is>
          <s:t>İşletme kararı</s:t>
        </s:is>
      </s:c>
      <s:c r="F14" t="inlineStr">
        <s:is>
          <s:t>2026-01-01</s:t>
        </s:is>
      </s:c>
      <s:c r="G14" t="inlineStr">
        <s:is>
          <s:t>2026-08-09</s:t>
        </s:is>
      </s:c>
    </s:row>
    <s:row r="15">
      <s:c r="A15" s="12" t="inlineStr">
        <s:is>
          <s:t>yuksekTutarEsigi</s:t>
        </s:is>
      </s:c>
      <s:c r="B15" s="18" t="n">
        <s:v>50000</s:v>
      </s:c>
      <s:c r="C15" t="inlineStr">
        <s:is>
          <s:t>₺</s:t>
        </s:is>
      </s:c>
      <s:c r="D15" t="inlineStr">
        <s:is>
          <s:t>Bu tutar üstü hareketler yüksek tutar olarak işaretlenir</s:t>
        </s:is>
      </s:c>
      <s:c r="E15" t="inlineStr">
        <s:is>
          <s:t>İşletme kararı</s:t>
        </s:is>
      </s:c>
      <s:c r="F15" t="inlineStr">
        <s:is>
          <s:t>2026-01-01</s:t>
        </s:is>
      </s:c>
      <s:c r="G15" t="inlineStr">
        <s:is>
          <s:t>2026-08-09</s:t>
        </s:is>
      </s:c>
    </s:row>
    <s:row r="16">
      <s:c r="A16" s="12" t="inlineStr">
        <s:is>
          <s:t>makulUstSinir</s:t>
        </s:is>
      </s:c>
      <s:c r="B16" s="18" t="n">
        <s:v>10000000</s:v>
      </s:c>
      <s:c r="C16" t="inlineStr">
        <s:is>
          <s:t>₺</s:t>
        </s:is>
      </s:c>
      <s:c r="D16" t="inlineStr">
        <s:is>
          <s:t>Tek hareket için makul üst sınır; üstü veride gerçek dışı giriş ihtimali yüksek</s:t>
        </s:is>
      </s:c>
      <s:c r="E16" t="inlineStr">
        <s:is>
          <s:t>İşletme kararı</s:t>
        </s:is>
      </s:c>
      <s:c r="F16" t="inlineStr">
        <s:is>
          <s:t>2026-01-01</s:t>
        </s:is>
      </s:c>
      <s:c r="G16" t="inlineStr">
        <s:is>
          <s:t>2026-08-09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s:pageMargins left="0.75" right="0.75" top="1" bottom="1" header="0.5" footer="0.5"/>
</s:worksheet>
</file>

<file path=xl/worksheets/sheet17.xml><?xml version="1.0" encoding="utf-8"?>
<s:worksheet xmlns:s="http://schemas.openxmlformats.org/spreadsheetml/2006/main">
  <s:sheetPr>
    <s:outlinePr summaryBelow="1" summaryRight="1"/>
    <s:pageSetUpPr/>
  </s:sheetPr>
  <s:dimension ref="A1:D15"/>
  <s:sheetViews>
    <s:sheetView workbookViewId="0">
      <s:selection activeCell="A1" sqref="A1"/>
    </s:sheetView>
  </s:sheetViews>
  <s:sheetFormatPr baseColWidth="8" defaultRowHeight="15"/>
  <s:cols>
    <s:col width="14" customWidth="1" min="1" max="1"/>
    <s:col width="60" customWidth="1" min="2" max="2"/>
    <s:col width="10" customWidth="1" min="3" max="3"/>
    <s:col width="60" customWidth="1" min="4" max="4"/>
  </s:cols>
  <s:sheetData>
    <s:row r="1">
      <s:c r="A1" s="1" t="inlineStr">
        <s:is>
          <s:t>KILAVUZ</s:t>
        </s:is>
      </s:c>
    </s:row>
    <s:row r="2">
      <s:c r="A2" t="inlineStr">
        <s:is>
          <s:t>NASIL KULLANILIR?</s:t>
        </s:is>
      </s:c>
    </s:row>
    <s:row r="3">
      <s:c r="A3" t="inlineStr">
        <s:is>
          <s:t>1) Sarı giriş alanlarına veri girin; hesaplanan alanlar korumalıdır (şifre: 1234).</s:t>
        </s:is>
      </s:c>
    </s:row>
    <s:row r="4">
      <s:c r="A4" t="inlineStr">
        <s:is>
          <s:t>2) HESAPLAR → hesaplar; KASA_HAREKETLERI → gelir/gider; ODEME_TAKVIMI → vadeler; FIZIKI_SAYIM → sayımlar.</s:t>
        </s:is>
      </s:c>
    </s:row>
    <s:row r="5">
      <s:c r="A5" t="inlineStr">
        <s:is>
          <s:t>3) PANO ve KARAR anlık güncellenir. RAPOR yazdırmaya hazırdır.</s:t>
        </s:is>
      </s:c>
    </s:row>
    <s:row r="6">
      <s:c r="A6" t="inlineStr"/>
    </s:row>
    <s:row r="7">
      <s:c r="A7" t="inlineStr">
        <s:is>
          <s:t>KARAR KURALLARI (KARAR sayfası ile aynıdır):</s:t>
        </s:is>
      </s:c>
    </s:row>
    <s:row r="8" ht="22" customHeight="1">
      <s:c r="A8" s="6" t="inlineStr">
        <s:is>
          <s:t>Kod</s:t>
        </s:is>
      </s:c>
      <s:c r="B8" s="6" t="inlineStr">
        <s:is>
          <s:t>Koşul</s:t>
        </s:is>
      </s:c>
      <s:c r="C8" s="6" t="inlineStr">
        <s:is>
          <s:t>Sonuç</s:t>
        </s:is>
      </s:c>
      <s:c r="D8" s="6" t="inlineStr">
        <s:is>
          <s:t>Gerekçe</s:t>
        </s:is>
      </s:c>
    </s:row>
    <s:row r="9">
      <s:c r="A9" t="inlineStr">
        <s:is>
          <s:t>K1</s:t>
        </s:is>
      </s:c>
      <s:c r="B9" t="inlineStr">
        <s:is>
          <s:t>serbestNakit &lt; esikSerbestNakitKritik</s:t>
        </s:is>
      </s:c>
      <s:c r="C9" t="inlineStr">
        <s:is>
          <s:t>DURDUR</s:t>
        </s:is>
      </s:c>
      <s:c r="D9" t="inlineStr">
        <s:is>
          <s:t>Serbest nakit kritik eşiğin altında</s:t>
        </s:is>
      </s:c>
    </s:row>
    <s:row r="10">
      <s:c r="A10" t="inlineStr">
        <s:is>
          <s:t>K2</s:t>
        </s:is>
      </s:c>
      <s:c r="B10" t="inlineStr">
        <s:is>
          <s:t>anomaliSayisi &gt; 0</s:t>
        </s:is>
      </s:c>
      <s:c r="C10" t="inlineStr">
        <s:is>
          <s:t>INCELE</s:t>
        </s:is>
      </s:c>
      <s:c r="D10" t="inlineStr">
        <s:is>
          <s:t>Anomali işaretli kayıt var</s:t>
        </s:is>
      </s:c>
    </s:row>
    <s:row r="11">
      <s:c r="A11" t="inlineStr">
        <s:is>
          <s:t>K3</s:t>
        </s:is>
      </s:c>
      <s:c r="B11" t="inlineStr">
        <s:is>
          <s:t>veriKaliteSkoru &lt; 70</s:t>
        </s:is>
      </s:c>
      <s:c r="C11" t="inlineStr">
        <s:is>
          <s:t>INCELE</s:t>
        </s:is>
      </s:c>
      <s:c r="D11" t="inlineStr">
        <s:is>
          <s:t>Veri kalitesi düşük, sonuçlar güvenilir değil</s:t>
        </s:is>
      </s:c>
    </s:row>
    <s:row r="12">
      <s:c r="A12" t="inlineStr">
        <s:is>
          <s:t>K4</s:t>
        </s:is>
      </s:c>
      <s:c r="B12" t="inlineStr">
        <s:is>
          <s:t>makulSinirAsimi = 1</s:t>
        </s:is>
      </s:c>
      <s:c r="C12" t="inlineStr">
        <s:is>
          <s:t>INCELE</s:t>
        </s:is>
      </s:c>
      <s:c r="D12" t="inlineStr">
        <s:is>
          <s:t>Makul üst sınırı aşan tutar girişi var — gerçek dışı veri kontrol edilmeli</s:t>
        </s:is>
      </s:c>
    </s:row>
    <s:row r="13">
      <s:c r="A13" t="inlineStr">
        <s:is>
          <s:t>K0</s:t>
        </s:is>
      </s:c>
      <s:c r="B13" t="inlineStr">
        <s:is>
          <s:t>DOGRU</s:t>
        </s:is>
      </s:c>
      <s:c r="C13" t="inlineStr">
        <s:is>
          <s:t>UYGUN</s:t>
        </s:is>
      </s:c>
      <s:c r="D13" t="inlineStr">
        <s:is>
          <s:t>Tüm eşikler hedef aralıkta</s:t>
        </s:is>
      </s:c>
    </s:row>
    <s:row r="15">
      <s:c r="A15" t="inlineStr">
        <s:is>
          <s:t>GÜVENLİK: Bu dosya yerel çalışır; hiçbir veri dışarı gönderilmez.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2026-08-08T23:17:54Z</dcterms:created>
  <dcterms:modified xsi:type="dcterms:W3CDTF">2026-08-08T23:17:54Z</dcterms:modified>
</cp:coreProperties>
</file>