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charts/style1.xml" ContentType="application/vnd.ms-office.chartstyle+xml"/>
  <Override PartName="/xl/charts/style2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chart7.xml" ContentType="application/vnd.openxmlformats-officedocument.drawingml.chart+xml"/>
  <Override PartName="/xl/charts/colors3.xml" ContentType="application/vnd.ms-office.chartcolorstyle+xml"/>
  <Override PartName="/xl/charts/chart2.xml" ContentType="application/vnd.openxmlformats-officedocument.drawingml.chart+xml"/>
  <Override PartName="/xl/charts/colors2.xml" ContentType="application/vnd.ms-office.chartcolorstyle+xml"/>
  <Override PartName="/xl/charts/chart8.xml" ContentType="application/vnd.openxmlformats-officedocument.drawingml.chart+xml"/>
  <Override PartName="/xl/charts/style4.xml" ContentType="application/vnd.ms-office.chartstyle+xml"/>
  <Override PartName="/xl/charts/colors8.xml" ContentType="application/vnd.ms-office.chartcolorstyle+xml"/>
  <Override PartName="/xl/charts/chart3.xml" ContentType="application/vnd.openxmlformats-officedocument.drawingml.chart+xml"/>
  <Override PartName="/xl/charts/colors5.xml" ContentType="application/vnd.ms-office.chartcolorstyle+xml"/>
  <Override PartName="/xl/charts/style6.xml" ContentType="application/vnd.ms-office.chartstyle+xml"/>
  <Override PartName="/xl/charts/colors6.xml" ContentType="application/vnd.ms-office.chartcolorstyle+xml"/>
  <Override PartName="/xl/charts/style5.xml" ContentType="application/vnd.ms-office.chartstyle+xml"/>
  <Override PartName="/xl/charts/chart4.xml" ContentType="application/vnd.openxmlformats-officedocument.drawingml.chart+xml"/>
  <Override PartName="/xl/charts/style3.xml" ContentType="application/vnd.ms-office.chart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7.xml" ContentType="application/vnd.ms-office.chartstyle+xml"/>
  <Override PartName="/xl/charts/colors4.xml" ContentType="application/vnd.ms-office.chartcolorstyle+xml"/>
  <Override PartName="/xl/charts/colors7.xml" ContentType="application/vnd.ms-office.chartcolorstyle+xml"/>
  <Override PartName="/xl/charts/style8.xml" ContentType="application/vnd.ms-office.chartstyle+xml"/>
  <Override PartName="/xl/comments14.xml" ContentType="application/vnd.openxmlformats-officedocument.spreadsheetml.comments+xml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5.vml" ContentType="application/vnd.openxmlformats-officedocument.vmlDrawing"/>
  <Override PartName="/xl/drawings/vmlDrawing4.vml" ContentType="application/vnd.openxmlformats-officedocument.vmlDrawing"/>
  <Override PartName="/xl/drawings/vmlDrawing6.vml" ContentType="application/vnd.openxmlformats-officedocument.vmlDrawing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comments13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KAPAK" sheetId="1" state="visible" r:id="rId3"/>
    <sheet name="HIZLI_BASLANGIC" sheetId="2" state="visible" r:id="rId4"/>
    <sheet name="DOVIZ_POZISYONLARI" sheetId="3" state="visible" r:id="rId5"/>
    <sheet name="HESAP" sheetId="4" state="visible" r:id="rId6"/>
    <sheet name="ANALITIK_MOTOR" sheetId="5" state="visible" r:id="rId7"/>
    <sheet name="KONTROLLER" sheetId="6" state="visible" r:id="rId8"/>
    <sheet name="KARAR" sheetId="7" state="visible" r:id="rId9"/>
    <sheet name="PANO" sheetId="8" state="visible" r:id="rId10"/>
    <sheet name="SENARYO_DUYARLILIK" sheetId="9" state="visible" r:id="rId11"/>
    <sheet name="RAPOR" sheetId="10" state="visible" r:id="rId12"/>
    <sheet name="ORNEK_VERI" sheetId="11" state="visible" r:id="rId13"/>
    <sheet name="DEGISIKLIK_KAYDI" sheetId="12" state="visible" r:id="rId14"/>
    <sheet name="LISTELER" sheetId="13" state="visible" r:id="rId15"/>
    <sheet name="AYARLAR" sheetId="14" state="visible" r:id="rId16"/>
    <sheet name="KILAVUZ" sheetId="15" state="visible" r:id="rId17"/>
  </sheets>
  <definedNames>
    <definedName function="false" hidden="false" localSheetId="7" name="_xlnm.Print_Area" vbProcedure="false">PANO!$A$1:$M$56</definedName>
    <definedName function="false" hidden="false" localSheetId="9" name="_xlnm.Print_Area" vbProcedure="false">RAPOR!$A$1:$L$28</definedName>
    <definedName function="false" hidden="false" name="AcikPozisyonYonu" vbProcedure="false">HESAP!$B$15</definedName>
    <definedName function="false" hidden="false" name="DosyaSurumu" vbProcedure="false">AYARLAR!$B$10</definedName>
    <definedName function="false" hidden="false" name="DovizAcikEsik" vbProcedure="false">AYARLAR!$B$11</definedName>
    <definedName function="false" hidden="false" name="DovizAksiyon1_ACIKLAMA" vbProcedure="false">AYARLAR!$B$24</definedName>
    <definedName function="false" hidden="false" name="DovizAksiyon2_ACIKLAMA" vbProcedure="false">AYARLAR!$B$25</definedName>
    <definedName function="false" hidden="false" name="DovizAksiyon3_ACIKLAMA" vbProcedure="false">AYARLAR!$B$26</definedName>
    <definedName function="false" hidden="false" name="DovizBazSenaryo" vbProcedure="false">AYARLAR!$B$16</definedName>
    <definedName function="false" hidden="false" name="DovizDoluGiris" vbProcedure="false">KONTROLLER!$B$18</definedName>
    <definedName function="false" hidden="false" name="DovizHacimEsik" vbProcedure="false">AYARLAR!$B$28</definedName>
    <definedName function="false" hidden="false" name="DovizIyiSenaryo" vbProcedure="false">AYARLAR!$B$15</definedName>
    <definedName function="false" hidden="false" name="DovizKaliteIyi" vbProcedure="false">AYARLAR!$B$22</definedName>
    <definedName function="false" hidden="false" name="DovizKaliteOrta" vbProcedure="false">AYARLAR!$B$23</definedName>
    <definedName function="false" hidden="false" name="DovizKotuSenaryo" vbProcedure="false">AYARLAR!$B$17</definedName>
    <definedName function="false" hidden="false" name="DovizKritikSenaryo" vbProcedure="false">AYARLAR!$B$18</definedName>
    <definedName function="false" hidden="false" name="DovizKurSapmaEsik" vbProcedure="false">AYARLAR!$B$14</definedName>
    <definedName function="false" hidden="false" name="DovizP90Oran" vbProcedure="false">AYARLAR!$B$27</definedName>
    <definedName function="false" hidden="false" name="DovizPanelSatir1" vbProcedure="false">AYARLAR!$B$29</definedName>
    <definedName function="false" hidden="false" name="DovizPanelSatir10" vbProcedure="false">AYARLAR!$B$38</definedName>
    <definedName function="false" hidden="false" name="DovizPanelSatir11" vbProcedure="false">AYARLAR!$B$39</definedName>
    <definedName function="false" hidden="false" name="DovizPanelSatir12" vbProcedure="false">AYARLAR!$B$40</definedName>
    <definedName function="false" hidden="false" name="DovizPanelSatir2" vbProcedure="false">AYARLAR!$B$30</definedName>
    <definedName function="false" hidden="false" name="DovizPanelSatir3" vbProcedure="false">AYARLAR!$B$31</definedName>
    <definedName function="false" hidden="false" name="DovizPanelSatir4" vbProcedure="false">AYARLAR!$B$32</definedName>
    <definedName function="false" hidden="false" name="DovizPanelSatir5" vbProcedure="false">AYARLAR!$B$33</definedName>
    <definedName function="false" hidden="false" name="DovizPanelSatir6" vbProcedure="false">AYARLAR!$B$34</definedName>
    <definedName function="false" hidden="false" name="DovizPanelSatir7" vbProcedure="false">AYARLAR!$B$35</definedName>
    <definedName function="false" hidden="false" name="DovizPanelSatir8" vbProcedure="false">AYARLAR!$B$36</definedName>
    <definedName function="false" hidden="false" name="DovizPanelSatir9" vbProcedure="false">AYARLAR!$B$37</definedName>
    <definedName function="false" hidden="false" name="DovizStresEsik" vbProcedure="false">AYARLAR!$B$12</definedName>
    <definedName function="false" hidden="false" name="DovizStresEtkiEsik" vbProcedure="false">AYARLAR!$B$13</definedName>
    <definedName function="false" hidden="false" name="DovizTahminCarpan" vbProcedure="false">AYARLAR!$B$21</definedName>
    <definedName function="false" hidden="false" name="DovizToplamGiris" vbProcedure="false">KONTROLLER!$B$17</definedName>
    <definedName function="false" hidden="false" name="DovizTornadoKur" vbProcedure="false">AYARLAR!$B$19</definedName>
    <definedName function="false" hidden="false" name="DovizTornadoPozisyon" vbProcedure="false">AYARLAR!$B$20</definedName>
    <definedName function="false" hidden="false" name="EnRiskliDoviz" vbProcedure="false">HESAP!$B$17</definedName>
    <definedName function="false" hidden="false" name="FirmaUnvan" vbProcedure="false">AYARLAR!$B$7</definedName>
    <definedName function="false" hidden="false" name="ListeDovizCinsleri" vbProcedure="false">LISTELER!$A$7:$A$11</definedName>
    <definedName function="false" hidden="false" name="ListeIslemTurleri" vbProcedure="false">LISTELER!$C$7:$C$8</definedName>
    <definedName function="false" hidden="false" name="ListeVadeDilimleri" vbProcedure="false">LISTELER!$E$7:$E$10</definedName>
    <definedName function="false" hidden="false" name="modulI1KurTahmin" vbProcedure="false">ANALITIK_MOTOR!$C$13</definedName>
    <definedName function="false" hidden="false" name="modulI1KurTahminYorum" vbProcedure="false">ANALITIK_MOTOR!$D$13</definedName>
    <definedName function="false" hidden="false" name="modulI2YuzdelikP90" vbProcedure="false">ANALITIK_MOTOR!$C$14</definedName>
    <definedName function="false" hidden="false" name="modulI2YuzdelikP90Yorum" vbProcedure="false">ANALITIK_MOTOR!$D$14</definedName>
    <definedName function="false" hidden="false" name="modulO1Anomali" vbProcedure="false">ANALITIK_MOTOR!$C$8</definedName>
    <definedName function="false" hidden="false" name="modulO1AnomaliYorum" vbProcedure="false">ANALITIK_MOTOR!$D$8</definedName>
    <definedName function="false" hidden="false" name="modulO2Tornado" vbProcedure="false">ANALITIK_MOTOR!$C$9</definedName>
    <definedName function="false" hidden="false" name="modulO2TornadoYorum" vbProcedure="false">ANALITIK_MOTOR!$D$9</definedName>
    <definedName function="false" hidden="false" name="modulO3Senaryo" vbProcedure="false">ANALITIK_MOTOR!$C$10</definedName>
    <definedName function="false" hidden="false" name="modulO3SenaryoYorum" vbProcedure="false">ANALITIK_MOTOR!$D$10</definedName>
    <definedName function="false" hidden="false" name="modulO6Hhi" vbProcedure="false">ANALITIK_MOTOR!$C$11</definedName>
    <definedName function="false" hidden="false" name="modulO6HhiYorum" vbProcedure="false">ANALITIK_MOTOR!$D$11</definedName>
    <definedName function="false" hidden="false" name="modulO8KaliteSkor" vbProcedure="false">ANALITIK_MOTOR!$C$12</definedName>
    <definedName function="false" hidden="false" name="modulO8KaliteSkorYorum" vbProcedure="false">ANALITIK_MOTOR!$D$12</definedName>
    <definedName function="false" hidden="false" name="modulT1VadeYapisi" vbProcedure="false">ANALITIK_MOTOR!$C$6</definedName>
    <definedName function="false" hidden="false" name="modulT1VadeYapisiYorum" vbProcedure="false">ANALITIK_MOTOR!$D$6</definedName>
    <definedName function="false" hidden="false" name="modulT2KurTrend" vbProcedure="false">ANALITIK_MOTOR!$C$7</definedName>
    <definedName function="false" hidden="false" name="modulT2KurTrendYorum" vbProcedure="false">ANALITIK_MOTOR!$D$7</definedName>
    <definedName function="false" hidden="false" name="MutlakAcikPozisyon" vbProcedure="false">HESAP!$B$14</definedName>
    <definedName function="false" hidden="false" name="NetAcikPozisyon" vbProcedure="false">HESAP!$H$11</definedName>
    <definedName function="false" hidden="false" name="RaporHazirlayan" vbProcedure="false">AYARLAR!$B$9</definedName>
    <definedName function="false" hidden="false" name="RaporTarihi" vbProcedure="false">AYARLAR!$B$8</definedName>
    <definedName function="false" hidden="false" name="StresEtkisi" vbProcedure="false">HESAP!$B$16</definedName>
    <definedName function="false" hidden="false" name="ToplamBorcTL" vbProcedure="false">HESAP!$G$11</definedName>
    <definedName function="false" hidden="false" name="ToplamVarlikTL" vbProcedure="false">HESAP!$F$11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5" authorId="0">
      <text>
        <r>
          <rPr>
            <sz val="10"/>
            <rFont val="Arial"/>
            <family val="2"/>
          </rPr>
          <t xml:space="preserve">Tanım: Adım 1 — Döviz pozisyonlarını girin | Neden önemli: Ürünü doğru kullanmak için | Doğru kullanım: Sırayla izleyin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-119</xdr:colOff>
                <xdr:row>8</xdr:row>
                <xdr:rowOff>8</xdr:rowOff>
              </xdr:to>
            </anchor>
          </commentPr>
        </mc:Choice>
        <mc:Fallback/>
      </mc:AlternateContent>
    </comment>
    <comment ref="A6" authorId="0">
      <text>
        <r>
          <rPr>
            <sz val="10"/>
            <rFont val="Arial"/>
            <family val="2"/>
          </rPr>
          <t xml:space="preserve">Tanım: Adım 2 — Açık pozisyonu izleyin | Neden önemli: Ürünü doğru kullanmak için | Doğru kullanım: Sırayla izleyin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-119</xdr:colOff>
                <xdr:row>8</xdr:row>
                <xdr:rowOff>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Adım 3 — Stres testi ve karar | Neden önemli: Ürünü doğru kullanmak için | Doğru kullanım: Sırayla izleyin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-119</xdr:colOff>
                <xdr:row>8</xdr:row>
                <xdr:rowOff>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Adım 4 — Eşikleri ayarlayın | Neden önemli: Ürünü doğru kullanmak için | Doğru kullanım: Sırayla izleyin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-119</xdr:colOff>
                <xdr:row>8</xdr:row>
                <xdr:rowOff>8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37</xdr:rowOff>
              </xdr:from>
              <xdr:to>
                <xdr:col>3</xdr:col>
                <xdr:colOff>83</xdr:colOff>
                <xdr:row>5</xdr:row>
                <xdr:rowOff>20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39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41</xdr:rowOff>
              </xdr:from>
              <xdr:to>
                <xdr:col>3</xdr:col>
                <xdr:colOff>83</xdr:colOff>
                <xdr:row>6</xdr:row>
                <xdr:rowOff>2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43</xdr:rowOff>
              </xdr:from>
              <xdr:to>
                <xdr:col>3</xdr:col>
                <xdr:colOff>83</xdr:colOff>
                <xdr:row>6</xdr:row>
                <xdr:rowOff>4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45</xdr:rowOff>
              </xdr:from>
              <xdr:to>
                <xdr:col>3</xdr:col>
                <xdr:colOff>83</xdr:colOff>
                <xdr:row>6</xdr:row>
                <xdr:rowOff>5</xdr:rowOff>
              </xdr:to>
            </anchor>
          </commentPr>
        </mc:Choice>
        <mc:Fallback/>
      </mc:AlternateContent>
    </comment>
    <comment ref="A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3</xdr:col>
                <xdr:colOff>83</xdr:colOff>
                <xdr:row>6</xdr:row>
                <xdr:rowOff>7</xdr:rowOff>
              </xdr:to>
            </anchor>
          </commentPr>
        </mc:Choice>
        <mc:Fallback/>
      </mc:AlternateContent>
    </comment>
    <comment ref="A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48</xdr:rowOff>
              </xdr:from>
              <xdr:to>
                <xdr:col>3</xdr:col>
                <xdr:colOff>83</xdr:colOff>
                <xdr:row>6</xdr:row>
                <xdr:rowOff>9</xdr:rowOff>
              </xdr:to>
            </anchor>
          </commentPr>
        </mc:Choice>
        <mc:Fallback/>
      </mc:AlternateContent>
    </comment>
    <comment ref="A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50</xdr:rowOff>
              </xdr:from>
              <xdr:to>
                <xdr:col>3</xdr:col>
                <xdr:colOff>83</xdr:colOff>
                <xdr:row>6</xdr:row>
                <xdr:rowOff>11</xdr:rowOff>
              </xdr:to>
            </anchor>
          </commentPr>
        </mc:Choice>
        <mc:Fallback/>
      </mc:AlternateContent>
    </comment>
    <comment ref="A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52</xdr:rowOff>
              </xdr:from>
              <xdr:to>
                <xdr:col>3</xdr:col>
                <xdr:colOff>83</xdr:colOff>
                <xdr:row>6</xdr:row>
                <xdr:rowOff>13</xdr:rowOff>
              </xdr:to>
            </anchor>
          </commentPr>
        </mc:Choice>
        <mc:Fallback/>
      </mc:AlternateContent>
    </comment>
    <comment ref="A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A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37</xdr:rowOff>
              </xdr:from>
              <xdr:to>
                <xdr:col>3</xdr:col>
                <xdr:colOff>83</xdr:colOff>
                <xdr:row>5</xdr:row>
                <xdr:rowOff>20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39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41</xdr:rowOff>
              </xdr:from>
              <xdr:to>
                <xdr:col>3</xdr:col>
                <xdr:colOff>83</xdr:colOff>
                <xdr:row>6</xdr:row>
                <xdr:rowOff>2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43</xdr:rowOff>
              </xdr:from>
              <xdr:to>
                <xdr:col>3</xdr:col>
                <xdr:colOff>83</xdr:colOff>
                <xdr:row>6</xdr:row>
                <xdr:rowOff>4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45</xdr:rowOff>
              </xdr:from>
              <xdr:to>
                <xdr:col>3</xdr:col>
                <xdr:colOff>83</xdr:colOff>
                <xdr:row>6</xdr:row>
                <xdr:rowOff>5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3</xdr:col>
                <xdr:colOff>83</xdr:colOff>
                <xdr:row>6</xdr:row>
                <xdr:rowOff>7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48</xdr:rowOff>
              </xdr:from>
              <xdr:to>
                <xdr:col>3</xdr:col>
                <xdr:colOff>83</xdr:colOff>
                <xdr:row>6</xdr:row>
                <xdr:rowOff>9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50</xdr:rowOff>
              </xdr:from>
              <xdr:to>
                <xdr:col>3</xdr:col>
                <xdr:colOff>83</xdr:colOff>
                <xdr:row>6</xdr:row>
                <xdr:rowOff>11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52</xdr:rowOff>
              </xdr:from>
              <xdr:to>
                <xdr:col>3</xdr:col>
                <xdr:colOff>83</xdr:colOff>
                <xdr:row>6</xdr:row>
                <xdr:rowOff>13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B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37</xdr:rowOff>
              </xdr:from>
              <xdr:to>
                <xdr:col>3</xdr:col>
                <xdr:colOff>83</xdr:colOff>
                <xdr:row>5</xdr:row>
                <xdr:rowOff>20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39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41</xdr:rowOff>
              </xdr:from>
              <xdr:to>
                <xdr:col>3</xdr:col>
                <xdr:colOff>83</xdr:colOff>
                <xdr:row>6</xdr:row>
                <xdr:rowOff>2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43</xdr:rowOff>
              </xdr:from>
              <xdr:to>
                <xdr:col>3</xdr:col>
                <xdr:colOff>83</xdr:colOff>
                <xdr:row>6</xdr:row>
                <xdr:rowOff>4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45</xdr:rowOff>
              </xdr:from>
              <xdr:to>
                <xdr:col>3</xdr:col>
                <xdr:colOff>83</xdr:colOff>
                <xdr:row>6</xdr:row>
                <xdr:rowOff>5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3</xdr:col>
                <xdr:colOff>83</xdr:colOff>
                <xdr:row>6</xdr:row>
                <xdr:rowOff>7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48</xdr:rowOff>
              </xdr:from>
              <xdr:to>
                <xdr:col>3</xdr:col>
                <xdr:colOff>83</xdr:colOff>
                <xdr:row>6</xdr:row>
                <xdr:rowOff>9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50</xdr:rowOff>
              </xdr:from>
              <xdr:to>
                <xdr:col>3</xdr:col>
                <xdr:colOff>83</xdr:colOff>
                <xdr:row>6</xdr:row>
                <xdr:rowOff>11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52</xdr:rowOff>
              </xdr:from>
              <xdr:to>
                <xdr:col>3</xdr:col>
                <xdr:colOff>83</xdr:colOff>
                <xdr:row>6</xdr:row>
                <xdr:rowOff>13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C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37</xdr:rowOff>
              </xdr:from>
              <xdr:to>
                <xdr:col>3</xdr:col>
                <xdr:colOff>83</xdr:colOff>
                <xdr:row>5</xdr:row>
                <xdr:rowOff>20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39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41</xdr:rowOff>
              </xdr:from>
              <xdr:to>
                <xdr:col>3</xdr:col>
                <xdr:colOff>83</xdr:colOff>
                <xdr:row>6</xdr:row>
                <xdr:rowOff>2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43</xdr:rowOff>
              </xdr:from>
              <xdr:to>
                <xdr:col>3</xdr:col>
                <xdr:colOff>83</xdr:colOff>
                <xdr:row>6</xdr:row>
                <xdr:rowOff>4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45</xdr:rowOff>
              </xdr:from>
              <xdr:to>
                <xdr:col>3</xdr:col>
                <xdr:colOff>83</xdr:colOff>
                <xdr:row>6</xdr:row>
                <xdr:rowOff>5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3</xdr:col>
                <xdr:colOff>83</xdr:colOff>
                <xdr:row>6</xdr:row>
                <xdr:rowOff>7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48</xdr:rowOff>
              </xdr:from>
              <xdr:to>
                <xdr:col>3</xdr:col>
                <xdr:colOff>83</xdr:colOff>
                <xdr:row>6</xdr:row>
                <xdr:rowOff>9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50</xdr:rowOff>
              </xdr:from>
              <xdr:to>
                <xdr:col>3</xdr:col>
                <xdr:colOff>83</xdr:colOff>
                <xdr:row>6</xdr:row>
                <xdr:rowOff>11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52</xdr:rowOff>
              </xdr:from>
              <xdr:to>
                <xdr:col>3</xdr:col>
                <xdr:colOff>83</xdr:colOff>
                <xdr:row>6</xdr:row>
                <xdr:rowOff>13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D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37</xdr:rowOff>
              </xdr:from>
              <xdr:to>
                <xdr:col>3</xdr:col>
                <xdr:colOff>83</xdr:colOff>
                <xdr:row>5</xdr:row>
                <xdr:rowOff>20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39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41</xdr:rowOff>
              </xdr:from>
              <xdr:to>
                <xdr:col>3</xdr:col>
                <xdr:colOff>83</xdr:colOff>
                <xdr:row>6</xdr:row>
                <xdr:rowOff>2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43</xdr:rowOff>
              </xdr:from>
              <xdr:to>
                <xdr:col>3</xdr:col>
                <xdr:colOff>83</xdr:colOff>
                <xdr:row>6</xdr:row>
                <xdr:rowOff>4</xdr:rowOff>
              </xdr:to>
            </anchor>
          </commentPr>
        </mc:Choice>
        <mc:Fallback/>
      </mc:AlternateContent>
    </comment>
    <comment ref="E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45</xdr:rowOff>
              </xdr:from>
              <xdr:to>
                <xdr:col>3</xdr:col>
                <xdr:colOff>83</xdr:colOff>
                <xdr:row>6</xdr:row>
                <xdr:rowOff>5</xdr:rowOff>
              </xdr:to>
            </anchor>
          </commentPr>
        </mc:Choice>
        <mc:Fallback/>
      </mc:AlternateContent>
    </comment>
    <comment ref="E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3</xdr:col>
                <xdr:colOff>83</xdr:colOff>
                <xdr:row>6</xdr:row>
                <xdr:rowOff>7</xdr:rowOff>
              </xdr:to>
            </anchor>
          </commentPr>
        </mc:Choice>
        <mc:Fallback/>
      </mc:AlternateContent>
    </comment>
    <comment ref="E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48</xdr:rowOff>
              </xdr:from>
              <xdr:to>
                <xdr:col>3</xdr:col>
                <xdr:colOff>83</xdr:colOff>
                <xdr:row>6</xdr:row>
                <xdr:rowOff>9</xdr:rowOff>
              </xdr:to>
            </anchor>
          </commentPr>
        </mc:Choice>
        <mc:Fallback/>
      </mc:AlternateContent>
    </comment>
    <comment ref="E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50</xdr:rowOff>
              </xdr:from>
              <xdr:to>
                <xdr:col>3</xdr:col>
                <xdr:colOff>83</xdr:colOff>
                <xdr:row>6</xdr:row>
                <xdr:rowOff>11</xdr:rowOff>
              </xdr:to>
            </anchor>
          </commentPr>
        </mc:Choice>
        <mc:Fallback/>
      </mc:AlternateContent>
    </comment>
    <comment ref="E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52</xdr:rowOff>
              </xdr:from>
              <xdr:to>
                <xdr:col>3</xdr:col>
                <xdr:colOff>83</xdr:colOff>
                <xdr:row>6</xdr:row>
                <xdr:rowOff>13</xdr:rowOff>
              </xdr:to>
            </anchor>
          </commentPr>
        </mc:Choice>
        <mc:Fallback/>
      </mc:AlternateContent>
    </comment>
    <comment ref="E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E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83</xdr:colOff>
                <xdr:row>5</xdr:row>
                <xdr:rowOff>18</xdr:rowOff>
              </xdr:to>
            </anchor>
          </commentPr>
        </mc:Choice>
        <mc:Fallback/>
      </mc:AlternateContent>
    </comment>
    <comment ref="F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37</xdr:rowOff>
              </xdr:from>
              <xdr:to>
                <xdr:col>3</xdr:col>
                <xdr:colOff>83</xdr:colOff>
                <xdr:row>5</xdr:row>
                <xdr:rowOff>20</xdr:rowOff>
              </xdr:to>
            </anchor>
          </commentPr>
        </mc:Choice>
        <mc:Fallback/>
      </mc:AlternateContent>
    </comment>
    <comment ref="F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39</xdr:rowOff>
              </xdr:from>
              <xdr:to>
                <xdr:col>3</xdr:col>
                <xdr:colOff>83</xdr:colOff>
                <xdr:row>5</xdr:row>
                <xdr:rowOff>22</xdr:rowOff>
              </xdr:to>
            </anchor>
          </commentPr>
        </mc:Choice>
        <mc:Fallback/>
      </mc:AlternateContent>
    </comment>
    <comment ref="F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41</xdr:rowOff>
              </xdr:from>
              <xdr:to>
                <xdr:col>3</xdr:col>
                <xdr:colOff>83</xdr:colOff>
                <xdr:row>6</xdr:row>
                <xdr:rowOff>2</xdr:rowOff>
              </xdr:to>
            </anchor>
          </commentPr>
        </mc:Choice>
        <mc:Fallback/>
      </mc:AlternateContent>
    </comment>
    <comment ref="F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43</xdr:rowOff>
              </xdr:from>
              <xdr:to>
                <xdr:col>3</xdr:col>
                <xdr:colOff>83</xdr:colOff>
                <xdr:row>6</xdr:row>
                <xdr:rowOff>4</xdr:rowOff>
              </xdr:to>
            </anchor>
          </commentPr>
        </mc:Choice>
        <mc:Fallback/>
      </mc:AlternateContent>
    </comment>
    <comment ref="F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45</xdr:rowOff>
              </xdr:from>
              <xdr:to>
                <xdr:col>3</xdr:col>
                <xdr:colOff>83</xdr:colOff>
                <xdr:row>6</xdr:row>
                <xdr:rowOff>5</xdr:rowOff>
              </xdr:to>
            </anchor>
          </commentPr>
        </mc:Choice>
        <mc:Fallback/>
      </mc:AlternateContent>
    </comment>
    <comment ref="F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3</xdr:col>
                <xdr:colOff>83</xdr:colOff>
                <xdr:row>6</xdr:row>
                <xdr:rowOff>7</xdr:rowOff>
              </xdr:to>
            </anchor>
          </commentPr>
        </mc:Choice>
        <mc:Fallback/>
      </mc:AlternateContent>
    </comment>
    <comment ref="F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48</xdr:rowOff>
              </xdr:from>
              <xdr:to>
                <xdr:col>3</xdr:col>
                <xdr:colOff>83</xdr:colOff>
                <xdr:row>6</xdr:row>
                <xdr:rowOff>9</xdr:rowOff>
              </xdr:to>
            </anchor>
          </commentPr>
        </mc:Choice>
        <mc:Fallback/>
      </mc:AlternateContent>
    </comment>
    <comment ref="F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50</xdr:rowOff>
              </xdr:from>
              <xdr:to>
                <xdr:col>3</xdr:col>
                <xdr:colOff>83</xdr:colOff>
                <xdr:row>6</xdr:row>
                <xdr:rowOff>11</xdr:rowOff>
              </xdr:to>
            </anchor>
          </commentPr>
        </mc:Choice>
        <mc:Fallback/>
      </mc:AlternateContent>
    </comment>
    <comment ref="F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52</xdr:rowOff>
              </xdr:from>
              <xdr:to>
                <xdr:col>3</xdr:col>
                <xdr:colOff>83</xdr:colOff>
                <xdr:row>6</xdr:row>
                <xdr:rowOff>13</xdr:rowOff>
              </xdr:to>
            </anchor>
          </commentPr>
        </mc:Choice>
        <mc:Fallback/>
      </mc:AlternateContent>
    </comment>
    <comment ref="F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  <comment ref="F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54</xdr:rowOff>
              </xdr:from>
              <xdr:to>
                <xdr:col>3</xdr:col>
                <xdr:colOff>83</xdr:colOff>
                <xdr:row>6</xdr:row>
                <xdr:rowOff>15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6" authorId="0">
      <text>
        <r>
          <rPr>
            <sz val="10"/>
            <rFont val="Arial"/>
            <family val="2"/>
          </rPr>
          <t xml:space="preserve">Tanım: USD pozisyon metriği | Neden önemli: Açık pozisyon riskini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3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EUR pozisyon metriği | Neden önemli: Açık pozisyon riskini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3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GBP pozisyon metriği | Neden önemli: Açık pozisyon riskini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3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CHF pozisyon metriği | Neden önemli: Açık pozisyon riskini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3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Diğer pozisyon metriği | Neden önemli: Açık pozisyon riskini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3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USD pozisyon metriği | Neden önemli: Açık pozisyon riskini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3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EUR pozisyon metriği | Neden önemli: Açık pozisyon riskini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3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GBP pozisyon metriği | Neden önemli: Açık pozisyon riskini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3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CHF pozisyon metriği | Neden önemli: Açık pozisyon riskini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3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Diğer pozisyon metriği | Neden önemli: Açık pozisyon riskini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3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Tanım: USD pozisyon metriği | Neden önemli: Açık pozisyon riskini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3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Tanım: EUR pozisyon metriği | Neden önemli: Açık pozisyon riskini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3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Tanım: GBP pozisyon metriği | Neden önemli: Açık pozisyon riskini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3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Tanım: CHF pozisyon metriği | Neden önemli: Açık pozisyon riskini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3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Tanım: Diğer pozisyon metriği | Neden önemli: Açık pozisyon riskini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3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Arial"/>
            <family val="2"/>
          </rPr>
          <t xml:space="preserve">Tanım: USD pozisyon metriği | Neden önemli: Açık pozisyon riskini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3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Tanım: EUR pozisyon metriği | Neden önemli: Açık pozisyon riskini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3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Tanım: GBP pozisyon metriği | Neden önemli: Açık pozisyon riskini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3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Tanım: CHF pozisyon metriği | Neden önemli: Açık pozisyon riskini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3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Arial"/>
            <family val="2"/>
          </rPr>
          <t xml:space="preserve">Tanım: Diğer pozisyon metriği | Neden önemli: Açık pozisyon riskini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3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F6" authorId="0">
      <text>
        <r>
          <rPr>
            <sz val="10"/>
            <rFont val="Arial"/>
            <family val="2"/>
          </rPr>
          <t xml:space="preserve">Tanım: USD pozisyon metriği | Neden önemli: Açık pozisyon riskini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3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F7" authorId="0">
      <text>
        <r>
          <rPr>
            <sz val="10"/>
            <rFont val="Arial"/>
            <family val="2"/>
          </rPr>
          <t xml:space="preserve">Tanım: EUR pozisyon metriği | Neden önemli: Açık pozisyon riskini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3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F8" authorId="0">
      <text>
        <r>
          <rPr>
            <sz val="10"/>
            <rFont val="Arial"/>
            <family val="2"/>
          </rPr>
          <t xml:space="preserve">Tanım: GBP pozisyon metriği | Neden önemli: Açık pozisyon riskini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3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F9" authorId="0">
      <text>
        <r>
          <rPr>
            <sz val="10"/>
            <rFont val="Arial"/>
            <family val="2"/>
          </rPr>
          <t xml:space="preserve">Tanım: CHF pozisyon metriği | Neden önemli: Açık pozisyon riskini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3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F10" authorId="0">
      <text>
        <r>
          <rPr>
            <sz val="10"/>
            <rFont val="Arial"/>
            <family val="2"/>
          </rPr>
          <t xml:space="preserve">Tanım: Diğer pozisyon metriği | Neden önemli: Açık pozisyon riskini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3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G6" authorId="0">
      <text>
        <r>
          <rPr>
            <sz val="10"/>
            <rFont val="Arial"/>
            <family val="2"/>
          </rPr>
          <t xml:space="preserve">Tanım: USD pozisyon metriği | Neden önemli: Açık pozisyon riskini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3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G7" authorId="0">
      <text>
        <r>
          <rPr>
            <sz val="10"/>
            <rFont val="Arial"/>
            <family val="2"/>
          </rPr>
          <t xml:space="preserve">Tanım: EUR pozisyon metriği | Neden önemli: Açık pozisyon riskini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3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G8" authorId="0">
      <text>
        <r>
          <rPr>
            <sz val="10"/>
            <rFont val="Arial"/>
            <family val="2"/>
          </rPr>
          <t xml:space="preserve">Tanım: GBP pozisyon metriği | Neden önemli: Açık pozisyon riskini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3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G9" authorId="0">
      <text>
        <r>
          <rPr>
            <sz val="10"/>
            <rFont val="Arial"/>
            <family val="2"/>
          </rPr>
          <t xml:space="preserve">Tanım: CHF pozisyon metriği | Neden önemli: Açık pozisyon riskini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3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G10" authorId="0">
      <text>
        <r>
          <rPr>
            <sz val="10"/>
            <rFont val="Arial"/>
            <family val="2"/>
          </rPr>
          <t xml:space="preserve">Tanım: Diğer pozisyon metriği | Neden önemli: Açık pozisyon riskini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3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H6" authorId="0">
      <text>
        <r>
          <rPr>
            <sz val="10"/>
            <rFont val="Arial"/>
            <family val="2"/>
          </rPr>
          <t xml:space="preserve">Tanım: USD pozisyon metriği | Neden önemli: Açık pozisyon riskini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3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H7" authorId="0">
      <text>
        <r>
          <rPr>
            <sz val="10"/>
            <rFont val="Arial"/>
            <family val="2"/>
          </rPr>
          <t xml:space="preserve">Tanım: EUR pozisyon metriği | Neden önemli: Açık pozisyon riskini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3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H8" authorId="0">
      <text>
        <r>
          <rPr>
            <sz val="10"/>
            <rFont val="Arial"/>
            <family val="2"/>
          </rPr>
          <t xml:space="preserve">Tanım: GBP pozisyon metriği | Neden önemli: Açık pozisyon riskini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3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H9" authorId="0">
      <text>
        <r>
          <rPr>
            <sz val="10"/>
            <rFont val="Arial"/>
            <family val="2"/>
          </rPr>
          <t xml:space="preserve">Tanım: CHF pozisyon metriği | Neden önemli: Açık pozisyon riskini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3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H10" authorId="0">
      <text>
        <r>
          <rPr>
            <sz val="10"/>
            <rFont val="Arial"/>
            <family val="2"/>
          </rPr>
          <t xml:space="preserve">Tanım: Diğer pozisyon metriği | Neden önemli: Açık pozisyon riskini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3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I6" authorId="0">
      <text>
        <r>
          <rPr>
            <sz val="10"/>
            <rFont val="Arial"/>
            <family val="2"/>
          </rPr>
          <t xml:space="preserve">Tanım: USD pozisyon metriği | Neden önemli: Açık pozisyon riskini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3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I7" authorId="0">
      <text>
        <r>
          <rPr>
            <sz val="10"/>
            <rFont val="Arial"/>
            <family val="2"/>
          </rPr>
          <t xml:space="preserve">Tanım: EUR pozisyon metriği | Neden önemli: Açık pozisyon riskini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3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I8" authorId="0">
      <text>
        <r>
          <rPr>
            <sz val="10"/>
            <rFont val="Arial"/>
            <family val="2"/>
          </rPr>
          <t xml:space="preserve">Tanım: GBP pozisyon metriği | Neden önemli: Açık pozisyon riskini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3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I9" authorId="0">
      <text>
        <r>
          <rPr>
            <sz val="10"/>
            <rFont val="Arial"/>
            <family val="2"/>
          </rPr>
          <t xml:space="preserve">Tanım: CHF pozisyon metriği | Neden önemli: Açık pozisyon riskini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3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  <comment ref="I10" authorId="0">
      <text>
        <r>
          <rPr>
            <sz val="10"/>
            <rFont val="Arial"/>
            <family val="2"/>
          </rPr>
          <t xml:space="preserve">Tanım: Diğer pozisyon metriği | Neden önemli: Açık pozisyon riskini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3</xdr:col>
                <xdr:colOff>59</xdr:colOff>
                <xdr:row>7</xdr:row>
                <xdr:rowOff>8</xdr:rowOff>
              </xdr:to>
            </anchor>
          </commentPr>
        </mc:Choice>
        <mc:Fallback/>
      </mc:AlternateContent>
    </comment>
  </commentList>
</comments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6" authorId="0">
      <text>
        <r>
          <rPr>
            <sz val="10"/>
            <rFont val="Arial"/>
            <family val="2"/>
          </rPr>
          <t xml:space="preserve">Tanım: Boş döviz cinsi satırı var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Boş tutar var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Negatif tutar var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Negatif kur var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Vade bilgisi eksik mi?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Açık pozisyon eşiği aşılıyor mu?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Stres etkisi eşiği aşılıyor mu?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Kur sapması risk eşiğinde mi?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</commentList>
</comments>
</file>

<file path=xl/comments1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7" authorId="0">
      <text>
        <r>
          <rPr>
            <sz val="10"/>
            <rFont val="Arial"/>
            <family val="2"/>
          </rPr>
          <t xml:space="preserve">Tanım: Döviz cinsi | Neden önemli: Açılır listeyi besler | Doğru kullanım: Yeni cins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34</xdr:colOff>
                <xdr:row>8</xdr:row>
                <xdr:rowOff>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Döviz cinsi | Neden önemli: Açılır listeyi besler | Doğru kullanım: Yeni cins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34</xdr:colOff>
                <xdr:row>8</xdr:row>
                <xdr:rowOff>8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Döviz cinsi | Neden önemli: Açılır listeyi besler | Doğru kullanım: Yeni cins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34</xdr:colOff>
                <xdr:row>8</xdr:row>
                <xdr:rowOff>8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Döviz cinsi | Neden önemli: Açılır listeyi besler | Doğru kullanım: Yeni cins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34</xdr:colOff>
                <xdr:row>8</xdr:row>
                <xdr:rowOff>8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Döviz cinsi | Neden önemli: Açılır listeyi besler | Doğru kullanım: Yeni cins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34</xdr:colOff>
                <xdr:row>8</xdr:row>
                <xdr:rowOff>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14</xdr:colOff>
                <xdr:row>6</xdr:row>
                <xdr:rowOff>18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14</xdr:colOff>
                <xdr:row>6</xdr:row>
                <xdr:rowOff>18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14</xdr:colOff>
                <xdr:row>6</xdr:row>
                <xdr:rowOff>18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14</xdr:colOff>
                <xdr:row>6</xdr:row>
                <xdr:rowOff>18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14</xdr:colOff>
                <xdr:row>6</xdr:row>
                <xdr:rowOff>18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14</xdr:colOff>
                <xdr:row>6</xdr:row>
                <xdr:rowOff>18</xdr:rowOff>
              </xdr:to>
            </anchor>
          </commentPr>
        </mc:Choice>
        <mc:Fallback/>
      </mc:AlternateContent>
    </comment>
  </commentList>
</comments>
</file>

<file path=xl/comments1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Tanım: Panel satır numarası 1 | Neden önemli: PANO'daki aylık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Tanım: Panel satır numarası 2 | Neden önemli: PANO'daki aylık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Tanım: Panel satır numarası 3 | Neden önemli: PANO'daki aylık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Tanım: Panel satır numarası 4 | Neden önemli: PANO'daki aylık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Tanım: Panel satır numarası 5 | Neden önemli: PANO'daki aylık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Tanım: Panel satır numarası 6 | Neden önemli: PANO'daki aylık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Tanım: Panel satır numarası 7 | Neden önemli: PANO'daki aylık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36" authorId="0">
      <text>
        <r>
          <rPr>
            <sz val="10"/>
            <rFont val="Arial"/>
            <family val="2"/>
          </rPr>
          <t xml:space="preserve">Tanım: Panel satır numarası 8 | Neden önemli: PANO'daki aylık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37" authorId="0">
      <text>
        <r>
          <rPr>
            <sz val="10"/>
            <rFont val="Arial"/>
            <family val="2"/>
          </rPr>
          <t xml:space="preserve">Tanım: Panel satır numarası 9 | Neden önemli: PANO'daki aylık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38" authorId="0">
      <text>
        <r>
          <rPr>
            <sz val="10"/>
            <rFont val="Arial"/>
            <family val="2"/>
          </rPr>
          <t xml:space="preserve">Tanım: Panel satır numarası 10 | Neden önemli: PANO'daki aylık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39" authorId="0">
      <text>
        <r>
          <rPr>
            <sz val="10"/>
            <rFont val="Arial"/>
            <family val="2"/>
          </rPr>
          <t xml:space="preserve">Tanım: Panel satır numarası 11 | Neden önemli: PANO'daki aylık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40" authorId="0">
      <text>
        <r>
          <rPr>
            <sz val="10"/>
            <rFont val="Arial"/>
            <family val="2"/>
          </rPr>
          <t xml:space="preserve">Tanım: Panel satır numarası 12 | Neden önemli: PANO'daki aylık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<sst xmlns="http://schemas.openxmlformats.org/spreadsheetml/2006/main" count="473" uniqueCount="328">
  <si>
    <t xml:space="preserve">KAPAK — Döviz Açık Pozisyonu ve Kur Riski Stres Testi</t>
  </si>
  <si>
    <t xml:space="preserve">Döviz Açık Pozisyonu ve Kur Riski Stres Testi</t>
  </si>
  <si>
    <t xml:space="preserve">Döviz cinsi bazında varlık ve borçlarınızı işleyin; açık pozisyonunuzu ve kur şoklarında oluşacak etkiyi stres testiyle görün.</t>
  </si>
  <si>
    <t xml:space="preserve">Bu ürün ne sağlar?</t>
  </si>
  <si>
    <t xml:space="preserve">• Döviz cinsi bazında varlık-borç kaydı ve net açık pozisyon hesabı</t>
  </si>
  <si>
    <t xml:space="preserve">• Kur şoklarının şirket özkaynağına etkisini gösteren stres testi</t>
  </si>
  <si>
    <t xml:space="preserve">• Vade yapısına göre kur riski yoğunlaşma analizi</t>
  </si>
  <si>
    <t xml:space="preserve">• Hangi döviz cinsinin riski en çok artırdığını gösteren tornado</t>
  </si>
  <si>
    <t xml:space="preserve">• UYGUN / İNCELE / DURDUR karar kapısı ve yönetici raporu</t>
  </si>
  <si>
    <t xml:space="preserve">Kimler için?</t>
  </si>
  <si>
    <t xml:space="preserve">• Dövizli alacak-borcu olan ihracatçı ve ithalatçılar</t>
  </si>
  <si>
    <t xml:space="preserve">• Kredi kuruluşlarından döviz kredisi kullananlar</t>
  </si>
  <si>
    <t xml:space="preserve">• Kur hareketlerinin etkisini ölçmek isteyen finans yöneticileri</t>
  </si>
  <si>
    <t xml:space="preserve">Nasıl başlanır?</t>
  </si>
  <si>
    <t xml:space="preserve">1. HIZLI_BASLANGIC sayfasını okuyun. 2. DOVIZ_POZISYONLARI sayfasına dövizli işlemlerinizi girin. 3. PANO ve RAPOR sayfalarından açık pozisyonu ve stres etkisini izleyin.</t>
  </si>
  <si>
    <t xml:space="preserve">Sürüm 1.0.0 | 2026 | ExcelArşiv | Lisans: Tek kullanıcı</t>
  </si>
  <si>
    <t xml:space="preserve">HIZLI BASLANGIC — Döviz Açık Pozisyonu ve Kur Riski Stres Testi</t>
  </si>
  <si>
    <t xml:space="preserve">Nasıl kullanılır?</t>
  </si>
  <si>
    <t xml:space="preserve">Adım 1 — Döviz pozisyonlarını girin</t>
  </si>
  <si>
    <t xml:space="preserve">DOVIZ_POZISYONLARI sayfasındaki sarı hücrelere döviz cinsi, işlem türü (Varlık/Borç), tutar, işlem kuru ve vade bilgisini girin. Her satır bir pozisyondur.</t>
  </si>
  <si>
    <t xml:space="preserve">Adım 2 — Açık pozisyonu izleyin</t>
  </si>
  <si>
    <t xml:space="preserve">HESAP sayfası döviz cinsi bazında varlık, borç, net pozisyon ve TL değerini hesaplar.</t>
  </si>
  <si>
    <t xml:space="preserve">Adım 3 — Stres testi ve karar</t>
  </si>
  <si>
    <t xml:space="preserve">SENARYO_DUYARLILIK kur şoklarını simüle eder; KARAR sayfası UYGUN/İNCELE/DURDUR üretir.</t>
  </si>
  <si>
    <t xml:space="preserve">Adım 4 — Eşikleri ayarlayın</t>
  </si>
  <si>
    <t xml:space="preserve">Açık pozisyon ve stres eşikleri AYARLAR sayfasından değiştirilir.</t>
  </si>
  <si>
    <t xml:space="preserve">Sık yapılan hatalar</t>
  </si>
  <si>
    <t xml:space="preserve">• Borçları negatif tutarla girmek (borç türü pozitif tutarla işlenir)</t>
  </si>
  <si>
    <t xml:space="preserve">• İşlem kurunu KDV dahil ile hariç karıştırmak</t>
  </si>
  <si>
    <t xml:space="preserve">• Vade bilgisini boş bırakmak (vade yapısı analizi bozulur)</t>
  </si>
  <si>
    <t xml:space="preserve">Bu dosya karar destek aracıdır; döviz yatırım tavsiyesi değildir.</t>
  </si>
  <si>
    <t xml:space="preserve">DOVIZ POZISYONLARI — Döviz Açık Pozisyonu ve Kur Riski Stres Testi</t>
  </si>
  <si>
    <t xml:space="preserve">Döviz Pozisyonları</t>
  </si>
  <si>
    <t xml:space="preserve">Sarı hücrelere manuel veri girin. Her satır bir dövizli işlemdir; TL değer otomatik hesaplanır.</t>
  </si>
  <si>
    <t xml:space="preserve">Tarih</t>
  </si>
  <si>
    <t xml:space="preserve">Döviz Cinsi</t>
  </si>
  <si>
    <t xml:space="preserve">İşlem Türü</t>
  </si>
  <si>
    <t xml:space="preserve">Tutar (Döviz)</t>
  </si>
  <si>
    <t xml:space="preserve">İşlem Kuru</t>
  </si>
  <si>
    <t xml:space="preserve">Vade</t>
  </si>
  <si>
    <t xml:space="preserve">TL Değer (₺)</t>
  </si>
  <si>
    <t xml:space="preserve">Kayıt Açıklaması</t>
  </si>
  <si>
    <t xml:space="preserve">USD</t>
  </si>
  <si>
    <t xml:space="preserve">Varlık</t>
  </si>
  <si>
    <t xml:space="preserve">0-30 Gün</t>
  </si>
  <si>
    <t xml:space="preserve">EUR</t>
  </si>
  <si>
    <t xml:space="preserve">Borç</t>
  </si>
  <si>
    <t xml:space="preserve">31-90 Gün</t>
  </si>
  <si>
    <t xml:space="preserve">GBP</t>
  </si>
  <si>
    <t xml:space="preserve">91-180 Gün</t>
  </si>
  <si>
    <t xml:space="preserve">CHF</t>
  </si>
  <si>
    <t xml:space="preserve">181+ Gün</t>
  </si>
  <si>
    <t xml:space="preserve">Sarı hücreler manuel giriştir; formül hücreleri kilitli ve korumalıdır.</t>
  </si>
  <si>
    <t xml:space="preserve">HESAP — Döviz Açık Pozisyonu ve Kur Riski Stres Testi</t>
  </si>
  <si>
    <t xml:space="preserve">Döviz Cinsi Bazlı Açık Pozisyon Hesabı</t>
  </si>
  <si>
    <t xml:space="preserve">Aşağıdaki özet döviz cinslerine göre pozisyonlardan otomatik beslenir; elle değiştirilmez.</t>
  </si>
  <si>
    <t xml:space="preserve">Döviz</t>
  </si>
  <si>
    <t xml:space="preserve">Varlık Tutar</t>
  </si>
  <si>
    <t xml:space="preserve">Borç Tutar</t>
  </si>
  <si>
    <t xml:space="preserve">Net Pozisyon</t>
  </si>
  <si>
    <t xml:space="preserve">Ortalama Kur</t>
  </si>
  <si>
    <t xml:space="preserve">TL Varlık (₺)</t>
  </si>
  <si>
    <t xml:space="preserve">TL Borç (₺)</t>
  </si>
  <si>
    <t xml:space="preserve">TL Net Pozisyon (₺)</t>
  </si>
  <si>
    <t xml:space="preserve">Kur Riski (₺)</t>
  </si>
  <si>
    <t xml:space="preserve">Diğer</t>
  </si>
  <si>
    <t xml:space="preserve">TOPLAM</t>
  </si>
  <si>
    <t xml:space="preserve">Net Açık Pozisyon (TL)</t>
  </si>
  <si>
    <t xml:space="preserve">Mutlak Açık Pozisyon (TL)</t>
  </si>
  <si>
    <t xml:space="preserve">Açık Pozisyon Yönü</t>
  </si>
  <si>
    <t xml:space="preserve">Stres Etkisi (Kötümser Şok)</t>
  </si>
  <si>
    <t xml:space="preserve">En Riskli Döviz Cinsi</t>
  </si>
  <si>
    <t xml:space="preserve">Hesap satırları yalnızca döviz pozisyonlarından beslenir; korumalıdır.</t>
  </si>
  <si>
    <t xml:space="preserve">ANALITIK MOTOR — Döviz Açık Pozisyonu ve Kur Riski Stres Testi</t>
  </si>
  <si>
    <t xml:space="preserve">ANALİTİK MOTOR — DERİNLİK KATMANI</t>
  </si>
  <si>
    <t xml:space="preserve">Kod</t>
  </si>
  <si>
    <t xml:space="preserve">Gösterge</t>
  </si>
  <si>
    <t xml:space="preserve">Değer</t>
  </si>
  <si>
    <t xml:space="preserve">Makine Yorumu</t>
  </si>
  <si>
    <t xml:space="preserve">T1</t>
  </si>
  <si>
    <t xml:space="preserve">Vade Yapısı: 0-30 Gün Payı</t>
  </si>
  <si>
    <t xml:space="preserve">T2</t>
  </si>
  <si>
    <t xml:space="preserve">Ortalama İşlem Kuru</t>
  </si>
  <si>
    <t xml:space="preserve">O1</t>
  </si>
  <si>
    <t xml:space="preserve">Kur Sapması (STDEV)</t>
  </si>
  <si>
    <t xml:space="preserve">O2</t>
  </si>
  <si>
    <t xml:space="preserve">Tornado: En Büyük Stres Etkisi</t>
  </si>
  <si>
    <t xml:space="preserve">O3</t>
  </si>
  <si>
    <t xml:space="preserve">Senaryo Bant Genişliği</t>
  </si>
  <si>
    <t xml:space="preserve">O6</t>
  </si>
  <si>
    <t xml:space="preserve">Döviz Yoğunlaşması (HHI)</t>
  </si>
  <si>
    <t xml:space="preserve">O8</t>
  </si>
  <si>
    <t xml:space="preserve">Veri Kalite Skoru</t>
  </si>
  <si>
    <t xml:space="preserve">I1</t>
  </si>
  <si>
    <t xml:space="preserve">Gelecek Kur Seviyesi Tahmini</t>
  </si>
  <si>
    <t xml:space="preserve">I2</t>
  </si>
  <si>
    <t xml:space="preserve">Pozisyon Tutarı Yüzdelik P90</t>
  </si>
  <si>
    <t xml:space="preserve">KONTROLLER — Döviz Açık Pozisyonu ve Kur Riski Stres Testi</t>
  </si>
  <si>
    <t xml:space="preserve">Giriş Kalite Kontrolleri</t>
  </si>
  <si>
    <t xml:space="preserve">Aşağıdaki kontroller canlı formüllerle çalışır; sorun varsa uyarı üretir.</t>
  </si>
  <si>
    <t xml:space="preserve">Boş döviz cinsi satırı var mı?</t>
  </si>
  <si>
    <t xml:space="preserve">Boş tutar var mı?</t>
  </si>
  <si>
    <t xml:space="preserve">Negatif tutar var mı?</t>
  </si>
  <si>
    <t xml:space="preserve">Negatif kur var mı?</t>
  </si>
  <si>
    <t xml:space="preserve">Vade bilgisi eksik mi?</t>
  </si>
  <si>
    <t xml:space="preserve">Açık pozisyon eşiği aşılıyor mu?</t>
  </si>
  <si>
    <t xml:space="preserve">Stres etkisi eşiği aşılıyor mu?</t>
  </si>
  <si>
    <t xml:space="preserve">Kur sapması risk eşiğinde mi?</t>
  </si>
  <si>
    <t xml:space="preserve">Veri Kalitesi Skoru (0-100)</t>
  </si>
  <si>
    <t xml:space="preserve">Boş ve negatif girişlerin oranına göre üretilen kalite skoru.</t>
  </si>
  <si>
    <t xml:space="preserve">Toplam Giriş Hücresi</t>
  </si>
  <si>
    <t xml:space="preserve">Dolu Giriş Hücresi</t>
  </si>
  <si>
    <t xml:space="preserve">Kalite Skoru</t>
  </si>
  <si>
    <t xml:space="preserve">Kalite Seviyesi</t>
  </si>
  <si>
    <t xml:space="preserve">Kontroller yalnızca giriş verisini denetler; değerleri değiştirmez.</t>
  </si>
  <si>
    <t xml:space="preserve">KARAR — Döviz Açık Pozisyonu ve Kur Riski Stres Testi</t>
  </si>
  <si>
    <t xml:space="preserve">Karar Kapısı — Döviz Açık Pozisyon Riski</t>
  </si>
  <si>
    <t xml:space="preserve">Açık pozisyon, stres etkisi ve kur sapmasına göre üretilen karar.</t>
  </si>
  <si>
    <t xml:space="preserve">Stres Etkisi (Kötümser)</t>
  </si>
  <si>
    <t xml:space="preserve">Kur Sapması</t>
  </si>
  <si>
    <t xml:space="preserve">Pozisyon Yönü</t>
  </si>
  <si>
    <t xml:space="preserve">KARAR</t>
  </si>
  <si>
    <t xml:space="preserve">Gerekçe</t>
  </si>
  <si>
    <t xml:space="preserve">Önerilen Aksiyonlar</t>
  </si>
  <si>
    <t xml:space="preserve">Aksiyon 1</t>
  </si>
  <si>
    <t xml:space="preserve">Aksiyon 2</t>
  </si>
  <si>
    <t xml:space="preserve">Aksiyon 3</t>
  </si>
  <si>
    <t xml:space="preserve">Karar yalnızca giriş verisi ve AYARLAR'daki eşiklerden türetilir; döviz yatırım tavsiyesi değildir.</t>
  </si>
  <si>
    <t xml:space="preserve">PANO — Döviz Açık Pozisyonu ve Kur Riski Stres Testi</t>
  </si>
  <si>
    <t xml:space="preserve">Yönetim Paneli</t>
  </si>
  <si>
    <t xml:space="preserve">Toplam Döviz Varlık (TL)</t>
  </si>
  <si>
    <t xml:space="preserve">Toplam Döviz Borç (TL)</t>
  </si>
  <si>
    <t xml:space="preserve">Stres Etkisi (₺)</t>
  </si>
  <si>
    <t xml:space="preserve">Karar</t>
  </si>
  <si>
    <t xml:space="preserve">En Riskli Döviz</t>
  </si>
  <si>
    <t xml:space="preserve">Döviz Cinsi Bazlı TL Değer</t>
  </si>
  <si>
    <t xml:space="preserve">Aylık Toplam İşlem Tutarı (Döviz)</t>
  </si>
  <si>
    <t xml:space="preserve">AY1</t>
  </si>
  <si>
    <t xml:space="preserve">AY2</t>
  </si>
  <si>
    <t xml:space="preserve">AY3</t>
  </si>
  <si>
    <t xml:space="preserve">AY4</t>
  </si>
  <si>
    <t xml:space="preserve">AY5</t>
  </si>
  <si>
    <t xml:space="preserve">AY6</t>
  </si>
  <si>
    <t xml:space="preserve">AY7</t>
  </si>
  <si>
    <t xml:space="preserve">AY8</t>
  </si>
  <si>
    <t xml:space="preserve">AY9</t>
  </si>
  <si>
    <t xml:space="preserve">AY10</t>
  </si>
  <si>
    <t xml:space="preserve">AY11</t>
  </si>
  <si>
    <t xml:space="preserve">AY12</t>
  </si>
  <si>
    <t xml:space="preserve">Gelecek 1 Ay Kur Tahmini (Tahmin Aralıklı)</t>
  </si>
  <si>
    <t xml:space="preserve">Son 12 Ay Ortalama Kur</t>
  </si>
  <si>
    <t xml:space="preserve">Son 12 Ay Kur Standart Sapma</t>
  </si>
  <si>
    <t xml:space="preserve">Alt Tahmin Sınırı</t>
  </si>
  <si>
    <t xml:space="preserve">Üst Tahmin Sınırı</t>
  </si>
  <si>
    <t xml:space="preserve">Senaryo TL Etkisi</t>
  </si>
  <si>
    <t xml:space="preserve">İyimser</t>
  </si>
  <si>
    <t xml:space="preserve">Baz</t>
  </si>
  <si>
    <t xml:space="preserve">Kötümser</t>
  </si>
  <si>
    <t xml:space="preserve">Kritik</t>
  </si>
  <si>
    <t xml:space="preserve">Paneldeki tüm göstergeler canlı formüllerden beslenir.</t>
  </si>
  <si>
    <t xml:space="preserve">SENARYO DUYARLILIK — Döviz Açık Pozisyonu ve Kur Riski Stres Testi</t>
  </si>
  <si>
    <t xml:space="preserve">Senaryo ve Duyarlılık Analizi</t>
  </si>
  <si>
    <t xml:space="preserve">İyimser, baz, kötümser ve kritik kur senaryolarında TL etkisi; ardından hangi değişkenin sonucu en çok etkilediğini gösteren tornado analizi.</t>
  </si>
  <si>
    <t xml:space="preserve">Senaryo</t>
  </si>
  <si>
    <t xml:space="preserve">Kur Şok Oranı</t>
  </si>
  <si>
    <t xml:space="preserve">TL Etkisi</t>
  </si>
  <si>
    <t xml:space="preserve">Pozisyon Etki Oranı</t>
  </si>
  <si>
    <t xml:space="preserve">İYİMSER</t>
  </si>
  <si>
    <t xml:space="preserve">BAZ</t>
  </si>
  <si>
    <t xml:space="preserve">KÖTÜMSER</t>
  </si>
  <si>
    <t xml:space="preserve">KRİTİK</t>
  </si>
  <si>
    <t xml:space="preserve">Tornado: TL Etkiye Katkı</t>
  </si>
  <si>
    <t xml:space="preserve">Kur +%1 Etkisi</t>
  </si>
  <si>
    <t xml:space="preserve">Pozisyon +%1 Etkisi</t>
  </si>
  <si>
    <t xml:space="preserve">En Etkili Değişken</t>
  </si>
  <si>
    <t xml:space="preserve">Senaryo şokları AYARLAR'daki çarpanlardan türetilir.</t>
  </si>
  <si>
    <t xml:space="preserve">DÖVİZ AÇIK POZİSYONU VE KUR RİSKİ — YÖNETİCİ ÖZETİ</t>
  </si>
  <si>
    <t xml:space="preserve">Varsayımlar ve Önemli Notlar</t>
  </si>
  <si>
    <t xml:space="preserve">• Net pozisyon; varlık eksi borç olarak hesaplanır; pozitif fazla varlık, negatif fazla borç demektir.</t>
  </si>
  <si>
    <t xml:space="preserve">• Kur şokları AYARLAR'daki senaryo çarpanlarından türetilir; gerçekleşmiş veri değildir.</t>
  </si>
  <si>
    <t xml:space="preserve">• Kur riski, pozisyonun kur şokuna duyarlılığını gösterir; türev koruma (hedge) maliyeti dahil değildir.</t>
  </si>
  <si>
    <t xml:space="preserve">• Bu dosya döviz yatırım tavsiyesi değildir; kur riski karar destek aracıdır.</t>
  </si>
  <si>
    <t xml:space="preserve">• Demo veriler gerçek müşteri verisi değildir; kullanımdan önce temizlenmelidir.</t>
  </si>
  <si>
    <t xml:space="preserve">Bu rapor karar destek amaçlıdır; mali tavsiye niteliği taşımaz.</t>
  </si>
  <si>
    <t xml:space="preserve">ORNEK VERI — Döviz Açık Pozisyonu ve Kur Riski Stres Testi</t>
  </si>
  <si>
    <t xml:space="preserve">Örnek Veri (Demo)</t>
  </si>
  <si>
    <t xml:space="preserve">Gerçek girişlere başlamadan önce demo veri ile ürünü deneyin. Bu satırlar örnektir; gerçek verilerle değiştirin.</t>
  </si>
  <si>
    <t xml:space="preserve">Not</t>
  </si>
  <si>
    <t xml:space="preserve">2026-01-05</t>
  </si>
  <si>
    <t xml:space="preserve">2026-01-12</t>
  </si>
  <si>
    <t xml:space="preserve">2026-02-03</t>
  </si>
  <si>
    <t xml:space="preserve">2026-02-18</t>
  </si>
  <si>
    <t xml:space="preserve">2026-03-07</t>
  </si>
  <si>
    <t xml:space="preserve">2026-03-21</t>
  </si>
  <si>
    <t xml:space="preserve">Demo veriler rapor sonuçlarını örnekler; satın alma sonrası silinerek gerçek veriler girilir.</t>
  </si>
  <si>
    <t xml:space="preserve">DEGISIKLIK KAYDI — Döviz Açık Pozisyonu ve Kur Riski Stres Testi</t>
  </si>
  <si>
    <t xml:space="preserve">Değişiklik Kaydı</t>
  </si>
  <si>
    <t xml:space="preserve">Sürüm</t>
  </si>
  <si>
    <t xml:space="preserve">Değişiklik</t>
  </si>
  <si>
    <t xml:space="preserve">Neden</t>
  </si>
  <si>
    <t xml:space="preserve">Yapan</t>
  </si>
  <si>
    <t xml:space="preserve">01.08.2026</t>
  </si>
  <si>
    <t xml:space="preserve">1.0.0</t>
  </si>
  <si>
    <t xml:space="preserve">İlk üretim</t>
  </si>
  <si>
    <t xml:space="preserve">Ürünün yayına hazırlanması</t>
  </si>
  <si>
    <t xml:space="preserve">ExcelArşiv</t>
  </si>
  <si>
    <t xml:space="preserve">LISTELER — Döviz Açık Pozisyonu ve Kur Riski Stres Testi</t>
  </si>
  <si>
    <t xml:space="preserve">Bağlı Listeler</t>
  </si>
  <si>
    <t xml:space="preserve">Bu sayfadaki listeler açılır menüleri besler; yeni seçenek eklemek için sarı hücrelere yazın.</t>
  </si>
  <si>
    <t xml:space="preserve">Vade Dilimi</t>
  </si>
  <si>
    <t xml:space="preserve">AYARLAR — Döviz Açık Pozisyonu ve Kur Riski Stres Testi</t>
  </si>
  <si>
    <t xml:space="preserve">Sistem Ayarları ve Oranlar</t>
  </si>
  <si>
    <t xml:space="preserve">Tüm sabitler bu sayfadadır. Eşikleri ve çarpanları kendi işletmenize göre güncelleyin. Değişen her değer tüm hesaplamalara anında yansır.</t>
  </si>
  <si>
    <t xml:space="preserve">anahtar</t>
  </si>
  <si>
    <t xml:space="preserve">deger</t>
  </si>
  <si>
    <t xml:space="preserve">birim</t>
  </si>
  <si>
    <t xml:space="preserve">alt</t>
  </si>
  <si>
    <t xml:space="preserve">ust</t>
  </si>
  <si>
    <t xml:space="preserve">aciklama</t>
  </si>
  <si>
    <t xml:space="preserve">kaynak</t>
  </si>
  <si>
    <t xml:space="preserve">yururluk_tarihi</t>
  </si>
  <si>
    <t xml:space="preserve">dogrulama_tarihi</t>
  </si>
  <si>
    <t xml:space="preserve">FirmaUnvan</t>
  </si>
  <si>
    <t xml:space="preserve">Örnek Firma A.Ş.</t>
  </si>
  <si>
    <t xml:space="preserve">Metin</t>
  </si>
  <si>
    <t xml:space="preserve">Rapor ve kapakta görünen firma adı.</t>
  </si>
  <si>
    <t xml:space="preserve">Kullanıcı</t>
  </si>
  <si>
    <t xml:space="preserve">RaporTarihi</t>
  </si>
  <si>
    <t xml:space="preserve">Tüm hesapların ve kararın alındığı tarih.</t>
  </si>
  <si>
    <t xml:space="preserve">RaporHazirlayan</t>
  </si>
  <si>
    <t xml:space="preserve">Finans Direktörü</t>
  </si>
  <si>
    <t xml:space="preserve">Raporu hazırlayan kişi/rol.</t>
  </si>
  <si>
    <t xml:space="preserve">DosyaSurumu</t>
  </si>
  <si>
    <t xml:space="preserve">Ürün sürüm bilgisi; rapor alt bilgisinde görünür.</t>
  </si>
  <si>
    <t xml:space="preserve">DovizAcikEsik</t>
  </si>
  <si>
    <t xml:space="preserve">TL</t>
  </si>
  <si>
    <t xml:space="preserve">Açık pozisyon TL eşiği; üzerinde karar DURDUR olur.</t>
  </si>
  <si>
    <t xml:space="preserve">Varsayım</t>
  </si>
  <si>
    <t xml:space="preserve">DovizStresEsik</t>
  </si>
  <si>
    <t xml:space="preserve">Oran</t>
  </si>
  <si>
    <t xml:space="preserve">Kötümser senaryo kur şoku oranı (%20).</t>
  </si>
  <si>
    <t xml:space="preserve">DovizStresEtkiEsik</t>
  </si>
  <si>
    <t xml:space="preserve">Stres etkisi bu eşiği aşarsa karar İNCELE olur.</t>
  </si>
  <si>
    <t xml:space="preserve">DovizKurSapmaEsik</t>
  </si>
  <si>
    <t xml:space="preserve">İşlem kuru standart sapması risk eşiği.</t>
  </si>
  <si>
    <t xml:space="preserve">DovizIyiSenaryo</t>
  </si>
  <si>
    <t xml:space="preserve">İyimser senaryo kur şoku (%5 lehine).</t>
  </si>
  <si>
    <t xml:space="preserve">DovizBazSenaryo</t>
  </si>
  <si>
    <t xml:space="preserve">Baz senaryo kur şoku (değişim yok).</t>
  </si>
  <si>
    <t xml:space="preserve">DovizKotuSenaryo</t>
  </si>
  <si>
    <t xml:space="preserve">Kötümser senaryo kur şoku (%10 aleyhine).</t>
  </si>
  <si>
    <t xml:space="preserve">DovizKritikSenaryo</t>
  </si>
  <si>
    <t xml:space="preserve">Kritik senaryo kur şoku (%30 aleyhine).</t>
  </si>
  <si>
    <t xml:space="preserve">DovizTornadoKur</t>
  </si>
  <si>
    <t xml:space="preserve">Kur şokunun %1 artışının TL etkisine katkısı.</t>
  </si>
  <si>
    <t xml:space="preserve">DovizTornadoPozisyon</t>
  </si>
  <si>
    <t xml:space="preserve">Pozisyonun %1 artışının TL etkisine katkısı.</t>
  </si>
  <si>
    <t xml:space="preserve">DovizTahminCarpan</t>
  </si>
  <si>
    <t xml:space="preserve">Tahmin bandı genişliği (standart sapma katı).</t>
  </si>
  <si>
    <t xml:space="preserve">DovizKaliteIyi</t>
  </si>
  <si>
    <t xml:space="preserve">Skor</t>
  </si>
  <si>
    <t xml:space="preserve">Kalite skoru bu eşiğin üzerindeyse YÜKSEK kalite.</t>
  </si>
  <si>
    <t xml:space="preserve">DovizKaliteOrta</t>
  </si>
  <si>
    <t xml:space="preserve">Kalite skoru bu eşiğin üzerindeyse ORTA kalite.</t>
  </si>
  <si>
    <t xml:space="preserve">DovizAksiyon1_ACIKLAMA</t>
  </si>
  <si>
    <t xml:space="preserve">Açık pozisyon eşiği aşılıyorsa pozisyonu küçültün; döviz borcunu TL gelirle dengeleyin.</t>
  </si>
  <si>
    <t xml:space="preserve">DURDUR kararında gösterilen ilk öneri.</t>
  </si>
  <si>
    <t xml:space="preserve">DovizAksiyon2_ACIKLAMA</t>
  </si>
  <si>
    <t xml:space="preserve">Stres etkisi yüksekse kur korumalı mevduat veya forward sözleşmesi değerlendirin.</t>
  </si>
  <si>
    <t xml:space="preserve">İNCELE kararında gösterilen ikinci öneri.</t>
  </si>
  <si>
    <t xml:space="preserve">DovizAksiyon3_ACIKLAMA</t>
  </si>
  <si>
    <t xml:space="preserve">Kur sapması yüksekse döviz alacaklarınızı hızlandırın ve ithalat planınızı gözden geçirin.</t>
  </si>
  <si>
    <t xml:space="preserve">İNCELE kararında gösterilen üçüncü öneri.</t>
  </si>
  <si>
    <t xml:space="preserve">DovizP90Oran</t>
  </si>
  <si>
    <t xml:space="preserve">Pozisyon tutarı dağılımında üst yüzdelik dilimin oranı.</t>
  </si>
  <si>
    <t xml:space="preserve">DovizHacimEsik</t>
  </si>
  <si>
    <t xml:space="preserve">Toplam işlem hacmi (varlık+borç TL) eşiği; üzerinde karar İNCELE olur.</t>
  </si>
  <si>
    <t xml:space="preserve">DovizPanelSatir1</t>
  </si>
  <si>
    <t xml:space="preserve">Satır</t>
  </si>
  <si>
    <t xml:space="preserve">PANO'daki aylık işlem grafiği serisinin tablodaki veri satırı (1. veri).</t>
  </si>
  <si>
    <t xml:space="preserve">DovizPanelSatir2</t>
  </si>
  <si>
    <t xml:space="preserve">PANO'daki aylık işlem grafiği serisinin tablodaki veri satırı (2. veri).</t>
  </si>
  <si>
    <t xml:space="preserve">DovizPanelSatir3</t>
  </si>
  <si>
    <t xml:space="preserve">PANO'daki aylık işlem grafiği serisinin tablodaki veri satırı (3. veri).</t>
  </si>
  <si>
    <t xml:space="preserve">DovizPanelSatir4</t>
  </si>
  <si>
    <t xml:space="preserve">PANO'daki aylık işlem grafiği serisinin tablodaki veri satırı (4. veri).</t>
  </si>
  <si>
    <t xml:space="preserve">DovizPanelSatir5</t>
  </si>
  <si>
    <t xml:space="preserve">PANO'daki aylık işlem grafiği serisinin tablodaki veri satırı (5. veri).</t>
  </si>
  <si>
    <t xml:space="preserve">DovizPanelSatir6</t>
  </si>
  <si>
    <t xml:space="preserve">PANO'daki aylık işlem grafiği serisinin tablodaki veri satırı (6. veri).</t>
  </si>
  <si>
    <t xml:space="preserve">DovizPanelSatir7</t>
  </si>
  <si>
    <t xml:space="preserve">PANO'daki aylık işlem grafiği serisinin tablodaki veri satırı (7. veri).</t>
  </si>
  <si>
    <t xml:space="preserve">DovizPanelSatir8</t>
  </si>
  <si>
    <t xml:space="preserve">PANO'daki aylık işlem grafiği serisinin tablodaki veri satırı (8. veri).</t>
  </si>
  <si>
    <t xml:space="preserve">DovizPanelSatir9</t>
  </si>
  <si>
    <t xml:space="preserve">PANO'daki aylık işlem grafiği serisinin tablodaki veri satırı (9. veri).</t>
  </si>
  <si>
    <t xml:space="preserve">DovizPanelSatir10</t>
  </si>
  <si>
    <t xml:space="preserve">PANO'daki aylık işlem grafiği serisinin tablodaki veri satırı (10. veri).</t>
  </si>
  <si>
    <t xml:space="preserve">DovizPanelSatir11</t>
  </si>
  <si>
    <t xml:space="preserve">PANO'daki aylık işlem grafiği serisinin tablodaki veri satırı (11. veri).</t>
  </si>
  <si>
    <t xml:space="preserve">DovizPanelSatir12</t>
  </si>
  <si>
    <t xml:space="preserve">PANO'daki aylık işlem grafiği serisinin tablodaki veri satırı (12. veri).</t>
  </si>
  <si>
    <t xml:space="preserve">KILAVUZ — Döviz Açık Pozisyonu ve Kur Riski Stres Testi</t>
  </si>
  <si>
    <t xml:space="preserve">Kullanım Kılavuzu</t>
  </si>
  <si>
    <t xml:space="preserve">Veri girişi</t>
  </si>
  <si>
    <t xml:space="preserve">DOVIZ_POZISYONLARI sayfasında sarı hücrelere dövizli işlemlerinizi girin. Döviz cinsini, işlem türünü ve vadeyi listeden seçin; tutar ve kur bilgisini girin.</t>
  </si>
  <si>
    <t xml:space="preserve">Hesap katmanı</t>
  </si>
  <si>
    <t xml:space="preserve">HESAP sayfası döviz cinsi bazlı varlık, borç, net pozisyon, ortalama kur ve stres etkisini otomatik özetler.</t>
  </si>
  <si>
    <t xml:space="preserve">Karar ve rapor</t>
  </si>
  <si>
    <t xml:space="preserve">KARAR sayfası UYGUN/İNCELE/DURDUR kararını üretir; RAPOR yöneticiye sunulabilir.</t>
  </si>
  <si>
    <t xml:space="preserve">Ayarlar</t>
  </si>
  <si>
    <t xml:space="preserve">AYARLAR sayfasındaki eşikleri ve senaryo çarpanlarını finansal danışmanınıza göre güncelleyin.</t>
  </si>
  <si>
    <t xml:space="preserve">Koruma</t>
  </si>
  <si>
    <t xml:space="preserve">Tüm sayfalar 1234 şifresiyle korunur; sarı hücreler serbesttir, formül hücreleri kilitlidir.</t>
  </si>
  <si>
    <t xml:space="preserve">Bu dosya karar destek aracıdır; döviz yatırım tavsiyesi ve muhasebe kaydı niteliği taşımaz.</t>
  </si>
  <si>
    <t xml:space="preserve">Varsayım İşaretli Parametreler</t>
  </si>
  <si>
    <t xml:space="preserve">Aşağıdaki eşik ve çarpanlar AYARLAR sayfasında kaynak=Varsayım olarak işaretlidir; mevzuat zorunluluğu yoktur ve işletmeye göre güncellenmelidir.</t>
  </si>
  <si>
    <t xml:space="preserve">• Açık Pozisyon TL Eşiği</t>
  </si>
  <si>
    <t xml:space="preserve">• Kötümser ve Kritik Senaryo Kur Şok Oranları</t>
  </si>
  <si>
    <t xml:space="preserve">• Stres Etki Eşiği</t>
  </si>
  <si>
    <t xml:space="preserve">• Kur Sapması Risk Eşiği</t>
  </si>
  <si>
    <t xml:space="preserve">• İyimser Senaryo Kur Şoku Oranı</t>
  </si>
  <si>
    <t xml:space="preserve">• Tornado Kur ve Pozisyon Etkisi Oranları</t>
  </si>
  <si>
    <t xml:space="preserve">• Tahmin Çarpanı (standart sapma katı)</t>
  </si>
  <si>
    <t xml:space="preserve">• Kalite Skoru İyi ve Orta Eşikleri</t>
  </si>
  <si>
    <t xml:space="preserve">• P90 Yüzdelik Oranı</t>
  </si>
  <si>
    <t xml:space="preserve">• Aksiyon Önerisi Açıklamaları</t>
  </si>
  <si>
    <t xml:space="preserve">Bu dosya tamamen çevrimdışı çalışır; verileriniz cihazınızdan çıkmaz. Makro ve dış bağlantı yoktur.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</si>
</sst>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/mm/yyyy"/>
    <numFmt numFmtId="166" formatCode="0.00"/>
    <numFmt numFmtId="167" formatCode="0.0000"/>
    <numFmt numFmtId="168" formatCode="&quot;₺ &quot;#,##0;[RED]&quot;(₺ &quot;#,##0\);\-"/>
    <numFmt numFmtId="169" formatCode="#,##0"/>
    <numFmt numFmtId="170" formatCode="0.0%;[RED]\(0.0%\);\-"/>
    <numFmt numFmtId="171" formatCode="0.000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Segoe UI"/>
      <family val="0"/>
      <charset val="1"/>
    </font>
    <font>
      <b val="true"/>
      <sz val="18"/>
      <color rgb="FFFFFFFF"/>
      <name val="Segoe UI"/>
      <family val="0"/>
      <charset val="1"/>
    </font>
    <font>
      <sz val="10"/>
      <color rgb="FF595959"/>
      <name val="Segoe UI"/>
      <family val="0"/>
      <charset val="1"/>
    </font>
    <font>
      <b val="true"/>
      <sz val="12"/>
      <color rgb="FF0F2742"/>
      <name val="Segoe UI"/>
      <family val="0"/>
      <charset val="1"/>
    </font>
    <font>
      <sz val="10"/>
      <color rgb="FF333333"/>
      <name val="Segoe UI"/>
      <family val="0"/>
      <charset val="1"/>
    </font>
    <font>
      <sz val="9"/>
      <color rgb="FF595959"/>
      <name val="Segoe UI"/>
      <family val="0"/>
      <charset val="1"/>
    </font>
    <font>
      <b val="true"/>
      <sz val="13"/>
      <color rgb="FF0F2742"/>
      <name val="Segoe UI"/>
      <family val="0"/>
      <charset val="1"/>
    </font>
    <font>
      <b val="true"/>
      <sz val="10"/>
      <color rgb="FF0F2742"/>
      <name val="Segoe UI"/>
      <family val="0"/>
      <charset val="1"/>
    </font>
    <font>
      <b val="true"/>
      <sz val="12"/>
      <color rgb="FFB3261E"/>
      <name val="Segoe UI"/>
      <family val="0"/>
      <charset val="1"/>
    </font>
    <font>
      <sz val="10"/>
      <color rgb="FFB3261E"/>
      <name val="Segoe UI"/>
      <family val="0"/>
      <charset val="1"/>
    </font>
    <font>
      <sz val="10"/>
      <name val="Arial"/>
      <family val="2"/>
    </font>
    <font>
      <b val="true"/>
      <sz val="10"/>
      <color rgb="FFFFFFFF"/>
      <name val="Segoe UI"/>
      <family val="0"/>
      <charset val="1"/>
    </font>
    <font>
      <sz val="10"/>
      <color rgb="FF1F4E79"/>
      <name val="Segoe UI"/>
      <family val="0"/>
      <charset val="1"/>
    </font>
    <font>
      <b val="true"/>
      <sz val="10"/>
      <color rgb="FF333333"/>
      <name val="Segoe UI"/>
      <family val="0"/>
      <charset val="1"/>
    </font>
    <font>
      <sz val="10"/>
      <color rgb="FF006100"/>
      <name val="Segoe UI"/>
      <family val="0"/>
      <charset val="1"/>
    </font>
    <font>
      <b val="true"/>
      <sz val="10"/>
      <color rgb="FF006100"/>
      <name val="Segoe UI"/>
      <family val="0"/>
      <charset val="1"/>
    </font>
    <font>
      <b val="true"/>
      <sz val="10"/>
      <color rgb="FFB08948"/>
      <name val="Segoe UI"/>
      <family val="0"/>
      <charset val="1"/>
    </font>
    <font>
      <sz val="10"/>
      <color rgb="FF000000"/>
      <name val="Segoe UI"/>
      <family val="0"/>
      <charset val="1"/>
    </font>
    <font>
      <b val="true"/>
      <sz val="14"/>
      <color rgb="FF0F2742"/>
      <name val="Segoe UI"/>
      <family val="0"/>
      <charset val="1"/>
    </font>
    <font>
      <b val="true"/>
      <sz val="14"/>
      <color rgb="FF006100"/>
      <name val="Segoe UI"/>
      <family val="0"/>
      <charset val="1"/>
    </font>
    <font>
      <b val="true"/>
      <sz val="11"/>
      <color rgb="FF0F2742"/>
      <name val="Segoe UI"/>
      <family val="0"/>
      <charset val="1"/>
    </font>
    <font>
      <b val="true"/>
      <sz val="12"/>
      <color rgb="FF006100"/>
      <name val="Segoe U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FFFFFF"/>
      <name val="Segoe UI"/>
      <family val="0"/>
      <charset val="1"/>
    </font>
    <font>
      <i val="true"/>
      <sz val="9"/>
      <color rgb="FF595959"/>
      <name val="Segoe UI"/>
      <family val="0"/>
      <charset val="1"/>
    </font>
    <font>
      <b val="true"/>
      <sz val="9"/>
      <color rgb="FF000000"/>
      <name val="Segoe UI"/>
      <family val="0"/>
      <charset val="1"/>
    </font>
    <font>
      <b val="true"/>
      <sz val="10"/>
      <color rgb="FF1F4E79"/>
      <name val="Segoe UI"/>
      <family val="0"/>
      <charset val="1"/>
    </font>
    <font>
      <sz val="9"/>
      <color rgb="FF333333"/>
      <name val="Segoe U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000F2742"/>
        <bgColor rgb="FF333333"/>
      </patternFill>
    </fill>
    <fill>
      <patternFill patternType="solid">
        <fgColor rgb="001F4E79"/>
        <bgColor rgb="FF333333"/>
      </patternFill>
    </fill>
    <fill>
      <patternFill patternType="solid">
        <fgColor rgb="00EEF2F7"/>
        <bgColor rgb="00F2F2F2"/>
      </patternFill>
    </fill>
    <fill>
      <patternFill patternType="solid">
        <fgColor rgb="FFFFF2CC"/>
        <bgColor rgb="FFFDE9E9"/>
      </patternFill>
    </fill>
    <fill>
      <patternFill patternType="solid">
        <fgColor rgb="00DDEBF7"/>
        <bgColor rgb="FFE2EFDA"/>
      </patternFill>
    </fill>
    <fill>
      <patternFill patternType="solid">
        <fgColor rgb="00F2F2F2"/>
        <bgColor rgb="00EEF2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6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21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30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1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31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8" fontId="31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70" fontId="31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9" fontId="31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31" fillId="5" borderId="0" xfId="0" applyFont="true" applyBorder="false" applyAlignment="true" applyProtection="true">
      <alignment horizontal="left" vertical="center" textRotation="0" wrapText="true" indent="0" shrinkToFit="false"/>
      <protection locked="false" hidden="false"/>
    </xf>
    <xf numFmtId="164" fontId="30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21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00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00EEF2F7"/>
          <bgColor rgb="FF000000"/>
        </patternFill>
      </fill>
    </dxf>
    <dxf>
      <fill>
        <patternFill patternType="solid">
          <fgColor rgb="FF1F7A4D"/>
          <bgColor rgb="FF000000"/>
        </patternFill>
      </fill>
    </dxf>
    <dxf>
      <font>
        <name val="Segoe UI"/>
        <charset val="1"/>
        <family val="0"/>
        <color rgb="FFB3261E"/>
      </font>
    </dxf>
    <dxf>
      <font>
        <name val="Segoe UI"/>
        <charset val="1"/>
        <family val="0"/>
        <color rgb="FF1F7A4D"/>
      </font>
    </dxf>
    <dxf>
      <font>
        <name val="Segoe UI"/>
        <charset val="1"/>
        <family val="0"/>
        <color rgb="FFB3261E"/>
      </font>
      <fill>
        <patternFill>
          <bgColor rgb="FFFDE9E9"/>
        </patternFill>
      </fill>
    </dxf>
    <dxf>
      <font>
        <name val="Segoe UI"/>
        <charset val="1"/>
        <family val="0"/>
        <color rgb="FFB7791F"/>
      </font>
    </dxf>
    <dxf>
      <font>
        <name val="Segoe UI"/>
        <charset val="1"/>
        <family val="0"/>
        <color rgb="FF1F7A4D"/>
      </font>
      <fill>
        <patternFill>
          <bgColor rgb="FFE2EFDA"/>
        </patternFill>
      </fill>
    </dxf>
    <dxf>
      <font>
        <name val="Segoe UI"/>
        <charset val="1"/>
        <family val="0"/>
        <color rgb="FFB7791F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B7791F"/>
      <rgbColor rgb="FF800080"/>
      <rgbColor rgb="FF1F7A4D"/>
      <rgbColor rgb="FFC0C0C0"/>
      <rgbColor rgb="FF878787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E2EFDA"/>
      <rgbColor rgb="FFFDE9E9"/>
      <rgbColor rgb="FF99CCFF"/>
      <rgbColor rgb="FFFF99CC"/>
      <rgbColor rgb="FFCC99FF"/>
      <rgbColor rgb="FFF2F2F2"/>
      <rgbColor rgb="FF4A7EBB"/>
      <rgbColor rgb="FF4BACC6"/>
      <rgbColor rgb="FF9BBB59"/>
      <rgbColor rgb="FFFFCC00"/>
      <rgbColor rgb="FFFF9900"/>
      <rgbColor rgb="FFFF6600"/>
      <rgbColor rgb="FF8064A2"/>
      <rgbColor rgb="FFB08948"/>
      <rgbColor rgb="FF0F2742"/>
      <rgbColor rgb="FF4F81BD"/>
      <rgbColor rgb="FF003300"/>
      <rgbColor rgb="FF333300"/>
      <rgbColor rgb="FFB3261E"/>
      <rgbColor rgb="FF595959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Döviz Cinsi TL Değer ve Stres Etkisi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PANO!B10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PANO!$A$11:$A$15</c:f>
              <c:strCache>
                <c:ptCount val="5"/>
                <c:pt idx="0">
                  <c:v>USD</c:v>
                </c:pt>
                <c:pt idx="1">
                  <c:v>EUR</c:v>
                </c:pt>
                <c:pt idx="2">
                  <c:v>GBP</c:v>
                </c:pt>
                <c:pt idx="3">
                  <c:v>CHF</c:v>
                </c:pt>
                <c:pt idx="4">
                  <c:v>Diğer</c:v>
                </c:pt>
              </c:strCache>
            </c:strRef>
          </c:cat>
          <c:val>
            <c:numRef>
              <c:f>PANO!$B$11:$B$15</c:f>
              <c:numCache>
                <c:formatCode>"₺ "#,##0;[RED]"(₺ "#,##0\);\-</c:formatCode>
                <c:ptCount val="5"/>
                <c:pt idx="0">
                  <c:v>637125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PANO!C10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PANO!$A$11:$A$15</c:f>
              <c:strCache>
                <c:ptCount val="5"/>
                <c:pt idx="0">
                  <c:v>USD</c:v>
                </c:pt>
                <c:pt idx="1">
                  <c:v>EUR</c:v>
                </c:pt>
                <c:pt idx="2">
                  <c:v>GBP</c:v>
                </c:pt>
                <c:pt idx="3">
                  <c:v>CHF</c:v>
                </c:pt>
                <c:pt idx="4">
                  <c:v>Diğer</c:v>
                </c:pt>
              </c:strCache>
            </c:strRef>
          </c:cat>
          <c:val>
            <c:numRef>
              <c:f>PANO!$C$11:$C$15</c:f>
              <c:numCache>
                <c:formatCode>"₺ "#,##0;[RED]"(₺ "#,##0\);\-</c:formatCode>
                <c:ptCount val="5"/>
                <c:pt idx="0">
                  <c:v>127425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44897335"/>
        <c:axId val="63745750"/>
      </c:barChart>
      <c:catAx>
        <c:axId val="44897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3745750"/>
        <c:crosses val="autoZero"/>
        <c:auto val="1"/>
        <c:lblAlgn val="ctr"/>
        <c:lblOffset val="100"/>
        <c:noMultiLvlLbl val="0"/>
      </c:catAx>
      <c:valAx>
        <c:axId val="637457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489733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Döviz Varlık Dağılımı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PANO!B10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PANO!$A$11:$A$15</c:f>
              <c:strCache>
                <c:ptCount val="5"/>
                <c:pt idx="0">
                  <c:v>USD</c:v>
                </c:pt>
                <c:pt idx="1">
                  <c:v>EUR</c:v>
                </c:pt>
                <c:pt idx="2">
                  <c:v>GBP</c:v>
                </c:pt>
                <c:pt idx="3">
                  <c:v>CHF</c:v>
                </c:pt>
                <c:pt idx="4">
                  <c:v>Diğer</c:v>
                </c:pt>
              </c:strCache>
            </c:strRef>
          </c:cat>
          <c:val>
            <c:numRef>
              <c:f>PANO!$B$11:$B$15</c:f>
              <c:numCache>
                <c:formatCode>"₺ "#,##0;[RED]"(₺ "#,##0\);\-</c:formatCode>
                <c:ptCount val="5"/>
                <c:pt idx="0">
                  <c:v>637125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Döviz Cinsi Stres Etkisi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PANO!F10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PANO!$A$11:$A$15</c:f>
              <c:strCache>
                <c:ptCount val="5"/>
                <c:pt idx="0">
                  <c:v>USD</c:v>
                </c:pt>
                <c:pt idx="1">
                  <c:v>EUR</c:v>
                </c:pt>
                <c:pt idx="2">
                  <c:v>GBP</c:v>
                </c:pt>
                <c:pt idx="3">
                  <c:v>CHF</c:v>
                </c:pt>
                <c:pt idx="4">
                  <c:v>Diğer</c:v>
                </c:pt>
              </c:strCache>
            </c:strRef>
          </c:cat>
          <c:val>
            <c:numRef>
              <c:f>PANO!$F$11:$F$15</c:f>
              <c:numCache>
                <c:formatCode>"₺ "#,##0;[RED]"(₺ "#,##0\);\-</c:formatCode>
                <c:ptCount val="5"/>
                <c:pt idx="0">
                  <c:v>127425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78732949"/>
        <c:axId val="75298952"/>
      </c:barChart>
      <c:catAx>
        <c:axId val="787329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5298952"/>
        <c:crosses val="autoZero"/>
        <c:auto val="1"/>
        <c:lblAlgn val="ctr"/>
        <c:lblOffset val="100"/>
        <c:noMultiLvlLbl val="0"/>
      </c:catAx>
      <c:valAx>
        <c:axId val="752989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873294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Aylık İşlem Tutarı Trendi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PANO!E10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PANO!$D$11:$D$22</c:f>
              <c:strCache>
                <c:ptCount val="12"/>
                <c:pt idx="0">
                  <c:v>AY1</c:v>
                </c:pt>
                <c:pt idx="1">
                  <c:v>AY2</c:v>
                </c:pt>
                <c:pt idx="2">
                  <c:v>AY3</c:v>
                </c:pt>
                <c:pt idx="3">
                  <c:v>AY4</c:v>
                </c:pt>
                <c:pt idx="4">
                  <c:v>AY5</c:v>
                </c:pt>
                <c:pt idx="5">
                  <c:v>AY6</c:v>
                </c:pt>
                <c:pt idx="6">
                  <c:v>AY7</c:v>
                </c:pt>
                <c:pt idx="7">
                  <c:v>AY8</c:v>
                </c:pt>
                <c:pt idx="8">
                  <c:v>AY9</c:v>
                </c:pt>
                <c:pt idx="9">
                  <c:v>AY10</c:v>
                </c:pt>
                <c:pt idx="10">
                  <c:v>AY11</c:v>
                </c:pt>
                <c:pt idx="11">
                  <c:v>AY12</c:v>
                </c:pt>
              </c:strCache>
            </c:strRef>
          </c:cat>
          <c:val>
            <c:numRef>
              <c:f>PANO!$E$11:$E$23</c:f>
              <c:numCache>
                <c:formatCode>0.00</c:formatCode>
                <c:ptCount val="13"/>
                <c:pt idx="0">
                  <c:v>0</c:v>
                </c:pt>
                <c:pt idx="1">
                  <c:v>50000</c:v>
                </c:pt>
                <c:pt idx="2">
                  <c:v>30000</c:v>
                </c:pt>
                <c:pt idx="3">
                  <c:v>20000</c:v>
                </c:pt>
                <c:pt idx="4">
                  <c:v>15000</c:v>
                </c:pt>
                <c:pt idx="5">
                  <c:v>10000</c:v>
                </c:pt>
                <c:pt idx="6">
                  <c:v>25000</c:v>
                </c:pt>
                <c:pt idx="7">
                  <c:v>12000</c:v>
                </c:pt>
                <c:pt idx="8">
                  <c:v>8000</c:v>
                </c:pt>
                <c:pt idx="9">
                  <c:v>15000</c:v>
                </c:pt>
                <c:pt idx="10">
                  <c:v>10000</c:v>
                </c:pt>
                <c:pt idx="1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0795125"/>
        <c:axId val="74792920"/>
      </c:lineChart>
      <c:catAx>
        <c:axId val="807951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4792920"/>
        <c:crosses val="autoZero"/>
        <c:auto val="1"/>
        <c:lblAlgn val="ctr"/>
        <c:lblOffset val="100"/>
        <c:noMultiLvlLbl val="0"/>
      </c:catAx>
      <c:valAx>
        <c:axId val="747929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079512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Projeksiyon: Ortalama, Alt ve Üst Sınır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PANO!B24</c:f>
              <c:strCache>
                <c:ptCount val="1"/>
                <c:pt idx="0">
                  <c:v>0,0000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PANO!$A$25:$A$28</c:f>
              <c:strCache>
                <c:ptCount val="4"/>
                <c:pt idx="0">
                  <c:v>Son 12 Ay Ortalama Kur</c:v>
                </c:pt>
                <c:pt idx="1">
                  <c:v>Son 12 Ay Kur Standart Sapma</c:v>
                </c:pt>
                <c:pt idx="2">
                  <c:v>Alt Tahmin Sınırı</c:v>
                </c:pt>
                <c:pt idx="3">
                  <c:v>Üst Tahmin Sınırı</c:v>
                </c:pt>
              </c:strCache>
            </c:strRef>
          </c:cat>
          <c:val>
            <c:numRef>
              <c:f>PANO!$B$25:$B$28</c:f>
              <c:numCache>
                <c:formatCode>0.0000</c:formatCode>
                <c:ptCount val="4"/>
                <c:pt idx="0">
                  <c:v>38.11</c:v>
                </c:pt>
                <c:pt idx="1">
                  <c:v>0</c:v>
                </c:pt>
                <c:pt idx="2">
                  <c:v>38.11</c:v>
                </c:pt>
                <c:pt idx="3">
                  <c:v>38.11</c:v>
                </c:pt>
              </c:numCache>
            </c:numRef>
          </c:val>
        </c:ser>
        <c:gapWidth val="150"/>
        <c:overlap val="0"/>
        <c:axId val="14874395"/>
        <c:axId val="88484264"/>
      </c:barChart>
      <c:catAx>
        <c:axId val="148743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8484264"/>
        <c:crosses val="autoZero"/>
        <c:auto val="1"/>
        <c:lblAlgn val="ctr"/>
        <c:lblOffset val="100"/>
        <c:noMultiLvlLbl val="0"/>
      </c:catAx>
      <c:valAx>
        <c:axId val="884842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487439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Döviz Cinsi TL Net Pozisyon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PANO!B10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PANO!$A$11:$A$15</c:f>
              <c:strCache>
                <c:ptCount val="5"/>
                <c:pt idx="0">
                  <c:v>USD</c:v>
                </c:pt>
                <c:pt idx="1">
                  <c:v>EUR</c:v>
                </c:pt>
                <c:pt idx="2">
                  <c:v>GBP</c:v>
                </c:pt>
                <c:pt idx="3">
                  <c:v>CHF</c:v>
                </c:pt>
                <c:pt idx="4">
                  <c:v>Diğer</c:v>
                </c:pt>
              </c:strCache>
            </c:strRef>
          </c:cat>
          <c:val>
            <c:numRef>
              <c:f>PANO!$B$11:$B$15</c:f>
              <c:numCache>
                <c:formatCode>"₺ "#,##0;[RED]"(₺ "#,##0\);\-</c:formatCode>
                <c:ptCount val="5"/>
                <c:pt idx="0">
                  <c:v>637125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6014592"/>
        <c:axId val="8020394"/>
      </c:lineChart>
      <c:catAx>
        <c:axId val="3601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020394"/>
        <c:crosses val="autoZero"/>
        <c:auto val="1"/>
        <c:lblAlgn val="ctr"/>
        <c:lblOffset val="100"/>
        <c:noMultiLvlLbl val="0"/>
      </c:catAx>
      <c:valAx>
        <c:axId val="80203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601459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Senaryo TL Etkisi Karşılaştırması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PANO!C29</c:f>
              <c:strCache>
                <c:ptCount val="1"/>
                <c:pt idx="0">
                  <c:v>Senaryo TL Etkisi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PANO!$D$30:$D$33</c:f>
              <c:strCache>
                <c:ptCount val="4"/>
                <c:pt idx="0">
                  <c:v>İyimser</c:v>
                </c:pt>
                <c:pt idx="1">
                  <c:v>Baz</c:v>
                </c:pt>
                <c:pt idx="2">
                  <c:v>Kötümser</c:v>
                </c:pt>
                <c:pt idx="3">
                  <c:v>Kritik</c:v>
                </c:pt>
              </c:strCache>
            </c:strRef>
          </c:cat>
          <c:val>
            <c:numRef>
              <c:f>PANO!$C$30:$C$33</c:f>
              <c:numCache>
                <c:formatCode>"₺ "#,##0;[RED]"(₺ "#,##0\);\-</c:formatCode>
                <c:ptCount val="4"/>
                <c:pt idx="0">
                  <c:v>31856</c:v>
                </c:pt>
                <c:pt idx="1">
                  <c:v>0</c:v>
                </c:pt>
                <c:pt idx="2">
                  <c:v>63713</c:v>
                </c:pt>
                <c:pt idx="3">
                  <c:v>191138</c:v>
                </c:pt>
              </c:numCache>
            </c:numRef>
          </c:val>
        </c:ser>
        <c:gapWidth val="150"/>
        <c:overlap val="0"/>
        <c:axId val="27099403"/>
        <c:axId val="58986751"/>
      </c:barChart>
      <c:catAx>
        <c:axId val="270994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8986751"/>
        <c:crosses val="autoZero"/>
        <c:auto val="1"/>
        <c:lblAlgn val="ctr"/>
        <c:lblOffset val="100"/>
        <c:noMultiLvlLbl val="0"/>
      </c:catAx>
      <c:valAx>
        <c:axId val="589867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709940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Varlık, Borç ve Net Pozisyon Yapısı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PANO!B3</c:f>
              <c:strCache>
                <c:ptCount val="1"/>
                <c:pt idx="0">
                  <c:v>Toplam Döviz Varlık (TL)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PANO!$B$4:$B$6</c:f>
              <c:numCache>
                <c:formatCode>"₺ "#,##0;[RED]"(₺ "#,##0\);\-</c:formatCode>
                <c:ptCount val="3"/>
                <c:pt idx="0">
                  <c:v>3957625</c:v>
                </c:pt>
              </c:numCache>
            </c:numRef>
          </c:val>
        </c:ser>
        <c:gapWidth val="150"/>
        <c:overlap val="0"/>
        <c:axId val="74130266"/>
        <c:axId val="6543626"/>
      </c:barChart>
      <c:catAx>
        <c:axId val="741302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543626"/>
        <c:crosses val="autoZero"/>
        <c:auto val="1"/>
        <c:lblAlgn val="ctr"/>
        <c:lblOffset val="100"/>
        <c:noMultiLvlLbl val="0"/>
      </c:catAx>
      <c:valAx>
        <c:axId val="65436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413026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5</xdr:row>
      <xdr:rowOff>0</xdr:rowOff>
    </xdr:from>
    <xdr:to>
      <xdr:col>12</xdr:col>
      <xdr:colOff>540000</xdr:colOff>
      <xdr:row>21</xdr:row>
      <xdr:rowOff>145080</xdr:rowOff>
    </xdr:to>
    <xdr:graphicFrame>
      <xdr:nvGraphicFramePr>
        <xdr:cNvPr id="1" name="Chart 1"/>
        <xdr:cNvGraphicFramePr/>
      </xdr:nvGraphicFramePr>
      <xdr:xfrm>
        <a:off x="9374400" y="11156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0</xdr:colOff>
      <xdr:row>5</xdr:row>
      <xdr:rowOff>0</xdr:rowOff>
    </xdr:from>
    <xdr:to>
      <xdr:col>27</xdr:col>
      <xdr:colOff>38880</xdr:colOff>
      <xdr:row>21</xdr:row>
      <xdr:rowOff>145080</xdr:rowOff>
    </xdr:to>
    <xdr:graphicFrame>
      <xdr:nvGraphicFramePr>
        <xdr:cNvPr id="2" name="Chart 2"/>
        <xdr:cNvGraphicFramePr/>
      </xdr:nvGraphicFramePr>
      <xdr:xfrm>
        <a:off x="19486080" y="111564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18</xdr:row>
      <xdr:rowOff>0</xdr:rowOff>
    </xdr:from>
    <xdr:to>
      <xdr:col>11</xdr:col>
      <xdr:colOff>71280</xdr:colOff>
      <xdr:row>33</xdr:row>
      <xdr:rowOff>21960</xdr:rowOff>
    </xdr:to>
    <xdr:graphicFrame>
      <xdr:nvGraphicFramePr>
        <xdr:cNvPr id="3" name="Chart 3"/>
        <xdr:cNvGraphicFramePr/>
      </xdr:nvGraphicFramePr>
      <xdr:xfrm>
        <a:off x="9374400" y="363852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20</xdr:col>
      <xdr:colOff>0</xdr:colOff>
      <xdr:row>18</xdr:row>
      <xdr:rowOff>0</xdr:rowOff>
    </xdr:from>
    <xdr:to>
      <xdr:col>29</xdr:col>
      <xdr:colOff>255960</xdr:colOff>
      <xdr:row>35</xdr:row>
      <xdr:rowOff>1080</xdr:rowOff>
    </xdr:to>
    <xdr:graphicFrame>
      <xdr:nvGraphicFramePr>
        <xdr:cNvPr id="4" name="Chart 4"/>
        <xdr:cNvGraphicFramePr/>
      </xdr:nvGraphicFramePr>
      <xdr:xfrm>
        <a:off x="19486080" y="36385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0</xdr:colOff>
      <xdr:row>32</xdr:row>
      <xdr:rowOff>0</xdr:rowOff>
    </xdr:from>
    <xdr:to>
      <xdr:col>11</xdr:col>
      <xdr:colOff>71280</xdr:colOff>
      <xdr:row>47</xdr:row>
      <xdr:rowOff>21960</xdr:rowOff>
    </xdr:to>
    <xdr:graphicFrame>
      <xdr:nvGraphicFramePr>
        <xdr:cNvPr id="5" name="Chart 5"/>
        <xdr:cNvGraphicFramePr/>
      </xdr:nvGraphicFramePr>
      <xdr:xfrm>
        <a:off x="9374400" y="630540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20</xdr:col>
      <xdr:colOff>0</xdr:colOff>
      <xdr:row>32</xdr:row>
      <xdr:rowOff>0</xdr:rowOff>
    </xdr:from>
    <xdr:to>
      <xdr:col>27</xdr:col>
      <xdr:colOff>398880</xdr:colOff>
      <xdr:row>47</xdr:row>
      <xdr:rowOff>21960</xdr:rowOff>
    </xdr:to>
    <xdr:graphicFrame>
      <xdr:nvGraphicFramePr>
        <xdr:cNvPr id="6" name="Chart 6"/>
        <xdr:cNvGraphicFramePr/>
      </xdr:nvGraphicFramePr>
      <xdr:xfrm>
        <a:off x="19486080" y="630540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5</xdr:col>
      <xdr:colOff>0</xdr:colOff>
      <xdr:row>38</xdr:row>
      <xdr:rowOff>0</xdr:rowOff>
    </xdr:from>
    <xdr:to>
      <xdr:col>12</xdr:col>
      <xdr:colOff>540000</xdr:colOff>
      <xdr:row>53</xdr:row>
      <xdr:rowOff>21960</xdr:rowOff>
    </xdr:to>
    <xdr:graphicFrame>
      <xdr:nvGraphicFramePr>
        <xdr:cNvPr id="7" name="Chart 7"/>
        <xdr:cNvGraphicFramePr/>
      </xdr:nvGraphicFramePr>
      <xdr:xfrm>
        <a:off x="9374400" y="74484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20</xdr:col>
      <xdr:colOff>0</xdr:colOff>
      <xdr:row>38</xdr:row>
      <xdr:rowOff>0</xdr:rowOff>
    </xdr:from>
    <xdr:to>
      <xdr:col>27</xdr:col>
      <xdr:colOff>398880</xdr:colOff>
      <xdr:row>53</xdr:row>
      <xdr:rowOff>21960</xdr:rowOff>
    </xdr:to>
    <xdr:graphicFrame>
      <xdr:nvGraphicFramePr>
        <xdr:cNvPr id="8" name="Chart 8"/>
        <xdr:cNvGraphicFramePr/>
      </xdr:nvGraphicFramePr>
      <xdr:xfrm>
        <a:off x="19486080" y="744840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Doviz" displayName="tblDoviz" ref="A5:H1004" headerRowCount="1" totalsRowCount="0" totalsRowShown="0">
  <tableColumns count="8">
    <tableColumn id="1" name="Tarih"/>
    <tableColumn id="2" name="Döviz Cinsi"/>
    <tableColumn id="3" name="İşlem Türü"/>
    <tableColumn id="4" name="Tutar (Döviz)"/>
    <tableColumn id="5" name="İşlem Kuru"/>
    <tableColumn id="6" name="Vade"/>
    <tableColumn id="7" name="TL Değer (₺)">
      <calculatedColumnFormula>=IF(tblDoviz[[#This Row],[Tutar (Döviz)]]=0,0,tblDoviz[[#This Row],[Tutar (Döviz)]]*tblDoviz[[#This Row],[İşlem Kuru]])</calculatedColumnFormula>
    </tableColumn>
    <tableColumn id="8" name="Kayıt Açıklaması">
      <calculatedColumnFormula>=IF(tblDoviz[[#This Row],[Döviz Cinsi]]="","",CONCATENATE("Pozisyon: ",tblDoviz[[#This Row],[Döviz Cinsi]],"/",tblDoviz[[#This Row],[İşlem Türü]]," tutar ",TEXT(tblDoviz[[#This Row],[Tutar (Döviz)]],"#,##0.00")))</calculatedColumnFormula>
    </tableColumn>
  </tableColumns>
</table>
</file>

<file path=xl/tables/table2.xml><?xml version="1.0" encoding="utf-8"?>
<table xmlns="http://schemas.openxmlformats.org/spreadsheetml/2006/main" id="2" name="tblOrnek" displayName="tblOrnek" ref="A5:H1004" headerRowCount="1" totalsRowCount="0" totalsRowShown="0">
  <tableColumns count="8">
    <tableColumn id="1" name="Tarih"/>
    <tableColumn id="2" name="Döviz Cinsi"/>
    <tableColumn id="3" name="İşlem Türü"/>
    <tableColumn id="4" name="Tutar (Döviz)"/>
    <tableColumn id="5" name="İşlem Kuru"/>
    <tableColumn id="6" name="Vade"/>
    <tableColumn id="7" name="TL Değer (₺)">
      <calculatedColumnFormula>=IF(tblOrnek[[#This Row],[Tutar (Döviz)]]=0,0,tblOrnek[[#This Row],[Tutar (Döviz)]]*tblOrnek[[#This Row],[İşlem Kuru]])</calculatedColumnFormula>
    </tableColumn>
    <tableColumn id="8" name="Not">
      <calculatedColumnFormula>=IF(tblOrnek[[#This Row],[Döviz Cinsi]]="","",CONCATENATE("Örnek kayıt: ",tblOrnek[[#This Row],[Döviz Cinsi]]))</calculatedColumnFormula>
    </tableColumn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5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6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3" customFormat="false" ht="30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customFormat="false" ht="1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6" customFormat="false" ht="15" hidden="false" customHeight="false" outlineLevel="0" collapsed="false">
      <c r="A6" s="4" t="s">
        <v>3</v>
      </c>
    </row>
    <row r="7" customFormat="false" ht="15" hidden="false" customHeight="true" outlineLevel="0" collapsed="false">
      <c r="A7" s="5" t="s">
        <v>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customFormat="false" ht="15" hidden="false" customHeight="true" outlineLevel="0" collapsed="false">
      <c r="A8" s="5" t="s">
        <v>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customFormat="false" ht="15" hidden="false" customHeight="true" outlineLevel="0" collapsed="false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customFormat="false" ht="15" hidden="false" customHeight="true" outlineLevel="0" collapsed="false">
      <c r="A10" s="5" t="s">
        <v>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customFormat="false" ht="15" hidden="false" customHeight="true" outlineLevel="0" collapsed="false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4" customFormat="false" ht="15" hidden="false" customHeight="false" outlineLevel="0" collapsed="false">
      <c r="A14" s="4" t="s">
        <v>9</v>
      </c>
    </row>
    <row r="15" customFormat="false" ht="15" hidden="false" customHeight="false" outlineLevel="0" collapsed="false">
      <c r="A15" s="6" t="s">
        <v>10</v>
      </c>
    </row>
    <row r="16" customFormat="false" ht="15" hidden="false" customHeight="false" outlineLevel="0" collapsed="false">
      <c r="A16" s="6" t="s">
        <v>11</v>
      </c>
    </row>
    <row r="17" customFormat="false" ht="15" hidden="false" customHeight="false" outlineLevel="0" collapsed="false">
      <c r="A17" s="6" t="s">
        <v>12</v>
      </c>
    </row>
    <row r="18" customFormat="false" ht="15" hidden="false" customHeight="false" outlineLevel="0" collapsed="false">
      <c r="A18" s="4" t="s">
        <v>13</v>
      </c>
    </row>
    <row r="19" customFormat="false" ht="15" hidden="false" customHeight="true" outlineLevel="0" collapsed="false">
      <c r="A19" s="5" t="s">
        <v>14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1" customFormat="false" ht="15" hidden="false" customHeight="false" outlineLevel="0" collapsed="false">
      <c r="A21" s="7" t="s">
        <v>15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</sheetData>
  <sheetProtection sheet="true" password="cc3d" objects="true" scenarios="true" deleteColumns="false" deleteRows="false"/>
  <mergeCells count="10">
    <mergeCell ref="A1:AN1"/>
    <mergeCell ref="A3:AN3"/>
    <mergeCell ref="A4:P4"/>
    <mergeCell ref="A7:AD7"/>
    <mergeCell ref="A8:AD8"/>
    <mergeCell ref="A9:AD9"/>
    <mergeCell ref="A10:AD10"/>
    <mergeCell ref="A11:AD11"/>
    <mergeCell ref="A19:P19"/>
    <mergeCell ref="A21:P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60"/>
  </cols>
  <sheetData>
    <row r="1" customFormat="false" ht="25.5" hidden="false" customHeight="true" outlineLevel="0" collapsed="false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17</v>
      </c>
    </row>
    <row r="5" customFormat="false" ht="15" hidden="false" customHeight="true" outlineLevel="0" collapsed="false">
      <c r="A5" s="9" t="s">
        <v>18</v>
      </c>
      <c r="B5" s="5" t="s">
        <v>19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customFormat="false" ht="15" hidden="false" customHeight="true" outlineLevel="0" collapsed="false">
      <c r="A6" s="9" t="s">
        <v>20</v>
      </c>
      <c r="B6" s="5" t="s">
        <v>21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customFormat="false" ht="15" hidden="false" customHeight="true" outlineLevel="0" collapsed="false">
      <c r="A7" s="9" t="s">
        <v>22</v>
      </c>
      <c r="B7" s="5" t="s">
        <v>23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customFormat="false" ht="15" hidden="false" customHeight="true" outlineLevel="0" collapsed="false">
      <c r="A8" s="9" t="s">
        <v>24</v>
      </c>
      <c r="B8" s="5" t="s">
        <v>25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11" customFormat="false" ht="15" hidden="false" customHeight="false" outlineLevel="0" collapsed="false">
      <c r="A11" s="10" t="s">
        <v>26</v>
      </c>
    </row>
    <row r="12" customFormat="false" ht="15" hidden="false" customHeight="false" outlineLevel="0" collapsed="false">
      <c r="A12" s="11" t="s">
        <v>27</v>
      </c>
    </row>
    <row r="13" customFormat="false" ht="15" hidden="false" customHeight="false" outlineLevel="0" collapsed="false">
      <c r="A13" s="11" t="s">
        <v>28</v>
      </c>
    </row>
    <row r="14" customFormat="false" ht="15" hidden="false" customHeight="false" outlineLevel="0" collapsed="false">
      <c r="A14" s="11" t="s">
        <v>29</v>
      </c>
    </row>
    <row r="15" customFormat="false" ht="15" hidden="false" customHeight="false" outlineLevel="0" collapsed="false">
      <c r="A15" s="12" t="s">
        <v>30</v>
      </c>
    </row>
  </sheetData>
  <sheetProtection sheet="true" password="cc3d" objects="true" scenarios="true" deleteColumns="false" deleteRows="false"/>
  <mergeCells count="5">
    <mergeCell ref="A1:AD1"/>
    <mergeCell ref="B5:T5"/>
    <mergeCell ref="B6:T6"/>
    <mergeCell ref="B7:T7"/>
    <mergeCell ref="B8:T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22"/>
  </cols>
  <sheetData>
    <row r="1" customFormat="false" ht="25.5" hidden="false" customHeight="true" outlineLevel="0" collapsed="false">
      <c r="A1" s="1" t="s">
        <v>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32</v>
      </c>
    </row>
    <row r="4" customFormat="false" ht="95.5" hidden="false" customHeight="false" outlineLevel="0" collapsed="false">
      <c r="A4" s="13" t="s">
        <v>33</v>
      </c>
    </row>
    <row r="5" customFormat="false" ht="30" hidden="false" customHeight="true" outlineLevel="0" collapsed="false">
      <c r="A5" s="14" t="s">
        <v>34</v>
      </c>
      <c r="B5" s="14" t="s">
        <v>35</v>
      </c>
      <c r="C5" s="14" t="s">
        <v>36</v>
      </c>
      <c r="D5" s="14" t="s">
        <v>37</v>
      </c>
      <c r="E5" s="14" t="s">
        <v>38</v>
      </c>
      <c r="F5" s="14" t="s">
        <v>39</v>
      </c>
      <c r="G5" s="14" t="s">
        <v>40</v>
      </c>
      <c r="H5" s="14" t="s">
        <v>41</v>
      </c>
    </row>
    <row r="6" customFormat="false" ht="16.4" hidden="false" customHeight="false" outlineLevel="0" collapsed="false">
      <c r="A6" s="15" t="n">
        <v>46027</v>
      </c>
      <c r="B6" s="16" t="s">
        <v>42</v>
      </c>
      <c r="C6" s="16" t="s">
        <v>43</v>
      </c>
      <c r="D6" s="17" t="n">
        <v>50000</v>
      </c>
      <c r="E6" s="18" t="n">
        <v>34.5</v>
      </c>
      <c r="F6" s="16" t="s">
        <v>44</v>
      </c>
      <c r="G6" s="19" t="n">
        <f aca="false">IF($D6=0,0,$D6*$E6)</f>
        <v>1725000</v>
      </c>
      <c r="H6" s="20" t="str">
        <f aca="false">IF($B6="","",CONCATENATE("Pozisyon: ",$B6,"/",$C6," tutar ",TEXT($D6,"#,##0.00")))</f>
        <v>Pozisyon: USD/Varlık tutar 50.000,00</v>
      </c>
    </row>
    <row r="7" customFormat="false" ht="16.4" hidden="false" customHeight="false" outlineLevel="0" collapsed="false">
      <c r="A7" s="15" t="n">
        <v>46034</v>
      </c>
      <c r="B7" s="16" t="s">
        <v>45</v>
      </c>
      <c r="C7" s="16" t="s">
        <v>46</v>
      </c>
      <c r="D7" s="17" t="n">
        <v>30000</v>
      </c>
      <c r="E7" s="18" t="n">
        <v>37.8</v>
      </c>
      <c r="F7" s="16" t="s">
        <v>47</v>
      </c>
      <c r="G7" s="19" t="n">
        <f aca="false">IF($D7=0,0,$D7*$E7)</f>
        <v>1134000</v>
      </c>
      <c r="H7" s="20" t="str">
        <f aca="false">IF($B7="","",CONCATENATE("Pozisyon: ",$B7,"/",$C7," tutar ",TEXT($D7,"#,##0.00")))</f>
        <v>Pozisyon: EUR/Borç tutar 30.000,00</v>
      </c>
    </row>
    <row r="8" customFormat="false" ht="16.4" hidden="false" customHeight="false" outlineLevel="0" collapsed="false">
      <c r="A8" s="15" t="n">
        <v>46056</v>
      </c>
      <c r="B8" s="16" t="s">
        <v>42</v>
      </c>
      <c r="C8" s="16" t="s">
        <v>46</v>
      </c>
      <c r="D8" s="17" t="n">
        <v>20000</v>
      </c>
      <c r="E8" s="18" t="n">
        <v>35.1</v>
      </c>
      <c r="F8" s="16" t="s">
        <v>47</v>
      </c>
      <c r="G8" s="19" t="n">
        <f aca="false">IF($D8=0,0,$D8*$E8)</f>
        <v>702000</v>
      </c>
      <c r="H8" s="20" t="str">
        <f aca="false">IF($B8="","",CONCATENATE("Pozisyon: ",$B8,"/",$C8," tutar ",TEXT($D8,"#,##0.00")))</f>
        <v>Pozisyon: USD/Borç tutar 20.000,00</v>
      </c>
    </row>
    <row r="9" customFormat="false" ht="16.4" hidden="false" customHeight="false" outlineLevel="0" collapsed="false">
      <c r="A9" s="15" t="n">
        <v>46071</v>
      </c>
      <c r="B9" s="16" t="s">
        <v>45</v>
      </c>
      <c r="C9" s="16" t="s">
        <v>43</v>
      </c>
      <c r="D9" s="17" t="n">
        <v>15000</v>
      </c>
      <c r="E9" s="18" t="n">
        <v>38.2</v>
      </c>
      <c r="F9" s="16" t="s">
        <v>44</v>
      </c>
      <c r="G9" s="19" t="n">
        <f aca="false">IF($D9=0,0,$D9*$E9)</f>
        <v>573000</v>
      </c>
      <c r="H9" s="20" t="str">
        <f aca="false">IF($B9="","",CONCATENATE("Pozisyon: ",$B9,"/",$C9," tutar ",TEXT($D9,"#,##0.00")))</f>
        <v>Pozisyon: EUR/Varlık tutar 15.000,00</v>
      </c>
    </row>
    <row r="10" customFormat="false" ht="16.4" hidden="false" customHeight="false" outlineLevel="0" collapsed="false">
      <c r="A10" s="15" t="n">
        <v>46088</v>
      </c>
      <c r="B10" s="16" t="s">
        <v>48</v>
      </c>
      <c r="C10" s="16" t="s">
        <v>46</v>
      </c>
      <c r="D10" s="17" t="n">
        <v>10000</v>
      </c>
      <c r="E10" s="18" t="n">
        <v>44</v>
      </c>
      <c r="F10" s="16" t="s">
        <v>49</v>
      </c>
      <c r="G10" s="19" t="n">
        <f aca="false">IF($D10=0,0,$D10*$E10)</f>
        <v>440000</v>
      </c>
      <c r="H10" s="20" t="str">
        <f aca="false">IF($B10="","",CONCATENATE("Pozisyon: ",$B10,"/",$C10," tutar ",TEXT($D10,"#,##0.00")))</f>
        <v>Pozisyon: GBP/Borç tutar 10.000,00</v>
      </c>
    </row>
    <row r="11" customFormat="false" ht="16.4" hidden="false" customHeight="false" outlineLevel="0" collapsed="false">
      <c r="A11" s="15" t="n">
        <v>46102</v>
      </c>
      <c r="B11" s="16" t="s">
        <v>42</v>
      </c>
      <c r="C11" s="16" t="s">
        <v>43</v>
      </c>
      <c r="D11" s="17" t="n">
        <v>25000</v>
      </c>
      <c r="E11" s="18" t="n">
        <v>36</v>
      </c>
      <c r="F11" s="16" t="s">
        <v>44</v>
      </c>
      <c r="G11" s="19" t="n">
        <f aca="false">IF($D11=0,0,$D11*$E11)</f>
        <v>900000</v>
      </c>
      <c r="H11" s="20" t="str">
        <f aca="false">IF($B11="","",CONCATENATE("Pozisyon: ",$B11,"/",$C11," tutar ",TEXT($D11,"#,##0.00")))</f>
        <v>Pozisyon: USD/Varlık tutar 25.000,00</v>
      </c>
    </row>
    <row r="12" customFormat="false" ht="16.4" hidden="false" customHeight="false" outlineLevel="0" collapsed="false">
      <c r="A12" s="15" t="n">
        <v>46122</v>
      </c>
      <c r="B12" s="16" t="s">
        <v>45</v>
      </c>
      <c r="C12" s="16" t="s">
        <v>46</v>
      </c>
      <c r="D12" s="17" t="n">
        <v>12000</v>
      </c>
      <c r="E12" s="18" t="n">
        <v>39.5</v>
      </c>
      <c r="F12" s="16" t="s">
        <v>49</v>
      </c>
      <c r="G12" s="19" t="n">
        <f aca="false">IF($D12=0,0,$D12*$E12)</f>
        <v>474000</v>
      </c>
      <c r="H12" s="20" t="str">
        <f aca="false">IF($B12="","",CONCATENATE("Pozisyon: ",$B12,"/",$C12," tutar ",TEXT($D12,"#,##0.00")))</f>
        <v>Pozisyon: EUR/Borç tutar 12.000,00</v>
      </c>
    </row>
    <row r="13" customFormat="false" ht="16.4" hidden="false" customHeight="false" outlineLevel="0" collapsed="false">
      <c r="A13" s="15" t="n">
        <v>46144</v>
      </c>
      <c r="B13" s="16" t="s">
        <v>50</v>
      </c>
      <c r="C13" s="16" t="s">
        <v>43</v>
      </c>
      <c r="D13" s="17" t="n">
        <v>8000</v>
      </c>
      <c r="E13" s="18" t="n">
        <v>39</v>
      </c>
      <c r="F13" s="16" t="s">
        <v>44</v>
      </c>
      <c r="G13" s="19" t="n">
        <f aca="false">IF($D13=0,0,$D13*$E13)</f>
        <v>312000</v>
      </c>
      <c r="H13" s="20" t="str">
        <f aca="false">IF($B13="","",CONCATENATE("Pozisyon: ",$B13,"/",$C13," tutar ",TEXT($D13,"#,##0.00")))</f>
        <v>Pozisyon: CHF/Varlık tutar 8.000,00</v>
      </c>
    </row>
    <row r="14" customFormat="false" ht="16.4" hidden="false" customHeight="false" outlineLevel="0" collapsed="false">
      <c r="A14" s="15" t="n">
        <v>46161</v>
      </c>
      <c r="B14" s="16" t="s">
        <v>42</v>
      </c>
      <c r="C14" s="16" t="s">
        <v>46</v>
      </c>
      <c r="D14" s="17" t="n">
        <v>15000</v>
      </c>
      <c r="E14" s="18" t="n">
        <v>37</v>
      </c>
      <c r="F14" s="16" t="s">
        <v>51</v>
      </c>
      <c r="G14" s="19" t="n">
        <f aca="false">IF($D14=0,0,$D14*$E14)</f>
        <v>555000</v>
      </c>
      <c r="H14" s="20" t="str">
        <f aca="false">IF($B14="","",CONCATENATE("Pozisyon: ",$B14,"/",$C14," tutar ",TEXT($D14,"#,##0.00")))</f>
        <v>Pozisyon: USD/Borç tutar 15.000,00</v>
      </c>
    </row>
    <row r="15" customFormat="false" ht="16.4" hidden="false" customHeight="false" outlineLevel="0" collapsed="false">
      <c r="A15" s="15" t="n">
        <v>46184</v>
      </c>
      <c r="B15" s="16" t="s">
        <v>45</v>
      </c>
      <c r="C15" s="16" t="s">
        <v>43</v>
      </c>
      <c r="D15" s="17" t="n">
        <v>10000</v>
      </c>
      <c r="E15" s="18" t="n">
        <v>40</v>
      </c>
      <c r="F15" s="16" t="s">
        <v>44</v>
      </c>
      <c r="G15" s="19" t="n">
        <f aca="false">IF($D15=0,0,$D15*$E15)</f>
        <v>400000</v>
      </c>
      <c r="H15" s="20" t="str">
        <f aca="false">IF($B15="","",CONCATENATE("Pozisyon: ",$B15,"/",$C15," tutar ",TEXT($D15,"#,##0.00")))</f>
        <v>Pozisyon: EUR/Varlık tutar 10.000,00</v>
      </c>
    </row>
    <row r="16" customFormat="false" ht="15" hidden="false" customHeight="false" outlineLevel="0" collapsed="false">
      <c r="A16" s="21"/>
      <c r="B16" s="22"/>
      <c r="C16" s="22"/>
      <c r="D16" s="23"/>
      <c r="E16" s="24"/>
      <c r="F16" s="22"/>
      <c r="G16" s="19" t="n">
        <f aca="false">IF($D16=0,0,$D16*$E16)</f>
        <v>0</v>
      </c>
      <c r="H16" s="20" t="str">
        <f aca="false">IF($B16="","",CONCATENATE("Pozisyon: ",$B16,"/",$C16," tutar ",TEXT($D16,"#,##0.00")))</f>
        <v/>
      </c>
    </row>
    <row r="17" customFormat="false" ht="15" hidden="false" customHeight="false" outlineLevel="0" collapsed="false">
      <c r="A17" s="21"/>
      <c r="B17" s="22"/>
      <c r="C17" s="22"/>
      <c r="D17" s="23"/>
      <c r="E17" s="24"/>
      <c r="F17" s="22"/>
      <c r="G17" s="19" t="n">
        <f aca="false">IF($D17=0,0,$D17*$E17)</f>
        <v>0</v>
      </c>
      <c r="H17" s="20" t="str">
        <f aca="false">IF($B17="","",CONCATENATE("Pozisyon: ",$B17,"/",$C17," tutar ",TEXT($D17,"#,##0.00")))</f>
        <v/>
      </c>
    </row>
    <row r="18" customFormat="false" ht="15" hidden="false" customHeight="false" outlineLevel="0" collapsed="false">
      <c r="A18" s="21"/>
      <c r="B18" s="22"/>
      <c r="C18" s="22"/>
      <c r="D18" s="23"/>
      <c r="E18" s="24"/>
      <c r="F18" s="22"/>
      <c r="G18" s="19" t="n">
        <f aca="false">IF($D18=0,0,$D18*$E18)</f>
        <v>0</v>
      </c>
      <c r="H18" s="20" t="str">
        <f aca="false">IF($B18="","",CONCATENATE("Pozisyon: ",$B18,"/",$C18," tutar ",TEXT($D18,"#,##0.00")))</f>
        <v/>
      </c>
    </row>
    <row r="19" customFormat="false" ht="15" hidden="false" customHeight="false" outlineLevel="0" collapsed="false">
      <c r="A19" s="21"/>
      <c r="B19" s="22"/>
      <c r="C19" s="22"/>
      <c r="D19" s="23"/>
      <c r="E19" s="24"/>
      <c r="F19" s="22"/>
      <c r="G19" s="19" t="n">
        <f aca="false">IF($D19=0,0,$D19*$E19)</f>
        <v>0</v>
      </c>
      <c r="H19" s="20" t="str">
        <f aca="false">IF($B19="","",CONCATENATE("Pozisyon: ",$B19,"/",$C19," tutar ",TEXT($D19,"#,##0.00")))</f>
        <v/>
      </c>
    </row>
    <row r="20" customFormat="false" ht="15" hidden="false" customHeight="false" outlineLevel="0" collapsed="false">
      <c r="A20" s="21"/>
      <c r="B20" s="22"/>
      <c r="C20" s="22"/>
      <c r="D20" s="23"/>
      <c r="E20" s="24"/>
      <c r="F20" s="22"/>
      <c r="G20" s="19" t="n">
        <f aca="false">IF($D20=0,0,$D20*$E20)</f>
        <v>0</v>
      </c>
      <c r="H20" s="20" t="str">
        <f aca="false">IF($B20="","",CONCATENATE("Pozisyon: ",$B20,"/",$C20," tutar ",TEXT($D20,"#,##0.00")))</f>
        <v/>
      </c>
    </row>
    <row r="21" customFormat="false" ht="15" hidden="false" customHeight="false" outlineLevel="0" collapsed="false">
      <c r="A21" s="21"/>
      <c r="B21" s="22"/>
      <c r="C21" s="22"/>
      <c r="D21" s="23"/>
      <c r="E21" s="24"/>
      <c r="F21" s="22"/>
      <c r="G21" s="19" t="n">
        <f aca="false">IF($D21=0,0,$D21*$E21)</f>
        <v>0</v>
      </c>
      <c r="H21" s="20" t="str">
        <f aca="false">IF($B21="","",CONCATENATE("Pozisyon: ",$B21,"/",$C21," tutar ",TEXT($D21,"#,##0.00")))</f>
        <v/>
      </c>
    </row>
    <row r="22" customFormat="false" ht="15" hidden="false" customHeight="false" outlineLevel="0" collapsed="false">
      <c r="A22" s="21"/>
      <c r="B22" s="22"/>
      <c r="C22" s="22"/>
      <c r="D22" s="23"/>
      <c r="E22" s="24"/>
      <c r="F22" s="22"/>
      <c r="G22" s="19" t="n">
        <f aca="false">IF($D22=0,0,$D22*$E22)</f>
        <v>0</v>
      </c>
      <c r="H22" s="20" t="str">
        <f aca="false">IF($B22="","",CONCATENATE("Pozisyon: ",$B22,"/",$C22," tutar ",TEXT($D22,"#,##0.00")))</f>
        <v/>
      </c>
    </row>
    <row r="23" customFormat="false" ht="15" hidden="false" customHeight="false" outlineLevel="0" collapsed="false">
      <c r="A23" s="21"/>
      <c r="B23" s="22"/>
      <c r="C23" s="22"/>
      <c r="D23" s="23"/>
      <c r="E23" s="24"/>
      <c r="F23" s="22"/>
      <c r="G23" s="19" t="n">
        <f aca="false">IF($D23=0,0,$D23*$E23)</f>
        <v>0</v>
      </c>
      <c r="H23" s="20" t="str">
        <f aca="false">IF($B23="","",CONCATENATE("Pozisyon: ",$B23,"/",$C23," tutar ",TEXT($D23,"#,##0.00")))</f>
        <v/>
      </c>
    </row>
    <row r="24" customFormat="false" ht="15" hidden="false" customHeight="false" outlineLevel="0" collapsed="false">
      <c r="A24" s="21"/>
      <c r="B24" s="22"/>
      <c r="C24" s="22"/>
      <c r="D24" s="23"/>
      <c r="E24" s="24"/>
      <c r="F24" s="22"/>
      <c r="G24" s="19" t="n">
        <f aca="false">IF($D24=0,0,$D24*$E24)</f>
        <v>0</v>
      </c>
      <c r="H24" s="20" t="str">
        <f aca="false">IF($B24="","",CONCATENATE("Pozisyon: ",$B24,"/",$C24," tutar ",TEXT($D24,"#,##0.00")))</f>
        <v/>
      </c>
    </row>
    <row r="25" customFormat="false" ht="15" hidden="false" customHeight="false" outlineLevel="0" collapsed="false">
      <c r="A25" s="21"/>
      <c r="B25" s="22"/>
      <c r="C25" s="22"/>
      <c r="D25" s="23"/>
      <c r="E25" s="24"/>
      <c r="F25" s="22"/>
      <c r="G25" s="19" t="n">
        <f aca="false">IF($D25=0,0,$D25*$E25)</f>
        <v>0</v>
      </c>
      <c r="H25" s="20" t="str">
        <f aca="false">IF($B25="","",CONCATENATE("Pozisyon: ",$B25,"/",$C25," tutar ",TEXT($D25,"#,##0.00")))</f>
        <v/>
      </c>
    </row>
    <row r="26" customFormat="false" ht="15" hidden="false" customHeight="false" outlineLevel="0" collapsed="false">
      <c r="A26" s="21"/>
      <c r="B26" s="22"/>
      <c r="C26" s="22"/>
      <c r="D26" s="23"/>
      <c r="E26" s="24"/>
      <c r="F26" s="22"/>
      <c r="G26" s="19" t="n">
        <f aca="false">IF($D26=0,0,$D26*$E26)</f>
        <v>0</v>
      </c>
      <c r="H26" s="20" t="str">
        <f aca="false">IF($B26="","",CONCATENATE("Pozisyon: ",$B26,"/",$C26," tutar ",TEXT($D26,"#,##0.00")))</f>
        <v/>
      </c>
    </row>
    <row r="27" customFormat="false" ht="15" hidden="false" customHeight="false" outlineLevel="0" collapsed="false">
      <c r="A27" s="21"/>
      <c r="B27" s="22"/>
      <c r="C27" s="22"/>
      <c r="D27" s="23"/>
      <c r="E27" s="24"/>
      <c r="F27" s="22"/>
      <c r="G27" s="19" t="n">
        <f aca="false">IF($D27=0,0,$D27*$E27)</f>
        <v>0</v>
      </c>
      <c r="H27" s="20" t="str">
        <f aca="false">IF($B27="","",CONCATENATE("Pozisyon: ",$B27,"/",$C27," tutar ",TEXT($D27,"#,##0.00")))</f>
        <v/>
      </c>
    </row>
    <row r="28" customFormat="false" ht="15" hidden="false" customHeight="false" outlineLevel="0" collapsed="false">
      <c r="A28" s="21"/>
      <c r="B28" s="22"/>
      <c r="C28" s="22"/>
      <c r="D28" s="23"/>
      <c r="E28" s="24"/>
      <c r="F28" s="22"/>
      <c r="G28" s="19" t="n">
        <f aca="false">IF($D28=0,0,$D28*$E28)</f>
        <v>0</v>
      </c>
      <c r="H28" s="20" t="str">
        <f aca="false">IF($B28="","",CONCATENATE("Pozisyon: ",$B28,"/",$C28," tutar ",TEXT($D28,"#,##0.00")))</f>
        <v/>
      </c>
    </row>
    <row r="29" customFormat="false" ht="15" hidden="false" customHeight="false" outlineLevel="0" collapsed="false">
      <c r="A29" s="21"/>
      <c r="B29" s="22"/>
      <c r="C29" s="22"/>
      <c r="D29" s="23"/>
      <c r="E29" s="24"/>
      <c r="F29" s="22"/>
      <c r="G29" s="19" t="n">
        <f aca="false">IF($D29=0,0,$D29*$E29)</f>
        <v>0</v>
      </c>
      <c r="H29" s="20" t="str">
        <f aca="false">IF($B29="","",CONCATENATE("Pozisyon: ",$B29,"/",$C29," tutar ",TEXT($D29,"#,##0.00")))</f>
        <v/>
      </c>
    </row>
    <row r="30" customFormat="false" ht="15" hidden="false" customHeight="false" outlineLevel="0" collapsed="false">
      <c r="A30" s="21"/>
      <c r="B30" s="22"/>
      <c r="C30" s="22"/>
      <c r="D30" s="23"/>
      <c r="E30" s="24"/>
      <c r="F30" s="22"/>
      <c r="G30" s="19" t="n">
        <f aca="false">IF($D30=0,0,$D30*$E30)</f>
        <v>0</v>
      </c>
      <c r="H30" s="20" t="str">
        <f aca="false">IF($B30="","",CONCATENATE("Pozisyon: ",$B30,"/",$C30," tutar ",TEXT($D30,"#,##0.00")))</f>
        <v/>
      </c>
    </row>
    <row r="31" customFormat="false" ht="15" hidden="false" customHeight="false" outlineLevel="0" collapsed="false">
      <c r="A31" s="21"/>
      <c r="B31" s="22"/>
      <c r="C31" s="22"/>
      <c r="D31" s="23"/>
      <c r="E31" s="24"/>
      <c r="F31" s="22"/>
      <c r="G31" s="19" t="n">
        <f aca="false">IF($D31=0,0,$D31*$E31)</f>
        <v>0</v>
      </c>
      <c r="H31" s="20" t="str">
        <f aca="false">IF($B31="","",CONCATENATE("Pozisyon: ",$B31,"/",$C31," tutar ",TEXT($D31,"#,##0.00")))</f>
        <v/>
      </c>
    </row>
    <row r="32" customFormat="false" ht="15" hidden="false" customHeight="false" outlineLevel="0" collapsed="false">
      <c r="A32" s="21"/>
      <c r="B32" s="22"/>
      <c r="C32" s="22"/>
      <c r="D32" s="23"/>
      <c r="E32" s="24"/>
      <c r="F32" s="22"/>
      <c r="G32" s="19" t="n">
        <f aca="false">IF($D32=0,0,$D32*$E32)</f>
        <v>0</v>
      </c>
      <c r="H32" s="20" t="str">
        <f aca="false">IF($B32="","",CONCATENATE("Pozisyon: ",$B32,"/",$C32," tutar ",TEXT($D32,"#,##0.00")))</f>
        <v/>
      </c>
    </row>
    <row r="33" customFormat="false" ht="15" hidden="false" customHeight="false" outlineLevel="0" collapsed="false">
      <c r="A33" s="21"/>
      <c r="B33" s="22"/>
      <c r="C33" s="22"/>
      <c r="D33" s="23"/>
      <c r="E33" s="24"/>
      <c r="F33" s="22"/>
      <c r="G33" s="19" t="n">
        <f aca="false">IF($D33=0,0,$D33*$E33)</f>
        <v>0</v>
      </c>
      <c r="H33" s="20" t="str">
        <f aca="false">IF($B33="","",CONCATENATE("Pozisyon: ",$B33,"/",$C33," tutar ",TEXT($D33,"#,##0.00")))</f>
        <v/>
      </c>
    </row>
    <row r="34" customFormat="false" ht="15" hidden="false" customHeight="false" outlineLevel="0" collapsed="false">
      <c r="A34" s="21"/>
      <c r="B34" s="22"/>
      <c r="C34" s="22"/>
      <c r="D34" s="23"/>
      <c r="E34" s="24"/>
      <c r="F34" s="22"/>
      <c r="G34" s="19" t="n">
        <f aca="false">IF($D34=0,0,$D34*$E34)</f>
        <v>0</v>
      </c>
      <c r="H34" s="20" t="str">
        <f aca="false">IF($B34="","",CONCATENATE("Pozisyon: ",$B34,"/",$C34," tutar ",TEXT($D34,"#,##0.00")))</f>
        <v/>
      </c>
    </row>
    <row r="35" customFormat="false" ht="15" hidden="false" customHeight="false" outlineLevel="0" collapsed="false">
      <c r="A35" s="21"/>
      <c r="B35" s="22"/>
      <c r="C35" s="22"/>
      <c r="D35" s="23"/>
      <c r="E35" s="24"/>
      <c r="F35" s="22"/>
      <c r="G35" s="19" t="n">
        <f aca="false">IF($D35=0,0,$D35*$E35)</f>
        <v>0</v>
      </c>
      <c r="H35" s="20" t="str">
        <f aca="false">IF($B35="","",CONCATENATE("Pozisyon: ",$B35,"/",$C35," tutar ",TEXT($D35,"#,##0.00")))</f>
        <v/>
      </c>
    </row>
    <row r="36" customFormat="false" ht="15" hidden="false" customHeight="false" outlineLevel="0" collapsed="false">
      <c r="A36" s="21"/>
      <c r="B36" s="22"/>
      <c r="C36" s="22"/>
      <c r="D36" s="23"/>
      <c r="E36" s="24"/>
      <c r="F36" s="22"/>
      <c r="G36" s="19" t="n">
        <f aca="false">IF($D36=0,0,$D36*$E36)</f>
        <v>0</v>
      </c>
      <c r="H36" s="20" t="str">
        <f aca="false">IF($B36="","",CONCATENATE("Pozisyon: ",$B36,"/",$C36," tutar ",TEXT($D36,"#,##0.00")))</f>
        <v/>
      </c>
    </row>
    <row r="37" customFormat="false" ht="15" hidden="false" customHeight="false" outlineLevel="0" collapsed="false">
      <c r="A37" s="21"/>
      <c r="B37" s="22"/>
      <c r="C37" s="22"/>
      <c r="D37" s="23"/>
      <c r="E37" s="24"/>
      <c r="F37" s="22"/>
      <c r="G37" s="19" t="n">
        <f aca="false">IF($D37=0,0,$D37*$E37)</f>
        <v>0</v>
      </c>
      <c r="H37" s="20" t="str">
        <f aca="false">IF($B37="","",CONCATENATE("Pozisyon: ",$B37,"/",$C37," tutar ",TEXT($D37,"#,##0.00")))</f>
        <v/>
      </c>
    </row>
    <row r="38" customFormat="false" ht="15" hidden="false" customHeight="false" outlineLevel="0" collapsed="false">
      <c r="A38" s="21"/>
      <c r="B38" s="22"/>
      <c r="C38" s="22"/>
      <c r="D38" s="23"/>
      <c r="E38" s="24"/>
      <c r="F38" s="22"/>
      <c r="G38" s="19" t="n">
        <f aca="false">IF($D38=0,0,$D38*$E38)</f>
        <v>0</v>
      </c>
      <c r="H38" s="20" t="str">
        <f aca="false">IF($B38="","",CONCATENATE("Pozisyon: ",$B38,"/",$C38," tutar ",TEXT($D38,"#,##0.00")))</f>
        <v/>
      </c>
    </row>
    <row r="39" customFormat="false" ht="15" hidden="false" customHeight="false" outlineLevel="0" collapsed="false">
      <c r="A39" s="21"/>
      <c r="B39" s="22"/>
      <c r="C39" s="22"/>
      <c r="D39" s="23"/>
      <c r="E39" s="24"/>
      <c r="F39" s="22"/>
      <c r="G39" s="19" t="n">
        <f aca="false">IF($D39=0,0,$D39*$E39)</f>
        <v>0</v>
      </c>
      <c r="H39" s="20" t="str">
        <f aca="false">IF($B39="","",CONCATENATE("Pozisyon: ",$B39,"/",$C39," tutar ",TEXT($D39,"#,##0.00")))</f>
        <v/>
      </c>
    </row>
    <row r="40" customFormat="false" ht="15" hidden="false" customHeight="false" outlineLevel="0" collapsed="false">
      <c r="A40" s="21"/>
      <c r="B40" s="22"/>
      <c r="C40" s="22"/>
      <c r="D40" s="23"/>
      <c r="E40" s="24"/>
      <c r="F40" s="22"/>
      <c r="G40" s="19" t="n">
        <f aca="false">IF($D40=0,0,$D40*$E40)</f>
        <v>0</v>
      </c>
      <c r="H40" s="20" t="str">
        <f aca="false">IF($B40="","",CONCATENATE("Pozisyon: ",$B40,"/",$C40," tutar ",TEXT($D40,"#,##0.00")))</f>
        <v/>
      </c>
    </row>
    <row r="41" customFormat="false" ht="15" hidden="false" customHeight="false" outlineLevel="0" collapsed="false">
      <c r="A41" s="21"/>
      <c r="B41" s="22"/>
      <c r="C41" s="22"/>
      <c r="D41" s="23"/>
      <c r="E41" s="24"/>
      <c r="F41" s="22"/>
      <c r="G41" s="19" t="n">
        <f aca="false">IF($D41=0,0,$D41*$E41)</f>
        <v>0</v>
      </c>
      <c r="H41" s="20" t="str">
        <f aca="false">IF($B41="","",CONCATENATE("Pozisyon: ",$B41,"/",$C41," tutar ",TEXT($D41,"#,##0.00")))</f>
        <v/>
      </c>
    </row>
    <row r="42" customFormat="false" ht="15" hidden="false" customHeight="false" outlineLevel="0" collapsed="false">
      <c r="A42" s="21"/>
      <c r="B42" s="22"/>
      <c r="C42" s="22"/>
      <c r="D42" s="23"/>
      <c r="E42" s="24"/>
      <c r="F42" s="22"/>
      <c r="G42" s="19" t="n">
        <f aca="false">IF($D42=0,0,$D42*$E42)</f>
        <v>0</v>
      </c>
      <c r="H42" s="20" t="str">
        <f aca="false">IF($B42="","",CONCATENATE("Pozisyon: ",$B42,"/",$C42," tutar ",TEXT($D42,"#,##0.00")))</f>
        <v/>
      </c>
    </row>
    <row r="43" customFormat="false" ht="15" hidden="false" customHeight="false" outlineLevel="0" collapsed="false">
      <c r="A43" s="21"/>
      <c r="B43" s="22"/>
      <c r="C43" s="22"/>
      <c r="D43" s="23"/>
      <c r="E43" s="24"/>
      <c r="F43" s="22"/>
      <c r="G43" s="19" t="n">
        <f aca="false">IF($D43=0,0,$D43*$E43)</f>
        <v>0</v>
      </c>
      <c r="H43" s="20" t="str">
        <f aca="false">IF($B43="","",CONCATENATE("Pozisyon: ",$B43,"/",$C43," tutar ",TEXT($D43,"#,##0.00")))</f>
        <v/>
      </c>
    </row>
    <row r="44" customFormat="false" ht="15" hidden="false" customHeight="false" outlineLevel="0" collapsed="false">
      <c r="A44" s="21"/>
      <c r="B44" s="22"/>
      <c r="C44" s="22"/>
      <c r="D44" s="23"/>
      <c r="E44" s="24"/>
      <c r="F44" s="22"/>
      <c r="G44" s="19" t="n">
        <f aca="false">IF($D44=0,0,$D44*$E44)</f>
        <v>0</v>
      </c>
      <c r="H44" s="20" t="str">
        <f aca="false">IF($B44="","",CONCATENATE("Pozisyon: ",$B44,"/",$C44," tutar ",TEXT($D44,"#,##0.00")))</f>
        <v/>
      </c>
    </row>
    <row r="45" customFormat="false" ht="15" hidden="false" customHeight="false" outlineLevel="0" collapsed="false">
      <c r="A45" s="21"/>
      <c r="B45" s="22"/>
      <c r="C45" s="22"/>
      <c r="D45" s="23"/>
      <c r="E45" s="24"/>
      <c r="F45" s="22"/>
      <c r="G45" s="19" t="n">
        <f aca="false">IF($D45=0,0,$D45*$E45)</f>
        <v>0</v>
      </c>
      <c r="H45" s="20" t="str">
        <f aca="false">IF($B45="","",CONCATENATE("Pozisyon: ",$B45,"/",$C45," tutar ",TEXT($D45,"#,##0.00")))</f>
        <v/>
      </c>
    </row>
    <row r="46" customFormat="false" ht="15" hidden="false" customHeight="false" outlineLevel="0" collapsed="false">
      <c r="A46" s="21"/>
      <c r="B46" s="22"/>
      <c r="C46" s="22"/>
      <c r="D46" s="23"/>
      <c r="E46" s="24"/>
      <c r="F46" s="22"/>
      <c r="G46" s="19" t="n">
        <f aca="false">IF($D46=0,0,$D46*$E46)</f>
        <v>0</v>
      </c>
      <c r="H46" s="20" t="str">
        <f aca="false">IF($B46="","",CONCATENATE("Pozisyon: ",$B46,"/",$C46," tutar ",TEXT($D46,"#,##0.00")))</f>
        <v/>
      </c>
    </row>
    <row r="47" customFormat="false" ht="15" hidden="false" customHeight="false" outlineLevel="0" collapsed="false">
      <c r="A47" s="21"/>
      <c r="B47" s="22"/>
      <c r="C47" s="22"/>
      <c r="D47" s="23"/>
      <c r="E47" s="24"/>
      <c r="F47" s="22"/>
      <c r="G47" s="19" t="n">
        <f aca="false">IF($D47=0,0,$D47*$E47)</f>
        <v>0</v>
      </c>
      <c r="H47" s="20" t="str">
        <f aca="false">IF($B47="","",CONCATENATE("Pozisyon: ",$B47,"/",$C47," tutar ",TEXT($D47,"#,##0.00")))</f>
        <v/>
      </c>
    </row>
    <row r="48" customFormat="false" ht="15" hidden="false" customHeight="false" outlineLevel="0" collapsed="false">
      <c r="A48" s="21"/>
      <c r="B48" s="22"/>
      <c r="C48" s="22"/>
      <c r="D48" s="23"/>
      <c r="E48" s="24"/>
      <c r="F48" s="22"/>
      <c r="G48" s="19" t="n">
        <f aca="false">IF($D48=0,0,$D48*$E48)</f>
        <v>0</v>
      </c>
      <c r="H48" s="20" t="str">
        <f aca="false">IF($B48="","",CONCATENATE("Pozisyon: ",$B48,"/",$C48," tutar ",TEXT($D48,"#,##0.00")))</f>
        <v/>
      </c>
    </row>
    <row r="49" customFormat="false" ht="15" hidden="false" customHeight="false" outlineLevel="0" collapsed="false">
      <c r="A49" s="21"/>
      <c r="B49" s="22"/>
      <c r="C49" s="22"/>
      <c r="D49" s="23"/>
      <c r="E49" s="24"/>
      <c r="F49" s="22"/>
      <c r="G49" s="19" t="n">
        <f aca="false">IF($D49=0,0,$D49*$E49)</f>
        <v>0</v>
      </c>
      <c r="H49" s="20" t="str">
        <f aca="false">IF($B49="","",CONCATENATE("Pozisyon: ",$B49,"/",$C49," tutar ",TEXT($D49,"#,##0.00")))</f>
        <v/>
      </c>
    </row>
    <row r="50" customFormat="false" ht="15" hidden="false" customHeight="false" outlineLevel="0" collapsed="false">
      <c r="A50" s="21"/>
      <c r="B50" s="22"/>
      <c r="C50" s="22"/>
      <c r="D50" s="23"/>
      <c r="E50" s="24"/>
      <c r="F50" s="22"/>
      <c r="G50" s="19" t="n">
        <f aca="false">IF($D50=0,0,$D50*$E50)</f>
        <v>0</v>
      </c>
      <c r="H50" s="20" t="str">
        <f aca="false">IF($B50="","",CONCATENATE("Pozisyon: ",$B50,"/",$C50," tutar ",TEXT($D50,"#,##0.00")))</f>
        <v/>
      </c>
    </row>
    <row r="51" customFormat="false" ht="15" hidden="false" customHeight="false" outlineLevel="0" collapsed="false">
      <c r="A51" s="21"/>
      <c r="B51" s="22"/>
      <c r="C51" s="22"/>
      <c r="D51" s="23"/>
      <c r="E51" s="24"/>
      <c r="F51" s="22"/>
      <c r="G51" s="19" t="n">
        <f aca="false">IF($D51=0,0,$D51*$E51)</f>
        <v>0</v>
      </c>
      <c r="H51" s="20" t="str">
        <f aca="false">IF($B51="","",CONCATENATE("Pozisyon: ",$B51,"/",$C51," tutar ",TEXT($D51,"#,##0.00")))</f>
        <v/>
      </c>
    </row>
    <row r="52" customFormat="false" ht="15" hidden="false" customHeight="false" outlineLevel="0" collapsed="false">
      <c r="A52" s="21"/>
      <c r="B52" s="22"/>
      <c r="C52" s="22"/>
      <c r="D52" s="23"/>
      <c r="E52" s="24"/>
      <c r="F52" s="22"/>
      <c r="G52" s="19" t="n">
        <f aca="false">IF($D52=0,0,$D52*$E52)</f>
        <v>0</v>
      </c>
      <c r="H52" s="20" t="str">
        <f aca="false">IF($B52="","",CONCATENATE("Pozisyon: ",$B52,"/",$C52," tutar ",TEXT($D52,"#,##0.00")))</f>
        <v/>
      </c>
    </row>
    <row r="53" customFormat="false" ht="15" hidden="false" customHeight="false" outlineLevel="0" collapsed="false">
      <c r="A53" s="21"/>
      <c r="B53" s="22"/>
      <c r="C53" s="22"/>
      <c r="D53" s="23"/>
      <c r="E53" s="24"/>
      <c r="F53" s="22"/>
      <c r="G53" s="19" t="n">
        <f aca="false">IF($D53=0,0,$D53*$E53)</f>
        <v>0</v>
      </c>
      <c r="H53" s="20" t="str">
        <f aca="false">IF($B53="","",CONCATENATE("Pozisyon: ",$B53,"/",$C53," tutar ",TEXT($D53,"#,##0.00")))</f>
        <v/>
      </c>
    </row>
    <row r="54" customFormat="false" ht="15" hidden="false" customHeight="false" outlineLevel="0" collapsed="false">
      <c r="A54" s="21"/>
      <c r="B54" s="22"/>
      <c r="C54" s="22"/>
      <c r="D54" s="23"/>
      <c r="E54" s="24"/>
      <c r="F54" s="22"/>
      <c r="G54" s="19" t="n">
        <f aca="false">IF($D54=0,0,$D54*$E54)</f>
        <v>0</v>
      </c>
      <c r="H54" s="20" t="str">
        <f aca="false">IF($B54="","",CONCATENATE("Pozisyon: ",$B54,"/",$C54," tutar ",TEXT($D54,"#,##0.00")))</f>
        <v/>
      </c>
    </row>
    <row r="55" customFormat="false" ht="15" hidden="false" customHeight="false" outlineLevel="0" collapsed="false">
      <c r="A55" s="21"/>
      <c r="B55" s="22"/>
      <c r="C55" s="22"/>
      <c r="D55" s="23"/>
      <c r="E55" s="24"/>
      <c r="F55" s="22"/>
      <c r="G55" s="19" t="n">
        <f aca="false">IF($D55=0,0,$D55*$E55)</f>
        <v>0</v>
      </c>
      <c r="H55" s="20" t="str">
        <f aca="false">IF($B55="","",CONCATENATE("Pozisyon: ",$B55,"/",$C55," tutar ",TEXT($D55,"#,##0.00")))</f>
        <v/>
      </c>
    </row>
    <row r="56" customFormat="false" ht="15" hidden="false" customHeight="false" outlineLevel="0" collapsed="false">
      <c r="A56" s="21"/>
      <c r="B56" s="22"/>
      <c r="C56" s="22"/>
      <c r="D56" s="23"/>
      <c r="E56" s="24"/>
      <c r="F56" s="22"/>
      <c r="G56" s="19" t="n">
        <f aca="false">IF($D56=0,0,$D56*$E56)</f>
        <v>0</v>
      </c>
      <c r="H56" s="20" t="str">
        <f aca="false">IF($B56="","",CONCATENATE("Pozisyon: ",$B56,"/",$C56," tutar ",TEXT($D56,"#,##0.00")))</f>
        <v/>
      </c>
    </row>
    <row r="57" customFormat="false" ht="15" hidden="false" customHeight="false" outlineLevel="0" collapsed="false">
      <c r="A57" s="21"/>
      <c r="B57" s="22"/>
      <c r="C57" s="22"/>
      <c r="D57" s="23"/>
      <c r="E57" s="24"/>
      <c r="F57" s="22"/>
      <c r="G57" s="19" t="n">
        <f aca="false">IF($D57=0,0,$D57*$E57)</f>
        <v>0</v>
      </c>
      <c r="H57" s="20" t="str">
        <f aca="false">IF($B57="","",CONCATENATE("Pozisyon: ",$B57,"/",$C57," tutar ",TEXT($D57,"#,##0.00")))</f>
        <v/>
      </c>
    </row>
    <row r="58" customFormat="false" ht="15" hidden="false" customHeight="false" outlineLevel="0" collapsed="false">
      <c r="A58" s="21"/>
      <c r="B58" s="22"/>
      <c r="C58" s="22"/>
      <c r="D58" s="23"/>
      <c r="E58" s="24"/>
      <c r="F58" s="22"/>
      <c r="G58" s="19" t="n">
        <f aca="false">IF($D58=0,0,$D58*$E58)</f>
        <v>0</v>
      </c>
      <c r="H58" s="20" t="str">
        <f aca="false">IF($B58="","",CONCATENATE("Pozisyon: ",$B58,"/",$C58," tutar ",TEXT($D58,"#,##0.00")))</f>
        <v/>
      </c>
    </row>
    <row r="59" customFormat="false" ht="15" hidden="false" customHeight="false" outlineLevel="0" collapsed="false">
      <c r="A59" s="21"/>
      <c r="B59" s="22"/>
      <c r="C59" s="22"/>
      <c r="D59" s="23"/>
      <c r="E59" s="24"/>
      <c r="F59" s="22"/>
      <c r="G59" s="19" t="n">
        <f aca="false">IF($D59=0,0,$D59*$E59)</f>
        <v>0</v>
      </c>
      <c r="H59" s="20" t="str">
        <f aca="false">IF($B59="","",CONCATENATE("Pozisyon: ",$B59,"/",$C59," tutar ",TEXT($D59,"#,##0.00")))</f>
        <v/>
      </c>
    </row>
    <row r="60" customFormat="false" ht="15" hidden="false" customHeight="false" outlineLevel="0" collapsed="false">
      <c r="A60" s="21"/>
      <c r="B60" s="22"/>
      <c r="C60" s="22"/>
      <c r="D60" s="23"/>
      <c r="E60" s="24"/>
      <c r="F60" s="22"/>
      <c r="G60" s="19" t="n">
        <f aca="false">IF($D60=0,0,$D60*$E60)</f>
        <v>0</v>
      </c>
      <c r="H60" s="20" t="str">
        <f aca="false">IF($B60="","",CONCATENATE("Pozisyon: ",$B60,"/",$C60," tutar ",TEXT($D60,"#,##0.00")))</f>
        <v/>
      </c>
    </row>
    <row r="61" customFormat="false" ht="15" hidden="false" customHeight="false" outlineLevel="0" collapsed="false">
      <c r="A61" s="21"/>
      <c r="B61" s="22"/>
      <c r="C61" s="22"/>
      <c r="D61" s="23"/>
      <c r="E61" s="24"/>
      <c r="F61" s="22"/>
      <c r="G61" s="19" t="n">
        <f aca="false">IF($D61=0,0,$D61*$E61)</f>
        <v>0</v>
      </c>
      <c r="H61" s="20" t="str">
        <f aca="false">IF($B61="","",CONCATENATE("Pozisyon: ",$B61,"/",$C61," tutar ",TEXT($D61,"#,##0.00")))</f>
        <v/>
      </c>
    </row>
    <row r="62" customFormat="false" ht="15" hidden="false" customHeight="false" outlineLevel="0" collapsed="false">
      <c r="A62" s="21"/>
      <c r="B62" s="22"/>
      <c r="C62" s="22"/>
      <c r="D62" s="23"/>
      <c r="E62" s="24"/>
      <c r="F62" s="22"/>
      <c r="G62" s="19" t="n">
        <f aca="false">IF($D62=0,0,$D62*$E62)</f>
        <v>0</v>
      </c>
      <c r="H62" s="20" t="str">
        <f aca="false">IF($B62="","",CONCATENATE("Pozisyon: ",$B62,"/",$C62," tutar ",TEXT($D62,"#,##0.00")))</f>
        <v/>
      </c>
    </row>
    <row r="63" customFormat="false" ht="15" hidden="false" customHeight="false" outlineLevel="0" collapsed="false">
      <c r="A63" s="21"/>
      <c r="B63" s="22"/>
      <c r="C63" s="22"/>
      <c r="D63" s="23"/>
      <c r="E63" s="24"/>
      <c r="F63" s="22"/>
      <c r="G63" s="19" t="n">
        <f aca="false">IF($D63=0,0,$D63*$E63)</f>
        <v>0</v>
      </c>
      <c r="H63" s="20" t="str">
        <f aca="false">IF($B63="","",CONCATENATE("Pozisyon: ",$B63,"/",$C63," tutar ",TEXT($D63,"#,##0.00")))</f>
        <v/>
      </c>
    </row>
    <row r="64" customFormat="false" ht="15" hidden="false" customHeight="false" outlineLevel="0" collapsed="false">
      <c r="A64" s="21"/>
      <c r="B64" s="22"/>
      <c r="C64" s="22"/>
      <c r="D64" s="23"/>
      <c r="E64" s="24"/>
      <c r="F64" s="22"/>
      <c r="G64" s="19" t="n">
        <f aca="false">IF($D64=0,0,$D64*$E64)</f>
        <v>0</v>
      </c>
      <c r="H64" s="20" t="str">
        <f aca="false">IF($B64="","",CONCATENATE("Pozisyon: ",$B64,"/",$C64," tutar ",TEXT($D64,"#,##0.00")))</f>
        <v/>
      </c>
    </row>
    <row r="65" customFormat="false" ht="15" hidden="false" customHeight="false" outlineLevel="0" collapsed="false">
      <c r="A65" s="21"/>
      <c r="B65" s="22"/>
      <c r="C65" s="22"/>
      <c r="D65" s="23"/>
      <c r="E65" s="24"/>
      <c r="F65" s="22"/>
      <c r="G65" s="19" t="n">
        <f aca="false">IF($D65=0,0,$D65*$E65)</f>
        <v>0</v>
      </c>
      <c r="H65" s="20" t="str">
        <f aca="false">IF($B65="","",CONCATENATE("Pozisyon: ",$B65,"/",$C65," tutar ",TEXT($D65,"#,##0.00")))</f>
        <v/>
      </c>
    </row>
    <row r="66" customFormat="false" ht="15" hidden="false" customHeight="false" outlineLevel="0" collapsed="false">
      <c r="A66" s="21"/>
      <c r="B66" s="22"/>
      <c r="C66" s="22"/>
      <c r="D66" s="23"/>
      <c r="E66" s="24"/>
      <c r="F66" s="22"/>
      <c r="G66" s="19" t="n">
        <f aca="false">IF($D66=0,0,$D66*$E66)</f>
        <v>0</v>
      </c>
      <c r="H66" s="20" t="str">
        <f aca="false">IF($B66="","",CONCATENATE("Pozisyon: ",$B66,"/",$C66," tutar ",TEXT($D66,"#,##0.00")))</f>
        <v/>
      </c>
    </row>
    <row r="67" customFormat="false" ht="15" hidden="false" customHeight="false" outlineLevel="0" collapsed="false">
      <c r="A67" s="21"/>
      <c r="B67" s="22"/>
      <c r="C67" s="22"/>
      <c r="D67" s="23"/>
      <c r="E67" s="24"/>
      <c r="F67" s="22"/>
      <c r="G67" s="19" t="n">
        <f aca="false">IF($D67=0,0,$D67*$E67)</f>
        <v>0</v>
      </c>
      <c r="H67" s="20" t="str">
        <f aca="false">IF($B67="","",CONCATENATE("Pozisyon: ",$B67,"/",$C67," tutar ",TEXT($D67,"#,##0.00")))</f>
        <v/>
      </c>
    </row>
    <row r="68" customFormat="false" ht="15" hidden="false" customHeight="false" outlineLevel="0" collapsed="false">
      <c r="A68" s="21"/>
      <c r="B68" s="22"/>
      <c r="C68" s="22"/>
      <c r="D68" s="23"/>
      <c r="E68" s="24"/>
      <c r="F68" s="22"/>
      <c r="G68" s="19" t="n">
        <f aca="false">IF($D68=0,0,$D68*$E68)</f>
        <v>0</v>
      </c>
      <c r="H68" s="20" t="str">
        <f aca="false">IF($B68="","",CONCATENATE("Pozisyon: ",$B68,"/",$C68," tutar ",TEXT($D68,"#,##0.00")))</f>
        <v/>
      </c>
    </row>
    <row r="69" customFormat="false" ht="15" hidden="false" customHeight="false" outlineLevel="0" collapsed="false">
      <c r="A69" s="21"/>
      <c r="B69" s="22"/>
      <c r="C69" s="22"/>
      <c r="D69" s="23"/>
      <c r="E69" s="24"/>
      <c r="F69" s="22"/>
      <c r="G69" s="19" t="n">
        <f aca="false">IF($D69=0,0,$D69*$E69)</f>
        <v>0</v>
      </c>
      <c r="H69" s="20" t="str">
        <f aca="false">IF($B69="","",CONCATENATE("Pozisyon: ",$B69,"/",$C69," tutar ",TEXT($D69,"#,##0.00")))</f>
        <v/>
      </c>
    </row>
    <row r="70" customFormat="false" ht="15" hidden="false" customHeight="false" outlineLevel="0" collapsed="false">
      <c r="A70" s="21"/>
      <c r="B70" s="22"/>
      <c r="C70" s="22"/>
      <c r="D70" s="23"/>
      <c r="E70" s="24"/>
      <c r="F70" s="22"/>
      <c r="G70" s="19" t="n">
        <f aca="false">IF($D70=0,0,$D70*$E70)</f>
        <v>0</v>
      </c>
      <c r="H70" s="20" t="str">
        <f aca="false">IF($B70="","",CONCATENATE("Pozisyon: ",$B70,"/",$C70," tutar ",TEXT($D70,"#,##0.00")))</f>
        <v/>
      </c>
    </row>
    <row r="71" customFormat="false" ht="15" hidden="false" customHeight="false" outlineLevel="0" collapsed="false">
      <c r="A71" s="21"/>
      <c r="B71" s="22"/>
      <c r="C71" s="22"/>
      <c r="D71" s="23"/>
      <c r="E71" s="24"/>
      <c r="F71" s="22"/>
      <c r="G71" s="19" t="n">
        <f aca="false">IF($D71=0,0,$D71*$E71)</f>
        <v>0</v>
      </c>
      <c r="H71" s="20" t="str">
        <f aca="false">IF($B71="","",CONCATENATE("Pozisyon: ",$B71,"/",$C71," tutar ",TEXT($D71,"#,##0.00")))</f>
        <v/>
      </c>
    </row>
    <row r="72" customFormat="false" ht="15" hidden="false" customHeight="false" outlineLevel="0" collapsed="false">
      <c r="A72" s="21"/>
      <c r="B72" s="22"/>
      <c r="C72" s="22"/>
      <c r="D72" s="23"/>
      <c r="E72" s="24"/>
      <c r="F72" s="22"/>
      <c r="G72" s="19" t="n">
        <f aca="false">IF($D72=0,0,$D72*$E72)</f>
        <v>0</v>
      </c>
      <c r="H72" s="20" t="str">
        <f aca="false">IF($B72="","",CONCATENATE("Pozisyon: ",$B72,"/",$C72," tutar ",TEXT($D72,"#,##0.00")))</f>
        <v/>
      </c>
    </row>
    <row r="73" customFormat="false" ht="15" hidden="false" customHeight="false" outlineLevel="0" collapsed="false">
      <c r="A73" s="21"/>
      <c r="B73" s="22"/>
      <c r="C73" s="22"/>
      <c r="D73" s="23"/>
      <c r="E73" s="24"/>
      <c r="F73" s="22"/>
      <c r="G73" s="19" t="n">
        <f aca="false">IF($D73=0,0,$D73*$E73)</f>
        <v>0</v>
      </c>
      <c r="H73" s="20" t="str">
        <f aca="false">IF($B73="","",CONCATENATE("Pozisyon: ",$B73,"/",$C73," tutar ",TEXT($D73,"#,##0.00")))</f>
        <v/>
      </c>
    </row>
    <row r="74" customFormat="false" ht="15" hidden="false" customHeight="false" outlineLevel="0" collapsed="false">
      <c r="A74" s="21"/>
      <c r="B74" s="22"/>
      <c r="C74" s="22"/>
      <c r="D74" s="23"/>
      <c r="E74" s="24"/>
      <c r="F74" s="22"/>
      <c r="G74" s="19" t="n">
        <f aca="false">IF($D74=0,0,$D74*$E74)</f>
        <v>0</v>
      </c>
      <c r="H74" s="20" t="str">
        <f aca="false">IF($B74="","",CONCATENATE("Pozisyon: ",$B74,"/",$C74," tutar ",TEXT($D74,"#,##0.00")))</f>
        <v/>
      </c>
    </row>
    <row r="75" customFormat="false" ht="15" hidden="false" customHeight="false" outlineLevel="0" collapsed="false">
      <c r="A75" s="21"/>
      <c r="B75" s="22"/>
      <c r="C75" s="22"/>
      <c r="D75" s="23"/>
      <c r="E75" s="24"/>
      <c r="F75" s="22"/>
      <c r="G75" s="19" t="n">
        <f aca="false">IF($D75=0,0,$D75*$E75)</f>
        <v>0</v>
      </c>
      <c r="H75" s="20" t="str">
        <f aca="false">IF($B75="","",CONCATENATE("Pozisyon: ",$B75,"/",$C75," tutar ",TEXT($D75,"#,##0.00")))</f>
        <v/>
      </c>
    </row>
    <row r="76" customFormat="false" ht="15" hidden="false" customHeight="false" outlineLevel="0" collapsed="false">
      <c r="A76" s="21"/>
      <c r="B76" s="22"/>
      <c r="C76" s="22"/>
      <c r="D76" s="23"/>
      <c r="E76" s="24"/>
      <c r="F76" s="22"/>
      <c r="G76" s="19" t="n">
        <f aca="false">IF($D76=0,0,$D76*$E76)</f>
        <v>0</v>
      </c>
      <c r="H76" s="20" t="str">
        <f aca="false">IF($B76="","",CONCATENATE("Pozisyon: ",$B76,"/",$C76," tutar ",TEXT($D76,"#,##0.00")))</f>
        <v/>
      </c>
    </row>
    <row r="77" customFormat="false" ht="15" hidden="false" customHeight="false" outlineLevel="0" collapsed="false">
      <c r="A77" s="21"/>
      <c r="B77" s="22"/>
      <c r="C77" s="22"/>
      <c r="D77" s="23"/>
      <c r="E77" s="24"/>
      <c r="F77" s="22"/>
      <c r="G77" s="19" t="n">
        <f aca="false">IF($D77=0,0,$D77*$E77)</f>
        <v>0</v>
      </c>
      <c r="H77" s="20" t="str">
        <f aca="false">IF($B77="","",CONCATENATE("Pozisyon: ",$B77,"/",$C77," tutar ",TEXT($D77,"#,##0.00")))</f>
        <v/>
      </c>
    </row>
    <row r="78" customFormat="false" ht="15" hidden="false" customHeight="false" outlineLevel="0" collapsed="false">
      <c r="A78" s="21"/>
      <c r="B78" s="22"/>
      <c r="C78" s="22"/>
      <c r="D78" s="23"/>
      <c r="E78" s="24"/>
      <c r="F78" s="22"/>
      <c r="G78" s="19" t="n">
        <f aca="false">IF($D78=0,0,$D78*$E78)</f>
        <v>0</v>
      </c>
      <c r="H78" s="20" t="str">
        <f aca="false">IF($B78="","",CONCATENATE("Pozisyon: ",$B78,"/",$C78," tutar ",TEXT($D78,"#,##0.00")))</f>
        <v/>
      </c>
    </row>
    <row r="79" customFormat="false" ht="15" hidden="false" customHeight="false" outlineLevel="0" collapsed="false">
      <c r="A79" s="21"/>
      <c r="B79" s="22"/>
      <c r="C79" s="22"/>
      <c r="D79" s="23"/>
      <c r="E79" s="24"/>
      <c r="F79" s="22"/>
      <c r="G79" s="19" t="n">
        <f aca="false">IF($D79=0,0,$D79*$E79)</f>
        <v>0</v>
      </c>
      <c r="H79" s="20" t="str">
        <f aca="false">IF($B79="","",CONCATENATE("Pozisyon: ",$B79,"/",$C79," tutar ",TEXT($D79,"#,##0.00")))</f>
        <v/>
      </c>
    </row>
    <row r="80" customFormat="false" ht="15" hidden="false" customHeight="false" outlineLevel="0" collapsed="false">
      <c r="A80" s="21"/>
      <c r="B80" s="22"/>
      <c r="C80" s="22"/>
      <c r="D80" s="23"/>
      <c r="E80" s="24"/>
      <c r="F80" s="22"/>
      <c r="G80" s="19" t="n">
        <f aca="false">IF($D80=0,0,$D80*$E80)</f>
        <v>0</v>
      </c>
      <c r="H80" s="20" t="str">
        <f aca="false">IF($B80="","",CONCATENATE("Pozisyon: ",$B80,"/",$C80," tutar ",TEXT($D80,"#,##0.00")))</f>
        <v/>
      </c>
    </row>
    <row r="81" customFormat="false" ht="15" hidden="false" customHeight="false" outlineLevel="0" collapsed="false">
      <c r="A81" s="21"/>
      <c r="B81" s="22"/>
      <c r="C81" s="22"/>
      <c r="D81" s="23"/>
      <c r="E81" s="24"/>
      <c r="F81" s="22"/>
      <c r="G81" s="19" t="n">
        <f aca="false">IF($D81=0,0,$D81*$E81)</f>
        <v>0</v>
      </c>
      <c r="H81" s="20" t="str">
        <f aca="false">IF($B81="","",CONCATENATE("Pozisyon: ",$B81,"/",$C81," tutar ",TEXT($D81,"#,##0.00")))</f>
        <v/>
      </c>
    </row>
    <row r="82" customFormat="false" ht="15" hidden="false" customHeight="false" outlineLevel="0" collapsed="false">
      <c r="A82" s="21"/>
      <c r="B82" s="22"/>
      <c r="C82" s="22"/>
      <c r="D82" s="23"/>
      <c r="E82" s="24"/>
      <c r="F82" s="22"/>
      <c r="G82" s="19" t="n">
        <f aca="false">IF($D82=0,0,$D82*$E82)</f>
        <v>0</v>
      </c>
      <c r="H82" s="20" t="str">
        <f aca="false">IF($B82="","",CONCATENATE("Pozisyon: ",$B82,"/",$C82," tutar ",TEXT($D82,"#,##0.00")))</f>
        <v/>
      </c>
    </row>
    <row r="83" customFormat="false" ht="15" hidden="false" customHeight="false" outlineLevel="0" collapsed="false">
      <c r="A83" s="21"/>
      <c r="B83" s="22"/>
      <c r="C83" s="22"/>
      <c r="D83" s="23"/>
      <c r="E83" s="24"/>
      <c r="F83" s="22"/>
      <c r="G83" s="19" t="n">
        <f aca="false">IF($D83=0,0,$D83*$E83)</f>
        <v>0</v>
      </c>
      <c r="H83" s="20" t="str">
        <f aca="false">IF($B83="","",CONCATENATE("Pozisyon: ",$B83,"/",$C83," tutar ",TEXT($D83,"#,##0.00")))</f>
        <v/>
      </c>
    </row>
    <row r="84" customFormat="false" ht="15" hidden="false" customHeight="false" outlineLevel="0" collapsed="false">
      <c r="A84" s="21"/>
      <c r="B84" s="22"/>
      <c r="C84" s="22"/>
      <c r="D84" s="23"/>
      <c r="E84" s="24"/>
      <c r="F84" s="22"/>
      <c r="G84" s="19" t="n">
        <f aca="false">IF($D84=0,0,$D84*$E84)</f>
        <v>0</v>
      </c>
      <c r="H84" s="20" t="str">
        <f aca="false">IF($B84="","",CONCATENATE("Pozisyon: ",$B84,"/",$C84," tutar ",TEXT($D84,"#,##0.00")))</f>
        <v/>
      </c>
    </row>
    <row r="85" customFormat="false" ht="15" hidden="false" customHeight="false" outlineLevel="0" collapsed="false">
      <c r="A85" s="21"/>
      <c r="B85" s="22"/>
      <c r="C85" s="22"/>
      <c r="D85" s="23"/>
      <c r="E85" s="24"/>
      <c r="F85" s="22"/>
      <c r="G85" s="19" t="n">
        <f aca="false">IF($D85=0,0,$D85*$E85)</f>
        <v>0</v>
      </c>
      <c r="H85" s="20" t="str">
        <f aca="false">IF($B85="","",CONCATENATE("Pozisyon: ",$B85,"/",$C85," tutar ",TEXT($D85,"#,##0.00")))</f>
        <v/>
      </c>
    </row>
    <row r="86" customFormat="false" ht="15" hidden="false" customHeight="false" outlineLevel="0" collapsed="false">
      <c r="A86" s="21"/>
      <c r="B86" s="22"/>
      <c r="C86" s="22"/>
      <c r="D86" s="23"/>
      <c r="E86" s="24"/>
      <c r="F86" s="22"/>
      <c r="G86" s="19" t="n">
        <f aca="false">IF($D86=0,0,$D86*$E86)</f>
        <v>0</v>
      </c>
      <c r="H86" s="20" t="str">
        <f aca="false">IF($B86="","",CONCATENATE("Pozisyon: ",$B86,"/",$C86," tutar ",TEXT($D86,"#,##0.00")))</f>
        <v/>
      </c>
    </row>
    <row r="87" customFormat="false" ht="15" hidden="false" customHeight="false" outlineLevel="0" collapsed="false">
      <c r="A87" s="21"/>
      <c r="B87" s="22"/>
      <c r="C87" s="22"/>
      <c r="D87" s="23"/>
      <c r="E87" s="24"/>
      <c r="F87" s="22"/>
      <c r="G87" s="19" t="n">
        <f aca="false">IF($D87=0,0,$D87*$E87)</f>
        <v>0</v>
      </c>
      <c r="H87" s="20" t="str">
        <f aca="false">IF($B87="","",CONCATENATE("Pozisyon: ",$B87,"/",$C87," tutar ",TEXT($D87,"#,##0.00")))</f>
        <v/>
      </c>
    </row>
    <row r="88" customFormat="false" ht="15" hidden="false" customHeight="false" outlineLevel="0" collapsed="false">
      <c r="A88" s="21"/>
      <c r="B88" s="22"/>
      <c r="C88" s="22"/>
      <c r="D88" s="23"/>
      <c r="E88" s="24"/>
      <c r="F88" s="22"/>
      <c r="G88" s="19" t="n">
        <f aca="false">IF($D88=0,0,$D88*$E88)</f>
        <v>0</v>
      </c>
      <c r="H88" s="20" t="str">
        <f aca="false">IF($B88="","",CONCATENATE("Pozisyon: ",$B88,"/",$C88," tutar ",TEXT($D88,"#,##0.00")))</f>
        <v/>
      </c>
    </row>
    <row r="89" customFormat="false" ht="15" hidden="false" customHeight="false" outlineLevel="0" collapsed="false">
      <c r="A89" s="21"/>
      <c r="B89" s="22"/>
      <c r="C89" s="22"/>
      <c r="D89" s="23"/>
      <c r="E89" s="24"/>
      <c r="F89" s="22"/>
      <c r="G89" s="19" t="n">
        <f aca="false">IF($D89=0,0,$D89*$E89)</f>
        <v>0</v>
      </c>
      <c r="H89" s="20" t="str">
        <f aca="false">IF($B89="","",CONCATENATE("Pozisyon: ",$B89,"/",$C89," tutar ",TEXT($D89,"#,##0.00")))</f>
        <v/>
      </c>
    </row>
    <row r="90" customFormat="false" ht="15" hidden="false" customHeight="false" outlineLevel="0" collapsed="false">
      <c r="A90" s="21"/>
      <c r="B90" s="22"/>
      <c r="C90" s="22"/>
      <c r="D90" s="23"/>
      <c r="E90" s="24"/>
      <c r="F90" s="22"/>
      <c r="G90" s="19" t="n">
        <f aca="false">IF($D90=0,0,$D90*$E90)</f>
        <v>0</v>
      </c>
      <c r="H90" s="20" t="str">
        <f aca="false">IF($B90="","",CONCATENATE("Pozisyon: ",$B90,"/",$C90," tutar ",TEXT($D90,"#,##0.00")))</f>
        <v/>
      </c>
    </row>
    <row r="91" customFormat="false" ht="15" hidden="false" customHeight="false" outlineLevel="0" collapsed="false">
      <c r="A91" s="21"/>
      <c r="B91" s="22"/>
      <c r="C91" s="22"/>
      <c r="D91" s="23"/>
      <c r="E91" s="24"/>
      <c r="F91" s="22"/>
      <c r="G91" s="19" t="n">
        <f aca="false">IF($D91=0,0,$D91*$E91)</f>
        <v>0</v>
      </c>
      <c r="H91" s="20" t="str">
        <f aca="false">IF($B91="","",CONCATENATE("Pozisyon: ",$B91,"/",$C91," tutar ",TEXT($D91,"#,##0.00")))</f>
        <v/>
      </c>
    </row>
    <row r="92" customFormat="false" ht="15" hidden="false" customHeight="false" outlineLevel="0" collapsed="false">
      <c r="A92" s="21"/>
      <c r="B92" s="22"/>
      <c r="C92" s="22"/>
      <c r="D92" s="23"/>
      <c r="E92" s="24"/>
      <c r="F92" s="22"/>
      <c r="G92" s="19" t="n">
        <f aca="false">IF($D92=0,0,$D92*$E92)</f>
        <v>0</v>
      </c>
      <c r="H92" s="20" t="str">
        <f aca="false">IF($B92="","",CONCATENATE("Pozisyon: ",$B92,"/",$C92," tutar ",TEXT($D92,"#,##0.00")))</f>
        <v/>
      </c>
    </row>
    <row r="93" customFormat="false" ht="15" hidden="false" customHeight="false" outlineLevel="0" collapsed="false">
      <c r="A93" s="21"/>
      <c r="B93" s="22"/>
      <c r="C93" s="22"/>
      <c r="D93" s="23"/>
      <c r="E93" s="24"/>
      <c r="F93" s="22"/>
      <c r="G93" s="19" t="n">
        <f aca="false">IF($D93=0,0,$D93*$E93)</f>
        <v>0</v>
      </c>
      <c r="H93" s="20" t="str">
        <f aca="false">IF($B93="","",CONCATENATE("Pozisyon: ",$B93,"/",$C93," tutar ",TEXT($D93,"#,##0.00")))</f>
        <v/>
      </c>
    </row>
    <row r="94" customFormat="false" ht="15" hidden="false" customHeight="false" outlineLevel="0" collapsed="false">
      <c r="A94" s="21"/>
      <c r="B94" s="22"/>
      <c r="C94" s="22"/>
      <c r="D94" s="23"/>
      <c r="E94" s="24"/>
      <c r="F94" s="22"/>
      <c r="G94" s="19" t="n">
        <f aca="false">IF($D94=0,0,$D94*$E94)</f>
        <v>0</v>
      </c>
      <c r="H94" s="20" t="str">
        <f aca="false">IF($B94="","",CONCATENATE("Pozisyon: ",$B94,"/",$C94," tutar ",TEXT($D94,"#,##0.00")))</f>
        <v/>
      </c>
    </row>
    <row r="95" customFormat="false" ht="15" hidden="false" customHeight="false" outlineLevel="0" collapsed="false">
      <c r="A95" s="21"/>
      <c r="B95" s="22"/>
      <c r="C95" s="22"/>
      <c r="D95" s="23"/>
      <c r="E95" s="24"/>
      <c r="F95" s="22"/>
      <c r="G95" s="19" t="n">
        <f aca="false">IF($D95=0,0,$D95*$E95)</f>
        <v>0</v>
      </c>
      <c r="H95" s="20" t="str">
        <f aca="false">IF($B95="","",CONCATENATE("Pozisyon: ",$B95,"/",$C95," tutar ",TEXT($D95,"#,##0.00")))</f>
        <v/>
      </c>
    </row>
    <row r="96" customFormat="false" ht="15" hidden="false" customHeight="false" outlineLevel="0" collapsed="false">
      <c r="A96" s="21"/>
      <c r="B96" s="22"/>
      <c r="C96" s="22"/>
      <c r="D96" s="23"/>
      <c r="E96" s="24"/>
      <c r="F96" s="22"/>
      <c r="G96" s="19" t="n">
        <f aca="false">IF($D96=0,0,$D96*$E96)</f>
        <v>0</v>
      </c>
      <c r="H96" s="20" t="str">
        <f aca="false">IF($B96="","",CONCATENATE("Pozisyon: ",$B96,"/",$C96," tutar ",TEXT($D96,"#,##0.00")))</f>
        <v/>
      </c>
    </row>
    <row r="97" customFormat="false" ht="15" hidden="false" customHeight="false" outlineLevel="0" collapsed="false">
      <c r="A97" s="21"/>
      <c r="B97" s="22"/>
      <c r="C97" s="22"/>
      <c r="D97" s="23"/>
      <c r="E97" s="24"/>
      <c r="F97" s="22"/>
      <c r="G97" s="19" t="n">
        <f aca="false">IF($D97=0,0,$D97*$E97)</f>
        <v>0</v>
      </c>
      <c r="H97" s="20" t="str">
        <f aca="false">IF($B97="","",CONCATENATE("Pozisyon: ",$B97,"/",$C97," tutar ",TEXT($D97,"#,##0.00")))</f>
        <v/>
      </c>
    </row>
    <row r="98" customFormat="false" ht="15" hidden="false" customHeight="false" outlineLevel="0" collapsed="false">
      <c r="A98" s="21"/>
      <c r="B98" s="22"/>
      <c r="C98" s="22"/>
      <c r="D98" s="23"/>
      <c r="E98" s="24"/>
      <c r="F98" s="22"/>
      <c r="G98" s="19" t="n">
        <f aca="false">IF($D98=0,0,$D98*$E98)</f>
        <v>0</v>
      </c>
      <c r="H98" s="20" t="str">
        <f aca="false">IF($B98="","",CONCATENATE("Pozisyon: ",$B98,"/",$C98," tutar ",TEXT($D98,"#,##0.00")))</f>
        <v/>
      </c>
    </row>
    <row r="99" customFormat="false" ht="15" hidden="false" customHeight="false" outlineLevel="0" collapsed="false">
      <c r="A99" s="21"/>
      <c r="B99" s="22"/>
      <c r="C99" s="22"/>
      <c r="D99" s="23"/>
      <c r="E99" s="24"/>
      <c r="F99" s="22"/>
      <c r="G99" s="19" t="n">
        <f aca="false">IF($D99=0,0,$D99*$E99)</f>
        <v>0</v>
      </c>
      <c r="H99" s="20" t="str">
        <f aca="false">IF($B99="","",CONCATENATE("Pozisyon: ",$B99,"/",$C99," tutar ",TEXT($D99,"#,##0.00")))</f>
        <v/>
      </c>
    </row>
    <row r="100" customFormat="false" ht="15" hidden="false" customHeight="false" outlineLevel="0" collapsed="false">
      <c r="A100" s="21"/>
      <c r="B100" s="22"/>
      <c r="C100" s="22"/>
      <c r="D100" s="23"/>
      <c r="E100" s="24"/>
      <c r="F100" s="22"/>
      <c r="G100" s="19" t="n">
        <f aca="false">IF($D100=0,0,$D100*$E100)</f>
        <v>0</v>
      </c>
      <c r="H100" s="20" t="str">
        <f aca="false">IF($B100="","",CONCATENATE("Pozisyon: ",$B100,"/",$C100," tutar ",TEXT($D100,"#,##0.00")))</f>
        <v/>
      </c>
    </row>
    <row r="101" customFormat="false" ht="15" hidden="false" customHeight="false" outlineLevel="0" collapsed="false">
      <c r="A101" s="21"/>
      <c r="B101" s="22"/>
      <c r="C101" s="22"/>
      <c r="D101" s="23"/>
      <c r="E101" s="24"/>
      <c r="F101" s="22"/>
      <c r="G101" s="19" t="n">
        <f aca="false">IF($D101=0,0,$D101*$E101)</f>
        <v>0</v>
      </c>
      <c r="H101" s="20" t="str">
        <f aca="false">IF($B101="","",CONCATENATE("Pozisyon: ",$B101,"/",$C101," tutar ",TEXT($D101,"#,##0.00")))</f>
        <v/>
      </c>
    </row>
    <row r="102" customFormat="false" ht="15" hidden="false" customHeight="false" outlineLevel="0" collapsed="false">
      <c r="A102" s="21"/>
      <c r="B102" s="22"/>
      <c r="C102" s="22"/>
      <c r="D102" s="23"/>
      <c r="E102" s="24"/>
      <c r="F102" s="22"/>
      <c r="G102" s="19" t="n">
        <f aca="false">IF($D102=0,0,$D102*$E102)</f>
        <v>0</v>
      </c>
      <c r="H102" s="20" t="str">
        <f aca="false">IF($B102="","",CONCATENATE("Pozisyon: ",$B102,"/",$C102," tutar ",TEXT($D102,"#,##0.00")))</f>
        <v/>
      </c>
    </row>
    <row r="103" customFormat="false" ht="15" hidden="false" customHeight="false" outlineLevel="0" collapsed="false">
      <c r="A103" s="21"/>
      <c r="B103" s="22"/>
      <c r="C103" s="22"/>
      <c r="D103" s="23"/>
      <c r="E103" s="24"/>
      <c r="F103" s="22"/>
      <c r="G103" s="19" t="n">
        <f aca="false">IF($D103=0,0,$D103*$E103)</f>
        <v>0</v>
      </c>
      <c r="H103" s="20" t="str">
        <f aca="false">IF($B103="","",CONCATENATE("Pozisyon: ",$B103,"/",$C103," tutar ",TEXT($D103,"#,##0.00")))</f>
        <v/>
      </c>
    </row>
    <row r="104" customFormat="false" ht="15" hidden="false" customHeight="false" outlineLevel="0" collapsed="false">
      <c r="A104" s="21"/>
      <c r="B104" s="22"/>
      <c r="C104" s="22"/>
      <c r="D104" s="23"/>
      <c r="E104" s="24"/>
      <c r="F104" s="22"/>
      <c r="G104" s="19" t="n">
        <f aca="false">IF($D104=0,0,$D104*$E104)</f>
        <v>0</v>
      </c>
      <c r="H104" s="20" t="str">
        <f aca="false">IF($B104="","",CONCATENATE("Pozisyon: ",$B104,"/",$C104," tutar ",TEXT($D104,"#,##0.00")))</f>
        <v/>
      </c>
    </row>
    <row r="105" customFormat="false" ht="15" hidden="false" customHeight="false" outlineLevel="0" collapsed="false">
      <c r="A105" s="21"/>
      <c r="B105" s="22"/>
      <c r="C105" s="22"/>
      <c r="D105" s="23"/>
      <c r="E105" s="24"/>
      <c r="F105" s="22"/>
      <c r="G105" s="19" t="n">
        <f aca="false">IF($D105=0,0,$D105*$E105)</f>
        <v>0</v>
      </c>
      <c r="H105" s="20" t="str">
        <f aca="false">IF($B105="","",CONCATENATE("Pozisyon: ",$B105,"/",$C105," tutar ",TEXT($D105,"#,##0.00")))</f>
        <v/>
      </c>
    </row>
    <row r="106" customFormat="false" ht="15" hidden="false" customHeight="false" outlineLevel="0" collapsed="false">
      <c r="A106" s="21"/>
      <c r="B106" s="22"/>
      <c r="C106" s="22"/>
      <c r="D106" s="23"/>
      <c r="E106" s="24"/>
      <c r="F106" s="22"/>
      <c r="G106" s="19" t="n">
        <f aca="false">IF($D106=0,0,$D106*$E106)</f>
        <v>0</v>
      </c>
      <c r="H106" s="20" t="str">
        <f aca="false">IF($B106="","",CONCATENATE("Pozisyon: ",$B106,"/",$C106," tutar ",TEXT($D106,"#,##0.00")))</f>
        <v/>
      </c>
    </row>
    <row r="107" customFormat="false" ht="15" hidden="false" customHeight="false" outlineLevel="0" collapsed="false">
      <c r="A107" s="21"/>
      <c r="B107" s="22"/>
      <c r="C107" s="22"/>
      <c r="D107" s="23"/>
      <c r="E107" s="24"/>
      <c r="F107" s="22"/>
      <c r="G107" s="19" t="n">
        <f aca="false">IF($D107=0,0,$D107*$E107)</f>
        <v>0</v>
      </c>
      <c r="H107" s="20" t="str">
        <f aca="false">IF($B107="","",CONCATENATE("Pozisyon: ",$B107,"/",$C107," tutar ",TEXT($D107,"#,##0.00")))</f>
        <v/>
      </c>
    </row>
    <row r="108" customFormat="false" ht="15" hidden="false" customHeight="false" outlineLevel="0" collapsed="false">
      <c r="A108" s="21"/>
      <c r="B108" s="22"/>
      <c r="C108" s="22"/>
      <c r="D108" s="23"/>
      <c r="E108" s="24"/>
      <c r="F108" s="22"/>
      <c r="G108" s="19" t="n">
        <f aca="false">IF($D108=0,0,$D108*$E108)</f>
        <v>0</v>
      </c>
      <c r="H108" s="20" t="str">
        <f aca="false">IF($B108="","",CONCATENATE("Pozisyon: ",$B108,"/",$C108," tutar ",TEXT($D108,"#,##0.00")))</f>
        <v/>
      </c>
    </row>
    <row r="109" customFormat="false" ht="15" hidden="false" customHeight="false" outlineLevel="0" collapsed="false">
      <c r="A109" s="21"/>
      <c r="B109" s="22"/>
      <c r="C109" s="22"/>
      <c r="D109" s="23"/>
      <c r="E109" s="24"/>
      <c r="F109" s="22"/>
      <c r="G109" s="19" t="n">
        <f aca="false">IF($D109=0,0,$D109*$E109)</f>
        <v>0</v>
      </c>
      <c r="H109" s="20" t="str">
        <f aca="false">IF($B109="","",CONCATENATE("Pozisyon: ",$B109,"/",$C109," tutar ",TEXT($D109,"#,##0.00")))</f>
        <v/>
      </c>
    </row>
    <row r="110" customFormat="false" ht="15" hidden="false" customHeight="false" outlineLevel="0" collapsed="false">
      <c r="A110" s="21"/>
      <c r="B110" s="22"/>
      <c r="C110" s="22"/>
      <c r="D110" s="23"/>
      <c r="E110" s="24"/>
      <c r="F110" s="22"/>
      <c r="G110" s="19" t="n">
        <f aca="false">IF($D110=0,0,$D110*$E110)</f>
        <v>0</v>
      </c>
      <c r="H110" s="20" t="str">
        <f aca="false">IF($B110="","",CONCATENATE("Pozisyon: ",$B110,"/",$C110," tutar ",TEXT($D110,"#,##0.00")))</f>
        <v/>
      </c>
    </row>
    <row r="111" customFormat="false" ht="15" hidden="false" customHeight="false" outlineLevel="0" collapsed="false">
      <c r="A111" s="21"/>
      <c r="B111" s="22"/>
      <c r="C111" s="22"/>
      <c r="D111" s="23"/>
      <c r="E111" s="24"/>
      <c r="F111" s="22"/>
      <c r="G111" s="19" t="n">
        <f aca="false">IF($D111=0,0,$D111*$E111)</f>
        <v>0</v>
      </c>
      <c r="H111" s="20" t="str">
        <f aca="false">IF($B111="","",CONCATENATE("Pozisyon: ",$B111,"/",$C111," tutar ",TEXT($D111,"#,##0.00")))</f>
        <v/>
      </c>
    </row>
    <row r="112" customFormat="false" ht="15" hidden="false" customHeight="false" outlineLevel="0" collapsed="false">
      <c r="A112" s="21"/>
      <c r="B112" s="22"/>
      <c r="C112" s="22"/>
      <c r="D112" s="23"/>
      <c r="E112" s="24"/>
      <c r="F112" s="22"/>
      <c r="G112" s="19" t="n">
        <f aca="false">IF($D112=0,0,$D112*$E112)</f>
        <v>0</v>
      </c>
      <c r="H112" s="20" t="str">
        <f aca="false">IF($B112="","",CONCATENATE("Pozisyon: ",$B112,"/",$C112," tutar ",TEXT($D112,"#,##0.00")))</f>
        <v/>
      </c>
    </row>
    <row r="113" customFormat="false" ht="15" hidden="false" customHeight="false" outlineLevel="0" collapsed="false">
      <c r="A113" s="21"/>
      <c r="B113" s="22"/>
      <c r="C113" s="22"/>
      <c r="D113" s="23"/>
      <c r="E113" s="24"/>
      <c r="F113" s="22"/>
      <c r="G113" s="19" t="n">
        <f aca="false">IF($D113=0,0,$D113*$E113)</f>
        <v>0</v>
      </c>
      <c r="H113" s="20" t="str">
        <f aca="false">IF($B113="","",CONCATENATE("Pozisyon: ",$B113,"/",$C113," tutar ",TEXT($D113,"#,##0.00")))</f>
        <v/>
      </c>
    </row>
    <row r="114" customFormat="false" ht="15" hidden="false" customHeight="false" outlineLevel="0" collapsed="false">
      <c r="A114" s="21"/>
      <c r="B114" s="22"/>
      <c r="C114" s="22"/>
      <c r="D114" s="23"/>
      <c r="E114" s="24"/>
      <c r="F114" s="22"/>
      <c r="G114" s="19" t="n">
        <f aca="false">IF($D114=0,0,$D114*$E114)</f>
        <v>0</v>
      </c>
      <c r="H114" s="20" t="str">
        <f aca="false">IF($B114="","",CONCATENATE("Pozisyon: ",$B114,"/",$C114," tutar ",TEXT($D114,"#,##0.00")))</f>
        <v/>
      </c>
    </row>
    <row r="115" customFormat="false" ht="15" hidden="false" customHeight="false" outlineLevel="0" collapsed="false">
      <c r="A115" s="21"/>
      <c r="B115" s="22"/>
      <c r="C115" s="22"/>
      <c r="D115" s="23"/>
      <c r="E115" s="24"/>
      <c r="F115" s="22"/>
      <c r="G115" s="19" t="n">
        <f aca="false">IF($D115=0,0,$D115*$E115)</f>
        <v>0</v>
      </c>
      <c r="H115" s="20" t="str">
        <f aca="false">IF($B115="","",CONCATENATE("Pozisyon: ",$B115,"/",$C115," tutar ",TEXT($D115,"#,##0.00")))</f>
        <v/>
      </c>
    </row>
    <row r="116" customFormat="false" ht="15" hidden="false" customHeight="false" outlineLevel="0" collapsed="false">
      <c r="A116" s="21"/>
      <c r="B116" s="22"/>
      <c r="C116" s="22"/>
      <c r="D116" s="23"/>
      <c r="E116" s="24"/>
      <c r="F116" s="22"/>
      <c r="G116" s="19" t="n">
        <f aca="false">IF($D116=0,0,$D116*$E116)</f>
        <v>0</v>
      </c>
      <c r="H116" s="20" t="str">
        <f aca="false">IF($B116="","",CONCATENATE("Pozisyon: ",$B116,"/",$C116," tutar ",TEXT($D116,"#,##0.00")))</f>
        <v/>
      </c>
    </row>
    <row r="117" customFormat="false" ht="15" hidden="false" customHeight="false" outlineLevel="0" collapsed="false">
      <c r="A117" s="21"/>
      <c r="B117" s="22"/>
      <c r="C117" s="22"/>
      <c r="D117" s="23"/>
      <c r="E117" s="24"/>
      <c r="F117" s="22"/>
      <c r="G117" s="19" t="n">
        <f aca="false">IF($D117=0,0,$D117*$E117)</f>
        <v>0</v>
      </c>
      <c r="H117" s="20" t="str">
        <f aca="false">IF($B117="","",CONCATENATE("Pozisyon: ",$B117,"/",$C117," tutar ",TEXT($D117,"#,##0.00")))</f>
        <v/>
      </c>
    </row>
    <row r="118" customFormat="false" ht="15" hidden="false" customHeight="false" outlineLevel="0" collapsed="false">
      <c r="A118" s="21"/>
      <c r="B118" s="22"/>
      <c r="C118" s="22"/>
      <c r="D118" s="23"/>
      <c r="E118" s="24"/>
      <c r="F118" s="22"/>
      <c r="G118" s="19" t="n">
        <f aca="false">IF($D118=0,0,$D118*$E118)</f>
        <v>0</v>
      </c>
      <c r="H118" s="20" t="str">
        <f aca="false">IF($B118="","",CONCATENATE("Pozisyon: ",$B118,"/",$C118," tutar ",TEXT($D118,"#,##0.00")))</f>
        <v/>
      </c>
    </row>
    <row r="119" customFormat="false" ht="15" hidden="false" customHeight="false" outlineLevel="0" collapsed="false">
      <c r="A119" s="21"/>
      <c r="B119" s="22"/>
      <c r="C119" s="22"/>
      <c r="D119" s="23"/>
      <c r="E119" s="24"/>
      <c r="F119" s="22"/>
      <c r="G119" s="19" t="n">
        <f aca="false">IF($D119=0,0,$D119*$E119)</f>
        <v>0</v>
      </c>
      <c r="H119" s="20" t="str">
        <f aca="false">IF($B119="","",CONCATENATE("Pozisyon: ",$B119,"/",$C119," tutar ",TEXT($D119,"#,##0.00")))</f>
        <v/>
      </c>
    </row>
    <row r="120" customFormat="false" ht="15" hidden="false" customHeight="false" outlineLevel="0" collapsed="false">
      <c r="A120" s="21"/>
      <c r="B120" s="22"/>
      <c r="C120" s="22"/>
      <c r="D120" s="23"/>
      <c r="E120" s="24"/>
      <c r="F120" s="22"/>
      <c r="G120" s="19" t="n">
        <f aca="false">IF($D120=0,0,$D120*$E120)</f>
        <v>0</v>
      </c>
      <c r="H120" s="20" t="str">
        <f aca="false">IF($B120="","",CONCATENATE("Pozisyon: ",$B120,"/",$C120," tutar ",TEXT($D120,"#,##0.00")))</f>
        <v/>
      </c>
    </row>
    <row r="121" customFormat="false" ht="15" hidden="false" customHeight="false" outlineLevel="0" collapsed="false">
      <c r="A121" s="21"/>
      <c r="B121" s="22"/>
      <c r="C121" s="22"/>
      <c r="D121" s="23"/>
      <c r="E121" s="24"/>
      <c r="F121" s="22"/>
      <c r="G121" s="19" t="n">
        <f aca="false">IF($D121=0,0,$D121*$E121)</f>
        <v>0</v>
      </c>
      <c r="H121" s="20" t="str">
        <f aca="false">IF($B121="","",CONCATENATE("Pozisyon: ",$B121,"/",$C121," tutar ",TEXT($D121,"#,##0.00")))</f>
        <v/>
      </c>
    </row>
    <row r="122" customFormat="false" ht="15" hidden="false" customHeight="false" outlineLevel="0" collapsed="false">
      <c r="A122" s="21"/>
      <c r="B122" s="22"/>
      <c r="C122" s="22"/>
      <c r="D122" s="23"/>
      <c r="E122" s="24"/>
      <c r="F122" s="22"/>
      <c r="G122" s="19" t="n">
        <f aca="false">IF($D122=0,0,$D122*$E122)</f>
        <v>0</v>
      </c>
      <c r="H122" s="20" t="str">
        <f aca="false">IF($B122="","",CONCATENATE("Pozisyon: ",$B122,"/",$C122," tutar ",TEXT($D122,"#,##0.00")))</f>
        <v/>
      </c>
    </row>
    <row r="123" customFormat="false" ht="15" hidden="false" customHeight="false" outlineLevel="0" collapsed="false">
      <c r="A123" s="21"/>
      <c r="B123" s="22"/>
      <c r="C123" s="22"/>
      <c r="D123" s="23"/>
      <c r="E123" s="24"/>
      <c r="F123" s="22"/>
      <c r="G123" s="19" t="n">
        <f aca="false">IF($D123=0,0,$D123*$E123)</f>
        <v>0</v>
      </c>
      <c r="H123" s="20" t="str">
        <f aca="false">IF($B123="","",CONCATENATE("Pozisyon: ",$B123,"/",$C123," tutar ",TEXT($D123,"#,##0.00")))</f>
        <v/>
      </c>
    </row>
    <row r="124" customFormat="false" ht="15" hidden="false" customHeight="false" outlineLevel="0" collapsed="false">
      <c r="A124" s="21"/>
      <c r="B124" s="22"/>
      <c r="C124" s="22"/>
      <c r="D124" s="23"/>
      <c r="E124" s="24"/>
      <c r="F124" s="22"/>
      <c r="G124" s="19" t="n">
        <f aca="false">IF($D124=0,0,$D124*$E124)</f>
        <v>0</v>
      </c>
      <c r="H124" s="20" t="str">
        <f aca="false">IF($B124="","",CONCATENATE("Pozisyon: ",$B124,"/",$C124," tutar ",TEXT($D124,"#,##0.00")))</f>
        <v/>
      </c>
    </row>
    <row r="125" customFormat="false" ht="15" hidden="false" customHeight="false" outlineLevel="0" collapsed="false">
      <c r="A125" s="21"/>
      <c r="B125" s="22"/>
      <c r="C125" s="22"/>
      <c r="D125" s="23"/>
      <c r="E125" s="24"/>
      <c r="F125" s="22"/>
      <c r="G125" s="19" t="n">
        <f aca="false">IF($D125=0,0,$D125*$E125)</f>
        <v>0</v>
      </c>
      <c r="H125" s="20" t="str">
        <f aca="false">IF($B125="","",CONCATENATE("Pozisyon: ",$B125,"/",$C125," tutar ",TEXT($D125,"#,##0.00")))</f>
        <v/>
      </c>
    </row>
    <row r="126" customFormat="false" ht="15" hidden="false" customHeight="false" outlineLevel="0" collapsed="false">
      <c r="A126" s="21"/>
      <c r="B126" s="22"/>
      <c r="C126" s="22"/>
      <c r="D126" s="23"/>
      <c r="E126" s="24"/>
      <c r="F126" s="22"/>
      <c r="G126" s="19" t="n">
        <f aca="false">IF($D126=0,0,$D126*$E126)</f>
        <v>0</v>
      </c>
      <c r="H126" s="20" t="str">
        <f aca="false">IF($B126="","",CONCATENATE("Pozisyon: ",$B126,"/",$C126," tutar ",TEXT($D126,"#,##0.00")))</f>
        <v/>
      </c>
    </row>
    <row r="127" customFormat="false" ht="15" hidden="false" customHeight="false" outlineLevel="0" collapsed="false">
      <c r="A127" s="21"/>
      <c r="B127" s="22"/>
      <c r="C127" s="22"/>
      <c r="D127" s="23"/>
      <c r="E127" s="24"/>
      <c r="F127" s="22"/>
      <c r="G127" s="19" t="n">
        <f aca="false">IF($D127=0,0,$D127*$E127)</f>
        <v>0</v>
      </c>
      <c r="H127" s="20" t="str">
        <f aca="false">IF($B127="","",CONCATENATE("Pozisyon: ",$B127,"/",$C127," tutar ",TEXT($D127,"#,##0.00")))</f>
        <v/>
      </c>
    </row>
    <row r="128" customFormat="false" ht="15" hidden="false" customHeight="false" outlineLevel="0" collapsed="false">
      <c r="A128" s="21"/>
      <c r="B128" s="22"/>
      <c r="C128" s="22"/>
      <c r="D128" s="23"/>
      <c r="E128" s="24"/>
      <c r="F128" s="22"/>
      <c r="G128" s="19" t="n">
        <f aca="false">IF($D128=0,0,$D128*$E128)</f>
        <v>0</v>
      </c>
      <c r="H128" s="20" t="str">
        <f aca="false">IF($B128="","",CONCATENATE("Pozisyon: ",$B128,"/",$C128," tutar ",TEXT($D128,"#,##0.00")))</f>
        <v/>
      </c>
    </row>
    <row r="129" customFormat="false" ht="15" hidden="false" customHeight="false" outlineLevel="0" collapsed="false">
      <c r="A129" s="21"/>
      <c r="B129" s="22"/>
      <c r="C129" s="22"/>
      <c r="D129" s="23"/>
      <c r="E129" s="24"/>
      <c r="F129" s="22"/>
      <c r="G129" s="19" t="n">
        <f aca="false">IF($D129=0,0,$D129*$E129)</f>
        <v>0</v>
      </c>
      <c r="H129" s="20" t="str">
        <f aca="false">IF($B129="","",CONCATENATE("Pozisyon: ",$B129,"/",$C129," tutar ",TEXT($D129,"#,##0.00")))</f>
        <v/>
      </c>
    </row>
    <row r="130" customFormat="false" ht="15" hidden="false" customHeight="false" outlineLevel="0" collapsed="false">
      <c r="A130" s="21"/>
      <c r="B130" s="22"/>
      <c r="C130" s="22"/>
      <c r="D130" s="23"/>
      <c r="E130" s="24"/>
      <c r="F130" s="22"/>
      <c r="G130" s="19" t="n">
        <f aca="false">IF($D130=0,0,$D130*$E130)</f>
        <v>0</v>
      </c>
      <c r="H130" s="20" t="str">
        <f aca="false">IF($B130="","",CONCATENATE("Pozisyon: ",$B130,"/",$C130," tutar ",TEXT($D130,"#,##0.00")))</f>
        <v/>
      </c>
    </row>
    <row r="131" customFormat="false" ht="15" hidden="false" customHeight="false" outlineLevel="0" collapsed="false">
      <c r="A131" s="21"/>
      <c r="B131" s="22"/>
      <c r="C131" s="22"/>
      <c r="D131" s="23"/>
      <c r="E131" s="24"/>
      <c r="F131" s="22"/>
      <c r="G131" s="19" t="n">
        <f aca="false">IF($D131=0,0,$D131*$E131)</f>
        <v>0</v>
      </c>
      <c r="H131" s="20" t="str">
        <f aca="false">IF($B131="","",CONCATENATE("Pozisyon: ",$B131,"/",$C131," tutar ",TEXT($D131,"#,##0.00")))</f>
        <v/>
      </c>
    </row>
    <row r="132" customFormat="false" ht="15" hidden="false" customHeight="false" outlineLevel="0" collapsed="false">
      <c r="A132" s="21"/>
      <c r="B132" s="22"/>
      <c r="C132" s="22"/>
      <c r="D132" s="23"/>
      <c r="E132" s="24"/>
      <c r="F132" s="22"/>
      <c r="G132" s="19" t="n">
        <f aca="false">IF($D132=0,0,$D132*$E132)</f>
        <v>0</v>
      </c>
      <c r="H132" s="20" t="str">
        <f aca="false">IF($B132="","",CONCATENATE("Pozisyon: ",$B132,"/",$C132," tutar ",TEXT($D132,"#,##0.00")))</f>
        <v/>
      </c>
    </row>
    <row r="133" customFormat="false" ht="15" hidden="false" customHeight="false" outlineLevel="0" collapsed="false">
      <c r="A133" s="21"/>
      <c r="B133" s="22"/>
      <c r="C133" s="22"/>
      <c r="D133" s="23"/>
      <c r="E133" s="24"/>
      <c r="F133" s="22"/>
      <c r="G133" s="19" t="n">
        <f aca="false">IF($D133=0,0,$D133*$E133)</f>
        <v>0</v>
      </c>
      <c r="H133" s="20" t="str">
        <f aca="false">IF($B133="","",CONCATENATE("Pozisyon: ",$B133,"/",$C133," tutar ",TEXT($D133,"#,##0.00")))</f>
        <v/>
      </c>
    </row>
    <row r="134" customFormat="false" ht="15" hidden="false" customHeight="false" outlineLevel="0" collapsed="false">
      <c r="A134" s="21"/>
      <c r="B134" s="22"/>
      <c r="C134" s="22"/>
      <c r="D134" s="23"/>
      <c r="E134" s="24"/>
      <c r="F134" s="22"/>
      <c r="G134" s="19" t="n">
        <f aca="false">IF($D134=0,0,$D134*$E134)</f>
        <v>0</v>
      </c>
      <c r="H134" s="20" t="str">
        <f aca="false">IF($B134="","",CONCATENATE("Pozisyon: ",$B134,"/",$C134," tutar ",TEXT($D134,"#,##0.00")))</f>
        <v/>
      </c>
    </row>
    <row r="135" customFormat="false" ht="15" hidden="false" customHeight="false" outlineLevel="0" collapsed="false">
      <c r="A135" s="21"/>
      <c r="B135" s="22"/>
      <c r="C135" s="22"/>
      <c r="D135" s="23"/>
      <c r="E135" s="24"/>
      <c r="F135" s="22"/>
      <c r="G135" s="19" t="n">
        <f aca="false">IF($D135=0,0,$D135*$E135)</f>
        <v>0</v>
      </c>
      <c r="H135" s="20" t="str">
        <f aca="false">IF($B135="","",CONCATENATE("Pozisyon: ",$B135,"/",$C135," tutar ",TEXT($D135,"#,##0.00")))</f>
        <v/>
      </c>
    </row>
    <row r="136" customFormat="false" ht="15" hidden="false" customHeight="false" outlineLevel="0" collapsed="false">
      <c r="A136" s="21"/>
      <c r="B136" s="22"/>
      <c r="C136" s="22"/>
      <c r="D136" s="23"/>
      <c r="E136" s="24"/>
      <c r="F136" s="22"/>
      <c r="G136" s="19" t="n">
        <f aca="false">IF($D136=0,0,$D136*$E136)</f>
        <v>0</v>
      </c>
      <c r="H136" s="20" t="str">
        <f aca="false">IF($B136="","",CONCATENATE("Pozisyon: ",$B136,"/",$C136," tutar ",TEXT($D136,"#,##0.00")))</f>
        <v/>
      </c>
    </row>
    <row r="137" customFormat="false" ht="15" hidden="false" customHeight="false" outlineLevel="0" collapsed="false">
      <c r="A137" s="21"/>
      <c r="B137" s="22"/>
      <c r="C137" s="22"/>
      <c r="D137" s="23"/>
      <c r="E137" s="24"/>
      <c r="F137" s="22"/>
      <c r="G137" s="19" t="n">
        <f aca="false">IF($D137=0,0,$D137*$E137)</f>
        <v>0</v>
      </c>
      <c r="H137" s="20" t="str">
        <f aca="false">IF($B137="","",CONCATENATE("Pozisyon: ",$B137,"/",$C137," tutar ",TEXT($D137,"#,##0.00")))</f>
        <v/>
      </c>
    </row>
    <row r="138" customFormat="false" ht="15" hidden="false" customHeight="false" outlineLevel="0" collapsed="false">
      <c r="A138" s="21"/>
      <c r="B138" s="22"/>
      <c r="C138" s="22"/>
      <c r="D138" s="23"/>
      <c r="E138" s="24"/>
      <c r="F138" s="22"/>
      <c r="G138" s="19" t="n">
        <f aca="false">IF($D138=0,0,$D138*$E138)</f>
        <v>0</v>
      </c>
      <c r="H138" s="20" t="str">
        <f aca="false">IF($B138="","",CONCATENATE("Pozisyon: ",$B138,"/",$C138," tutar ",TEXT($D138,"#,##0.00")))</f>
        <v/>
      </c>
    </row>
    <row r="139" customFormat="false" ht="15" hidden="false" customHeight="false" outlineLevel="0" collapsed="false">
      <c r="A139" s="21"/>
      <c r="B139" s="22"/>
      <c r="C139" s="22"/>
      <c r="D139" s="23"/>
      <c r="E139" s="24"/>
      <c r="F139" s="22"/>
      <c r="G139" s="19" t="n">
        <f aca="false">IF($D139=0,0,$D139*$E139)</f>
        <v>0</v>
      </c>
      <c r="H139" s="20" t="str">
        <f aca="false">IF($B139="","",CONCATENATE("Pozisyon: ",$B139,"/",$C139," tutar ",TEXT($D139,"#,##0.00")))</f>
        <v/>
      </c>
    </row>
    <row r="140" customFormat="false" ht="15" hidden="false" customHeight="false" outlineLevel="0" collapsed="false">
      <c r="A140" s="21"/>
      <c r="B140" s="22"/>
      <c r="C140" s="22"/>
      <c r="D140" s="23"/>
      <c r="E140" s="24"/>
      <c r="F140" s="22"/>
      <c r="G140" s="19" t="n">
        <f aca="false">IF($D140=0,0,$D140*$E140)</f>
        <v>0</v>
      </c>
      <c r="H140" s="20" t="str">
        <f aca="false">IF($B140="","",CONCATENATE("Pozisyon: ",$B140,"/",$C140," tutar ",TEXT($D140,"#,##0.00")))</f>
        <v/>
      </c>
    </row>
    <row r="141" customFormat="false" ht="15" hidden="false" customHeight="false" outlineLevel="0" collapsed="false">
      <c r="A141" s="21"/>
      <c r="B141" s="22"/>
      <c r="C141" s="22"/>
      <c r="D141" s="23"/>
      <c r="E141" s="24"/>
      <c r="F141" s="22"/>
      <c r="G141" s="19" t="n">
        <f aca="false">IF($D141=0,0,$D141*$E141)</f>
        <v>0</v>
      </c>
      <c r="H141" s="20" t="str">
        <f aca="false">IF($B141="","",CONCATENATE("Pozisyon: ",$B141,"/",$C141," tutar ",TEXT($D141,"#,##0.00")))</f>
        <v/>
      </c>
    </row>
    <row r="142" customFormat="false" ht="15" hidden="false" customHeight="false" outlineLevel="0" collapsed="false">
      <c r="A142" s="21"/>
      <c r="B142" s="22"/>
      <c r="C142" s="22"/>
      <c r="D142" s="23"/>
      <c r="E142" s="24"/>
      <c r="F142" s="22"/>
      <c r="G142" s="19" t="n">
        <f aca="false">IF($D142=0,0,$D142*$E142)</f>
        <v>0</v>
      </c>
      <c r="H142" s="20" t="str">
        <f aca="false">IF($B142="","",CONCATENATE("Pozisyon: ",$B142,"/",$C142," tutar ",TEXT($D142,"#,##0.00")))</f>
        <v/>
      </c>
    </row>
    <row r="143" customFormat="false" ht="15" hidden="false" customHeight="false" outlineLevel="0" collapsed="false">
      <c r="A143" s="21"/>
      <c r="B143" s="22"/>
      <c r="C143" s="22"/>
      <c r="D143" s="23"/>
      <c r="E143" s="24"/>
      <c r="F143" s="22"/>
      <c r="G143" s="19" t="n">
        <f aca="false">IF($D143=0,0,$D143*$E143)</f>
        <v>0</v>
      </c>
      <c r="H143" s="20" t="str">
        <f aca="false">IF($B143="","",CONCATENATE("Pozisyon: ",$B143,"/",$C143," tutar ",TEXT($D143,"#,##0.00")))</f>
        <v/>
      </c>
    </row>
    <row r="144" customFormat="false" ht="15" hidden="false" customHeight="false" outlineLevel="0" collapsed="false">
      <c r="A144" s="21"/>
      <c r="B144" s="22"/>
      <c r="C144" s="22"/>
      <c r="D144" s="23"/>
      <c r="E144" s="24"/>
      <c r="F144" s="22"/>
      <c r="G144" s="19" t="n">
        <f aca="false">IF($D144=0,0,$D144*$E144)</f>
        <v>0</v>
      </c>
      <c r="H144" s="20" t="str">
        <f aca="false">IF($B144="","",CONCATENATE("Pozisyon: ",$B144,"/",$C144," tutar ",TEXT($D144,"#,##0.00")))</f>
        <v/>
      </c>
    </row>
    <row r="145" customFormat="false" ht="15" hidden="false" customHeight="false" outlineLevel="0" collapsed="false">
      <c r="A145" s="21"/>
      <c r="B145" s="22"/>
      <c r="C145" s="22"/>
      <c r="D145" s="23"/>
      <c r="E145" s="24"/>
      <c r="F145" s="22"/>
      <c r="G145" s="19" t="n">
        <f aca="false">IF($D145=0,0,$D145*$E145)</f>
        <v>0</v>
      </c>
      <c r="H145" s="20" t="str">
        <f aca="false">IF($B145="","",CONCATENATE("Pozisyon: ",$B145,"/",$C145," tutar ",TEXT($D145,"#,##0.00")))</f>
        <v/>
      </c>
    </row>
    <row r="146" customFormat="false" ht="15" hidden="false" customHeight="false" outlineLevel="0" collapsed="false">
      <c r="A146" s="21"/>
      <c r="B146" s="22"/>
      <c r="C146" s="22"/>
      <c r="D146" s="23"/>
      <c r="E146" s="24"/>
      <c r="F146" s="22"/>
      <c r="G146" s="19" t="n">
        <f aca="false">IF($D146=0,0,$D146*$E146)</f>
        <v>0</v>
      </c>
      <c r="H146" s="20" t="str">
        <f aca="false">IF($B146="","",CONCATENATE("Pozisyon: ",$B146,"/",$C146," tutar ",TEXT($D146,"#,##0.00")))</f>
        <v/>
      </c>
    </row>
    <row r="147" customFormat="false" ht="15" hidden="false" customHeight="false" outlineLevel="0" collapsed="false">
      <c r="A147" s="21"/>
      <c r="B147" s="22"/>
      <c r="C147" s="22"/>
      <c r="D147" s="23"/>
      <c r="E147" s="24"/>
      <c r="F147" s="22"/>
      <c r="G147" s="19" t="n">
        <f aca="false">IF($D147=0,0,$D147*$E147)</f>
        <v>0</v>
      </c>
      <c r="H147" s="20" t="str">
        <f aca="false">IF($B147="","",CONCATENATE("Pozisyon: ",$B147,"/",$C147," tutar ",TEXT($D147,"#,##0.00")))</f>
        <v/>
      </c>
    </row>
    <row r="148" customFormat="false" ht="15" hidden="false" customHeight="false" outlineLevel="0" collapsed="false">
      <c r="A148" s="21"/>
      <c r="B148" s="22"/>
      <c r="C148" s="22"/>
      <c r="D148" s="23"/>
      <c r="E148" s="24"/>
      <c r="F148" s="22"/>
      <c r="G148" s="19" t="n">
        <f aca="false">IF($D148=0,0,$D148*$E148)</f>
        <v>0</v>
      </c>
      <c r="H148" s="20" t="str">
        <f aca="false">IF($B148="","",CONCATENATE("Pozisyon: ",$B148,"/",$C148," tutar ",TEXT($D148,"#,##0.00")))</f>
        <v/>
      </c>
    </row>
    <row r="149" customFormat="false" ht="15" hidden="false" customHeight="false" outlineLevel="0" collapsed="false">
      <c r="A149" s="21"/>
      <c r="B149" s="22"/>
      <c r="C149" s="22"/>
      <c r="D149" s="23"/>
      <c r="E149" s="24"/>
      <c r="F149" s="22"/>
      <c r="G149" s="19" t="n">
        <f aca="false">IF($D149=0,0,$D149*$E149)</f>
        <v>0</v>
      </c>
      <c r="H149" s="20" t="str">
        <f aca="false">IF($B149="","",CONCATENATE("Pozisyon: ",$B149,"/",$C149," tutar ",TEXT($D149,"#,##0.00")))</f>
        <v/>
      </c>
    </row>
    <row r="150" customFormat="false" ht="15" hidden="false" customHeight="false" outlineLevel="0" collapsed="false">
      <c r="A150" s="21"/>
      <c r="B150" s="22"/>
      <c r="C150" s="22"/>
      <c r="D150" s="23"/>
      <c r="E150" s="24"/>
      <c r="F150" s="22"/>
      <c r="G150" s="19" t="n">
        <f aca="false">IF($D150=0,0,$D150*$E150)</f>
        <v>0</v>
      </c>
      <c r="H150" s="20" t="str">
        <f aca="false">IF($B150="","",CONCATENATE("Pozisyon: ",$B150,"/",$C150," tutar ",TEXT($D150,"#,##0.00")))</f>
        <v/>
      </c>
    </row>
    <row r="151" customFormat="false" ht="15" hidden="false" customHeight="false" outlineLevel="0" collapsed="false">
      <c r="A151" s="21"/>
      <c r="B151" s="22"/>
      <c r="C151" s="22"/>
      <c r="D151" s="23"/>
      <c r="E151" s="24"/>
      <c r="F151" s="22"/>
      <c r="G151" s="19" t="n">
        <f aca="false">IF($D151=0,0,$D151*$E151)</f>
        <v>0</v>
      </c>
      <c r="H151" s="20" t="str">
        <f aca="false">IF($B151="","",CONCATENATE("Pozisyon: ",$B151,"/",$C151," tutar ",TEXT($D151,"#,##0.00")))</f>
        <v/>
      </c>
    </row>
    <row r="152" customFormat="false" ht="15" hidden="false" customHeight="false" outlineLevel="0" collapsed="false">
      <c r="A152" s="21"/>
      <c r="B152" s="22"/>
      <c r="C152" s="22"/>
      <c r="D152" s="23"/>
      <c r="E152" s="24"/>
      <c r="F152" s="22"/>
      <c r="G152" s="19" t="n">
        <f aca="false">IF($D152=0,0,$D152*$E152)</f>
        <v>0</v>
      </c>
      <c r="H152" s="20" t="str">
        <f aca="false">IF($B152="","",CONCATENATE("Pozisyon: ",$B152,"/",$C152," tutar ",TEXT($D152,"#,##0.00")))</f>
        <v/>
      </c>
    </row>
    <row r="153" customFormat="false" ht="15" hidden="false" customHeight="false" outlineLevel="0" collapsed="false">
      <c r="A153" s="21"/>
      <c r="B153" s="22"/>
      <c r="C153" s="22"/>
      <c r="D153" s="23"/>
      <c r="E153" s="24"/>
      <c r="F153" s="22"/>
      <c r="G153" s="19" t="n">
        <f aca="false">IF($D153=0,0,$D153*$E153)</f>
        <v>0</v>
      </c>
      <c r="H153" s="20" t="str">
        <f aca="false">IF($B153="","",CONCATENATE("Pozisyon: ",$B153,"/",$C153," tutar ",TEXT($D153,"#,##0.00")))</f>
        <v/>
      </c>
    </row>
    <row r="154" customFormat="false" ht="15" hidden="false" customHeight="false" outlineLevel="0" collapsed="false">
      <c r="A154" s="21"/>
      <c r="B154" s="22"/>
      <c r="C154" s="22"/>
      <c r="D154" s="23"/>
      <c r="E154" s="24"/>
      <c r="F154" s="22"/>
      <c r="G154" s="19" t="n">
        <f aca="false">IF($D154=0,0,$D154*$E154)</f>
        <v>0</v>
      </c>
      <c r="H154" s="20" t="str">
        <f aca="false">IF($B154="","",CONCATENATE("Pozisyon: ",$B154,"/",$C154," tutar ",TEXT($D154,"#,##0.00")))</f>
        <v/>
      </c>
    </row>
    <row r="155" customFormat="false" ht="15" hidden="false" customHeight="false" outlineLevel="0" collapsed="false">
      <c r="A155" s="21"/>
      <c r="B155" s="22"/>
      <c r="C155" s="22"/>
      <c r="D155" s="23"/>
      <c r="E155" s="24"/>
      <c r="F155" s="22"/>
      <c r="G155" s="19" t="n">
        <f aca="false">IF($D155=0,0,$D155*$E155)</f>
        <v>0</v>
      </c>
      <c r="H155" s="20" t="str">
        <f aca="false">IF($B155="","",CONCATENATE("Pozisyon: ",$B155,"/",$C155," tutar ",TEXT($D155,"#,##0.00")))</f>
        <v/>
      </c>
    </row>
    <row r="156" customFormat="false" ht="15" hidden="false" customHeight="false" outlineLevel="0" collapsed="false">
      <c r="A156" s="21"/>
      <c r="B156" s="22"/>
      <c r="C156" s="22"/>
      <c r="D156" s="23"/>
      <c r="E156" s="24"/>
      <c r="F156" s="22"/>
      <c r="G156" s="19" t="n">
        <f aca="false">IF($D156=0,0,$D156*$E156)</f>
        <v>0</v>
      </c>
      <c r="H156" s="20" t="str">
        <f aca="false">IF($B156="","",CONCATENATE("Pozisyon: ",$B156,"/",$C156," tutar ",TEXT($D156,"#,##0.00")))</f>
        <v/>
      </c>
    </row>
    <row r="157" customFormat="false" ht="15" hidden="false" customHeight="false" outlineLevel="0" collapsed="false">
      <c r="A157" s="21"/>
      <c r="B157" s="22"/>
      <c r="C157" s="22"/>
      <c r="D157" s="23"/>
      <c r="E157" s="24"/>
      <c r="F157" s="22"/>
      <c r="G157" s="19" t="n">
        <f aca="false">IF($D157=0,0,$D157*$E157)</f>
        <v>0</v>
      </c>
      <c r="H157" s="20" t="str">
        <f aca="false">IF($B157="","",CONCATENATE("Pozisyon: ",$B157,"/",$C157," tutar ",TEXT($D157,"#,##0.00")))</f>
        <v/>
      </c>
    </row>
    <row r="158" customFormat="false" ht="15" hidden="false" customHeight="false" outlineLevel="0" collapsed="false">
      <c r="A158" s="21"/>
      <c r="B158" s="22"/>
      <c r="C158" s="22"/>
      <c r="D158" s="23"/>
      <c r="E158" s="24"/>
      <c r="F158" s="22"/>
      <c r="G158" s="19" t="n">
        <f aca="false">IF($D158=0,0,$D158*$E158)</f>
        <v>0</v>
      </c>
      <c r="H158" s="20" t="str">
        <f aca="false">IF($B158="","",CONCATENATE("Pozisyon: ",$B158,"/",$C158," tutar ",TEXT($D158,"#,##0.00")))</f>
        <v/>
      </c>
    </row>
    <row r="159" customFormat="false" ht="15" hidden="false" customHeight="false" outlineLevel="0" collapsed="false">
      <c r="A159" s="21"/>
      <c r="B159" s="22"/>
      <c r="C159" s="22"/>
      <c r="D159" s="23"/>
      <c r="E159" s="24"/>
      <c r="F159" s="22"/>
      <c r="G159" s="19" t="n">
        <f aca="false">IF($D159=0,0,$D159*$E159)</f>
        <v>0</v>
      </c>
      <c r="H159" s="20" t="str">
        <f aca="false">IF($B159="","",CONCATENATE("Pozisyon: ",$B159,"/",$C159," tutar ",TEXT($D159,"#,##0.00")))</f>
        <v/>
      </c>
    </row>
    <row r="160" customFormat="false" ht="15" hidden="false" customHeight="false" outlineLevel="0" collapsed="false">
      <c r="A160" s="21"/>
      <c r="B160" s="22"/>
      <c r="C160" s="22"/>
      <c r="D160" s="23"/>
      <c r="E160" s="24"/>
      <c r="F160" s="22"/>
      <c r="G160" s="19" t="n">
        <f aca="false">IF($D160=0,0,$D160*$E160)</f>
        <v>0</v>
      </c>
      <c r="H160" s="20" t="str">
        <f aca="false">IF($B160="","",CONCATENATE("Pozisyon: ",$B160,"/",$C160," tutar ",TEXT($D160,"#,##0.00")))</f>
        <v/>
      </c>
    </row>
    <row r="161" customFormat="false" ht="15" hidden="false" customHeight="false" outlineLevel="0" collapsed="false">
      <c r="A161" s="21"/>
      <c r="B161" s="22"/>
      <c r="C161" s="22"/>
      <c r="D161" s="23"/>
      <c r="E161" s="24"/>
      <c r="F161" s="22"/>
      <c r="G161" s="19" t="n">
        <f aca="false">IF($D161=0,0,$D161*$E161)</f>
        <v>0</v>
      </c>
      <c r="H161" s="20" t="str">
        <f aca="false">IF($B161="","",CONCATENATE("Pozisyon: ",$B161,"/",$C161," tutar ",TEXT($D161,"#,##0.00")))</f>
        <v/>
      </c>
    </row>
    <row r="162" customFormat="false" ht="15" hidden="false" customHeight="false" outlineLevel="0" collapsed="false">
      <c r="A162" s="21"/>
      <c r="B162" s="22"/>
      <c r="C162" s="22"/>
      <c r="D162" s="23"/>
      <c r="E162" s="24"/>
      <c r="F162" s="22"/>
      <c r="G162" s="19" t="n">
        <f aca="false">IF($D162=0,0,$D162*$E162)</f>
        <v>0</v>
      </c>
      <c r="H162" s="20" t="str">
        <f aca="false">IF($B162="","",CONCATENATE("Pozisyon: ",$B162,"/",$C162," tutar ",TEXT($D162,"#,##0.00")))</f>
        <v/>
      </c>
    </row>
    <row r="163" customFormat="false" ht="15" hidden="false" customHeight="false" outlineLevel="0" collapsed="false">
      <c r="A163" s="21"/>
      <c r="B163" s="22"/>
      <c r="C163" s="22"/>
      <c r="D163" s="23"/>
      <c r="E163" s="24"/>
      <c r="F163" s="22"/>
      <c r="G163" s="19" t="n">
        <f aca="false">IF($D163=0,0,$D163*$E163)</f>
        <v>0</v>
      </c>
      <c r="H163" s="20" t="str">
        <f aca="false">IF($B163="","",CONCATENATE("Pozisyon: ",$B163,"/",$C163," tutar ",TEXT($D163,"#,##0.00")))</f>
        <v/>
      </c>
    </row>
    <row r="164" customFormat="false" ht="15" hidden="false" customHeight="false" outlineLevel="0" collapsed="false">
      <c r="A164" s="21"/>
      <c r="B164" s="22"/>
      <c r="C164" s="22"/>
      <c r="D164" s="23"/>
      <c r="E164" s="24"/>
      <c r="F164" s="22"/>
      <c r="G164" s="19" t="n">
        <f aca="false">IF($D164=0,0,$D164*$E164)</f>
        <v>0</v>
      </c>
      <c r="H164" s="20" t="str">
        <f aca="false">IF($B164="","",CONCATENATE("Pozisyon: ",$B164,"/",$C164," tutar ",TEXT($D164,"#,##0.00")))</f>
        <v/>
      </c>
    </row>
    <row r="165" customFormat="false" ht="15" hidden="false" customHeight="false" outlineLevel="0" collapsed="false">
      <c r="A165" s="21"/>
      <c r="B165" s="22"/>
      <c r="C165" s="22"/>
      <c r="D165" s="23"/>
      <c r="E165" s="24"/>
      <c r="F165" s="22"/>
      <c r="G165" s="19" t="n">
        <f aca="false">IF($D165=0,0,$D165*$E165)</f>
        <v>0</v>
      </c>
      <c r="H165" s="20" t="str">
        <f aca="false">IF($B165="","",CONCATENATE("Pozisyon: ",$B165,"/",$C165," tutar ",TEXT($D165,"#,##0.00")))</f>
        <v/>
      </c>
    </row>
    <row r="166" customFormat="false" ht="15" hidden="false" customHeight="false" outlineLevel="0" collapsed="false">
      <c r="A166" s="21"/>
      <c r="B166" s="22"/>
      <c r="C166" s="22"/>
      <c r="D166" s="23"/>
      <c r="E166" s="24"/>
      <c r="F166" s="22"/>
      <c r="G166" s="19" t="n">
        <f aca="false">IF($D166=0,0,$D166*$E166)</f>
        <v>0</v>
      </c>
      <c r="H166" s="20" t="str">
        <f aca="false">IF($B166="","",CONCATENATE("Pozisyon: ",$B166,"/",$C166," tutar ",TEXT($D166,"#,##0.00")))</f>
        <v/>
      </c>
    </row>
    <row r="167" customFormat="false" ht="15" hidden="false" customHeight="false" outlineLevel="0" collapsed="false">
      <c r="A167" s="21"/>
      <c r="B167" s="22"/>
      <c r="C167" s="22"/>
      <c r="D167" s="23"/>
      <c r="E167" s="24"/>
      <c r="F167" s="22"/>
      <c r="G167" s="19" t="n">
        <f aca="false">IF($D167=0,0,$D167*$E167)</f>
        <v>0</v>
      </c>
      <c r="H167" s="20" t="str">
        <f aca="false">IF($B167="","",CONCATENATE("Pozisyon: ",$B167,"/",$C167," tutar ",TEXT($D167,"#,##0.00")))</f>
        <v/>
      </c>
    </row>
    <row r="168" customFormat="false" ht="15" hidden="false" customHeight="false" outlineLevel="0" collapsed="false">
      <c r="A168" s="21"/>
      <c r="B168" s="22"/>
      <c r="C168" s="22"/>
      <c r="D168" s="23"/>
      <c r="E168" s="24"/>
      <c r="F168" s="22"/>
      <c r="G168" s="19" t="n">
        <f aca="false">IF($D168=0,0,$D168*$E168)</f>
        <v>0</v>
      </c>
      <c r="H168" s="20" t="str">
        <f aca="false">IF($B168="","",CONCATENATE("Pozisyon: ",$B168,"/",$C168," tutar ",TEXT($D168,"#,##0.00")))</f>
        <v/>
      </c>
    </row>
    <row r="169" customFormat="false" ht="15" hidden="false" customHeight="false" outlineLevel="0" collapsed="false">
      <c r="A169" s="21"/>
      <c r="B169" s="22"/>
      <c r="C169" s="22"/>
      <c r="D169" s="23"/>
      <c r="E169" s="24"/>
      <c r="F169" s="22"/>
      <c r="G169" s="19" t="n">
        <f aca="false">IF($D169=0,0,$D169*$E169)</f>
        <v>0</v>
      </c>
      <c r="H169" s="20" t="str">
        <f aca="false">IF($B169="","",CONCATENATE("Pozisyon: ",$B169,"/",$C169," tutar ",TEXT($D169,"#,##0.00")))</f>
        <v/>
      </c>
    </row>
    <row r="170" customFormat="false" ht="15" hidden="false" customHeight="false" outlineLevel="0" collapsed="false">
      <c r="A170" s="21"/>
      <c r="B170" s="22"/>
      <c r="C170" s="22"/>
      <c r="D170" s="23"/>
      <c r="E170" s="24"/>
      <c r="F170" s="22"/>
      <c r="G170" s="19" t="n">
        <f aca="false">IF($D170=0,0,$D170*$E170)</f>
        <v>0</v>
      </c>
      <c r="H170" s="20" t="str">
        <f aca="false">IF($B170="","",CONCATENATE("Pozisyon: ",$B170,"/",$C170," tutar ",TEXT($D170,"#,##0.00")))</f>
        <v/>
      </c>
    </row>
    <row r="171" customFormat="false" ht="15" hidden="false" customHeight="false" outlineLevel="0" collapsed="false">
      <c r="A171" s="21"/>
      <c r="B171" s="22"/>
      <c r="C171" s="22"/>
      <c r="D171" s="23"/>
      <c r="E171" s="24"/>
      <c r="F171" s="22"/>
      <c r="G171" s="19" t="n">
        <f aca="false">IF($D171=0,0,$D171*$E171)</f>
        <v>0</v>
      </c>
      <c r="H171" s="20" t="str">
        <f aca="false">IF($B171="","",CONCATENATE("Pozisyon: ",$B171,"/",$C171," tutar ",TEXT($D171,"#,##0.00")))</f>
        <v/>
      </c>
    </row>
    <row r="172" customFormat="false" ht="15" hidden="false" customHeight="false" outlineLevel="0" collapsed="false">
      <c r="A172" s="21"/>
      <c r="B172" s="22"/>
      <c r="C172" s="22"/>
      <c r="D172" s="23"/>
      <c r="E172" s="24"/>
      <c r="F172" s="22"/>
      <c r="G172" s="19" t="n">
        <f aca="false">IF($D172=0,0,$D172*$E172)</f>
        <v>0</v>
      </c>
      <c r="H172" s="20" t="str">
        <f aca="false">IF($B172="","",CONCATENATE("Pozisyon: ",$B172,"/",$C172," tutar ",TEXT($D172,"#,##0.00")))</f>
        <v/>
      </c>
    </row>
    <row r="173" customFormat="false" ht="15" hidden="false" customHeight="false" outlineLevel="0" collapsed="false">
      <c r="A173" s="21"/>
      <c r="B173" s="22"/>
      <c r="C173" s="22"/>
      <c r="D173" s="23"/>
      <c r="E173" s="24"/>
      <c r="F173" s="22"/>
      <c r="G173" s="19" t="n">
        <f aca="false">IF($D173=0,0,$D173*$E173)</f>
        <v>0</v>
      </c>
      <c r="H173" s="20" t="str">
        <f aca="false">IF($B173="","",CONCATENATE("Pozisyon: ",$B173,"/",$C173," tutar ",TEXT($D173,"#,##0.00")))</f>
        <v/>
      </c>
    </row>
    <row r="174" customFormat="false" ht="15" hidden="false" customHeight="false" outlineLevel="0" collapsed="false">
      <c r="A174" s="21"/>
      <c r="B174" s="22"/>
      <c r="C174" s="22"/>
      <c r="D174" s="23"/>
      <c r="E174" s="24"/>
      <c r="F174" s="22"/>
      <c r="G174" s="19" t="n">
        <f aca="false">IF($D174=0,0,$D174*$E174)</f>
        <v>0</v>
      </c>
      <c r="H174" s="20" t="str">
        <f aca="false">IF($B174="","",CONCATENATE("Pozisyon: ",$B174,"/",$C174," tutar ",TEXT($D174,"#,##0.00")))</f>
        <v/>
      </c>
    </row>
    <row r="175" customFormat="false" ht="15" hidden="false" customHeight="false" outlineLevel="0" collapsed="false">
      <c r="A175" s="21"/>
      <c r="B175" s="22"/>
      <c r="C175" s="22"/>
      <c r="D175" s="23"/>
      <c r="E175" s="24"/>
      <c r="F175" s="22"/>
      <c r="G175" s="19" t="n">
        <f aca="false">IF($D175=0,0,$D175*$E175)</f>
        <v>0</v>
      </c>
      <c r="H175" s="20" t="str">
        <f aca="false">IF($B175="","",CONCATENATE("Pozisyon: ",$B175,"/",$C175," tutar ",TEXT($D175,"#,##0.00")))</f>
        <v/>
      </c>
    </row>
    <row r="176" customFormat="false" ht="15" hidden="false" customHeight="false" outlineLevel="0" collapsed="false">
      <c r="A176" s="21"/>
      <c r="B176" s="22"/>
      <c r="C176" s="22"/>
      <c r="D176" s="23"/>
      <c r="E176" s="24"/>
      <c r="F176" s="22"/>
      <c r="G176" s="19" t="n">
        <f aca="false">IF($D176=0,0,$D176*$E176)</f>
        <v>0</v>
      </c>
      <c r="H176" s="20" t="str">
        <f aca="false">IF($B176="","",CONCATENATE("Pozisyon: ",$B176,"/",$C176," tutar ",TEXT($D176,"#,##0.00")))</f>
        <v/>
      </c>
    </row>
    <row r="177" customFormat="false" ht="15" hidden="false" customHeight="false" outlineLevel="0" collapsed="false">
      <c r="A177" s="21"/>
      <c r="B177" s="22"/>
      <c r="C177" s="22"/>
      <c r="D177" s="23"/>
      <c r="E177" s="24"/>
      <c r="F177" s="22"/>
      <c r="G177" s="19" t="n">
        <f aca="false">IF($D177=0,0,$D177*$E177)</f>
        <v>0</v>
      </c>
      <c r="H177" s="20" t="str">
        <f aca="false">IF($B177="","",CONCATENATE("Pozisyon: ",$B177,"/",$C177," tutar ",TEXT($D177,"#,##0.00")))</f>
        <v/>
      </c>
    </row>
    <row r="178" customFormat="false" ht="15" hidden="false" customHeight="false" outlineLevel="0" collapsed="false">
      <c r="A178" s="21"/>
      <c r="B178" s="22"/>
      <c r="C178" s="22"/>
      <c r="D178" s="23"/>
      <c r="E178" s="24"/>
      <c r="F178" s="22"/>
      <c r="G178" s="19" t="n">
        <f aca="false">IF($D178=0,0,$D178*$E178)</f>
        <v>0</v>
      </c>
      <c r="H178" s="20" t="str">
        <f aca="false">IF($B178="","",CONCATENATE("Pozisyon: ",$B178,"/",$C178," tutar ",TEXT($D178,"#,##0.00")))</f>
        <v/>
      </c>
    </row>
    <row r="179" customFormat="false" ht="15" hidden="false" customHeight="false" outlineLevel="0" collapsed="false">
      <c r="A179" s="21"/>
      <c r="B179" s="22"/>
      <c r="C179" s="22"/>
      <c r="D179" s="23"/>
      <c r="E179" s="24"/>
      <c r="F179" s="22"/>
      <c r="G179" s="19" t="n">
        <f aca="false">IF($D179=0,0,$D179*$E179)</f>
        <v>0</v>
      </c>
      <c r="H179" s="20" t="str">
        <f aca="false">IF($B179="","",CONCATENATE("Pozisyon: ",$B179,"/",$C179," tutar ",TEXT($D179,"#,##0.00")))</f>
        <v/>
      </c>
    </row>
    <row r="180" customFormat="false" ht="15" hidden="false" customHeight="false" outlineLevel="0" collapsed="false">
      <c r="A180" s="21"/>
      <c r="B180" s="22"/>
      <c r="C180" s="22"/>
      <c r="D180" s="23"/>
      <c r="E180" s="24"/>
      <c r="F180" s="22"/>
      <c r="G180" s="19" t="n">
        <f aca="false">IF($D180=0,0,$D180*$E180)</f>
        <v>0</v>
      </c>
      <c r="H180" s="20" t="str">
        <f aca="false">IF($B180="","",CONCATENATE("Pozisyon: ",$B180,"/",$C180," tutar ",TEXT($D180,"#,##0.00")))</f>
        <v/>
      </c>
    </row>
    <row r="181" customFormat="false" ht="15" hidden="false" customHeight="false" outlineLevel="0" collapsed="false">
      <c r="A181" s="21"/>
      <c r="B181" s="22"/>
      <c r="C181" s="22"/>
      <c r="D181" s="23"/>
      <c r="E181" s="24"/>
      <c r="F181" s="22"/>
      <c r="G181" s="19" t="n">
        <f aca="false">IF($D181=0,0,$D181*$E181)</f>
        <v>0</v>
      </c>
      <c r="H181" s="20" t="str">
        <f aca="false">IF($B181="","",CONCATENATE("Pozisyon: ",$B181,"/",$C181," tutar ",TEXT($D181,"#,##0.00")))</f>
        <v/>
      </c>
    </row>
    <row r="182" customFormat="false" ht="15" hidden="false" customHeight="false" outlineLevel="0" collapsed="false">
      <c r="A182" s="21"/>
      <c r="B182" s="22"/>
      <c r="C182" s="22"/>
      <c r="D182" s="23"/>
      <c r="E182" s="24"/>
      <c r="F182" s="22"/>
      <c r="G182" s="19" t="n">
        <f aca="false">IF($D182=0,0,$D182*$E182)</f>
        <v>0</v>
      </c>
      <c r="H182" s="20" t="str">
        <f aca="false">IF($B182="","",CONCATENATE("Pozisyon: ",$B182,"/",$C182," tutar ",TEXT($D182,"#,##0.00")))</f>
        <v/>
      </c>
    </row>
    <row r="183" customFormat="false" ht="15" hidden="false" customHeight="false" outlineLevel="0" collapsed="false">
      <c r="A183" s="21"/>
      <c r="B183" s="22"/>
      <c r="C183" s="22"/>
      <c r="D183" s="23"/>
      <c r="E183" s="24"/>
      <c r="F183" s="22"/>
      <c r="G183" s="19" t="n">
        <f aca="false">IF($D183=0,0,$D183*$E183)</f>
        <v>0</v>
      </c>
      <c r="H183" s="20" t="str">
        <f aca="false">IF($B183="","",CONCATENATE("Pozisyon: ",$B183,"/",$C183," tutar ",TEXT($D183,"#,##0.00")))</f>
        <v/>
      </c>
    </row>
    <row r="184" customFormat="false" ht="15" hidden="false" customHeight="false" outlineLevel="0" collapsed="false">
      <c r="A184" s="21"/>
      <c r="B184" s="22"/>
      <c r="C184" s="22"/>
      <c r="D184" s="23"/>
      <c r="E184" s="24"/>
      <c r="F184" s="22"/>
      <c r="G184" s="19" t="n">
        <f aca="false">IF($D184=0,0,$D184*$E184)</f>
        <v>0</v>
      </c>
      <c r="H184" s="20" t="str">
        <f aca="false">IF($B184="","",CONCATENATE("Pozisyon: ",$B184,"/",$C184," tutar ",TEXT($D184,"#,##0.00")))</f>
        <v/>
      </c>
    </row>
    <row r="185" customFormat="false" ht="15" hidden="false" customHeight="false" outlineLevel="0" collapsed="false">
      <c r="A185" s="21"/>
      <c r="B185" s="22"/>
      <c r="C185" s="22"/>
      <c r="D185" s="23"/>
      <c r="E185" s="24"/>
      <c r="F185" s="22"/>
      <c r="G185" s="19" t="n">
        <f aca="false">IF($D185=0,0,$D185*$E185)</f>
        <v>0</v>
      </c>
      <c r="H185" s="20" t="str">
        <f aca="false">IF($B185="","",CONCATENATE("Pozisyon: ",$B185,"/",$C185," tutar ",TEXT($D185,"#,##0.00")))</f>
        <v/>
      </c>
    </row>
    <row r="186" customFormat="false" ht="15" hidden="false" customHeight="false" outlineLevel="0" collapsed="false">
      <c r="A186" s="21"/>
      <c r="B186" s="22"/>
      <c r="C186" s="22"/>
      <c r="D186" s="23"/>
      <c r="E186" s="24"/>
      <c r="F186" s="22"/>
      <c r="G186" s="19" t="n">
        <f aca="false">IF($D186=0,0,$D186*$E186)</f>
        <v>0</v>
      </c>
      <c r="H186" s="20" t="str">
        <f aca="false">IF($B186="","",CONCATENATE("Pozisyon: ",$B186,"/",$C186," tutar ",TEXT($D186,"#,##0.00")))</f>
        <v/>
      </c>
    </row>
    <row r="187" customFormat="false" ht="15" hidden="false" customHeight="false" outlineLevel="0" collapsed="false">
      <c r="A187" s="21"/>
      <c r="B187" s="22"/>
      <c r="C187" s="22"/>
      <c r="D187" s="23"/>
      <c r="E187" s="24"/>
      <c r="F187" s="22"/>
      <c r="G187" s="19" t="n">
        <f aca="false">IF($D187=0,0,$D187*$E187)</f>
        <v>0</v>
      </c>
      <c r="H187" s="20" t="str">
        <f aca="false">IF($B187="","",CONCATENATE("Pozisyon: ",$B187,"/",$C187," tutar ",TEXT($D187,"#,##0.00")))</f>
        <v/>
      </c>
    </row>
    <row r="188" customFormat="false" ht="15" hidden="false" customHeight="false" outlineLevel="0" collapsed="false">
      <c r="A188" s="21"/>
      <c r="B188" s="22"/>
      <c r="C188" s="22"/>
      <c r="D188" s="23"/>
      <c r="E188" s="24"/>
      <c r="F188" s="22"/>
      <c r="G188" s="19" t="n">
        <f aca="false">IF($D188=0,0,$D188*$E188)</f>
        <v>0</v>
      </c>
      <c r="H188" s="20" t="str">
        <f aca="false">IF($B188="","",CONCATENATE("Pozisyon: ",$B188,"/",$C188," tutar ",TEXT($D188,"#,##0.00")))</f>
        <v/>
      </c>
    </row>
    <row r="189" customFormat="false" ht="15" hidden="false" customHeight="false" outlineLevel="0" collapsed="false">
      <c r="A189" s="21"/>
      <c r="B189" s="22"/>
      <c r="C189" s="22"/>
      <c r="D189" s="23"/>
      <c r="E189" s="24"/>
      <c r="F189" s="22"/>
      <c r="G189" s="19" t="n">
        <f aca="false">IF($D189=0,0,$D189*$E189)</f>
        <v>0</v>
      </c>
      <c r="H189" s="20" t="str">
        <f aca="false">IF($B189="","",CONCATENATE("Pozisyon: ",$B189,"/",$C189," tutar ",TEXT($D189,"#,##0.00")))</f>
        <v/>
      </c>
    </row>
    <row r="190" customFormat="false" ht="15" hidden="false" customHeight="false" outlineLevel="0" collapsed="false">
      <c r="A190" s="21"/>
      <c r="B190" s="22"/>
      <c r="C190" s="22"/>
      <c r="D190" s="23"/>
      <c r="E190" s="24"/>
      <c r="F190" s="22"/>
      <c r="G190" s="19" t="n">
        <f aca="false">IF($D190=0,0,$D190*$E190)</f>
        <v>0</v>
      </c>
      <c r="H190" s="20" t="str">
        <f aca="false">IF($B190="","",CONCATENATE("Pozisyon: ",$B190,"/",$C190," tutar ",TEXT($D190,"#,##0.00")))</f>
        <v/>
      </c>
    </row>
    <row r="191" customFormat="false" ht="15" hidden="false" customHeight="false" outlineLevel="0" collapsed="false">
      <c r="A191" s="21"/>
      <c r="B191" s="22"/>
      <c r="C191" s="22"/>
      <c r="D191" s="23"/>
      <c r="E191" s="24"/>
      <c r="F191" s="22"/>
      <c r="G191" s="19" t="n">
        <f aca="false">IF($D191=0,0,$D191*$E191)</f>
        <v>0</v>
      </c>
      <c r="H191" s="20" t="str">
        <f aca="false">IF($B191="","",CONCATENATE("Pozisyon: ",$B191,"/",$C191," tutar ",TEXT($D191,"#,##0.00")))</f>
        <v/>
      </c>
    </row>
    <row r="192" customFormat="false" ht="15" hidden="false" customHeight="false" outlineLevel="0" collapsed="false">
      <c r="A192" s="21"/>
      <c r="B192" s="22"/>
      <c r="C192" s="22"/>
      <c r="D192" s="23"/>
      <c r="E192" s="24"/>
      <c r="F192" s="22"/>
      <c r="G192" s="19" t="n">
        <f aca="false">IF($D192=0,0,$D192*$E192)</f>
        <v>0</v>
      </c>
      <c r="H192" s="20" t="str">
        <f aca="false">IF($B192="","",CONCATENATE("Pozisyon: ",$B192,"/",$C192," tutar ",TEXT($D192,"#,##0.00")))</f>
        <v/>
      </c>
    </row>
    <row r="193" customFormat="false" ht="15" hidden="false" customHeight="false" outlineLevel="0" collapsed="false">
      <c r="A193" s="21"/>
      <c r="B193" s="22"/>
      <c r="C193" s="22"/>
      <c r="D193" s="23"/>
      <c r="E193" s="24"/>
      <c r="F193" s="22"/>
      <c r="G193" s="19" t="n">
        <f aca="false">IF($D193=0,0,$D193*$E193)</f>
        <v>0</v>
      </c>
      <c r="H193" s="20" t="str">
        <f aca="false">IF($B193="","",CONCATENATE("Pozisyon: ",$B193,"/",$C193," tutar ",TEXT($D193,"#,##0.00")))</f>
        <v/>
      </c>
    </row>
    <row r="194" customFormat="false" ht="15" hidden="false" customHeight="false" outlineLevel="0" collapsed="false">
      <c r="A194" s="21"/>
      <c r="B194" s="22"/>
      <c r="C194" s="22"/>
      <c r="D194" s="23"/>
      <c r="E194" s="24"/>
      <c r="F194" s="22"/>
      <c r="G194" s="19" t="n">
        <f aca="false">IF($D194=0,0,$D194*$E194)</f>
        <v>0</v>
      </c>
      <c r="H194" s="20" t="str">
        <f aca="false">IF($B194="","",CONCATENATE("Pozisyon: ",$B194,"/",$C194," tutar ",TEXT($D194,"#,##0.00")))</f>
        <v/>
      </c>
    </row>
    <row r="195" customFormat="false" ht="15" hidden="false" customHeight="false" outlineLevel="0" collapsed="false">
      <c r="A195" s="21"/>
      <c r="B195" s="22"/>
      <c r="C195" s="22"/>
      <c r="D195" s="23"/>
      <c r="E195" s="24"/>
      <c r="F195" s="22"/>
      <c r="G195" s="19" t="n">
        <f aca="false">IF($D195=0,0,$D195*$E195)</f>
        <v>0</v>
      </c>
      <c r="H195" s="20" t="str">
        <f aca="false">IF($B195="","",CONCATENATE("Pozisyon: ",$B195,"/",$C195," tutar ",TEXT($D195,"#,##0.00")))</f>
        <v/>
      </c>
    </row>
    <row r="196" customFormat="false" ht="15" hidden="false" customHeight="false" outlineLevel="0" collapsed="false">
      <c r="A196" s="21"/>
      <c r="B196" s="22"/>
      <c r="C196" s="22"/>
      <c r="D196" s="23"/>
      <c r="E196" s="24"/>
      <c r="F196" s="22"/>
      <c r="G196" s="19" t="n">
        <f aca="false">IF($D196=0,0,$D196*$E196)</f>
        <v>0</v>
      </c>
      <c r="H196" s="20" t="str">
        <f aca="false">IF($B196="","",CONCATENATE("Pozisyon: ",$B196,"/",$C196," tutar ",TEXT($D196,"#,##0.00")))</f>
        <v/>
      </c>
    </row>
    <row r="197" customFormat="false" ht="15" hidden="false" customHeight="false" outlineLevel="0" collapsed="false">
      <c r="A197" s="21"/>
      <c r="B197" s="22"/>
      <c r="C197" s="22"/>
      <c r="D197" s="23"/>
      <c r="E197" s="24"/>
      <c r="F197" s="22"/>
      <c r="G197" s="19" t="n">
        <f aca="false">IF($D197=0,0,$D197*$E197)</f>
        <v>0</v>
      </c>
      <c r="H197" s="20" t="str">
        <f aca="false">IF($B197="","",CONCATENATE("Pozisyon: ",$B197,"/",$C197," tutar ",TEXT($D197,"#,##0.00")))</f>
        <v/>
      </c>
    </row>
    <row r="198" customFormat="false" ht="15" hidden="false" customHeight="false" outlineLevel="0" collapsed="false">
      <c r="A198" s="21"/>
      <c r="B198" s="22"/>
      <c r="C198" s="22"/>
      <c r="D198" s="23"/>
      <c r="E198" s="24"/>
      <c r="F198" s="22"/>
      <c r="G198" s="19" t="n">
        <f aca="false">IF($D198=0,0,$D198*$E198)</f>
        <v>0</v>
      </c>
      <c r="H198" s="20" t="str">
        <f aca="false">IF($B198="","",CONCATENATE("Pozisyon: ",$B198,"/",$C198," tutar ",TEXT($D198,"#,##0.00")))</f>
        <v/>
      </c>
    </row>
    <row r="199" customFormat="false" ht="15" hidden="false" customHeight="false" outlineLevel="0" collapsed="false">
      <c r="A199" s="21"/>
      <c r="B199" s="22"/>
      <c r="C199" s="22"/>
      <c r="D199" s="23"/>
      <c r="E199" s="24"/>
      <c r="F199" s="22"/>
      <c r="G199" s="19" t="n">
        <f aca="false">IF($D199=0,0,$D199*$E199)</f>
        <v>0</v>
      </c>
      <c r="H199" s="20" t="str">
        <f aca="false">IF($B199="","",CONCATENATE("Pozisyon: ",$B199,"/",$C199," tutar ",TEXT($D199,"#,##0.00")))</f>
        <v/>
      </c>
    </row>
    <row r="200" customFormat="false" ht="15" hidden="false" customHeight="false" outlineLevel="0" collapsed="false">
      <c r="A200" s="21"/>
      <c r="B200" s="22"/>
      <c r="C200" s="22"/>
      <c r="D200" s="23"/>
      <c r="E200" s="24"/>
      <c r="F200" s="22"/>
      <c r="G200" s="19" t="n">
        <f aca="false">IF($D200=0,0,$D200*$E200)</f>
        <v>0</v>
      </c>
      <c r="H200" s="20" t="str">
        <f aca="false">IF($B200="","",CONCATENATE("Pozisyon: ",$B200,"/",$C200," tutar ",TEXT($D200,"#,##0.00")))</f>
        <v/>
      </c>
    </row>
    <row r="201" customFormat="false" ht="15" hidden="false" customHeight="false" outlineLevel="0" collapsed="false">
      <c r="A201" s="21"/>
      <c r="B201" s="22"/>
      <c r="C201" s="22"/>
      <c r="D201" s="23"/>
      <c r="E201" s="24"/>
      <c r="F201" s="22"/>
      <c r="G201" s="19" t="n">
        <f aca="false">IF($D201=0,0,$D201*$E201)</f>
        <v>0</v>
      </c>
      <c r="H201" s="20" t="str">
        <f aca="false">IF($B201="","",CONCATENATE("Pozisyon: ",$B201,"/",$C201," tutar ",TEXT($D201,"#,##0.00")))</f>
        <v/>
      </c>
    </row>
    <row r="202" customFormat="false" ht="15" hidden="false" customHeight="false" outlineLevel="0" collapsed="false">
      <c r="A202" s="21"/>
      <c r="B202" s="22"/>
      <c r="C202" s="22"/>
      <c r="D202" s="23"/>
      <c r="E202" s="24"/>
      <c r="F202" s="22"/>
      <c r="G202" s="19" t="n">
        <f aca="false">IF($D202=0,0,$D202*$E202)</f>
        <v>0</v>
      </c>
      <c r="H202" s="20" t="str">
        <f aca="false">IF($B202="","",CONCATENATE("Pozisyon: ",$B202,"/",$C202," tutar ",TEXT($D202,"#,##0.00")))</f>
        <v/>
      </c>
    </row>
    <row r="203" customFormat="false" ht="15" hidden="false" customHeight="false" outlineLevel="0" collapsed="false">
      <c r="A203" s="21"/>
      <c r="B203" s="22"/>
      <c r="C203" s="22"/>
      <c r="D203" s="23"/>
      <c r="E203" s="24"/>
      <c r="F203" s="22"/>
      <c r="G203" s="19" t="n">
        <f aca="false">IF($D203=0,0,$D203*$E203)</f>
        <v>0</v>
      </c>
      <c r="H203" s="20" t="str">
        <f aca="false">IF($B203="","",CONCATENATE("Pozisyon: ",$B203,"/",$C203," tutar ",TEXT($D203,"#,##0.00")))</f>
        <v/>
      </c>
    </row>
    <row r="204" customFormat="false" ht="15" hidden="false" customHeight="false" outlineLevel="0" collapsed="false">
      <c r="A204" s="21"/>
      <c r="B204" s="22"/>
      <c r="C204" s="22"/>
      <c r="D204" s="23"/>
      <c r="E204" s="24"/>
      <c r="F204" s="22"/>
      <c r="G204" s="19" t="n">
        <f aca="false">IF($D204=0,0,$D204*$E204)</f>
        <v>0</v>
      </c>
      <c r="H204" s="20" t="str">
        <f aca="false">IF($B204="","",CONCATENATE("Pozisyon: ",$B204,"/",$C204," tutar ",TEXT($D204,"#,##0.00")))</f>
        <v/>
      </c>
    </row>
    <row r="205" customFormat="false" ht="15" hidden="false" customHeight="false" outlineLevel="0" collapsed="false">
      <c r="A205" s="21"/>
      <c r="B205" s="22"/>
      <c r="C205" s="22"/>
      <c r="D205" s="23"/>
      <c r="E205" s="24"/>
      <c r="F205" s="22"/>
      <c r="G205" s="19" t="n">
        <f aca="false">IF($D205=0,0,$D205*$E205)</f>
        <v>0</v>
      </c>
      <c r="H205" s="20" t="str">
        <f aca="false">IF($B205="","",CONCATENATE("Pozisyon: ",$B205,"/",$C205," tutar ",TEXT($D205,"#,##0.00")))</f>
        <v/>
      </c>
    </row>
    <row r="206" customFormat="false" ht="15" hidden="false" customHeight="false" outlineLevel="0" collapsed="false">
      <c r="A206" s="21"/>
      <c r="B206" s="22"/>
      <c r="C206" s="22"/>
      <c r="D206" s="23"/>
      <c r="E206" s="24"/>
      <c r="F206" s="22"/>
      <c r="G206" s="19" t="n">
        <f aca="false">IF($D206=0,0,$D206*$E206)</f>
        <v>0</v>
      </c>
      <c r="H206" s="20" t="str">
        <f aca="false">IF($B206="","",CONCATENATE("Pozisyon: ",$B206,"/",$C206," tutar ",TEXT($D206,"#,##0.00")))</f>
        <v/>
      </c>
    </row>
    <row r="207" customFormat="false" ht="15" hidden="false" customHeight="false" outlineLevel="0" collapsed="false">
      <c r="A207" s="21"/>
      <c r="B207" s="22"/>
      <c r="C207" s="22"/>
      <c r="D207" s="23"/>
      <c r="E207" s="24"/>
      <c r="F207" s="22"/>
      <c r="G207" s="19" t="n">
        <f aca="false">IF($D207=0,0,$D207*$E207)</f>
        <v>0</v>
      </c>
      <c r="H207" s="20" t="str">
        <f aca="false">IF($B207="","",CONCATENATE("Pozisyon: ",$B207,"/",$C207," tutar ",TEXT($D207,"#,##0.00")))</f>
        <v/>
      </c>
    </row>
    <row r="208" customFormat="false" ht="15" hidden="false" customHeight="false" outlineLevel="0" collapsed="false">
      <c r="A208" s="21"/>
      <c r="B208" s="22"/>
      <c r="C208" s="22"/>
      <c r="D208" s="23"/>
      <c r="E208" s="24"/>
      <c r="F208" s="22"/>
      <c r="G208" s="19" t="n">
        <f aca="false">IF($D208=0,0,$D208*$E208)</f>
        <v>0</v>
      </c>
      <c r="H208" s="20" t="str">
        <f aca="false">IF($B208="","",CONCATENATE("Pozisyon: ",$B208,"/",$C208," tutar ",TEXT($D208,"#,##0.00")))</f>
        <v/>
      </c>
    </row>
    <row r="209" customFormat="false" ht="15" hidden="false" customHeight="false" outlineLevel="0" collapsed="false">
      <c r="A209" s="21"/>
      <c r="B209" s="22"/>
      <c r="C209" s="22"/>
      <c r="D209" s="23"/>
      <c r="E209" s="24"/>
      <c r="F209" s="22"/>
      <c r="G209" s="19" t="n">
        <f aca="false">IF($D209=0,0,$D209*$E209)</f>
        <v>0</v>
      </c>
      <c r="H209" s="20" t="str">
        <f aca="false">IF($B209="","",CONCATENATE("Pozisyon: ",$B209,"/",$C209," tutar ",TEXT($D209,"#,##0.00")))</f>
        <v/>
      </c>
    </row>
    <row r="210" customFormat="false" ht="15" hidden="false" customHeight="false" outlineLevel="0" collapsed="false">
      <c r="A210" s="21"/>
      <c r="B210" s="22"/>
      <c r="C210" s="22"/>
      <c r="D210" s="23"/>
      <c r="E210" s="24"/>
      <c r="F210" s="22"/>
      <c r="G210" s="19" t="n">
        <f aca="false">IF($D210=0,0,$D210*$E210)</f>
        <v>0</v>
      </c>
      <c r="H210" s="20" t="str">
        <f aca="false">IF($B210="","",CONCATENATE("Pozisyon: ",$B210,"/",$C210," tutar ",TEXT($D210,"#,##0.00")))</f>
        <v/>
      </c>
    </row>
    <row r="211" customFormat="false" ht="15" hidden="false" customHeight="false" outlineLevel="0" collapsed="false">
      <c r="A211" s="21"/>
      <c r="B211" s="22"/>
      <c r="C211" s="22"/>
      <c r="D211" s="23"/>
      <c r="E211" s="24"/>
      <c r="F211" s="22"/>
      <c r="G211" s="19" t="n">
        <f aca="false">IF($D211=0,0,$D211*$E211)</f>
        <v>0</v>
      </c>
      <c r="H211" s="20" t="str">
        <f aca="false">IF($B211="","",CONCATENATE("Pozisyon: ",$B211,"/",$C211," tutar ",TEXT($D211,"#,##0.00")))</f>
        <v/>
      </c>
    </row>
    <row r="212" customFormat="false" ht="15" hidden="false" customHeight="false" outlineLevel="0" collapsed="false">
      <c r="A212" s="21"/>
      <c r="B212" s="22"/>
      <c r="C212" s="22"/>
      <c r="D212" s="23"/>
      <c r="E212" s="24"/>
      <c r="F212" s="22"/>
      <c r="G212" s="19" t="n">
        <f aca="false">IF($D212=0,0,$D212*$E212)</f>
        <v>0</v>
      </c>
      <c r="H212" s="20" t="str">
        <f aca="false">IF($B212="","",CONCATENATE("Pozisyon: ",$B212,"/",$C212," tutar ",TEXT($D212,"#,##0.00")))</f>
        <v/>
      </c>
    </row>
    <row r="213" customFormat="false" ht="15" hidden="false" customHeight="false" outlineLevel="0" collapsed="false">
      <c r="A213" s="21"/>
      <c r="B213" s="22"/>
      <c r="C213" s="22"/>
      <c r="D213" s="23"/>
      <c r="E213" s="24"/>
      <c r="F213" s="22"/>
      <c r="G213" s="19" t="n">
        <f aca="false">IF($D213=0,0,$D213*$E213)</f>
        <v>0</v>
      </c>
      <c r="H213" s="20" t="str">
        <f aca="false">IF($B213="","",CONCATENATE("Pozisyon: ",$B213,"/",$C213," tutar ",TEXT($D213,"#,##0.00")))</f>
        <v/>
      </c>
    </row>
    <row r="214" customFormat="false" ht="15" hidden="false" customHeight="false" outlineLevel="0" collapsed="false">
      <c r="A214" s="21"/>
      <c r="B214" s="22"/>
      <c r="C214" s="22"/>
      <c r="D214" s="23"/>
      <c r="E214" s="24"/>
      <c r="F214" s="22"/>
      <c r="G214" s="19" t="n">
        <f aca="false">IF($D214=0,0,$D214*$E214)</f>
        <v>0</v>
      </c>
      <c r="H214" s="20" t="str">
        <f aca="false">IF($B214="","",CONCATENATE("Pozisyon: ",$B214,"/",$C214," tutar ",TEXT($D214,"#,##0.00")))</f>
        <v/>
      </c>
    </row>
    <row r="215" customFormat="false" ht="15" hidden="false" customHeight="false" outlineLevel="0" collapsed="false">
      <c r="A215" s="21"/>
      <c r="B215" s="22"/>
      <c r="C215" s="22"/>
      <c r="D215" s="23"/>
      <c r="E215" s="24"/>
      <c r="F215" s="22"/>
      <c r="G215" s="19" t="n">
        <f aca="false">IF($D215=0,0,$D215*$E215)</f>
        <v>0</v>
      </c>
      <c r="H215" s="20" t="str">
        <f aca="false">IF($B215="","",CONCATENATE("Pozisyon: ",$B215,"/",$C215," tutar ",TEXT($D215,"#,##0.00")))</f>
        <v/>
      </c>
    </row>
    <row r="216" customFormat="false" ht="15" hidden="false" customHeight="false" outlineLevel="0" collapsed="false">
      <c r="A216" s="21"/>
      <c r="B216" s="22"/>
      <c r="C216" s="22"/>
      <c r="D216" s="23"/>
      <c r="E216" s="24"/>
      <c r="F216" s="22"/>
      <c r="G216" s="19" t="n">
        <f aca="false">IF($D216=0,0,$D216*$E216)</f>
        <v>0</v>
      </c>
      <c r="H216" s="20" t="str">
        <f aca="false">IF($B216="","",CONCATENATE("Pozisyon: ",$B216,"/",$C216," tutar ",TEXT($D216,"#,##0.00")))</f>
        <v/>
      </c>
    </row>
    <row r="217" customFormat="false" ht="15" hidden="false" customHeight="false" outlineLevel="0" collapsed="false">
      <c r="A217" s="21"/>
      <c r="B217" s="22"/>
      <c r="C217" s="22"/>
      <c r="D217" s="23"/>
      <c r="E217" s="24"/>
      <c r="F217" s="22"/>
      <c r="G217" s="19" t="n">
        <f aca="false">IF($D217=0,0,$D217*$E217)</f>
        <v>0</v>
      </c>
      <c r="H217" s="20" t="str">
        <f aca="false">IF($B217="","",CONCATENATE("Pozisyon: ",$B217,"/",$C217," tutar ",TEXT($D217,"#,##0.00")))</f>
        <v/>
      </c>
    </row>
    <row r="218" customFormat="false" ht="15" hidden="false" customHeight="false" outlineLevel="0" collapsed="false">
      <c r="A218" s="21"/>
      <c r="B218" s="22"/>
      <c r="C218" s="22"/>
      <c r="D218" s="23"/>
      <c r="E218" s="24"/>
      <c r="F218" s="22"/>
      <c r="G218" s="19" t="n">
        <f aca="false">IF($D218=0,0,$D218*$E218)</f>
        <v>0</v>
      </c>
      <c r="H218" s="20" t="str">
        <f aca="false">IF($B218="","",CONCATENATE("Pozisyon: ",$B218,"/",$C218," tutar ",TEXT($D218,"#,##0.00")))</f>
        <v/>
      </c>
    </row>
    <row r="219" customFormat="false" ht="15" hidden="false" customHeight="false" outlineLevel="0" collapsed="false">
      <c r="A219" s="21"/>
      <c r="B219" s="22"/>
      <c r="C219" s="22"/>
      <c r="D219" s="23"/>
      <c r="E219" s="24"/>
      <c r="F219" s="22"/>
      <c r="G219" s="19" t="n">
        <f aca="false">IF($D219=0,0,$D219*$E219)</f>
        <v>0</v>
      </c>
      <c r="H219" s="20" t="str">
        <f aca="false">IF($B219="","",CONCATENATE("Pozisyon: ",$B219,"/",$C219," tutar ",TEXT($D219,"#,##0.00")))</f>
        <v/>
      </c>
    </row>
    <row r="220" customFormat="false" ht="15" hidden="false" customHeight="false" outlineLevel="0" collapsed="false">
      <c r="A220" s="21"/>
      <c r="B220" s="22"/>
      <c r="C220" s="22"/>
      <c r="D220" s="23"/>
      <c r="E220" s="24"/>
      <c r="F220" s="22"/>
      <c r="G220" s="19" t="n">
        <f aca="false">IF($D220=0,0,$D220*$E220)</f>
        <v>0</v>
      </c>
      <c r="H220" s="20" t="str">
        <f aca="false">IF($B220="","",CONCATENATE("Pozisyon: ",$B220,"/",$C220," tutar ",TEXT($D220,"#,##0.00")))</f>
        <v/>
      </c>
    </row>
    <row r="221" customFormat="false" ht="15" hidden="false" customHeight="false" outlineLevel="0" collapsed="false">
      <c r="A221" s="21"/>
      <c r="B221" s="22"/>
      <c r="C221" s="22"/>
      <c r="D221" s="23"/>
      <c r="E221" s="24"/>
      <c r="F221" s="22"/>
      <c r="G221" s="19" t="n">
        <f aca="false">IF($D221=0,0,$D221*$E221)</f>
        <v>0</v>
      </c>
      <c r="H221" s="20" t="str">
        <f aca="false">IF($B221="","",CONCATENATE("Pozisyon: ",$B221,"/",$C221," tutar ",TEXT($D221,"#,##0.00")))</f>
        <v/>
      </c>
    </row>
    <row r="222" customFormat="false" ht="15" hidden="false" customHeight="false" outlineLevel="0" collapsed="false">
      <c r="A222" s="21"/>
      <c r="B222" s="22"/>
      <c r="C222" s="22"/>
      <c r="D222" s="23"/>
      <c r="E222" s="24"/>
      <c r="F222" s="22"/>
      <c r="G222" s="19" t="n">
        <f aca="false">IF($D222=0,0,$D222*$E222)</f>
        <v>0</v>
      </c>
      <c r="H222" s="20" t="str">
        <f aca="false">IF($B222="","",CONCATENATE("Pozisyon: ",$B222,"/",$C222," tutar ",TEXT($D222,"#,##0.00")))</f>
        <v/>
      </c>
    </row>
    <row r="223" customFormat="false" ht="15" hidden="false" customHeight="false" outlineLevel="0" collapsed="false">
      <c r="A223" s="21"/>
      <c r="B223" s="22"/>
      <c r="C223" s="22"/>
      <c r="D223" s="23"/>
      <c r="E223" s="24"/>
      <c r="F223" s="22"/>
      <c r="G223" s="19" t="n">
        <f aca="false">IF($D223=0,0,$D223*$E223)</f>
        <v>0</v>
      </c>
      <c r="H223" s="20" t="str">
        <f aca="false">IF($B223="","",CONCATENATE("Pozisyon: ",$B223,"/",$C223," tutar ",TEXT($D223,"#,##0.00")))</f>
        <v/>
      </c>
    </row>
    <row r="224" customFormat="false" ht="15" hidden="false" customHeight="false" outlineLevel="0" collapsed="false">
      <c r="A224" s="21"/>
      <c r="B224" s="22"/>
      <c r="C224" s="22"/>
      <c r="D224" s="23"/>
      <c r="E224" s="24"/>
      <c r="F224" s="22"/>
      <c r="G224" s="19" t="n">
        <f aca="false">IF($D224=0,0,$D224*$E224)</f>
        <v>0</v>
      </c>
      <c r="H224" s="20" t="str">
        <f aca="false">IF($B224="","",CONCATENATE("Pozisyon: ",$B224,"/",$C224," tutar ",TEXT($D224,"#,##0.00")))</f>
        <v/>
      </c>
    </row>
    <row r="225" customFormat="false" ht="15" hidden="false" customHeight="false" outlineLevel="0" collapsed="false">
      <c r="A225" s="21"/>
      <c r="B225" s="22"/>
      <c r="C225" s="22"/>
      <c r="D225" s="23"/>
      <c r="E225" s="24"/>
      <c r="F225" s="22"/>
      <c r="G225" s="19" t="n">
        <f aca="false">IF($D225=0,0,$D225*$E225)</f>
        <v>0</v>
      </c>
      <c r="H225" s="20" t="str">
        <f aca="false">IF($B225="","",CONCATENATE("Pozisyon: ",$B225,"/",$C225," tutar ",TEXT($D225,"#,##0.00")))</f>
        <v/>
      </c>
    </row>
    <row r="226" customFormat="false" ht="15" hidden="false" customHeight="false" outlineLevel="0" collapsed="false">
      <c r="A226" s="21"/>
      <c r="B226" s="22"/>
      <c r="C226" s="22"/>
      <c r="D226" s="23"/>
      <c r="E226" s="24"/>
      <c r="F226" s="22"/>
      <c r="G226" s="19" t="n">
        <f aca="false">IF($D226=0,0,$D226*$E226)</f>
        <v>0</v>
      </c>
      <c r="H226" s="20" t="str">
        <f aca="false">IF($B226="","",CONCATENATE("Pozisyon: ",$B226,"/",$C226," tutar ",TEXT($D226,"#,##0.00")))</f>
        <v/>
      </c>
    </row>
    <row r="227" customFormat="false" ht="15" hidden="false" customHeight="false" outlineLevel="0" collapsed="false">
      <c r="A227" s="21"/>
      <c r="B227" s="22"/>
      <c r="C227" s="22"/>
      <c r="D227" s="23"/>
      <c r="E227" s="24"/>
      <c r="F227" s="22"/>
      <c r="G227" s="19" t="n">
        <f aca="false">IF($D227=0,0,$D227*$E227)</f>
        <v>0</v>
      </c>
      <c r="H227" s="20" t="str">
        <f aca="false">IF($B227="","",CONCATENATE("Pozisyon: ",$B227,"/",$C227," tutar ",TEXT($D227,"#,##0.00")))</f>
        <v/>
      </c>
    </row>
    <row r="228" customFormat="false" ht="15" hidden="false" customHeight="false" outlineLevel="0" collapsed="false">
      <c r="A228" s="21"/>
      <c r="B228" s="22"/>
      <c r="C228" s="22"/>
      <c r="D228" s="23"/>
      <c r="E228" s="24"/>
      <c r="F228" s="22"/>
      <c r="G228" s="19" t="n">
        <f aca="false">IF($D228=0,0,$D228*$E228)</f>
        <v>0</v>
      </c>
      <c r="H228" s="20" t="str">
        <f aca="false">IF($B228="","",CONCATENATE("Pozisyon: ",$B228,"/",$C228," tutar ",TEXT($D228,"#,##0.00")))</f>
        <v/>
      </c>
    </row>
    <row r="229" customFormat="false" ht="15" hidden="false" customHeight="false" outlineLevel="0" collapsed="false">
      <c r="A229" s="21"/>
      <c r="B229" s="22"/>
      <c r="C229" s="22"/>
      <c r="D229" s="23"/>
      <c r="E229" s="24"/>
      <c r="F229" s="22"/>
      <c r="G229" s="19" t="n">
        <f aca="false">IF($D229=0,0,$D229*$E229)</f>
        <v>0</v>
      </c>
      <c r="H229" s="20" t="str">
        <f aca="false">IF($B229="","",CONCATENATE("Pozisyon: ",$B229,"/",$C229," tutar ",TEXT($D229,"#,##0.00")))</f>
        <v/>
      </c>
    </row>
    <row r="230" customFormat="false" ht="15" hidden="false" customHeight="false" outlineLevel="0" collapsed="false">
      <c r="A230" s="21"/>
      <c r="B230" s="22"/>
      <c r="C230" s="22"/>
      <c r="D230" s="23"/>
      <c r="E230" s="24"/>
      <c r="F230" s="22"/>
      <c r="G230" s="19" t="n">
        <f aca="false">IF($D230=0,0,$D230*$E230)</f>
        <v>0</v>
      </c>
      <c r="H230" s="20" t="str">
        <f aca="false">IF($B230="","",CONCATENATE("Pozisyon: ",$B230,"/",$C230," tutar ",TEXT($D230,"#,##0.00")))</f>
        <v/>
      </c>
    </row>
    <row r="231" customFormat="false" ht="15" hidden="false" customHeight="false" outlineLevel="0" collapsed="false">
      <c r="A231" s="21"/>
      <c r="B231" s="22"/>
      <c r="C231" s="22"/>
      <c r="D231" s="23"/>
      <c r="E231" s="24"/>
      <c r="F231" s="22"/>
      <c r="G231" s="19" t="n">
        <f aca="false">IF($D231=0,0,$D231*$E231)</f>
        <v>0</v>
      </c>
      <c r="H231" s="20" t="str">
        <f aca="false">IF($B231="","",CONCATENATE("Pozisyon: ",$B231,"/",$C231," tutar ",TEXT($D231,"#,##0.00")))</f>
        <v/>
      </c>
    </row>
    <row r="232" customFormat="false" ht="15" hidden="false" customHeight="false" outlineLevel="0" collapsed="false">
      <c r="A232" s="21"/>
      <c r="B232" s="22"/>
      <c r="C232" s="22"/>
      <c r="D232" s="23"/>
      <c r="E232" s="24"/>
      <c r="F232" s="22"/>
      <c r="G232" s="19" t="n">
        <f aca="false">IF($D232=0,0,$D232*$E232)</f>
        <v>0</v>
      </c>
      <c r="H232" s="20" t="str">
        <f aca="false">IF($B232="","",CONCATENATE("Pozisyon: ",$B232,"/",$C232," tutar ",TEXT($D232,"#,##0.00")))</f>
        <v/>
      </c>
    </row>
    <row r="233" customFormat="false" ht="15" hidden="false" customHeight="false" outlineLevel="0" collapsed="false">
      <c r="A233" s="21"/>
      <c r="B233" s="22"/>
      <c r="C233" s="22"/>
      <c r="D233" s="23"/>
      <c r="E233" s="24"/>
      <c r="F233" s="22"/>
      <c r="G233" s="19" t="n">
        <f aca="false">IF($D233=0,0,$D233*$E233)</f>
        <v>0</v>
      </c>
      <c r="H233" s="20" t="str">
        <f aca="false">IF($B233="","",CONCATENATE("Pozisyon: ",$B233,"/",$C233," tutar ",TEXT($D233,"#,##0.00")))</f>
        <v/>
      </c>
    </row>
    <row r="234" customFormat="false" ht="15" hidden="false" customHeight="false" outlineLevel="0" collapsed="false">
      <c r="A234" s="21"/>
      <c r="B234" s="22"/>
      <c r="C234" s="22"/>
      <c r="D234" s="23"/>
      <c r="E234" s="24"/>
      <c r="F234" s="22"/>
      <c r="G234" s="19" t="n">
        <f aca="false">IF($D234=0,0,$D234*$E234)</f>
        <v>0</v>
      </c>
      <c r="H234" s="20" t="str">
        <f aca="false">IF($B234="","",CONCATENATE("Pozisyon: ",$B234,"/",$C234," tutar ",TEXT($D234,"#,##0.00")))</f>
        <v/>
      </c>
    </row>
    <row r="235" customFormat="false" ht="15" hidden="false" customHeight="false" outlineLevel="0" collapsed="false">
      <c r="A235" s="21"/>
      <c r="B235" s="22"/>
      <c r="C235" s="22"/>
      <c r="D235" s="23"/>
      <c r="E235" s="24"/>
      <c r="F235" s="22"/>
      <c r="G235" s="19" t="n">
        <f aca="false">IF($D235=0,0,$D235*$E235)</f>
        <v>0</v>
      </c>
      <c r="H235" s="20" t="str">
        <f aca="false">IF($B235="","",CONCATENATE("Pozisyon: ",$B235,"/",$C235," tutar ",TEXT($D235,"#,##0.00")))</f>
        <v/>
      </c>
    </row>
    <row r="236" customFormat="false" ht="15" hidden="false" customHeight="false" outlineLevel="0" collapsed="false">
      <c r="A236" s="21"/>
      <c r="B236" s="22"/>
      <c r="C236" s="22"/>
      <c r="D236" s="23"/>
      <c r="E236" s="24"/>
      <c r="F236" s="22"/>
      <c r="G236" s="19" t="n">
        <f aca="false">IF($D236=0,0,$D236*$E236)</f>
        <v>0</v>
      </c>
      <c r="H236" s="20" t="str">
        <f aca="false">IF($B236="","",CONCATENATE("Pozisyon: ",$B236,"/",$C236," tutar ",TEXT($D236,"#,##0.00")))</f>
        <v/>
      </c>
    </row>
    <row r="237" customFormat="false" ht="15" hidden="false" customHeight="false" outlineLevel="0" collapsed="false">
      <c r="A237" s="21"/>
      <c r="B237" s="22"/>
      <c r="C237" s="22"/>
      <c r="D237" s="23"/>
      <c r="E237" s="24"/>
      <c r="F237" s="22"/>
      <c r="G237" s="19" t="n">
        <f aca="false">IF($D237=0,0,$D237*$E237)</f>
        <v>0</v>
      </c>
      <c r="H237" s="20" t="str">
        <f aca="false">IF($B237="","",CONCATENATE("Pozisyon: ",$B237,"/",$C237," tutar ",TEXT($D237,"#,##0.00")))</f>
        <v/>
      </c>
    </row>
    <row r="238" customFormat="false" ht="15" hidden="false" customHeight="false" outlineLevel="0" collapsed="false">
      <c r="A238" s="21"/>
      <c r="B238" s="22"/>
      <c r="C238" s="22"/>
      <c r="D238" s="23"/>
      <c r="E238" s="24"/>
      <c r="F238" s="22"/>
      <c r="G238" s="19" t="n">
        <f aca="false">IF($D238=0,0,$D238*$E238)</f>
        <v>0</v>
      </c>
      <c r="H238" s="20" t="str">
        <f aca="false">IF($B238="","",CONCATENATE("Pozisyon: ",$B238,"/",$C238," tutar ",TEXT($D238,"#,##0.00")))</f>
        <v/>
      </c>
    </row>
    <row r="239" customFormat="false" ht="15" hidden="false" customHeight="false" outlineLevel="0" collapsed="false">
      <c r="A239" s="21"/>
      <c r="B239" s="22"/>
      <c r="C239" s="22"/>
      <c r="D239" s="23"/>
      <c r="E239" s="24"/>
      <c r="F239" s="22"/>
      <c r="G239" s="19" t="n">
        <f aca="false">IF($D239=0,0,$D239*$E239)</f>
        <v>0</v>
      </c>
      <c r="H239" s="20" t="str">
        <f aca="false">IF($B239="","",CONCATENATE("Pozisyon: ",$B239,"/",$C239," tutar ",TEXT($D239,"#,##0.00")))</f>
        <v/>
      </c>
    </row>
    <row r="240" customFormat="false" ht="15" hidden="false" customHeight="false" outlineLevel="0" collapsed="false">
      <c r="A240" s="21"/>
      <c r="B240" s="22"/>
      <c r="C240" s="22"/>
      <c r="D240" s="23"/>
      <c r="E240" s="24"/>
      <c r="F240" s="22"/>
      <c r="G240" s="19" t="n">
        <f aca="false">IF($D240=0,0,$D240*$E240)</f>
        <v>0</v>
      </c>
      <c r="H240" s="20" t="str">
        <f aca="false">IF($B240="","",CONCATENATE("Pozisyon: ",$B240,"/",$C240," tutar ",TEXT($D240,"#,##0.00")))</f>
        <v/>
      </c>
    </row>
    <row r="241" customFormat="false" ht="15" hidden="false" customHeight="false" outlineLevel="0" collapsed="false">
      <c r="A241" s="21"/>
      <c r="B241" s="22"/>
      <c r="C241" s="22"/>
      <c r="D241" s="23"/>
      <c r="E241" s="24"/>
      <c r="F241" s="22"/>
      <c r="G241" s="19" t="n">
        <f aca="false">IF($D241=0,0,$D241*$E241)</f>
        <v>0</v>
      </c>
      <c r="H241" s="20" t="str">
        <f aca="false">IF($B241="","",CONCATENATE("Pozisyon: ",$B241,"/",$C241," tutar ",TEXT($D241,"#,##0.00")))</f>
        <v/>
      </c>
    </row>
    <row r="242" customFormat="false" ht="15" hidden="false" customHeight="false" outlineLevel="0" collapsed="false">
      <c r="A242" s="21"/>
      <c r="B242" s="22"/>
      <c r="C242" s="22"/>
      <c r="D242" s="23"/>
      <c r="E242" s="24"/>
      <c r="F242" s="22"/>
      <c r="G242" s="19" t="n">
        <f aca="false">IF($D242=0,0,$D242*$E242)</f>
        <v>0</v>
      </c>
      <c r="H242" s="20" t="str">
        <f aca="false">IF($B242="","",CONCATENATE("Pozisyon: ",$B242,"/",$C242," tutar ",TEXT($D242,"#,##0.00")))</f>
        <v/>
      </c>
    </row>
    <row r="243" customFormat="false" ht="15" hidden="false" customHeight="false" outlineLevel="0" collapsed="false">
      <c r="A243" s="21"/>
      <c r="B243" s="22"/>
      <c r="C243" s="22"/>
      <c r="D243" s="23"/>
      <c r="E243" s="24"/>
      <c r="F243" s="22"/>
      <c r="G243" s="19" t="n">
        <f aca="false">IF($D243=0,0,$D243*$E243)</f>
        <v>0</v>
      </c>
      <c r="H243" s="20" t="str">
        <f aca="false">IF($B243="","",CONCATENATE("Pozisyon: ",$B243,"/",$C243," tutar ",TEXT($D243,"#,##0.00")))</f>
        <v/>
      </c>
    </row>
    <row r="244" customFormat="false" ht="15" hidden="false" customHeight="false" outlineLevel="0" collapsed="false">
      <c r="A244" s="21"/>
      <c r="B244" s="22"/>
      <c r="C244" s="22"/>
      <c r="D244" s="23"/>
      <c r="E244" s="24"/>
      <c r="F244" s="22"/>
      <c r="G244" s="19" t="n">
        <f aca="false">IF($D244=0,0,$D244*$E244)</f>
        <v>0</v>
      </c>
      <c r="H244" s="20" t="str">
        <f aca="false">IF($B244="","",CONCATENATE("Pozisyon: ",$B244,"/",$C244," tutar ",TEXT($D244,"#,##0.00")))</f>
        <v/>
      </c>
    </row>
    <row r="245" customFormat="false" ht="15" hidden="false" customHeight="false" outlineLevel="0" collapsed="false">
      <c r="A245" s="21"/>
      <c r="B245" s="22"/>
      <c r="C245" s="22"/>
      <c r="D245" s="23"/>
      <c r="E245" s="24"/>
      <c r="F245" s="22"/>
      <c r="G245" s="19" t="n">
        <f aca="false">IF($D245=0,0,$D245*$E245)</f>
        <v>0</v>
      </c>
      <c r="H245" s="20" t="str">
        <f aca="false">IF($B245="","",CONCATENATE("Pozisyon: ",$B245,"/",$C245," tutar ",TEXT($D245,"#,##0.00")))</f>
        <v/>
      </c>
    </row>
    <row r="246" customFormat="false" ht="15" hidden="false" customHeight="false" outlineLevel="0" collapsed="false">
      <c r="A246" s="21"/>
      <c r="B246" s="22"/>
      <c r="C246" s="22"/>
      <c r="D246" s="23"/>
      <c r="E246" s="24"/>
      <c r="F246" s="22"/>
      <c r="G246" s="19" t="n">
        <f aca="false">IF($D246=0,0,$D246*$E246)</f>
        <v>0</v>
      </c>
      <c r="H246" s="20" t="str">
        <f aca="false">IF($B246="","",CONCATENATE("Pozisyon: ",$B246,"/",$C246," tutar ",TEXT($D246,"#,##0.00")))</f>
        <v/>
      </c>
    </row>
    <row r="247" customFormat="false" ht="15" hidden="false" customHeight="false" outlineLevel="0" collapsed="false">
      <c r="A247" s="21"/>
      <c r="B247" s="22"/>
      <c r="C247" s="22"/>
      <c r="D247" s="23"/>
      <c r="E247" s="24"/>
      <c r="F247" s="22"/>
      <c r="G247" s="19" t="n">
        <f aca="false">IF($D247=0,0,$D247*$E247)</f>
        <v>0</v>
      </c>
      <c r="H247" s="20" t="str">
        <f aca="false">IF($B247="","",CONCATENATE("Pozisyon: ",$B247,"/",$C247," tutar ",TEXT($D247,"#,##0.00")))</f>
        <v/>
      </c>
    </row>
    <row r="248" customFormat="false" ht="15" hidden="false" customHeight="false" outlineLevel="0" collapsed="false">
      <c r="A248" s="21"/>
      <c r="B248" s="22"/>
      <c r="C248" s="22"/>
      <c r="D248" s="23"/>
      <c r="E248" s="24"/>
      <c r="F248" s="22"/>
      <c r="G248" s="19" t="n">
        <f aca="false">IF($D248=0,0,$D248*$E248)</f>
        <v>0</v>
      </c>
      <c r="H248" s="20" t="str">
        <f aca="false">IF($B248="","",CONCATENATE("Pozisyon: ",$B248,"/",$C248," tutar ",TEXT($D248,"#,##0.00")))</f>
        <v/>
      </c>
    </row>
    <row r="249" customFormat="false" ht="15" hidden="false" customHeight="false" outlineLevel="0" collapsed="false">
      <c r="A249" s="21"/>
      <c r="B249" s="22"/>
      <c r="C249" s="22"/>
      <c r="D249" s="23"/>
      <c r="E249" s="24"/>
      <c r="F249" s="22"/>
      <c r="G249" s="19" t="n">
        <f aca="false">IF($D249=0,0,$D249*$E249)</f>
        <v>0</v>
      </c>
      <c r="H249" s="20" t="str">
        <f aca="false">IF($B249="","",CONCATENATE("Pozisyon: ",$B249,"/",$C249," tutar ",TEXT($D249,"#,##0.00")))</f>
        <v/>
      </c>
    </row>
    <row r="250" customFormat="false" ht="15" hidden="false" customHeight="false" outlineLevel="0" collapsed="false">
      <c r="A250" s="21"/>
      <c r="B250" s="22"/>
      <c r="C250" s="22"/>
      <c r="D250" s="23"/>
      <c r="E250" s="24"/>
      <c r="F250" s="22"/>
      <c r="G250" s="19" t="n">
        <f aca="false">IF($D250=0,0,$D250*$E250)</f>
        <v>0</v>
      </c>
      <c r="H250" s="20" t="str">
        <f aca="false">IF($B250="","",CONCATENATE("Pozisyon: ",$B250,"/",$C250," tutar ",TEXT($D250,"#,##0.00")))</f>
        <v/>
      </c>
    </row>
    <row r="251" customFormat="false" ht="15" hidden="false" customHeight="false" outlineLevel="0" collapsed="false">
      <c r="A251" s="21"/>
      <c r="B251" s="22"/>
      <c r="C251" s="22"/>
      <c r="D251" s="23"/>
      <c r="E251" s="24"/>
      <c r="F251" s="22"/>
      <c r="G251" s="19" t="n">
        <f aca="false">IF($D251=0,0,$D251*$E251)</f>
        <v>0</v>
      </c>
      <c r="H251" s="20" t="str">
        <f aca="false">IF($B251="","",CONCATENATE("Pozisyon: ",$B251,"/",$C251," tutar ",TEXT($D251,"#,##0.00")))</f>
        <v/>
      </c>
    </row>
    <row r="252" customFormat="false" ht="15" hidden="false" customHeight="false" outlineLevel="0" collapsed="false">
      <c r="A252" s="21"/>
      <c r="B252" s="22"/>
      <c r="C252" s="22"/>
      <c r="D252" s="23"/>
      <c r="E252" s="24"/>
      <c r="F252" s="22"/>
      <c r="G252" s="19" t="n">
        <f aca="false">IF($D252=0,0,$D252*$E252)</f>
        <v>0</v>
      </c>
      <c r="H252" s="20" t="str">
        <f aca="false">IF($B252="","",CONCATENATE("Pozisyon: ",$B252,"/",$C252," tutar ",TEXT($D252,"#,##0.00")))</f>
        <v/>
      </c>
    </row>
    <row r="253" customFormat="false" ht="15" hidden="false" customHeight="false" outlineLevel="0" collapsed="false">
      <c r="A253" s="21"/>
      <c r="B253" s="22"/>
      <c r="C253" s="22"/>
      <c r="D253" s="23"/>
      <c r="E253" s="24"/>
      <c r="F253" s="22"/>
      <c r="G253" s="19" t="n">
        <f aca="false">IF($D253=0,0,$D253*$E253)</f>
        <v>0</v>
      </c>
      <c r="H253" s="20" t="str">
        <f aca="false">IF($B253="","",CONCATENATE("Pozisyon: ",$B253,"/",$C253," tutar ",TEXT($D253,"#,##0.00")))</f>
        <v/>
      </c>
    </row>
    <row r="254" customFormat="false" ht="15" hidden="false" customHeight="false" outlineLevel="0" collapsed="false">
      <c r="A254" s="21"/>
      <c r="B254" s="22"/>
      <c r="C254" s="22"/>
      <c r="D254" s="23"/>
      <c r="E254" s="24"/>
      <c r="F254" s="22"/>
      <c r="G254" s="19" t="n">
        <f aca="false">IF($D254=0,0,$D254*$E254)</f>
        <v>0</v>
      </c>
      <c r="H254" s="20" t="str">
        <f aca="false">IF($B254="","",CONCATENATE("Pozisyon: ",$B254,"/",$C254," tutar ",TEXT($D254,"#,##0.00")))</f>
        <v/>
      </c>
    </row>
    <row r="255" customFormat="false" ht="15" hidden="false" customHeight="false" outlineLevel="0" collapsed="false">
      <c r="A255" s="21"/>
      <c r="B255" s="22"/>
      <c r="C255" s="22"/>
      <c r="D255" s="23"/>
      <c r="E255" s="24"/>
      <c r="F255" s="22"/>
      <c r="G255" s="19" t="n">
        <f aca="false">IF($D255=0,0,$D255*$E255)</f>
        <v>0</v>
      </c>
      <c r="H255" s="20" t="str">
        <f aca="false">IF($B255="","",CONCATENATE("Pozisyon: ",$B255,"/",$C255," tutar ",TEXT($D255,"#,##0.00")))</f>
        <v/>
      </c>
    </row>
    <row r="256" customFormat="false" ht="15" hidden="false" customHeight="false" outlineLevel="0" collapsed="false">
      <c r="A256" s="21"/>
      <c r="B256" s="22"/>
      <c r="C256" s="22"/>
      <c r="D256" s="23"/>
      <c r="E256" s="24"/>
      <c r="F256" s="22"/>
      <c r="G256" s="19" t="n">
        <f aca="false">IF($D256=0,0,$D256*$E256)</f>
        <v>0</v>
      </c>
      <c r="H256" s="20" t="str">
        <f aca="false">IF($B256="","",CONCATENATE("Pozisyon: ",$B256,"/",$C256," tutar ",TEXT($D256,"#,##0.00")))</f>
        <v/>
      </c>
    </row>
    <row r="257" customFormat="false" ht="15" hidden="false" customHeight="false" outlineLevel="0" collapsed="false">
      <c r="A257" s="21"/>
      <c r="B257" s="22"/>
      <c r="C257" s="22"/>
      <c r="D257" s="23"/>
      <c r="E257" s="24"/>
      <c r="F257" s="22"/>
      <c r="G257" s="19" t="n">
        <f aca="false">IF($D257=0,0,$D257*$E257)</f>
        <v>0</v>
      </c>
      <c r="H257" s="20" t="str">
        <f aca="false">IF($B257="","",CONCATENATE("Pozisyon: ",$B257,"/",$C257," tutar ",TEXT($D257,"#,##0.00")))</f>
        <v/>
      </c>
    </row>
    <row r="258" customFormat="false" ht="15" hidden="false" customHeight="false" outlineLevel="0" collapsed="false">
      <c r="A258" s="21"/>
      <c r="B258" s="22"/>
      <c r="C258" s="22"/>
      <c r="D258" s="23"/>
      <c r="E258" s="24"/>
      <c r="F258" s="22"/>
      <c r="G258" s="19" t="n">
        <f aca="false">IF($D258=0,0,$D258*$E258)</f>
        <v>0</v>
      </c>
      <c r="H258" s="20" t="str">
        <f aca="false">IF($B258="","",CONCATENATE("Pozisyon: ",$B258,"/",$C258," tutar ",TEXT($D258,"#,##0.00")))</f>
        <v/>
      </c>
    </row>
    <row r="259" customFormat="false" ht="15" hidden="false" customHeight="false" outlineLevel="0" collapsed="false">
      <c r="A259" s="21"/>
      <c r="B259" s="22"/>
      <c r="C259" s="22"/>
      <c r="D259" s="23"/>
      <c r="E259" s="24"/>
      <c r="F259" s="22"/>
      <c r="G259" s="19" t="n">
        <f aca="false">IF($D259=0,0,$D259*$E259)</f>
        <v>0</v>
      </c>
      <c r="H259" s="20" t="str">
        <f aca="false">IF($B259="","",CONCATENATE("Pozisyon: ",$B259,"/",$C259," tutar ",TEXT($D259,"#,##0.00")))</f>
        <v/>
      </c>
    </row>
    <row r="260" customFormat="false" ht="15" hidden="false" customHeight="false" outlineLevel="0" collapsed="false">
      <c r="A260" s="21"/>
      <c r="B260" s="22"/>
      <c r="C260" s="22"/>
      <c r="D260" s="23"/>
      <c r="E260" s="24"/>
      <c r="F260" s="22"/>
      <c r="G260" s="19" t="n">
        <f aca="false">IF($D260=0,0,$D260*$E260)</f>
        <v>0</v>
      </c>
      <c r="H260" s="20" t="str">
        <f aca="false">IF($B260="","",CONCATENATE("Pozisyon: ",$B260,"/",$C260," tutar ",TEXT($D260,"#,##0.00")))</f>
        <v/>
      </c>
    </row>
    <row r="261" customFormat="false" ht="15" hidden="false" customHeight="false" outlineLevel="0" collapsed="false">
      <c r="A261" s="21"/>
      <c r="B261" s="22"/>
      <c r="C261" s="22"/>
      <c r="D261" s="23"/>
      <c r="E261" s="24"/>
      <c r="F261" s="22"/>
      <c r="G261" s="19" t="n">
        <f aca="false">IF($D261=0,0,$D261*$E261)</f>
        <v>0</v>
      </c>
      <c r="H261" s="20" t="str">
        <f aca="false">IF($B261="","",CONCATENATE("Pozisyon: ",$B261,"/",$C261," tutar ",TEXT($D261,"#,##0.00")))</f>
        <v/>
      </c>
    </row>
    <row r="262" customFormat="false" ht="15" hidden="false" customHeight="false" outlineLevel="0" collapsed="false">
      <c r="A262" s="21"/>
      <c r="B262" s="22"/>
      <c r="C262" s="22"/>
      <c r="D262" s="23"/>
      <c r="E262" s="24"/>
      <c r="F262" s="22"/>
      <c r="G262" s="19" t="n">
        <f aca="false">IF($D262=0,0,$D262*$E262)</f>
        <v>0</v>
      </c>
      <c r="H262" s="20" t="str">
        <f aca="false">IF($B262="","",CONCATENATE("Pozisyon: ",$B262,"/",$C262," tutar ",TEXT($D262,"#,##0.00")))</f>
        <v/>
      </c>
    </row>
    <row r="263" customFormat="false" ht="15" hidden="false" customHeight="false" outlineLevel="0" collapsed="false">
      <c r="A263" s="21"/>
      <c r="B263" s="22"/>
      <c r="C263" s="22"/>
      <c r="D263" s="23"/>
      <c r="E263" s="24"/>
      <c r="F263" s="22"/>
      <c r="G263" s="19" t="n">
        <f aca="false">IF($D263=0,0,$D263*$E263)</f>
        <v>0</v>
      </c>
      <c r="H263" s="20" t="str">
        <f aca="false">IF($B263="","",CONCATENATE("Pozisyon: ",$B263,"/",$C263," tutar ",TEXT($D263,"#,##0.00")))</f>
        <v/>
      </c>
    </row>
    <row r="264" customFormat="false" ht="15" hidden="false" customHeight="false" outlineLevel="0" collapsed="false">
      <c r="A264" s="21"/>
      <c r="B264" s="22"/>
      <c r="C264" s="22"/>
      <c r="D264" s="23"/>
      <c r="E264" s="24"/>
      <c r="F264" s="22"/>
      <c r="G264" s="19" t="n">
        <f aca="false">IF($D264=0,0,$D264*$E264)</f>
        <v>0</v>
      </c>
      <c r="H264" s="20" t="str">
        <f aca="false">IF($B264="","",CONCATENATE("Pozisyon: ",$B264,"/",$C264," tutar ",TEXT($D264,"#,##0.00")))</f>
        <v/>
      </c>
    </row>
    <row r="265" customFormat="false" ht="15" hidden="false" customHeight="false" outlineLevel="0" collapsed="false">
      <c r="A265" s="21"/>
      <c r="B265" s="22"/>
      <c r="C265" s="22"/>
      <c r="D265" s="23"/>
      <c r="E265" s="24"/>
      <c r="F265" s="22"/>
      <c r="G265" s="19" t="n">
        <f aca="false">IF($D265=0,0,$D265*$E265)</f>
        <v>0</v>
      </c>
      <c r="H265" s="20" t="str">
        <f aca="false">IF($B265="","",CONCATENATE("Pozisyon: ",$B265,"/",$C265," tutar ",TEXT($D265,"#,##0.00")))</f>
        <v/>
      </c>
    </row>
    <row r="266" customFormat="false" ht="15" hidden="false" customHeight="false" outlineLevel="0" collapsed="false">
      <c r="A266" s="21"/>
      <c r="B266" s="22"/>
      <c r="C266" s="22"/>
      <c r="D266" s="23"/>
      <c r="E266" s="24"/>
      <c r="F266" s="22"/>
      <c r="G266" s="19" t="n">
        <f aca="false">IF($D266=0,0,$D266*$E266)</f>
        <v>0</v>
      </c>
      <c r="H266" s="20" t="str">
        <f aca="false">IF($B266="","",CONCATENATE("Pozisyon: ",$B266,"/",$C266," tutar ",TEXT($D266,"#,##0.00")))</f>
        <v/>
      </c>
    </row>
    <row r="267" customFormat="false" ht="15" hidden="false" customHeight="false" outlineLevel="0" collapsed="false">
      <c r="A267" s="21"/>
      <c r="B267" s="22"/>
      <c r="C267" s="22"/>
      <c r="D267" s="23"/>
      <c r="E267" s="24"/>
      <c r="F267" s="22"/>
      <c r="G267" s="19" t="n">
        <f aca="false">IF($D267=0,0,$D267*$E267)</f>
        <v>0</v>
      </c>
      <c r="H267" s="20" t="str">
        <f aca="false">IF($B267="","",CONCATENATE("Pozisyon: ",$B267,"/",$C267," tutar ",TEXT($D267,"#,##0.00")))</f>
        <v/>
      </c>
    </row>
    <row r="268" customFormat="false" ht="15" hidden="false" customHeight="false" outlineLevel="0" collapsed="false">
      <c r="A268" s="21"/>
      <c r="B268" s="22"/>
      <c r="C268" s="22"/>
      <c r="D268" s="23"/>
      <c r="E268" s="24"/>
      <c r="F268" s="22"/>
      <c r="G268" s="19" t="n">
        <f aca="false">IF($D268=0,0,$D268*$E268)</f>
        <v>0</v>
      </c>
      <c r="H268" s="20" t="str">
        <f aca="false">IF($B268="","",CONCATENATE("Pozisyon: ",$B268,"/",$C268," tutar ",TEXT($D268,"#,##0.00")))</f>
        <v/>
      </c>
    </row>
    <row r="269" customFormat="false" ht="15" hidden="false" customHeight="false" outlineLevel="0" collapsed="false">
      <c r="A269" s="21"/>
      <c r="B269" s="22"/>
      <c r="C269" s="22"/>
      <c r="D269" s="23"/>
      <c r="E269" s="24"/>
      <c r="F269" s="22"/>
      <c r="G269" s="19" t="n">
        <f aca="false">IF($D269=0,0,$D269*$E269)</f>
        <v>0</v>
      </c>
      <c r="H269" s="20" t="str">
        <f aca="false">IF($B269="","",CONCATENATE("Pozisyon: ",$B269,"/",$C269," tutar ",TEXT($D269,"#,##0.00")))</f>
        <v/>
      </c>
    </row>
    <row r="270" customFormat="false" ht="15" hidden="false" customHeight="false" outlineLevel="0" collapsed="false">
      <c r="A270" s="21"/>
      <c r="B270" s="22"/>
      <c r="C270" s="22"/>
      <c r="D270" s="23"/>
      <c r="E270" s="24"/>
      <c r="F270" s="22"/>
      <c r="G270" s="19" t="n">
        <f aca="false">IF($D270=0,0,$D270*$E270)</f>
        <v>0</v>
      </c>
      <c r="H270" s="20" t="str">
        <f aca="false">IF($B270="","",CONCATENATE("Pozisyon: ",$B270,"/",$C270," tutar ",TEXT($D270,"#,##0.00")))</f>
        <v/>
      </c>
    </row>
    <row r="271" customFormat="false" ht="15" hidden="false" customHeight="false" outlineLevel="0" collapsed="false">
      <c r="A271" s="21"/>
      <c r="B271" s="22"/>
      <c r="C271" s="22"/>
      <c r="D271" s="23"/>
      <c r="E271" s="24"/>
      <c r="F271" s="22"/>
      <c r="G271" s="19" t="n">
        <f aca="false">IF($D271=0,0,$D271*$E271)</f>
        <v>0</v>
      </c>
      <c r="H271" s="20" t="str">
        <f aca="false">IF($B271="","",CONCATENATE("Pozisyon: ",$B271,"/",$C271," tutar ",TEXT($D271,"#,##0.00")))</f>
        <v/>
      </c>
    </row>
    <row r="272" customFormat="false" ht="15" hidden="false" customHeight="false" outlineLevel="0" collapsed="false">
      <c r="A272" s="21"/>
      <c r="B272" s="22"/>
      <c r="C272" s="22"/>
      <c r="D272" s="23"/>
      <c r="E272" s="24"/>
      <c r="F272" s="22"/>
      <c r="G272" s="19" t="n">
        <f aca="false">IF($D272=0,0,$D272*$E272)</f>
        <v>0</v>
      </c>
      <c r="H272" s="20" t="str">
        <f aca="false">IF($B272="","",CONCATENATE("Pozisyon: ",$B272,"/",$C272," tutar ",TEXT($D272,"#,##0.00")))</f>
        <v/>
      </c>
    </row>
    <row r="273" customFormat="false" ht="15" hidden="false" customHeight="false" outlineLevel="0" collapsed="false">
      <c r="A273" s="21"/>
      <c r="B273" s="22"/>
      <c r="C273" s="22"/>
      <c r="D273" s="23"/>
      <c r="E273" s="24"/>
      <c r="F273" s="22"/>
      <c r="G273" s="19" t="n">
        <f aca="false">IF($D273=0,0,$D273*$E273)</f>
        <v>0</v>
      </c>
      <c r="H273" s="20" t="str">
        <f aca="false">IF($B273="","",CONCATENATE("Pozisyon: ",$B273,"/",$C273," tutar ",TEXT($D273,"#,##0.00")))</f>
        <v/>
      </c>
    </row>
    <row r="274" customFormat="false" ht="15" hidden="false" customHeight="false" outlineLevel="0" collapsed="false">
      <c r="A274" s="21"/>
      <c r="B274" s="22"/>
      <c r="C274" s="22"/>
      <c r="D274" s="23"/>
      <c r="E274" s="24"/>
      <c r="F274" s="22"/>
      <c r="G274" s="19" t="n">
        <f aca="false">IF($D274=0,0,$D274*$E274)</f>
        <v>0</v>
      </c>
      <c r="H274" s="20" t="str">
        <f aca="false">IF($B274="","",CONCATENATE("Pozisyon: ",$B274,"/",$C274," tutar ",TEXT($D274,"#,##0.00")))</f>
        <v/>
      </c>
    </row>
    <row r="275" customFormat="false" ht="15" hidden="false" customHeight="false" outlineLevel="0" collapsed="false">
      <c r="A275" s="21"/>
      <c r="B275" s="22"/>
      <c r="C275" s="22"/>
      <c r="D275" s="23"/>
      <c r="E275" s="24"/>
      <c r="F275" s="22"/>
      <c r="G275" s="19" t="n">
        <f aca="false">IF($D275=0,0,$D275*$E275)</f>
        <v>0</v>
      </c>
      <c r="H275" s="20" t="str">
        <f aca="false">IF($B275="","",CONCATENATE("Pozisyon: ",$B275,"/",$C275," tutar ",TEXT($D275,"#,##0.00")))</f>
        <v/>
      </c>
    </row>
    <row r="276" customFormat="false" ht="15" hidden="false" customHeight="false" outlineLevel="0" collapsed="false">
      <c r="A276" s="21"/>
      <c r="B276" s="22"/>
      <c r="C276" s="22"/>
      <c r="D276" s="23"/>
      <c r="E276" s="24"/>
      <c r="F276" s="22"/>
      <c r="G276" s="19" t="n">
        <f aca="false">IF($D276=0,0,$D276*$E276)</f>
        <v>0</v>
      </c>
      <c r="H276" s="20" t="str">
        <f aca="false">IF($B276="","",CONCATENATE("Pozisyon: ",$B276,"/",$C276," tutar ",TEXT($D276,"#,##0.00")))</f>
        <v/>
      </c>
    </row>
    <row r="277" customFormat="false" ht="15" hidden="false" customHeight="false" outlineLevel="0" collapsed="false">
      <c r="A277" s="21"/>
      <c r="B277" s="22"/>
      <c r="C277" s="22"/>
      <c r="D277" s="23"/>
      <c r="E277" s="24"/>
      <c r="F277" s="22"/>
      <c r="G277" s="19" t="n">
        <f aca="false">IF($D277=0,0,$D277*$E277)</f>
        <v>0</v>
      </c>
      <c r="H277" s="20" t="str">
        <f aca="false">IF($B277="","",CONCATENATE("Pozisyon: ",$B277,"/",$C277," tutar ",TEXT($D277,"#,##0.00")))</f>
        <v/>
      </c>
    </row>
    <row r="278" customFormat="false" ht="15" hidden="false" customHeight="false" outlineLevel="0" collapsed="false">
      <c r="A278" s="21"/>
      <c r="B278" s="22"/>
      <c r="C278" s="22"/>
      <c r="D278" s="23"/>
      <c r="E278" s="24"/>
      <c r="F278" s="22"/>
      <c r="G278" s="19" t="n">
        <f aca="false">IF($D278=0,0,$D278*$E278)</f>
        <v>0</v>
      </c>
      <c r="H278" s="20" t="str">
        <f aca="false">IF($B278="","",CONCATENATE("Pozisyon: ",$B278,"/",$C278," tutar ",TEXT($D278,"#,##0.00")))</f>
        <v/>
      </c>
    </row>
    <row r="279" customFormat="false" ht="15" hidden="false" customHeight="false" outlineLevel="0" collapsed="false">
      <c r="A279" s="21"/>
      <c r="B279" s="22"/>
      <c r="C279" s="22"/>
      <c r="D279" s="23"/>
      <c r="E279" s="24"/>
      <c r="F279" s="22"/>
      <c r="G279" s="19" t="n">
        <f aca="false">IF($D279=0,0,$D279*$E279)</f>
        <v>0</v>
      </c>
      <c r="H279" s="20" t="str">
        <f aca="false">IF($B279="","",CONCATENATE("Pozisyon: ",$B279,"/",$C279," tutar ",TEXT($D279,"#,##0.00")))</f>
        <v/>
      </c>
    </row>
    <row r="280" customFormat="false" ht="15" hidden="false" customHeight="false" outlineLevel="0" collapsed="false">
      <c r="A280" s="21"/>
      <c r="B280" s="22"/>
      <c r="C280" s="22"/>
      <c r="D280" s="23"/>
      <c r="E280" s="24"/>
      <c r="F280" s="22"/>
      <c r="G280" s="19" t="n">
        <f aca="false">IF($D280=0,0,$D280*$E280)</f>
        <v>0</v>
      </c>
      <c r="H280" s="20" t="str">
        <f aca="false">IF($B280="","",CONCATENATE("Pozisyon: ",$B280,"/",$C280," tutar ",TEXT($D280,"#,##0.00")))</f>
        <v/>
      </c>
    </row>
    <row r="281" customFormat="false" ht="15" hidden="false" customHeight="false" outlineLevel="0" collapsed="false">
      <c r="A281" s="21"/>
      <c r="B281" s="22"/>
      <c r="C281" s="22"/>
      <c r="D281" s="23"/>
      <c r="E281" s="24"/>
      <c r="F281" s="22"/>
      <c r="G281" s="19" t="n">
        <f aca="false">IF($D281=0,0,$D281*$E281)</f>
        <v>0</v>
      </c>
      <c r="H281" s="20" t="str">
        <f aca="false">IF($B281="","",CONCATENATE("Pozisyon: ",$B281,"/",$C281," tutar ",TEXT($D281,"#,##0.00")))</f>
        <v/>
      </c>
    </row>
    <row r="282" customFormat="false" ht="15" hidden="false" customHeight="false" outlineLevel="0" collapsed="false">
      <c r="A282" s="21"/>
      <c r="B282" s="22"/>
      <c r="C282" s="22"/>
      <c r="D282" s="23"/>
      <c r="E282" s="24"/>
      <c r="F282" s="22"/>
      <c r="G282" s="19" t="n">
        <f aca="false">IF($D282=0,0,$D282*$E282)</f>
        <v>0</v>
      </c>
      <c r="H282" s="20" t="str">
        <f aca="false">IF($B282="","",CONCATENATE("Pozisyon: ",$B282,"/",$C282," tutar ",TEXT($D282,"#,##0.00")))</f>
        <v/>
      </c>
    </row>
    <row r="283" customFormat="false" ht="15" hidden="false" customHeight="false" outlineLevel="0" collapsed="false">
      <c r="A283" s="21"/>
      <c r="B283" s="22"/>
      <c r="C283" s="22"/>
      <c r="D283" s="23"/>
      <c r="E283" s="24"/>
      <c r="F283" s="22"/>
      <c r="G283" s="19" t="n">
        <f aca="false">IF($D283=0,0,$D283*$E283)</f>
        <v>0</v>
      </c>
      <c r="H283" s="20" t="str">
        <f aca="false">IF($B283="","",CONCATENATE("Pozisyon: ",$B283,"/",$C283," tutar ",TEXT($D283,"#,##0.00")))</f>
        <v/>
      </c>
    </row>
    <row r="284" customFormat="false" ht="15" hidden="false" customHeight="false" outlineLevel="0" collapsed="false">
      <c r="A284" s="21"/>
      <c r="B284" s="22"/>
      <c r="C284" s="22"/>
      <c r="D284" s="23"/>
      <c r="E284" s="24"/>
      <c r="F284" s="22"/>
      <c r="G284" s="19" t="n">
        <f aca="false">IF($D284=0,0,$D284*$E284)</f>
        <v>0</v>
      </c>
      <c r="H284" s="20" t="str">
        <f aca="false">IF($B284="","",CONCATENATE("Pozisyon: ",$B284,"/",$C284," tutar ",TEXT($D284,"#,##0.00")))</f>
        <v/>
      </c>
    </row>
    <row r="285" customFormat="false" ht="15" hidden="false" customHeight="false" outlineLevel="0" collapsed="false">
      <c r="A285" s="21"/>
      <c r="B285" s="22"/>
      <c r="C285" s="22"/>
      <c r="D285" s="23"/>
      <c r="E285" s="24"/>
      <c r="F285" s="22"/>
      <c r="G285" s="19" t="n">
        <f aca="false">IF($D285=0,0,$D285*$E285)</f>
        <v>0</v>
      </c>
      <c r="H285" s="20" t="str">
        <f aca="false">IF($B285="","",CONCATENATE("Pozisyon: ",$B285,"/",$C285," tutar ",TEXT($D285,"#,##0.00")))</f>
        <v/>
      </c>
    </row>
    <row r="286" customFormat="false" ht="15" hidden="false" customHeight="false" outlineLevel="0" collapsed="false">
      <c r="A286" s="21"/>
      <c r="B286" s="22"/>
      <c r="C286" s="22"/>
      <c r="D286" s="23"/>
      <c r="E286" s="24"/>
      <c r="F286" s="22"/>
      <c r="G286" s="19" t="n">
        <f aca="false">IF($D286=0,0,$D286*$E286)</f>
        <v>0</v>
      </c>
      <c r="H286" s="20" t="str">
        <f aca="false">IF($B286="","",CONCATENATE("Pozisyon: ",$B286,"/",$C286," tutar ",TEXT($D286,"#,##0.00")))</f>
        <v/>
      </c>
    </row>
    <row r="287" customFormat="false" ht="15" hidden="false" customHeight="false" outlineLevel="0" collapsed="false">
      <c r="A287" s="21"/>
      <c r="B287" s="22"/>
      <c r="C287" s="22"/>
      <c r="D287" s="23"/>
      <c r="E287" s="24"/>
      <c r="F287" s="22"/>
      <c r="G287" s="19" t="n">
        <f aca="false">IF($D287=0,0,$D287*$E287)</f>
        <v>0</v>
      </c>
      <c r="H287" s="20" t="str">
        <f aca="false">IF($B287="","",CONCATENATE("Pozisyon: ",$B287,"/",$C287," tutar ",TEXT($D287,"#,##0.00")))</f>
        <v/>
      </c>
    </row>
    <row r="288" customFormat="false" ht="15" hidden="false" customHeight="false" outlineLevel="0" collapsed="false">
      <c r="A288" s="21"/>
      <c r="B288" s="22"/>
      <c r="C288" s="22"/>
      <c r="D288" s="23"/>
      <c r="E288" s="24"/>
      <c r="F288" s="22"/>
      <c r="G288" s="19" t="n">
        <f aca="false">IF($D288=0,0,$D288*$E288)</f>
        <v>0</v>
      </c>
      <c r="H288" s="20" t="str">
        <f aca="false">IF($B288="","",CONCATENATE("Pozisyon: ",$B288,"/",$C288," tutar ",TEXT($D288,"#,##0.00")))</f>
        <v/>
      </c>
    </row>
    <row r="289" customFormat="false" ht="15" hidden="false" customHeight="false" outlineLevel="0" collapsed="false">
      <c r="A289" s="21"/>
      <c r="B289" s="22"/>
      <c r="C289" s="22"/>
      <c r="D289" s="23"/>
      <c r="E289" s="24"/>
      <c r="F289" s="22"/>
      <c r="G289" s="19" t="n">
        <f aca="false">IF($D289=0,0,$D289*$E289)</f>
        <v>0</v>
      </c>
      <c r="H289" s="20" t="str">
        <f aca="false">IF($B289="","",CONCATENATE("Pozisyon: ",$B289,"/",$C289," tutar ",TEXT($D289,"#,##0.00")))</f>
        <v/>
      </c>
    </row>
    <row r="290" customFormat="false" ht="15" hidden="false" customHeight="false" outlineLevel="0" collapsed="false">
      <c r="A290" s="21"/>
      <c r="B290" s="22"/>
      <c r="C290" s="22"/>
      <c r="D290" s="23"/>
      <c r="E290" s="24"/>
      <c r="F290" s="22"/>
      <c r="G290" s="19" t="n">
        <f aca="false">IF($D290=0,0,$D290*$E290)</f>
        <v>0</v>
      </c>
      <c r="H290" s="20" t="str">
        <f aca="false">IF($B290="","",CONCATENATE("Pozisyon: ",$B290,"/",$C290," tutar ",TEXT($D290,"#,##0.00")))</f>
        <v/>
      </c>
    </row>
    <row r="291" customFormat="false" ht="15" hidden="false" customHeight="false" outlineLevel="0" collapsed="false">
      <c r="A291" s="21"/>
      <c r="B291" s="22"/>
      <c r="C291" s="22"/>
      <c r="D291" s="23"/>
      <c r="E291" s="24"/>
      <c r="F291" s="22"/>
      <c r="G291" s="19" t="n">
        <f aca="false">IF($D291=0,0,$D291*$E291)</f>
        <v>0</v>
      </c>
      <c r="H291" s="20" t="str">
        <f aca="false">IF($B291="","",CONCATENATE("Pozisyon: ",$B291,"/",$C291," tutar ",TEXT($D291,"#,##0.00")))</f>
        <v/>
      </c>
    </row>
    <row r="292" customFormat="false" ht="15" hidden="false" customHeight="false" outlineLevel="0" collapsed="false">
      <c r="A292" s="21"/>
      <c r="B292" s="22"/>
      <c r="C292" s="22"/>
      <c r="D292" s="23"/>
      <c r="E292" s="24"/>
      <c r="F292" s="22"/>
      <c r="G292" s="19" t="n">
        <f aca="false">IF($D292=0,0,$D292*$E292)</f>
        <v>0</v>
      </c>
      <c r="H292" s="20" t="str">
        <f aca="false">IF($B292="","",CONCATENATE("Pozisyon: ",$B292,"/",$C292," tutar ",TEXT($D292,"#,##0.00")))</f>
        <v/>
      </c>
    </row>
    <row r="293" customFormat="false" ht="15" hidden="false" customHeight="false" outlineLevel="0" collapsed="false">
      <c r="A293" s="21"/>
      <c r="B293" s="22"/>
      <c r="C293" s="22"/>
      <c r="D293" s="23"/>
      <c r="E293" s="24"/>
      <c r="F293" s="22"/>
      <c r="G293" s="19" t="n">
        <f aca="false">IF($D293=0,0,$D293*$E293)</f>
        <v>0</v>
      </c>
      <c r="H293" s="20" t="str">
        <f aca="false">IF($B293="","",CONCATENATE("Pozisyon: ",$B293,"/",$C293," tutar ",TEXT($D293,"#,##0.00")))</f>
        <v/>
      </c>
    </row>
    <row r="294" customFormat="false" ht="15" hidden="false" customHeight="false" outlineLevel="0" collapsed="false">
      <c r="A294" s="21"/>
      <c r="B294" s="22"/>
      <c r="C294" s="22"/>
      <c r="D294" s="23"/>
      <c r="E294" s="24"/>
      <c r="F294" s="22"/>
      <c r="G294" s="19" t="n">
        <f aca="false">IF($D294=0,0,$D294*$E294)</f>
        <v>0</v>
      </c>
      <c r="H294" s="20" t="str">
        <f aca="false">IF($B294="","",CONCATENATE("Pozisyon: ",$B294,"/",$C294," tutar ",TEXT($D294,"#,##0.00")))</f>
        <v/>
      </c>
    </row>
    <row r="295" customFormat="false" ht="15" hidden="false" customHeight="false" outlineLevel="0" collapsed="false">
      <c r="A295" s="21"/>
      <c r="B295" s="22"/>
      <c r="C295" s="22"/>
      <c r="D295" s="23"/>
      <c r="E295" s="24"/>
      <c r="F295" s="22"/>
      <c r="G295" s="19" t="n">
        <f aca="false">IF($D295=0,0,$D295*$E295)</f>
        <v>0</v>
      </c>
      <c r="H295" s="20" t="str">
        <f aca="false">IF($B295="","",CONCATENATE("Pozisyon: ",$B295,"/",$C295," tutar ",TEXT($D295,"#,##0.00")))</f>
        <v/>
      </c>
    </row>
    <row r="296" customFormat="false" ht="15" hidden="false" customHeight="false" outlineLevel="0" collapsed="false">
      <c r="A296" s="21"/>
      <c r="B296" s="22"/>
      <c r="C296" s="22"/>
      <c r="D296" s="23"/>
      <c r="E296" s="24"/>
      <c r="F296" s="22"/>
      <c r="G296" s="19" t="n">
        <f aca="false">IF($D296=0,0,$D296*$E296)</f>
        <v>0</v>
      </c>
      <c r="H296" s="20" t="str">
        <f aca="false">IF($B296="","",CONCATENATE("Pozisyon: ",$B296,"/",$C296," tutar ",TEXT($D296,"#,##0.00")))</f>
        <v/>
      </c>
    </row>
    <row r="297" customFormat="false" ht="15" hidden="false" customHeight="false" outlineLevel="0" collapsed="false">
      <c r="A297" s="21"/>
      <c r="B297" s="22"/>
      <c r="C297" s="22"/>
      <c r="D297" s="23"/>
      <c r="E297" s="24"/>
      <c r="F297" s="22"/>
      <c r="G297" s="19" t="n">
        <f aca="false">IF($D297=0,0,$D297*$E297)</f>
        <v>0</v>
      </c>
      <c r="H297" s="20" t="str">
        <f aca="false">IF($B297="","",CONCATENATE("Pozisyon: ",$B297,"/",$C297," tutar ",TEXT($D297,"#,##0.00")))</f>
        <v/>
      </c>
    </row>
    <row r="298" customFormat="false" ht="15" hidden="false" customHeight="false" outlineLevel="0" collapsed="false">
      <c r="A298" s="21"/>
      <c r="B298" s="22"/>
      <c r="C298" s="22"/>
      <c r="D298" s="23"/>
      <c r="E298" s="24"/>
      <c r="F298" s="22"/>
      <c r="G298" s="19" t="n">
        <f aca="false">IF($D298=0,0,$D298*$E298)</f>
        <v>0</v>
      </c>
      <c r="H298" s="20" t="str">
        <f aca="false">IF($B298="","",CONCATENATE("Pozisyon: ",$B298,"/",$C298," tutar ",TEXT($D298,"#,##0.00")))</f>
        <v/>
      </c>
    </row>
    <row r="299" customFormat="false" ht="15" hidden="false" customHeight="false" outlineLevel="0" collapsed="false">
      <c r="A299" s="21"/>
      <c r="B299" s="22"/>
      <c r="C299" s="22"/>
      <c r="D299" s="23"/>
      <c r="E299" s="24"/>
      <c r="F299" s="22"/>
      <c r="G299" s="19" t="n">
        <f aca="false">IF($D299=0,0,$D299*$E299)</f>
        <v>0</v>
      </c>
      <c r="H299" s="20" t="str">
        <f aca="false">IF($B299="","",CONCATENATE("Pozisyon: ",$B299,"/",$C299," tutar ",TEXT($D299,"#,##0.00")))</f>
        <v/>
      </c>
    </row>
    <row r="300" customFormat="false" ht="15" hidden="false" customHeight="false" outlineLevel="0" collapsed="false">
      <c r="A300" s="21"/>
      <c r="B300" s="22"/>
      <c r="C300" s="22"/>
      <c r="D300" s="23"/>
      <c r="E300" s="24"/>
      <c r="F300" s="22"/>
      <c r="G300" s="19" t="n">
        <f aca="false">IF($D300=0,0,$D300*$E300)</f>
        <v>0</v>
      </c>
      <c r="H300" s="20" t="str">
        <f aca="false">IF($B300="","",CONCATENATE("Pozisyon: ",$B300,"/",$C300," tutar ",TEXT($D300,"#,##0.00")))</f>
        <v/>
      </c>
    </row>
    <row r="301" customFormat="false" ht="15" hidden="false" customHeight="false" outlineLevel="0" collapsed="false">
      <c r="A301" s="21"/>
      <c r="B301" s="22"/>
      <c r="C301" s="22"/>
      <c r="D301" s="23"/>
      <c r="E301" s="24"/>
      <c r="F301" s="22"/>
      <c r="G301" s="19" t="n">
        <f aca="false">IF($D301=0,0,$D301*$E301)</f>
        <v>0</v>
      </c>
      <c r="H301" s="20" t="str">
        <f aca="false">IF($B301="","",CONCATENATE("Pozisyon: ",$B301,"/",$C301," tutar ",TEXT($D301,"#,##0.00")))</f>
        <v/>
      </c>
    </row>
    <row r="302" customFormat="false" ht="15" hidden="false" customHeight="false" outlineLevel="0" collapsed="false">
      <c r="A302" s="21"/>
      <c r="B302" s="22"/>
      <c r="C302" s="22"/>
      <c r="D302" s="23"/>
      <c r="E302" s="24"/>
      <c r="F302" s="22"/>
      <c r="G302" s="19" t="n">
        <f aca="false">IF($D302=0,0,$D302*$E302)</f>
        <v>0</v>
      </c>
      <c r="H302" s="20" t="str">
        <f aca="false">IF($B302="","",CONCATENATE("Pozisyon: ",$B302,"/",$C302," tutar ",TEXT($D302,"#,##0.00")))</f>
        <v/>
      </c>
    </row>
    <row r="303" customFormat="false" ht="15" hidden="false" customHeight="false" outlineLevel="0" collapsed="false">
      <c r="A303" s="21"/>
      <c r="B303" s="22"/>
      <c r="C303" s="22"/>
      <c r="D303" s="23"/>
      <c r="E303" s="24"/>
      <c r="F303" s="22"/>
      <c r="G303" s="19" t="n">
        <f aca="false">IF($D303=0,0,$D303*$E303)</f>
        <v>0</v>
      </c>
      <c r="H303" s="20" t="str">
        <f aca="false">IF($B303="","",CONCATENATE("Pozisyon: ",$B303,"/",$C303," tutar ",TEXT($D303,"#,##0.00")))</f>
        <v/>
      </c>
    </row>
    <row r="304" customFormat="false" ht="15" hidden="false" customHeight="false" outlineLevel="0" collapsed="false">
      <c r="A304" s="21"/>
      <c r="B304" s="22"/>
      <c r="C304" s="22"/>
      <c r="D304" s="23"/>
      <c r="E304" s="24"/>
      <c r="F304" s="22"/>
      <c r="G304" s="19" t="n">
        <f aca="false">IF($D304=0,0,$D304*$E304)</f>
        <v>0</v>
      </c>
      <c r="H304" s="20" t="str">
        <f aca="false">IF($B304="","",CONCATENATE("Pozisyon: ",$B304,"/",$C304," tutar ",TEXT($D304,"#,##0.00")))</f>
        <v/>
      </c>
    </row>
    <row r="305" customFormat="false" ht="15" hidden="false" customHeight="false" outlineLevel="0" collapsed="false">
      <c r="A305" s="21"/>
      <c r="B305" s="22"/>
      <c r="C305" s="22"/>
      <c r="D305" s="23"/>
      <c r="E305" s="24"/>
      <c r="F305" s="22"/>
      <c r="G305" s="19" t="n">
        <f aca="false">IF($D305=0,0,$D305*$E305)</f>
        <v>0</v>
      </c>
      <c r="H305" s="20" t="str">
        <f aca="false">IF($B305="","",CONCATENATE("Pozisyon: ",$B305,"/",$C305," tutar ",TEXT($D305,"#,##0.00")))</f>
        <v/>
      </c>
    </row>
    <row r="306" customFormat="false" ht="15" hidden="false" customHeight="false" outlineLevel="0" collapsed="false">
      <c r="A306" s="21"/>
      <c r="B306" s="22"/>
      <c r="C306" s="22"/>
      <c r="D306" s="23"/>
      <c r="E306" s="24"/>
      <c r="F306" s="22"/>
      <c r="G306" s="19" t="n">
        <f aca="false">IF($D306=0,0,$D306*$E306)</f>
        <v>0</v>
      </c>
      <c r="H306" s="20" t="str">
        <f aca="false">IF($B306="","",CONCATENATE("Pozisyon: ",$B306,"/",$C306," tutar ",TEXT($D306,"#,##0.00")))</f>
        <v/>
      </c>
    </row>
    <row r="307" customFormat="false" ht="15" hidden="false" customHeight="false" outlineLevel="0" collapsed="false">
      <c r="A307" s="21"/>
      <c r="B307" s="22"/>
      <c r="C307" s="22"/>
      <c r="D307" s="23"/>
      <c r="E307" s="24"/>
      <c r="F307" s="22"/>
      <c r="G307" s="19" t="n">
        <f aca="false">IF($D307=0,0,$D307*$E307)</f>
        <v>0</v>
      </c>
      <c r="H307" s="20" t="str">
        <f aca="false">IF($B307="","",CONCATENATE("Pozisyon: ",$B307,"/",$C307," tutar ",TEXT($D307,"#,##0.00")))</f>
        <v/>
      </c>
    </row>
    <row r="308" customFormat="false" ht="15" hidden="false" customHeight="false" outlineLevel="0" collapsed="false">
      <c r="A308" s="21"/>
      <c r="B308" s="22"/>
      <c r="C308" s="22"/>
      <c r="D308" s="23"/>
      <c r="E308" s="24"/>
      <c r="F308" s="22"/>
      <c r="G308" s="19" t="n">
        <f aca="false">IF($D308=0,0,$D308*$E308)</f>
        <v>0</v>
      </c>
      <c r="H308" s="20" t="str">
        <f aca="false">IF($B308="","",CONCATENATE("Pozisyon: ",$B308,"/",$C308," tutar ",TEXT($D308,"#,##0.00")))</f>
        <v/>
      </c>
    </row>
    <row r="309" customFormat="false" ht="15" hidden="false" customHeight="false" outlineLevel="0" collapsed="false">
      <c r="A309" s="21"/>
      <c r="B309" s="22"/>
      <c r="C309" s="22"/>
      <c r="D309" s="23"/>
      <c r="E309" s="24"/>
      <c r="F309" s="22"/>
      <c r="G309" s="19" t="n">
        <f aca="false">IF($D309=0,0,$D309*$E309)</f>
        <v>0</v>
      </c>
      <c r="H309" s="20" t="str">
        <f aca="false">IF($B309="","",CONCATENATE("Pozisyon: ",$B309,"/",$C309," tutar ",TEXT($D309,"#,##0.00")))</f>
        <v/>
      </c>
    </row>
    <row r="310" customFormat="false" ht="15" hidden="false" customHeight="false" outlineLevel="0" collapsed="false">
      <c r="A310" s="21"/>
      <c r="B310" s="22"/>
      <c r="C310" s="22"/>
      <c r="D310" s="23"/>
      <c r="E310" s="24"/>
      <c r="F310" s="22"/>
      <c r="G310" s="19" t="n">
        <f aca="false">IF($D310=0,0,$D310*$E310)</f>
        <v>0</v>
      </c>
      <c r="H310" s="20" t="str">
        <f aca="false">IF($B310="","",CONCATENATE("Pozisyon: ",$B310,"/",$C310," tutar ",TEXT($D310,"#,##0.00")))</f>
        <v/>
      </c>
    </row>
    <row r="311" customFormat="false" ht="15" hidden="false" customHeight="false" outlineLevel="0" collapsed="false">
      <c r="A311" s="21"/>
      <c r="B311" s="22"/>
      <c r="C311" s="22"/>
      <c r="D311" s="23"/>
      <c r="E311" s="24"/>
      <c r="F311" s="22"/>
      <c r="G311" s="19" t="n">
        <f aca="false">IF($D311=0,0,$D311*$E311)</f>
        <v>0</v>
      </c>
      <c r="H311" s="20" t="str">
        <f aca="false">IF($B311="","",CONCATENATE("Pozisyon: ",$B311,"/",$C311," tutar ",TEXT($D311,"#,##0.00")))</f>
        <v/>
      </c>
    </row>
    <row r="312" customFormat="false" ht="15" hidden="false" customHeight="false" outlineLevel="0" collapsed="false">
      <c r="A312" s="21"/>
      <c r="B312" s="22"/>
      <c r="C312" s="22"/>
      <c r="D312" s="23"/>
      <c r="E312" s="24"/>
      <c r="F312" s="22"/>
      <c r="G312" s="19" t="n">
        <f aca="false">IF($D312=0,0,$D312*$E312)</f>
        <v>0</v>
      </c>
      <c r="H312" s="20" t="str">
        <f aca="false">IF($B312="","",CONCATENATE("Pozisyon: ",$B312,"/",$C312," tutar ",TEXT($D312,"#,##0.00")))</f>
        <v/>
      </c>
    </row>
    <row r="313" customFormat="false" ht="15" hidden="false" customHeight="false" outlineLevel="0" collapsed="false">
      <c r="A313" s="21"/>
      <c r="B313" s="22"/>
      <c r="C313" s="22"/>
      <c r="D313" s="23"/>
      <c r="E313" s="24"/>
      <c r="F313" s="22"/>
      <c r="G313" s="19" t="n">
        <f aca="false">IF($D313=0,0,$D313*$E313)</f>
        <v>0</v>
      </c>
      <c r="H313" s="20" t="str">
        <f aca="false">IF($B313="","",CONCATENATE("Pozisyon: ",$B313,"/",$C313," tutar ",TEXT($D313,"#,##0.00")))</f>
        <v/>
      </c>
    </row>
    <row r="314" customFormat="false" ht="15" hidden="false" customHeight="false" outlineLevel="0" collapsed="false">
      <c r="A314" s="21"/>
      <c r="B314" s="22"/>
      <c r="C314" s="22"/>
      <c r="D314" s="23"/>
      <c r="E314" s="24"/>
      <c r="F314" s="22"/>
      <c r="G314" s="19" t="n">
        <f aca="false">IF($D314=0,0,$D314*$E314)</f>
        <v>0</v>
      </c>
      <c r="H314" s="20" t="str">
        <f aca="false">IF($B314="","",CONCATENATE("Pozisyon: ",$B314,"/",$C314," tutar ",TEXT($D314,"#,##0.00")))</f>
        <v/>
      </c>
    </row>
    <row r="315" customFormat="false" ht="15" hidden="false" customHeight="false" outlineLevel="0" collapsed="false">
      <c r="A315" s="21"/>
      <c r="B315" s="22"/>
      <c r="C315" s="22"/>
      <c r="D315" s="23"/>
      <c r="E315" s="24"/>
      <c r="F315" s="22"/>
      <c r="G315" s="19" t="n">
        <f aca="false">IF($D315=0,0,$D315*$E315)</f>
        <v>0</v>
      </c>
      <c r="H315" s="20" t="str">
        <f aca="false">IF($B315="","",CONCATENATE("Pozisyon: ",$B315,"/",$C315," tutar ",TEXT($D315,"#,##0.00")))</f>
        <v/>
      </c>
    </row>
    <row r="316" customFormat="false" ht="15" hidden="false" customHeight="false" outlineLevel="0" collapsed="false">
      <c r="A316" s="21"/>
      <c r="B316" s="22"/>
      <c r="C316" s="22"/>
      <c r="D316" s="23"/>
      <c r="E316" s="24"/>
      <c r="F316" s="22"/>
      <c r="G316" s="19" t="n">
        <f aca="false">IF($D316=0,0,$D316*$E316)</f>
        <v>0</v>
      </c>
      <c r="H316" s="20" t="str">
        <f aca="false">IF($B316="","",CONCATENATE("Pozisyon: ",$B316,"/",$C316," tutar ",TEXT($D316,"#,##0.00")))</f>
        <v/>
      </c>
    </row>
    <row r="317" customFormat="false" ht="15" hidden="false" customHeight="false" outlineLevel="0" collapsed="false">
      <c r="A317" s="21"/>
      <c r="B317" s="22"/>
      <c r="C317" s="22"/>
      <c r="D317" s="23"/>
      <c r="E317" s="24"/>
      <c r="F317" s="22"/>
      <c r="G317" s="19" t="n">
        <f aca="false">IF($D317=0,0,$D317*$E317)</f>
        <v>0</v>
      </c>
      <c r="H317" s="20" t="str">
        <f aca="false">IF($B317="","",CONCATENATE("Pozisyon: ",$B317,"/",$C317," tutar ",TEXT($D317,"#,##0.00")))</f>
        <v/>
      </c>
    </row>
    <row r="318" customFormat="false" ht="15" hidden="false" customHeight="false" outlineLevel="0" collapsed="false">
      <c r="A318" s="21"/>
      <c r="B318" s="22"/>
      <c r="C318" s="22"/>
      <c r="D318" s="23"/>
      <c r="E318" s="24"/>
      <c r="F318" s="22"/>
      <c r="G318" s="19" t="n">
        <f aca="false">IF($D318=0,0,$D318*$E318)</f>
        <v>0</v>
      </c>
      <c r="H318" s="20" t="str">
        <f aca="false">IF($B318="","",CONCATENATE("Pozisyon: ",$B318,"/",$C318," tutar ",TEXT($D318,"#,##0.00")))</f>
        <v/>
      </c>
    </row>
    <row r="319" customFormat="false" ht="15" hidden="false" customHeight="false" outlineLevel="0" collapsed="false">
      <c r="A319" s="21"/>
      <c r="B319" s="22"/>
      <c r="C319" s="22"/>
      <c r="D319" s="23"/>
      <c r="E319" s="24"/>
      <c r="F319" s="22"/>
      <c r="G319" s="19" t="n">
        <f aca="false">IF($D319=0,0,$D319*$E319)</f>
        <v>0</v>
      </c>
      <c r="H319" s="20" t="str">
        <f aca="false">IF($B319="","",CONCATENATE("Pozisyon: ",$B319,"/",$C319," tutar ",TEXT($D319,"#,##0.00")))</f>
        <v/>
      </c>
    </row>
    <row r="320" customFormat="false" ht="15" hidden="false" customHeight="false" outlineLevel="0" collapsed="false">
      <c r="A320" s="21"/>
      <c r="B320" s="22"/>
      <c r="C320" s="22"/>
      <c r="D320" s="23"/>
      <c r="E320" s="24"/>
      <c r="F320" s="22"/>
      <c r="G320" s="19" t="n">
        <f aca="false">IF($D320=0,0,$D320*$E320)</f>
        <v>0</v>
      </c>
      <c r="H320" s="20" t="str">
        <f aca="false">IF($B320="","",CONCATENATE("Pozisyon: ",$B320,"/",$C320," tutar ",TEXT($D320,"#,##0.00")))</f>
        <v/>
      </c>
    </row>
    <row r="321" customFormat="false" ht="15" hidden="false" customHeight="false" outlineLevel="0" collapsed="false">
      <c r="A321" s="21"/>
      <c r="B321" s="22"/>
      <c r="C321" s="22"/>
      <c r="D321" s="23"/>
      <c r="E321" s="24"/>
      <c r="F321" s="22"/>
      <c r="G321" s="19" t="n">
        <f aca="false">IF($D321=0,0,$D321*$E321)</f>
        <v>0</v>
      </c>
      <c r="H321" s="20" t="str">
        <f aca="false">IF($B321="","",CONCATENATE("Pozisyon: ",$B321,"/",$C321," tutar ",TEXT($D321,"#,##0.00")))</f>
        <v/>
      </c>
    </row>
    <row r="322" customFormat="false" ht="15" hidden="false" customHeight="false" outlineLevel="0" collapsed="false">
      <c r="A322" s="21"/>
      <c r="B322" s="22"/>
      <c r="C322" s="22"/>
      <c r="D322" s="23"/>
      <c r="E322" s="24"/>
      <c r="F322" s="22"/>
      <c r="G322" s="19" t="n">
        <f aca="false">IF($D322=0,0,$D322*$E322)</f>
        <v>0</v>
      </c>
      <c r="H322" s="20" t="str">
        <f aca="false">IF($B322="","",CONCATENATE("Pozisyon: ",$B322,"/",$C322," tutar ",TEXT($D322,"#,##0.00")))</f>
        <v/>
      </c>
    </row>
    <row r="323" customFormat="false" ht="15" hidden="false" customHeight="false" outlineLevel="0" collapsed="false">
      <c r="A323" s="21"/>
      <c r="B323" s="22"/>
      <c r="C323" s="22"/>
      <c r="D323" s="23"/>
      <c r="E323" s="24"/>
      <c r="F323" s="22"/>
      <c r="G323" s="19" t="n">
        <f aca="false">IF($D323=0,0,$D323*$E323)</f>
        <v>0</v>
      </c>
      <c r="H323" s="20" t="str">
        <f aca="false">IF($B323="","",CONCATENATE("Pozisyon: ",$B323,"/",$C323," tutar ",TEXT($D323,"#,##0.00")))</f>
        <v/>
      </c>
    </row>
    <row r="324" customFormat="false" ht="15" hidden="false" customHeight="false" outlineLevel="0" collapsed="false">
      <c r="A324" s="21"/>
      <c r="B324" s="22"/>
      <c r="C324" s="22"/>
      <c r="D324" s="23"/>
      <c r="E324" s="24"/>
      <c r="F324" s="22"/>
      <c r="G324" s="19" t="n">
        <f aca="false">IF($D324=0,0,$D324*$E324)</f>
        <v>0</v>
      </c>
      <c r="H324" s="20" t="str">
        <f aca="false">IF($B324="","",CONCATENATE("Pozisyon: ",$B324,"/",$C324," tutar ",TEXT($D324,"#,##0.00")))</f>
        <v/>
      </c>
    </row>
    <row r="325" customFormat="false" ht="15" hidden="false" customHeight="false" outlineLevel="0" collapsed="false">
      <c r="A325" s="21"/>
      <c r="B325" s="22"/>
      <c r="C325" s="22"/>
      <c r="D325" s="23"/>
      <c r="E325" s="24"/>
      <c r="F325" s="22"/>
      <c r="G325" s="19" t="n">
        <f aca="false">IF($D325=0,0,$D325*$E325)</f>
        <v>0</v>
      </c>
      <c r="H325" s="20" t="str">
        <f aca="false">IF($B325="","",CONCATENATE("Pozisyon: ",$B325,"/",$C325," tutar ",TEXT($D325,"#,##0.00")))</f>
        <v/>
      </c>
    </row>
    <row r="326" customFormat="false" ht="15" hidden="false" customHeight="false" outlineLevel="0" collapsed="false">
      <c r="A326" s="21"/>
      <c r="B326" s="22"/>
      <c r="C326" s="22"/>
      <c r="D326" s="23"/>
      <c r="E326" s="24"/>
      <c r="F326" s="22"/>
      <c r="G326" s="19" t="n">
        <f aca="false">IF($D326=0,0,$D326*$E326)</f>
        <v>0</v>
      </c>
      <c r="H326" s="20" t="str">
        <f aca="false">IF($B326="","",CONCATENATE("Pozisyon: ",$B326,"/",$C326," tutar ",TEXT($D326,"#,##0.00")))</f>
        <v/>
      </c>
    </row>
    <row r="327" customFormat="false" ht="15" hidden="false" customHeight="false" outlineLevel="0" collapsed="false">
      <c r="A327" s="21"/>
      <c r="B327" s="22"/>
      <c r="C327" s="22"/>
      <c r="D327" s="23"/>
      <c r="E327" s="24"/>
      <c r="F327" s="22"/>
      <c r="G327" s="19" t="n">
        <f aca="false">IF($D327=0,0,$D327*$E327)</f>
        <v>0</v>
      </c>
      <c r="H327" s="20" t="str">
        <f aca="false">IF($B327="","",CONCATENATE("Pozisyon: ",$B327,"/",$C327," tutar ",TEXT($D327,"#,##0.00")))</f>
        <v/>
      </c>
    </row>
    <row r="328" customFormat="false" ht="15" hidden="false" customHeight="false" outlineLevel="0" collapsed="false">
      <c r="A328" s="21"/>
      <c r="B328" s="22"/>
      <c r="C328" s="22"/>
      <c r="D328" s="23"/>
      <c r="E328" s="24"/>
      <c r="F328" s="22"/>
      <c r="G328" s="19" t="n">
        <f aca="false">IF($D328=0,0,$D328*$E328)</f>
        <v>0</v>
      </c>
      <c r="H328" s="20" t="str">
        <f aca="false">IF($B328="","",CONCATENATE("Pozisyon: ",$B328,"/",$C328," tutar ",TEXT($D328,"#,##0.00")))</f>
        <v/>
      </c>
    </row>
    <row r="329" customFormat="false" ht="15" hidden="false" customHeight="false" outlineLevel="0" collapsed="false">
      <c r="A329" s="21"/>
      <c r="B329" s="22"/>
      <c r="C329" s="22"/>
      <c r="D329" s="23"/>
      <c r="E329" s="24"/>
      <c r="F329" s="22"/>
      <c r="G329" s="19" t="n">
        <f aca="false">IF($D329=0,0,$D329*$E329)</f>
        <v>0</v>
      </c>
      <c r="H329" s="20" t="str">
        <f aca="false">IF($B329="","",CONCATENATE("Pozisyon: ",$B329,"/",$C329," tutar ",TEXT($D329,"#,##0.00")))</f>
        <v/>
      </c>
    </row>
    <row r="330" customFormat="false" ht="15" hidden="false" customHeight="false" outlineLevel="0" collapsed="false">
      <c r="A330" s="21"/>
      <c r="B330" s="22"/>
      <c r="C330" s="22"/>
      <c r="D330" s="23"/>
      <c r="E330" s="24"/>
      <c r="F330" s="22"/>
      <c r="G330" s="19" t="n">
        <f aca="false">IF($D330=0,0,$D330*$E330)</f>
        <v>0</v>
      </c>
      <c r="H330" s="20" t="str">
        <f aca="false">IF($B330="","",CONCATENATE("Pozisyon: ",$B330,"/",$C330," tutar ",TEXT($D330,"#,##0.00")))</f>
        <v/>
      </c>
    </row>
    <row r="331" customFormat="false" ht="15" hidden="false" customHeight="false" outlineLevel="0" collapsed="false">
      <c r="A331" s="21"/>
      <c r="B331" s="22"/>
      <c r="C331" s="22"/>
      <c r="D331" s="23"/>
      <c r="E331" s="24"/>
      <c r="F331" s="22"/>
      <c r="G331" s="19" t="n">
        <f aca="false">IF($D331=0,0,$D331*$E331)</f>
        <v>0</v>
      </c>
      <c r="H331" s="20" t="str">
        <f aca="false">IF($B331="","",CONCATENATE("Pozisyon: ",$B331,"/",$C331," tutar ",TEXT($D331,"#,##0.00")))</f>
        <v/>
      </c>
    </row>
    <row r="332" customFormat="false" ht="15" hidden="false" customHeight="false" outlineLevel="0" collapsed="false">
      <c r="A332" s="21"/>
      <c r="B332" s="22"/>
      <c r="C332" s="22"/>
      <c r="D332" s="23"/>
      <c r="E332" s="24"/>
      <c r="F332" s="22"/>
      <c r="G332" s="19" t="n">
        <f aca="false">IF($D332=0,0,$D332*$E332)</f>
        <v>0</v>
      </c>
      <c r="H332" s="20" t="str">
        <f aca="false">IF($B332="","",CONCATENATE("Pozisyon: ",$B332,"/",$C332," tutar ",TEXT($D332,"#,##0.00")))</f>
        <v/>
      </c>
    </row>
    <row r="333" customFormat="false" ht="15" hidden="false" customHeight="false" outlineLevel="0" collapsed="false">
      <c r="A333" s="21"/>
      <c r="B333" s="22"/>
      <c r="C333" s="22"/>
      <c r="D333" s="23"/>
      <c r="E333" s="24"/>
      <c r="F333" s="22"/>
      <c r="G333" s="19" t="n">
        <f aca="false">IF($D333=0,0,$D333*$E333)</f>
        <v>0</v>
      </c>
      <c r="H333" s="20" t="str">
        <f aca="false">IF($B333="","",CONCATENATE("Pozisyon: ",$B333,"/",$C333," tutar ",TEXT($D333,"#,##0.00")))</f>
        <v/>
      </c>
    </row>
    <row r="334" customFormat="false" ht="15" hidden="false" customHeight="false" outlineLevel="0" collapsed="false">
      <c r="A334" s="21"/>
      <c r="B334" s="22"/>
      <c r="C334" s="22"/>
      <c r="D334" s="23"/>
      <c r="E334" s="24"/>
      <c r="F334" s="22"/>
      <c r="G334" s="19" t="n">
        <f aca="false">IF($D334=0,0,$D334*$E334)</f>
        <v>0</v>
      </c>
      <c r="H334" s="20" t="str">
        <f aca="false">IF($B334="","",CONCATENATE("Pozisyon: ",$B334,"/",$C334," tutar ",TEXT($D334,"#,##0.00")))</f>
        <v/>
      </c>
    </row>
    <row r="335" customFormat="false" ht="15" hidden="false" customHeight="false" outlineLevel="0" collapsed="false">
      <c r="A335" s="21"/>
      <c r="B335" s="22"/>
      <c r="C335" s="22"/>
      <c r="D335" s="23"/>
      <c r="E335" s="24"/>
      <c r="F335" s="22"/>
      <c r="G335" s="19" t="n">
        <f aca="false">IF($D335=0,0,$D335*$E335)</f>
        <v>0</v>
      </c>
      <c r="H335" s="20" t="str">
        <f aca="false">IF($B335="","",CONCATENATE("Pozisyon: ",$B335,"/",$C335," tutar ",TEXT($D335,"#,##0.00")))</f>
        <v/>
      </c>
    </row>
    <row r="336" customFormat="false" ht="15" hidden="false" customHeight="false" outlineLevel="0" collapsed="false">
      <c r="A336" s="21"/>
      <c r="B336" s="22"/>
      <c r="C336" s="22"/>
      <c r="D336" s="23"/>
      <c r="E336" s="24"/>
      <c r="F336" s="22"/>
      <c r="G336" s="19" t="n">
        <f aca="false">IF($D336=0,0,$D336*$E336)</f>
        <v>0</v>
      </c>
      <c r="H336" s="20" t="str">
        <f aca="false">IF($B336="","",CONCATENATE("Pozisyon: ",$B336,"/",$C336," tutar ",TEXT($D336,"#,##0.00")))</f>
        <v/>
      </c>
    </row>
    <row r="337" customFormat="false" ht="15" hidden="false" customHeight="false" outlineLevel="0" collapsed="false">
      <c r="A337" s="21"/>
      <c r="B337" s="22"/>
      <c r="C337" s="22"/>
      <c r="D337" s="23"/>
      <c r="E337" s="24"/>
      <c r="F337" s="22"/>
      <c r="G337" s="19" t="n">
        <f aca="false">IF($D337=0,0,$D337*$E337)</f>
        <v>0</v>
      </c>
      <c r="H337" s="20" t="str">
        <f aca="false">IF($B337="","",CONCATENATE("Pozisyon: ",$B337,"/",$C337," tutar ",TEXT($D337,"#,##0.00")))</f>
        <v/>
      </c>
    </row>
    <row r="338" customFormat="false" ht="15" hidden="false" customHeight="false" outlineLevel="0" collapsed="false">
      <c r="A338" s="21"/>
      <c r="B338" s="22"/>
      <c r="C338" s="22"/>
      <c r="D338" s="23"/>
      <c r="E338" s="24"/>
      <c r="F338" s="22"/>
      <c r="G338" s="19" t="n">
        <f aca="false">IF($D338=0,0,$D338*$E338)</f>
        <v>0</v>
      </c>
      <c r="H338" s="20" t="str">
        <f aca="false">IF($B338="","",CONCATENATE("Pozisyon: ",$B338,"/",$C338," tutar ",TEXT($D338,"#,##0.00")))</f>
        <v/>
      </c>
    </row>
    <row r="339" customFormat="false" ht="15" hidden="false" customHeight="false" outlineLevel="0" collapsed="false">
      <c r="A339" s="21"/>
      <c r="B339" s="22"/>
      <c r="C339" s="22"/>
      <c r="D339" s="23"/>
      <c r="E339" s="24"/>
      <c r="F339" s="22"/>
      <c r="G339" s="19" t="n">
        <f aca="false">IF($D339=0,0,$D339*$E339)</f>
        <v>0</v>
      </c>
      <c r="H339" s="20" t="str">
        <f aca="false">IF($B339="","",CONCATENATE("Pozisyon: ",$B339,"/",$C339," tutar ",TEXT($D339,"#,##0.00")))</f>
        <v/>
      </c>
    </row>
    <row r="340" customFormat="false" ht="15" hidden="false" customHeight="false" outlineLevel="0" collapsed="false">
      <c r="A340" s="21"/>
      <c r="B340" s="22"/>
      <c r="C340" s="22"/>
      <c r="D340" s="23"/>
      <c r="E340" s="24"/>
      <c r="F340" s="22"/>
      <c r="G340" s="19" t="n">
        <f aca="false">IF($D340=0,0,$D340*$E340)</f>
        <v>0</v>
      </c>
      <c r="H340" s="20" t="str">
        <f aca="false">IF($B340="","",CONCATENATE("Pozisyon: ",$B340,"/",$C340," tutar ",TEXT($D340,"#,##0.00")))</f>
        <v/>
      </c>
    </row>
    <row r="341" customFormat="false" ht="15" hidden="false" customHeight="false" outlineLevel="0" collapsed="false">
      <c r="A341" s="21"/>
      <c r="B341" s="22"/>
      <c r="C341" s="22"/>
      <c r="D341" s="23"/>
      <c r="E341" s="24"/>
      <c r="F341" s="22"/>
      <c r="G341" s="19" t="n">
        <f aca="false">IF($D341=0,0,$D341*$E341)</f>
        <v>0</v>
      </c>
      <c r="H341" s="20" t="str">
        <f aca="false">IF($B341="","",CONCATENATE("Pozisyon: ",$B341,"/",$C341," tutar ",TEXT($D341,"#,##0.00")))</f>
        <v/>
      </c>
    </row>
    <row r="342" customFormat="false" ht="15" hidden="false" customHeight="false" outlineLevel="0" collapsed="false">
      <c r="A342" s="21"/>
      <c r="B342" s="22"/>
      <c r="C342" s="22"/>
      <c r="D342" s="23"/>
      <c r="E342" s="24"/>
      <c r="F342" s="22"/>
      <c r="G342" s="19" t="n">
        <f aca="false">IF($D342=0,0,$D342*$E342)</f>
        <v>0</v>
      </c>
      <c r="H342" s="20" t="str">
        <f aca="false">IF($B342="","",CONCATENATE("Pozisyon: ",$B342,"/",$C342," tutar ",TEXT($D342,"#,##0.00")))</f>
        <v/>
      </c>
    </row>
    <row r="343" customFormat="false" ht="15" hidden="false" customHeight="false" outlineLevel="0" collapsed="false">
      <c r="A343" s="21"/>
      <c r="B343" s="22"/>
      <c r="C343" s="22"/>
      <c r="D343" s="23"/>
      <c r="E343" s="24"/>
      <c r="F343" s="22"/>
      <c r="G343" s="19" t="n">
        <f aca="false">IF($D343=0,0,$D343*$E343)</f>
        <v>0</v>
      </c>
      <c r="H343" s="20" t="str">
        <f aca="false">IF($B343="","",CONCATENATE("Pozisyon: ",$B343,"/",$C343," tutar ",TEXT($D343,"#,##0.00")))</f>
        <v/>
      </c>
    </row>
    <row r="344" customFormat="false" ht="15" hidden="false" customHeight="false" outlineLevel="0" collapsed="false">
      <c r="A344" s="21"/>
      <c r="B344" s="22"/>
      <c r="C344" s="22"/>
      <c r="D344" s="23"/>
      <c r="E344" s="24"/>
      <c r="F344" s="22"/>
      <c r="G344" s="19" t="n">
        <f aca="false">IF($D344=0,0,$D344*$E344)</f>
        <v>0</v>
      </c>
      <c r="H344" s="20" t="str">
        <f aca="false">IF($B344="","",CONCATENATE("Pozisyon: ",$B344,"/",$C344," tutar ",TEXT($D344,"#,##0.00")))</f>
        <v/>
      </c>
    </row>
    <row r="345" customFormat="false" ht="15" hidden="false" customHeight="false" outlineLevel="0" collapsed="false">
      <c r="A345" s="21"/>
      <c r="B345" s="22"/>
      <c r="C345" s="22"/>
      <c r="D345" s="23"/>
      <c r="E345" s="24"/>
      <c r="F345" s="22"/>
      <c r="G345" s="19" t="n">
        <f aca="false">IF($D345=0,0,$D345*$E345)</f>
        <v>0</v>
      </c>
      <c r="H345" s="20" t="str">
        <f aca="false">IF($B345="","",CONCATENATE("Pozisyon: ",$B345,"/",$C345," tutar ",TEXT($D345,"#,##0.00")))</f>
        <v/>
      </c>
    </row>
    <row r="346" customFormat="false" ht="15" hidden="false" customHeight="false" outlineLevel="0" collapsed="false">
      <c r="A346" s="21"/>
      <c r="B346" s="22"/>
      <c r="C346" s="22"/>
      <c r="D346" s="23"/>
      <c r="E346" s="24"/>
      <c r="F346" s="22"/>
      <c r="G346" s="19" t="n">
        <f aca="false">IF($D346=0,0,$D346*$E346)</f>
        <v>0</v>
      </c>
      <c r="H346" s="20" t="str">
        <f aca="false">IF($B346="","",CONCATENATE("Pozisyon: ",$B346,"/",$C346," tutar ",TEXT($D346,"#,##0.00")))</f>
        <v/>
      </c>
    </row>
    <row r="347" customFormat="false" ht="15" hidden="false" customHeight="false" outlineLevel="0" collapsed="false">
      <c r="A347" s="21"/>
      <c r="B347" s="22"/>
      <c r="C347" s="22"/>
      <c r="D347" s="23"/>
      <c r="E347" s="24"/>
      <c r="F347" s="22"/>
      <c r="G347" s="19" t="n">
        <f aca="false">IF($D347=0,0,$D347*$E347)</f>
        <v>0</v>
      </c>
      <c r="H347" s="20" t="str">
        <f aca="false">IF($B347="","",CONCATENATE("Pozisyon: ",$B347,"/",$C347," tutar ",TEXT($D347,"#,##0.00")))</f>
        <v/>
      </c>
    </row>
    <row r="348" customFormat="false" ht="15" hidden="false" customHeight="false" outlineLevel="0" collapsed="false">
      <c r="A348" s="21"/>
      <c r="B348" s="22"/>
      <c r="C348" s="22"/>
      <c r="D348" s="23"/>
      <c r="E348" s="24"/>
      <c r="F348" s="22"/>
      <c r="G348" s="19" t="n">
        <f aca="false">IF($D348=0,0,$D348*$E348)</f>
        <v>0</v>
      </c>
      <c r="H348" s="20" t="str">
        <f aca="false">IF($B348="","",CONCATENATE("Pozisyon: ",$B348,"/",$C348," tutar ",TEXT($D348,"#,##0.00")))</f>
        <v/>
      </c>
    </row>
    <row r="349" customFormat="false" ht="15" hidden="false" customHeight="false" outlineLevel="0" collapsed="false">
      <c r="A349" s="21"/>
      <c r="B349" s="22"/>
      <c r="C349" s="22"/>
      <c r="D349" s="23"/>
      <c r="E349" s="24"/>
      <c r="F349" s="22"/>
      <c r="G349" s="19" t="n">
        <f aca="false">IF($D349=0,0,$D349*$E349)</f>
        <v>0</v>
      </c>
      <c r="H349" s="20" t="str">
        <f aca="false">IF($B349="","",CONCATENATE("Pozisyon: ",$B349,"/",$C349," tutar ",TEXT($D349,"#,##0.00")))</f>
        <v/>
      </c>
    </row>
    <row r="350" customFormat="false" ht="15" hidden="false" customHeight="false" outlineLevel="0" collapsed="false">
      <c r="A350" s="21"/>
      <c r="B350" s="22"/>
      <c r="C350" s="22"/>
      <c r="D350" s="23"/>
      <c r="E350" s="24"/>
      <c r="F350" s="22"/>
      <c r="G350" s="19" t="n">
        <f aca="false">IF($D350=0,0,$D350*$E350)</f>
        <v>0</v>
      </c>
      <c r="H350" s="20" t="str">
        <f aca="false">IF($B350="","",CONCATENATE("Pozisyon: ",$B350,"/",$C350," tutar ",TEXT($D350,"#,##0.00")))</f>
        <v/>
      </c>
    </row>
    <row r="351" customFormat="false" ht="15" hidden="false" customHeight="false" outlineLevel="0" collapsed="false">
      <c r="A351" s="21"/>
      <c r="B351" s="22"/>
      <c r="C351" s="22"/>
      <c r="D351" s="23"/>
      <c r="E351" s="24"/>
      <c r="F351" s="22"/>
      <c r="G351" s="19" t="n">
        <f aca="false">IF($D351=0,0,$D351*$E351)</f>
        <v>0</v>
      </c>
      <c r="H351" s="20" t="str">
        <f aca="false">IF($B351="","",CONCATENATE("Pozisyon: ",$B351,"/",$C351," tutar ",TEXT($D351,"#,##0.00")))</f>
        <v/>
      </c>
    </row>
    <row r="352" customFormat="false" ht="15" hidden="false" customHeight="false" outlineLevel="0" collapsed="false">
      <c r="A352" s="21"/>
      <c r="B352" s="22"/>
      <c r="C352" s="22"/>
      <c r="D352" s="23"/>
      <c r="E352" s="24"/>
      <c r="F352" s="22"/>
      <c r="G352" s="19" t="n">
        <f aca="false">IF($D352=0,0,$D352*$E352)</f>
        <v>0</v>
      </c>
      <c r="H352" s="20" t="str">
        <f aca="false">IF($B352="","",CONCATENATE("Pozisyon: ",$B352,"/",$C352," tutar ",TEXT($D352,"#,##0.00")))</f>
        <v/>
      </c>
    </row>
    <row r="353" customFormat="false" ht="15" hidden="false" customHeight="false" outlineLevel="0" collapsed="false">
      <c r="A353" s="21"/>
      <c r="B353" s="22"/>
      <c r="C353" s="22"/>
      <c r="D353" s="23"/>
      <c r="E353" s="24"/>
      <c r="F353" s="22"/>
      <c r="G353" s="19" t="n">
        <f aca="false">IF($D353=0,0,$D353*$E353)</f>
        <v>0</v>
      </c>
      <c r="H353" s="20" t="str">
        <f aca="false">IF($B353="","",CONCATENATE("Pozisyon: ",$B353,"/",$C353," tutar ",TEXT($D353,"#,##0.00")))</f>
        <v/>
      </c>
    </row>
    <row r="354" customFormat="false" ht="15" hidden="false" customHeight="false" outlineLevel="0" collapsed="false">
      <c r="A354" s="21"/>
      <c r="B354" s="22"/>
      <c r="C354" s="22"/>
      <c r="D354" s="23"/>
      <c r="E354" s="24"/>
      <c r="F354" s="22"/>
      <c r="G354" s="19" t="n">
        <f aca="false">IF($D354=0,0,$D354*$E354)</f>
        <v>0</v>
      </c>
      <c r="H354" s="20" t="str">
        <f aca="false">IF($B354="","",CONCATENATE("Pozisyon: ",$B354,"/",$C354," tutar ",TEXT($D354,"#,##0.00")))</f>
        <v/>
      </c>
    </row>
    <row r="355" customFormat="false" ht="15" hidden="false" customHeight="false" outlineLevel="0" collapsed="false">
      <c r="A355" s="21"/>
      <c r="B355" s="22"/>
      <c r="C355" s="22"/>
      <c r="D355" s="23"/>
      <c r="E355" s="24"/>
      <c r="F355" s="22"/>
      <c r="G355" s="19" t="n">
        <f aca="false">IF($D355=0,0,$D355*$E355)</f>
        <v>0</v>
      </c>
      <c r="H355" s="20" t="str">
        <f aca="false">IF($B355="","",CONCATENATE("Pozisyon: ",$B355,"/",$C355," tutar ",TEXT($D355,"#,##0.00")))</f>
        <v/>
      </c>
    </row>
    <row r="356" customFormat="false" ht="15" hidden="false" customHeight="false" outlineLevel="0" collapsed="false">
      <c r="A356" s="21"/>
      <c r="B356" s="22"/>
      <c r="C356" s="22"/>
      <c r="D356" s="23"/>
      <c r="E356" s="24"/>
      <c r="F356" s="22"/>
      <c r="G356" s="19" t="n">
        <f aca="false">IF($D356=0,0,$D356*$E356)</f>
        <v>0</v>
      </c>
      <c r="H356" s="20" t="str">
        <f aca="false">IF($B356="","",CONCATENATE("Pozisyon: ",$B356,"/",$C356," tutar ",TEXT($D356,"#,##0.00")))</f>
        <v/>
      </c>
    </row>
    <row r="357" customFormat="false" ht="15" hidden="false" customHeight="false" outlineLevel="0" collapsed="false">
      <c r="A357" s="21"/>
      <c r="B357" s="22"/>
      <c r="C357" s="22"/>
      <c r="D357" s="23"/>
      <c r="E357" s="24"/>
      <c r="F357" s="22"/>
      <c r="G357" s="19" t="n">
        <f aca="false">IF($D357=0,0,$D357*$E357)</f>
        <v>0</v>
      </c>
      <c r="H357" s="20" t="str">
        <f aca="false">IF($B357="","",CONCATENATE("Pozisyon: ",$B357,"/",$C357," tutar ",TEXT($D357,"#,##0.00")))</f>
        <v/>
      </c>
    </row>
    <row r="358" customFormat="false" ht="15" hidden="false" customHeight="false" outlineLevel="0" collapsed="false">
      <c r="A358" s="21"/>
      <c r="B358" s="22"/>
      <c r="C358" s="22"/>
      <c r="D358" s="23"/>
      <c r="E358" s="24"/>
      <c r="F358" s="22"/>
      <c r="G358" s="19" t="n">
        <f aca="false">IF($D358=0,0,$D358*$E358)</f>
        <v>0</v>
      </c>
      <c r="H358" s="20" t="str">
        <f aca="false">IF($B358="","",CONCATENATE("Pozisyon: ",$B358,"/",$C358," tutar ",TEXT($D358,"#,##0.00")))</f>
        <v/>
      </c>
    </row>
    <row r="359" customFormat="false" ht="15" hidden="false" customHeight="false" outlineLevel="0" collapsed="false">
      <c r="A359" s="21"/>
      <c r="B359" s="22"/>
      <c r="C359" s="22"/>
      <c r="D359" s="23"/>
      <c r="E359" s="24"/>
      <c r="F359" s="22"/>
      <c r="G359" s="19" t="n">
        <f aca="false">IF($D359=0,0,$D359*$E359)</f>
        <v>0</v>
      </c>
      <c r="H359" s="20" t="str">
        <f aca="false">IF($B359="","",CONCATENATE("Pozisyon: ",$B359,"/",$C359," tutar ",TEXT($D359,"#,##0.00")))</f>
        <v/>
      </c>
    </row>
    <row r="360" customFormat="false" ht="15" hidden="false" customHeight="false" outlineLevel="0" collapsed="false">
      <c r="A360" s="21"/>
      <c r="B360" s="22"/>
      <c r="C360" s="22"/>
      <c r="D360" s="23"/>
      <c r="E360" s="24"/>
      <c r="F360" s="22"/>
      <c r="G360" s="19" t="n">
        <f aca="false">IF($D360=0,0,$D360*$E360)</f>
        <v>0</v>
      </c>
      <c r="H360" s="20" t="str">
        <f aca="false">IF($B360="","",CONCATENATE("Pozisyon: ",$B360,"/",$C360," tutar ",TEXT($D360,"#,##0.00")))</f>
        <v/>
      </c>
    </row>
    <row r="361" customFormat="false" ht="15" hidden="false" customHeight="false" outlineLevel="0" collapsed="false">
      <c r="A361" s="21"/>
      <c r="B361" s="22"/>
      <c r="C361" s="22"/>
      <c r="D361" s="23"/>
      <c r="E361" s="24"/>
      <c r="F361" s="22"/>
      <c r="G361" s="19" t="n">
        <f aca="false">IF($D361=0,0,$D361*$E361)</f>
        <v>0</v>
      </c>
      <c r="H361" s="20" t="str">
        <f aca="false">IF($B361="","",CONCATENATE("Pozisyon: ",$B361,"/",$C361," tutar ",TEXT($D361,"#,##0.00")))</f>
        <v/>
      </c>
    </row>
    <row r="362" customFormat="false" ht="15" hidden="false" customHeight="false" outlineLevel="0" collapsed="false">
      <c r="A362" s="21"/>
      <c r="B362" s="22"/>
      <c r="C362" s="22"/>
      <c r="D362" s="23"/>
      <c r="E362" s="24"/>
      <c r="F362" s="22"/>
      <c r="G362" s="19" t="n">
        <f aca="false">IF($D362=0,0,$D362*$E362)</f>
        <v>0</v>
      </c>
      <c r="H362" s="20" t="str">
        <f aca="false">IF($B362="","",CONCATENATE("Pozisyon: ",$B362,"/",$C362," tutar ",TEXT($D362,"#,##0.00")))</f>
        <v/>
      </c>
    </row>
    <row r="363" customFormat="false" ht="15" hidden="false" customHeight="false" outlineLevel="0" collapsed="false">
      <c r="A363" s="21"/>
      <c r="B363" s="22"/>
      <c r="C363" s="22"/>
      <c r="D363" s="23"/>
      <c r="E363" s="24"/>
      <c r="F363" s="22"/>
      <c r="G363" s="19" t="n">
        <f aca="false">IF($D363=0,0,$D363*$E363)</f>
        <v>0</v>
      </c>
      <c r="H363" s="20" t="str">
        <f aca="false">IF($B363="","",CONCATENATE("Pozisyon: ",$B363,"/",$C363," tutar ",TEXT($D363,"#,##0.00")))</f>
        <v/>
      </c>
    </row>
    <row r="364" customFormat="false" ht="15" hidden="false" customHeight="false" outlineLevel="0" collapsed="false">
      <c r="A364" s="21"/>
      <c r="B364" s="22"/>
      <c r="C364" s="22"/>
      <c r="D364" s="23"/>
      <c r="E364" s="24"/>
      <c r="F364" s="22"/>
      <c r="G364" s="19" t="n">
        <f aca="false">IF($D364=0,0,$D364*$E364)</f>
        <v>0</v>
      </c>
      <c r="H364" s="20" t="str">
        <f aca="false">IF($B364="","",CONCATENATE("Pozisyon: ",$B364,"/",$C364," tutar ",TEXT($D364,"#,##0.00")))</f>
        <v/>
      </c>
    </row>
    <row r="365" customFormat="false" ht="15" hidden="false" customHeight="false" outlineLevel="0" collapsed="false">
      <c r="A365" s="21"/>
      <c r="B365" s="22"/>
      <c r="C365" s="22"/>
      <c r="D365" s="23"/>
      <c r="E365" s="24"/>
      <c r="F365" s="22"/>
      <c r="G365" s="19" t="n">
        <f aca="false">IF($D365=0,0,$D365*$E365)</f>
        <v>0</v>
      </c>
      <c r="H365" s="20" t="str">
        <f aca="false">IF($B365="","",CONCATENATE("Pozisyon: ",$B365,"/",$C365," tutar ",TEXT($D365,"#,##0.00")))</f>
        <v/>
      </c>
    </row>
    <row r="366" customFormat="false" ht="15" hidden="false" customHeight="false" outlineLevel="0" collapsed="false">
      <c r="A366" s="21"/>
      <c r="B366" s="22"/>
      <c r="C366" s="22"/>
      <c r="D366" s="23"/>
      <c r="E366" s="24"/>
      <c r="F366" s="22"/>
      <c r="G366" s="19" t="n">
        <f aca="false">IF($D366=0,0,$D366*$E366)</f>
        <v>0</v>
      </c>
      <c r="H366" s="20" t="str">
        <f aca="false">IF($B366="","",CONCATENATE("Pozisyon: ",$B366,"/",$C366," tutar ",TEXT($D366,"#,##0.00")))</f>
        <v/>
      </c>
    </row>
    <row r="367" customFormat="false" ht="15" hidden="false" customHeight="false" outlineLevel="0" collapsed="false">
      <c r="A367" s="21"/>
      <c r="B367" s="22"/>
      <c r="C367" s="22"/>
      <c r="D367" s="23"/>
      <c r="E367" s="24"/>
      <c r="F367" s="22"/>
      <c r="G367" s="19" t="n">
        <f aca="false">IF($D367=0,0,$D367*$E367)</f>
        <v>0</v>
      </c>
      <c r="H367" s="20" t="str">
        <f aca="false">IF($B367="","",CONCATENATE("Pozisyon: ",$B367,"/",$C367," tutar ",TEXT($D367,"#,##0.00")))</f>
        <v/>
      </c>
    </row>
    <row r="368" customFormat="false" ht="15" hidden="false" customHeight="false" outlineLevel="0" collapsed="false">
      <c r="A368" s="21"/>
      <c r="B368" s="22"/>
      <c r="C368" s="22"/>
      <c r="D368" s="23"/>
      <c r="E368" s="24"/>
      <c r="F368" s="22"/>
      <c r="G368" s="19" t="n">
        <f aca="false">IF($D368=0,0,$D368*$E368)</f>
        <v>0</v>
      </c>
      <c r="H368" s="20" t="str">
        <f aca="false">IF($B368="","",CONCATENATE("Pozisyon: ",$B368,"/",$C368," tutar ",TEXT($D368,"#,##0.00")))</f>
        <v/>
      </c>
    </row>
    <row r="369" customFormat="false" ht="15" hidden="false" customHeight="false" outlineLevel="0" collapsed="false">
      <c r="A369" s="21"/>
      <c r="B369" s="22"/>
      <c r="C369" s="22"/>
      <c r="D369" s="23"/>
      <c r="E369" s="24"/>
      <c r="F369" s="22"/>
      <c r="G369" s="19" t="n">
        <f aca="false">IF($D369=0,0,$D369*$E369)</f>
        <v>0</v>
      </c>
      <c r="H369" s="20" t="str">
        <f aca="false">IF($B369="","",CONCATENATE("Pozisyon: ",$B369,"/",$C369," tutar ",TEXT($D369,"#,##0.00")))</f>
        <v/>
      </c>
    </row>
    <row r="370" customFormat="false" ht="15" hidden="false" customHeight="false" outlineLevel="0" collapsed="false">
      <c r="A370" s="21"/>
      <c r="B370" s="22"/>
      <c r="C370" s="22"/>
      <c r="D370" s="23"/>
      <c r="E370" s="24"/>
      <c r="F370" s="22"/>
      <c r="G370" s="19" t="n">
        <f aca="false">IF($D370=0,0,$D370*$E370)</f>
        <v>0</v>
      </c>
      <c r="H370" s="20" t="str">
        <f aca="false">IF($B370="","",CONCATENATE("Pozisyon: ",$B370,"/",$C370," tutar ",TEXT($D370,"#,##0.00")))</f>
        <v/>
      </c>
    </row>
    <row r="371" customFormat="false" ht="15" hidden="false" customHeight="false" outlineLevel="0" collapsed="false">
      <c r="A371" s="21"/>
      <c r="B371" s="22"/>
      <c r="C371" s="22"/>
      <c r="D371" s="23"/>
      <c r="E371" s="24"/>
      <c r="F371" s="22"/>
      <c r="G371" s="19" t="n">
        <f aca="false">IF($D371=0,0,$D371*$E371)</f>
        <v>0</v>
      </c>
      <c r="H371" s="20" t="str">
        <f aca="false">IF($B371="","",CONCATENATE("Pozisyon: ",$B371,"/",$C371," tutar ",TEXT($D371,"#,##0.00")))</f>
        <v/>
      </c>
    </row>
    <row r="372" customFormat="false" ht="15" hidden="false" customHeight="false" outlineLevel="0" collapsed="false">
      <c r="A372" s="21"/>
      <c r="B372" s="22"/>
      <c r="C372" s="22"/>
      <c r="D372" s="23"/>
      <c r="E372" s="24"/>
      <c r="F372" s="22"/>
      <c r="G372" s="19" t="n">
        <f aca="false">IF($D372=0,0,$D372*$E372)</f>
        <v>0</v>
      </c>
      <c r="H372" s="20" t="str">
        <f aca="false">IF($B372="","",CONCATENATE("Pozisyon: ",$B372,"/",$C372," tutar ",TEXT($D372,"#,##0.00")))</f>
        <v/>
      </c>
    </row>
    <row r="373" customFormat="false" ht="15" hidden="false" customHeight="false" outlineLevel="0" collapsed="false">
      <c r="A373" s="21"/>
      <c r="B373" s="22"/>
      <c r="C373" s="22"/>
      <c r="D373" s="23"/>
      <c r="E373" s="24"/>
      <c r="F373" s="22"/>
      <c r="G373" s="19" t="n">
        <f aca="false">IF($D373=0,0,$D373*$E373)</f>
        <v>0</v>
      </c>
      <c r="H373" s="20" t="str">
        <f aca="false">IF($B373="","",CONCATENATE("Pozisyon: ",$B373,"/",$C373," tutar ",TEXT($D373,"#,##0.00")))</f>
        <v/>
      </c>
    </row>
    <row r="374" customFormat="false" ht="15" hidden="false" customHeight="false" outlineLevel="0" collapsed="false">
      <c r="A374" s="21"/>
      <c r="B374" s="22"/>
      <c r="C374" s="22"/>
      <c r="D374" s="23"/>
      <c r="E374" s="24"/>
      <c r="F374" s="22"/>
      <c r="G374" s="19" t="n">
        <f aca="false">IF($D374=0,0,$D374*$E374)</f>
        <v>0</v>
      </c>
      <c r="H374" s="20" t="str">
        <f aca="false">IF($B374="","",CONCATENATE("Pozisyon: ",$B374,"/",$C374," tutar ",TEXT($D374,"#,##0.00")))</f>
        <v/>
      </c>
    </row>
    <row r="375" customFormat="false" ht="15" hidden="false" customHeight="false" outlineLevel="0" collapsed="false">
      <c r="A375" s="21"/>
      <c r="B375" s="22"/>
      <c r="C375" s="22"/>
      <c r="D375" s="23"/>
      <c r="E375" s="24"/>
      <c r="F375" s="22"/>
      <c r="G375" s="19" t="n">
        <f aca="false">IF($D375=0,0,$D375*$E375)</f>
        <v>0</v>
      </c>
      <c r="H375" s="20" t="str">
        <f aca="false">IF($B375="","",CONCATENATE("Pozisyon: ",$B375,"/",$C375," tutar ",TEXT($D375,"#,##0.00")))</f>
        <v/>
      </c>
    </row>
    <row r="376" customFormat="false" ht="15" hidden="false" customHeight="false" outlineLevel="0" collapsed="false">
      <c r="A376" s="21"/>
      <c r="B376" s="22"/>
      <c r="C376" s="22"/>
      <c r="D376" s="23"/>
      <c r="E376" s="24"/>
      <c r="F376" s="22"/>
      <c r="G376" s="19" t="n">
        <f aca="false">IF($D376=0,0,$D376*$E376)</f>
        <v>0</v>
      </c>
      <c r="H376" s="20" t="str">
        <f aca="false">IF($B376="","",CONCATENATE("Pozisyon: ",$B376,"/",$C376," tutar ",TEXT($D376,"#,##0.00")))</f>
        <v/>
      </c>
    </row>
    <row r="377" customFormat="false" ht="15" hidden="false" customHeight="false" outlineLevel="0" collapsed="false">
      <c r="A377" s="21"/>
      <c r="B377" s="22"/>
      <c r="C377" s="22"/>
      <c r="D377" s="23"/>
      <c r="E377" s="24"/>
      <c r="F377" s="22"/>
      <c r="G377" s="19" t="n">
        <f aca="false">IF($D377=0,0,$D377*$E377)</f>
        <v>0</v>
      </c>
      <c r="H377" s="20" t="str">
        <f aca="false">IF($B377="","",CONCATENATE("Pozisyon: ",$B377,"/",$C377," tutar ",TEXT($D377,"#,##0.00")))</f>
        <v/>
      </c>
    </row>
    <row r="378" customFormat="false" ht="15" hidden="false" customHeight="false" outlineLevel="0" collapsed="false">
      <c r="A378" s="21"/>
      <c r="B378" s="22"/>
      <c r="C378" s="22"/>
      <c r="D378" s="23"/>
      <c r="E378" s="24"/>
      <c r="F378" s="22"/>
      <c r="G378" s="19" t="n">
        <f aca="false">IF($D378=0,0,$D378*$E378)</f>
        <v>0</v>
      </c>
      <c r="H378" s="20" t="str">
        <f aca="false">IF($B378="","",CONCATENATE("Pozisyon: ",$B378,"/",$C378," tutar ",TEXT($D378,"#,##0.00")))</f>
        <v/>
      </c>
    </row>
    <row r="379" customFormat="false" ht="15" hidden="false" customHeight="false" outlineLevel="0" collapsed="false">
      <c r="A379" s="21"/>
      <c r="B379" s="22"/>
      <c r="C379" s="22"/>
      <c r="D379" s="23"/>
      <c r="E379" s="24"/>
      <c r="F379" s="22"/>
      <c r="G379" s="19" t="n">
        <f aca="false">IF($D379=0,0,$D379*$E379)</f>
        <v>0</v>
      </c>
      <c r="H379" s="20" t="str">
        <f aca="false">IF($B379="","",CONCATENATE("Pozisyon: ",$B379,"/",$C379," tutar ",TEXT($D379,"#,##0.00")))</f>
        <v/>
      </c>
    </row>
    <row r="380" customFormat="false" ht="15" hidden="false" customHeight="false" outlineLevel="0" collapsed="false">
      <c r="A380" s="21"/>
      <c r="B380" s="22"/>
      <c r="C380" s="22"/>
      <c r="D380" s="23"/>
      <c r="E380" s="24"/>
      <c r="F380" s="22"/>
      <c r="G380" s="19" t="n">
        <f aca="false">IF($D380=0,0,$D380*$E380)</f>
        <v>0</v>
      </c>
      <c r="H380" s="20" t="str">
        <f aca="false">IF($B380="","",CONCATENATE("Pozisyon: ",$B380,"/",$C380," tutar ",TEXT($D380,"#,##0.00")))</f>
        <v/>
      </c>
    </row>
    <row r="381" customFormat="false" ht="15" hidden="false" customHeight="false" outlineLevel="0" collapsed="false">
      <c r="A381" s="21"/>
      <c r="B381" s="22"/>
      <c r="C381" s="22"/>
      <c r="D381" s="23"/>
      <c r="E381" s="24"/>
      <c r="F381" s="22"/>
      <c r="G381" s="19" t="n">
        <f aca="false">IF($D381=0,0,$D381*$E381)</f>
        <v>0</v>
      </c>
      <c r="H381" s="20" t="str">
        <f aca="false">IF($B381="","",CONCATENATE("Pozisyon: ",$B381,"/",$C381," tutar ",TEXT($D381,"#,##0.00")))</f>
        <v/>
      </c>
    </row>
    <row r="382" customFormat="false" ht="15" hidden="false" customHeight="false" outlineLevel="0" collapsed="false">
      <c r="A382" s="21"/>
      <c r="B382" s="22"/>
      <c r="C382" s="22"/>
      <c r="D382" s="23"/>
      <c r="E382" s="24"/>
      <c r="F382" s="22"/>
      <c r="G382" s="19" t="n">
        <f aca="false">IF($D382=0,0,$D382*$E382)</f>
        <v>0</v>
      </c>
      <c r="H382" s="20" t="str">
        <f aca="false">IF($B382="","",CONCATENATE("Pozisyon: ",$B382,"/",$C382," tutar ",TEXT($D382,"#,##0.00")))</f>
        <v/>
      </c>
    </row>
    <row r="383" customFormat="false" ht="15" hidden="false" customHeight="false" outlineLevel="0" collapsed="false">
      <c r="A383" s="21"/>
      <c r="B383" s="22"/>
      <c r="C383" s="22"/>
      <c r="D383" s="23"/>
      <c r="E383" s="24"/>
      <c r="F383" s="22"/>
      <c r="G383" s="19" t="n">
        <f aca="false">IF($D383=0,0,$D383*$E383)</f>
        <v>0</v>
      </c>
      <c r="H383" s="20" t="str">
        <f aca="false">IF($B383="","",CONCATENATE("Pozisyon: ",$B383,"/",$C383," tutar ",TEXT($D383,"#,##0.00")))</f>
        <v/>
      </c>
    </row>
    <row r="384" customFormat="false" ht="15" hidden="false" customHeight="false" outlineLevel="0" collapsed="false">
      <c r="A384" s="21"/>
      <c r="B384" s="22"/>
      <c r="C384" s="22"/>
      <c r="D384" s="23"/>
      <c r="E384" s="24"/>
      <c r="F384" s="22"/>
      <c r="G384" s="19" t="n">
        <f aca="false">IF($D384=0,0,$D384*$E384)</f>
        <v>0</v>
      </c>
      <c r="H384" s="20" t="str">
        <f aca="false">IF($B384="","",CONCATENATE("Pozisyon: ",$B384,"/",$C384," tutar ",TEXT($D384,"#,##0.00")))</f>
        <v/>
      </c>
    </row>
    <row r="385" customFormat="false" ht="15" hidden="false" customHeight="false" outlineLevel="0" collapsed="false">
      <c r="A385" s="21"/>
      <c r="B385" s="22"/>
      <c r="C385" s="22"/>
      <c r="D385" s="23"/>
      <c r="E385" s="24"/>
      <c r="F385" s="22"/>
      <c r="G385" s="19" t="n">
        <f aca="false">IF($D385=0,0,$D385*$E385)</f>
        <v>0</v>
      </c>
      <c r="H385" s="20" t="str">
        <f aca="false">IF($B385="","",CONCATENATE("Pozisyon: ",$B385,"/",$C385," tutar ",TEXT($D385,"#,##0.00")))</f>
        <v/>
      </c>
    </row>
    <row r="386" customFormat="false" ht="15" hidden="false" customHeight="false" outlineLevel="0" collapsed="false">
      <c r="A386" s="21"/>
      <c r="B386" s="22"/>
      <c r="C386" s="22"/>
      <c r="D386" s="23"/>
      <c r="E386" s="24"/>
      <c r="F386" s="22"/>
      <c r="G386" s="19" t="n">
        <f aca="false">IF($D386=0,0,$D386*$E386)</f>
        <v>0</v>
      </c>
      <c r="H386" s="20" t="str">
        <f aca="false">IF($B386="","",CONCATENATE("Pozisyon: ",$B386,"/",$C386," tutar ",TEXT($D386,"#,##0.00")))</f>
        <v/>
      </c>
    </row>
    <row r="387" customFormat="false" ht="15" hidden="false" customHeight="false" outlineLevel="0" collapsed="false">
      <c r="A387" s="21"/>
      <c r="B387" s="22"/>
      <c r="C387" s="22"/>
      <c r="D387" s="23"/>
      <c r="E387" s="24"/>
      <c r="F387" s="22"/>
      <c r="G387" s="19" t="n">
        <f aca="false">IF($D387=0,0,$D387*$E387)</f>
        <v>0</v>
      </c>
      <c r="H387" s="20" t="str">
        <f aca="false">IF($B387="","",CONCATENATE("Pozisyon: ",$B387,"/",$C387," tutar ",TEXT($D387,"#,##0.00")))</f>
        <v/>
      </c>
    </row>
    <row r="388" customFormat="false" ht="15" hidden="false" customHeight="false" outlineLevel="0" collapsed="false">
      <c r="A388" s="21"/>
      <c r="B388" s="22"/>
      <c r="C388" s="22"/>
      <c r="D388" s="23"/>
      <c r="E388" s="24"/>
      <c r="F388" s="22"/>
      <c r="G388" s="19" t="n">
        <f aca="false">IF($D388=0,0,$D388*$E388)</f>
        <v>0</v>
      </c>
      <c r="H388" s="20" t="str">
        <f aca="false">IF($B388="","",CONCATENATE("Pozisyon: ",$B388,"/",$C388," tutar ",TEXT($D388,"#,##0.00")))</f>
        <v/>
      </c>
    </row>
    <row r="389" customFormat="false" ht="15" hidden="false" customHeight="false" outlineLevel="0" collapsed="false">
      <c r="A389" s="21"/>
      <c r="B389" s="22"/>
      <c r="C389" s="22"/>
      <c r="D389" s="23"/>
      <c r="E389" s="24"/>
      <c r="F389" s="22"/>
      <c r="G389" s="19" t="n">
        <f aca="false">IF($D389=0,0,$D389*$E389)</f>
        <v>0</v>
      </c>
      <c r="H389" s="20" t="str">
        <f aca="false">IF($B389="","",CONCATENATE("Pozisyon: ",$B389,"/",$C389," tutar ",TEXT($D389,"#,##0.00")))</f>
        <v/>
      </c>
    </row>
    <row r="390" customFormat="false" ht="15" hidden="false" customHeight="false" outlineLevel="0" collapsed="false">
      <c r="A390" s="21"/>
      <c r="B390" s="22"/>
      <c r="C390" s="22"/>
      <c r="D390" s="23"/>
      <c r="E390" s="24"/>
      <c r="F390" s="22"/>
      <c r="G390" s="19" t="n">
        <f aca="false">IF($D390=0,0,$D390*$E390)</f>
        <v>0</v>
      </c>
      <c r="H390" s="20" t="str">
        <f aca="false">IF($B390="","",CONCATENATE("Pozisyon: ",$B390,"/",$C390," tutar ",TEXT($D390,"#,##0.00")))</f>
        <v/>
      </c>
    </row>
    <row r="391" customFormat="false" ht="15" hidden="false" customHeight="false" outlineLevel="0" collapsed="false">
      <c r="A391" s="21"/>
      <c r="B391" s="22"/>
      <c r="C391" s="22"/>
      <c r="D391" s="23"/>
      <c r="E391" s="24"/>
      <c r="F391" s="22"/>
      <c r="G391" s="19" t="n">
        <f aca="false">IF($D391=0,0,$D391*$E391)</f>
        <v>0</v>
      </c>
      <c r="H391" s="20" t="str">
        <f aca="false">IF($B391="","",CONCATENATE("Pozisyon: ",$B391,"/",$C391," tutar ",TEXT($D391,"#,##0.00")))</f>
        <v/>
      </c>
    </row>
    <row r="392" customFormat="false" ht="15" hidden="false" customHeight="false" outlineLevel="0" collapsed="false">
      <c r="A392" s="21"/>
      <c r="B392" s="22"/>
      <c r="C392" s="22"/>
      <c r="D392" s="23"/>
      <c r="E392" s="24"/>
      <c r="F392" s="22"/>
      <c r="G392" s="19" t="n">
        <f aca="false">IF($D392=0,0,$D392*$E392)</f>
        <v>0</v>
      </c>
      <c r="H392" s="20" t="str">
        <f aca="false">IF($B392="","",CONCATENATE("Pozisyon: ",$B392,"/",$C392," tutar ",TEXT($D392,"#,##0.00")))</f>
        <v/>
      </c>
    </row>
    <row r="393" customFormat="false" ht="15" hidden="false" customHeight="false" outlineLevel="0" collapsed="false">
      <c r="A393" s="21"/>
      <c r="B393" s="22"/>
      <c r="C393" s="22"/>
      <c r="D393" s="23"/>
      <c r="E393" s="24"/>
      <c r="F393" s="22"/>
      <c r="G393" s="19" t="n">
        <f aca="false">IF($D393=0,0,$D393*$E393)</f>
        <v>0</v>
      </c>
      <c r="H393" s="20" t="str">
        <f aca="false">IF($B393="","",CONCATENATE("Pozisyon: ",$B393,"/",$C393," tutar ",TEXT($D393,"#,##0.00")))</f>
        <v/>
      </c>
    </row>
    <row r="394" customFormat="false" ht="15" hidden="false" customHeight="false" outlineLevel="0" collapsed="false">
      <c r="A394" s="21"/>
      <c r="B394" s="22"/>
      <c r="C394" s="22"/>
      <c r="D394" s="23"/>
      <c r="E394" s="24"/>
      <c r="F394" s="22"/>
      <c r="G394" s="19" t="n">
        <f aca="false">IF($D394=0,0,$D394*$E394)</f>
        <v>0</v>
      </c>
      <c r="H394" s="20" t="str">
        <f aca="false">IF($B394="","",CONCATENATE("Pozisyon: ",$B394,"/",$C394," tutar ",TEXT($D394,"#,##0.00")))</f>
        <v/>
      </c>
    </row>
    <row r="395" customFormat="false" ht="15" hidden="false" customHeight="false" outlineLevel="0" collapsed="false">
      <c r="A395" s="21"/>
      <c r="B395" s="22"/>
      <c r="C395" s="22"/>
      <c r="D395" s="23"/>
      <c r="E395" s="24"/>
      <c r="F395" s="22"/>
      <c r="G395" s="19" t="n">
        <f aca="false">IF($D395=0,0,$D395*$E395)</f>
        <v>0</v>
      </c>
      <c r="H395" s="20" t="str">
        <f aca="false">IF($B395="","",CONCATENATE("Pozisyon: ",$B395,"/",$C395," tutar ",TEXT($D395,"#,##0.00")))</f>
        <v/>
      </c>
    </row>
    <row r="396" customFormat="false" ht="15" hidden="false" customHeight="false" outlineLevel="0" collapsed="false">
      <c r="A396" s="21"/>
      <c r="B396" s="22"/>
      <c r="C396" s="22"/>
      <c r="D396" s="23"/>
      <c r="E396" s="24"/>
      <c r="F396" s="22"/>
      <c r="G396" s="19" t="n">
        <f aca="false">IF($D396=0,0,$D396*$E396)</f>
        <v>0</v>
      </c>
      <c r="H396" s="20" t="str">
        <f aca="false">IF($B396="","",CONCATENATE("Pozisyon: ",$B396,"/",$C396," tutar ",TEXT($D396,"#,##0.00")))</f>
        <v/>
      </c>
    </row>
    <row r="397" customFormat="false" ht="15" hidden="false" customHeight="false" outlineLevel="0" collapsed="false">
      <c r="A397" s="21"/>
      <c r="B397" s="22"/>
      <c r="C397" s="22"/>
      <c r="D397" s="23"/>
      <c r="E397" s="24"/>
      <c r="F397" s="22"/>
      <c r="G397" s="19" t="n">
        <f aca="false">IF($D397=0,0,$D397*$E397)</f>
        <v>0</v>
      </c>
      <c r="H397" s="20" t="str">
        <f aca="false">IF($B397="","",CONCATENATE("Pozisyon: ",$B397,"/",$C397," tutar ",TEXT($D397,"#,##0.00")))</f>
        <v/>
      </c>
    </row>
    <row r="398" customFormat="false" ht="15" hidden="false" customHeight="false" outlineLevel="0" collapsed="false">
      <c r="A398" s="21"/>
      <c r="B398" s="22"/>
      <c r="C398" s="22"/>
      <c r="D398" s="23"/>
      <c r="E398" s="24"/>
      <c r="F398" s="22"/>
      <c r="G398" s="19" t="n">
        <f aca="false">IF($D398=0,0,$D398*$E398)</f>
        <v>0</v>
      </c>
      <c r="H398" s="20" t="str">
        <f aca="false">IF($B398="","",CONCATENATE("Pozisyon: ",$B398,"/",$C398," tutar ",TEXT($D398,"#,##0.00")))</f>
        <v/>
      </c>
    </row>
    <row r="399" customFormat="false" ht="15" hidden="false" customHeight="false" outlineLevel="0" collapsed="false">
      <c r="A399" s="21"/>
      <c r="B399" s="22"/>
      <c r="C399" s="22"/>
      <c r="D399" s="23"/>
      <c r="E399" s="24"/>
      <c r="F399" s="22"/>
      <c r="G399" s="19" t="n">
        <f aca="false">IF($D399=0,0,$D399*$E399)</f>
        <v>0</v>
      </c>
      <c r="H399" s="20" t="str">
        <f aca="false">IF($B399="","",CONCATENATE("Pozisyon: ",$B399,"/",$C399," tutar ",TEXT($D399,"#,##0.00")))</f>
        <v/>
      </c>
    </row>
    <row r="400" customFormat="false" ht="15" hidden="false" customHeight="false" outlineLevel="0" collapsed="false">
      <c r="A400" s="21"/>
      <c r="B400" s="22"/>
      <c r="C400" s="22"/>
      <c r="D400" s="23"/>
      <c r="E400" s="24"/>
      <c r="F400" s="22"/>
      <c r="G400" s="19" t="n">
        <f aca="false">IF($D400=0,0,$D400*$E400)</f>
        <v>0</v>
      </c>
      <c r="H400" s="20" t="str">
        <f aca="false">IF($B400="","",CONCATENATE("Pozisyon: ",$B400,"/",$C400," tutar ",TEXT($D400,"#,##0.00")))</f>
        <v/>
      </c>
    </row>
    <row r="401" customFormat="false" ht="15" hidden="false" customHeight="false" outlineLevel="0" collapsed="false">
      <c r="A401" s="21"/>
      <c r="B401" s="22"/>
      <c r="C401" s="22"/>
      <c r="D401" s="23"/>
      <c r="E401" s="24"/>
      <c r="F401" s="22"/>
      <c r="G401" s="19" t="n">
        <f aca="false">IF($D401=0,0,$D401*$E401)</f>
        <v>0</v>
      </c>
      <c r="H401" s="20" t="str">
        <f aca="false">IF($B401="","",CONCATENATE("Pozisyon: ",$B401,"/",$C401," tutar ",TEXT($D401,"#,##0.00")))</f>
        <v/>
      </c>
    </row>
    <row r="402" customFormat="false" ht="15" hidden="false" customHeight="false" outlineLevel="0" collapsed="false">
      <c r="A402" s="21"/>
      <c r="B402" s="22"/>
      <c r="C402" s="22"/>
      <c r="D402" s="23"/>
      <c r="E402" s="24"/>
      <c r="F402" s="22"/>
      <c r="G402" s="19" t="n">
        <f aca="false">IF($D402=0,0,$D402*$E402)</f>
        <v>0</v>
      </c>
      <c r="H402" s="20" t="str">
        <f aca="false">IF($B402="","",CONCATENATE("Pozisyon: ",$B402,"/",$C402," tutar ",TEXT($D402,"#,##0.00")))</f>
        <v/>
      </c>
    </row>
    <row r="403" customFormat="false" ht="15" hidden="false" customHeight="false" outlineLevel="0" collapsed="false">
      <c r="A403" s="21"/>
      <c r="B403" s="22"/>
      <c r="C403" s="22"/>
      <c r="D403" s="23"/>
      <c r="E403" s="24"/>
      <c r="F403" s="22"/>
      <c r="G403" s="19" t="n">
        <f aca="false">IF($D403=0,0,$D403*$E403)</f>
        <v>0</v>
      </c>
      <c r="H403" s="20" t="str">
        <f aca="false">IF($B403="","",CONCATENATE("Pozisyon: ",$B403,"/",$C403," tutar ",TEXT($D403,"#,##0.00")))</f>
        <v/>
      </c>
    </row>
    <row r="404" customFormat="false" ht="15" hidden="false" customHeight="false" outlineLevel="0" collapsed="false">
      <c r="A404" s="21"/>
      <c r="B404" s="22"/>
      <c r="C404" s="22"/>
      <c r="D404" s="23"/>
      <c r="E404" s="24"/>
      <c r="F404" s="22"/>
      <c r="G404" s="19" t="n">
        <f aca="false">IF($D404=0,0,$D404*$E404)</f>
        <v>0</v>
      </c>
      <c r="H404" s="20" t="str">
        <f aca="false">IF($B404="","",CONCATENATE("Pozisyon: ",$B404,"/",$C404," tutar ",TEXT($D404,"#,##0.00")))</f>
        <v/>
      </c>
    </row>
    <row r="405" customFormat="false" ht="15" hidden="false" customHeight="false" outlineLevel="0" collapsed="false">
      <c r="A405" s="21"/>
      <c r="B405" s="22"/>
      <c r="C405" s="22"/>
      <c r="D405" s="23"/>
      <c r="E405" s="24"/>
      <c r="F405" s="22"/>
      <c r="G405" s="19" t="n">
        <f aca="false">IF($D405=0,0,$D405*$E405)</f>
        <v>0</v>
      </c>
      <c r="H405" s="20" t="str">
        <f aca="false">IF($B405="","",CONCATENATE("Pozisyon: ",$B405,"/",$C405," tutar ",TEXT($D405,"#,##0.00")))</f>
        <v/>
      </c>
    </row>
    <row r="406" customFormat="false" ht="15" hidden="false" customHeight="false" outlineLevel="0" collapsed="false">
      <c r="A406" s="21"/>
      <c r="B406" s="22"/>
      <c r="C406" s="22"/>
      <c r="D406" s="23"/>
      <c r="E406" s="24"/>
      <c r="F406" s="22"/>
      <c r="G406" s="19" t="n">
        <f aca="false">IF($D406=0,0,$D406*$E406)</f>
        <v>0</v>
      </c>
      <c r="H406" s="20" t="str">
        <f aca="false">IF($B406="","",CONCATENATE("Pozisyon: ",$B406,"/",$C406," tutar ",TEXT($D406,"#,##0.00")))</f>
        <v/>
      </c>
    </row>
    <row r="407" customFormat="false" ht="15" hidden="false" customHeight="false" outlineLevel="0" collapsed="false">
      <c r="A407" s="21"/>
      <c r="B407" s="22"/>
      <c r="C407" s="22"/>
      <c r="D407" s="23"/>
      <c r="E407" s="24"/>
      <c r="F407" s="22"/>
      <c r="G407" s="19" t="n">
        <f aca="false">IF($D407=0,0,$D407*$E407)</f>
        <v>0</v>
      </c>
      <c r="H407" s="20" t="str">
        <f aca="false">IF($B407="","",CONCATENATE("Pozisyon: ",$B407,"/",$C407," tutar ",TEXT($D407,"#,##0.00")))</f>
        <v/>
      </c>
    </row>
    <row r="408" customFormat="false" ht="15" hidden="false" customHeight="false" outlineLevel="0" collapsed="false">
      <c r="A408" s="21"/>
      <c r="B408" s="22"/>
      <c r="C408" s="22"/>
      <c r="D408" s="23"/>
      <c r="E408" s="24"/>
      <c r="F408" s="22"/>
      <c r="G408" s="19" t="n">
        <f aca="false">IF($D408=0,0,$D408*$E408)</f>
        <v>0</v>
      </c>
      <c r="H408" s="20" t="str">
        <f aca="false">IF($B408="","",CONCATENATE("Pozisyon: ",$B408,"/",$C408," tutar ",TEXT($D408,"#,##0.00")))</f>
        <v/>
      </c>
    </row>
    <row r="409" customFormat="false" ht="15" hidden="false" customHeight="false" outlineLevel="0" collapsed="false">
      <c r="A409" s="21"/>
      <c r="B409" s="22"/>
      <c r="C409" s="22"/>
      <c r="D409" s="23"/>
      <c r="E409" s="24"/>
      <c r="F409" s="22"/>
      <c r="G409" s="19" t="n">
        <f aca="false">IF($D409=0,0,$D409*$E409)</f>
        <v>0</v>
      </c>
      <c r="H409" s="20" t="str">
        <f aca="false">IF($B409="","",CONCATENATE("Pozisyon: ",$B409,"/",$C409," tutar ",TEXT($D409,"#,##0.00")))</f>
        <v/>
      </c>
    </row>
    <row r="410" customFormat="false" ht="15" hidden="false" customHeight="false" outlineLevel="0" collapsed="false">
      <c r="A410" s="21"/>
      <c r="B410" s="22"/>
      <c r="C410" s="22"/>
      <c r="D410" s="23"/>
      <c r="E410" s="24"/>
      <c r="F410" s="22"/>
      <c r="G410" s="19" t="n">
        <f aca="false">IF($D410=0,0,$D410*$E410)</f>
        <v>0</v>
      </c>
      <c r="H410" s="20" t="str">
        <f aca="false">IF($B410="","",CONCATENATE("Pozisyon: ",$B410,"/",$C410," tutar ",TEXT($D410,"#,##0.00")))</f>
        <v/>
      </c>
    </row>
    <row r="411" customFormat="false" ht="15" hidden="false" customHeight="false" outlineLevel="0" collapsed="false">
      <c r="A411" s="21"/>
      <c r="B411" s="22"/>
      <c r="C411" s="22"/>
      <c r="D411" s="23"/>
      <c r="E411" s="24"/>
      <c r="F411" s="22"/>
      <c r="G411" s="19" t="n">
        <f aca="false">IF($D411=0,0,$D411*$E411)</f>
        <v>0</v>
      </c>
      <c r="H411" s="20" t="str">
        <f aca="false">IF($B411="","",CONCATENATE("Pozisyon: ",$B411,"/",$C411," tutar ",TEXT($D411,"#,##0.00")))</f>
        <v/>
      </c>
    </row>
    <row r="412" customFormat="false" ht="15" hidden="false" customHeight="false" outlineLevel="0" collapsed="false">
      <c r="A412" s="21"/>
      <c r="B412" s="22"/>
      <c r="C412" s="22"/>
      <c r="D412" s="23"/>
      <c r="E412" s="24"/>
      <c r="F412" s="22"/>
      <c r="G412" s="19" t="n">
        <f aca="false">IF($D412=0,0,$D412*$E412)</f>
        <v>0</v>
      </c>
      <c r="H412" s="20" t="str">
        <f aca="false">IF($B412="","",CONCATENATE("Pozisyon: ",$B412,"/",$C412," tutar ",TEXT($D412,"#,##0.00")))</f>
        <v/>
      </c>
    </row>
    <row r="413" customFormat="false" ht="15" hidden="false" customHeight="false" outlineLevel="0" collapsed="false">
      <c r="A413" s="21"/>
      <c r="B413" s="22"/>
      <c r="C413" s="22"/>
      <c r="D413" s="23"/>
      <c r="E413" s="24"/>
      <c r="F413" s="22"/>
      <c r="G413" s="19" t="n">
        <f aca="false">IF($D413=0,0,$D413*$E413)</f>
        <v>0</v>
      </c>
      <c r="H413" s="20" t="str">
        <f aca="false">IF($B413="","",CONCATENATE("Pozisyon: ",$B413,"/",$C413," tutar ",TEXT($D413,"#,##0.00")))</f>
        <v/>
      </c>
    </row>
    <row r="414" customFormat="false" ht="15" hidden="false" customHeight="false" outlineLevel="0" collapsed="false">
      <c r="A414" s="21"/>
      <c r="B414" s="22"/>
      <c r="C414" s="22"/>
      <c r="D414" s="23"/>
      <c r="E414" s="24"/>
      <c r="F414" s="22"/>
      <c r="G414" s="19" t="n">
        <f aca="false">IF($D414=0,0,$D414*$E414)</f>
        <v>0</v>
      </c>
      <c r="H414" s="20" t="str">
        <f aca="false">IF($B414="","",CONCATENATE("Pozisyon: ",$B414,"/",$C414," tutar ",TEXT($D414,"#,##0.00")))</f>
        <v/>
      </c>
    </row>
    <row r="415" customFormat="false" ht="15" hidden="false" customHeight="false" outlineLevel="0" collapsed="false">
      <c r="A415" s="21"/>
      <c r="B415" s="22"/>
      <c r="C415" s="22"/>
      <c r="D415" s="23"/>
      <c r="E415" s="24"/>
      <c r="F415" s="22"/>
      <c r="G415" s="19" t="n">
        <f aca="false">IF($D415=0,0,$D415*$E415)</f>
        <v>0</v>
      </c>
      <c r="H415" s="20" t="str">
        <f aca="false">IF($B415="","",CONCATENATE("Pozisyon: ",$B415,"/",$C415," tutar ",TEXT($D415,"#,##0.00")))</f>
        <v/>
      </c>
    </row>
    <row r="416" customFormat="false" ht="15" hidden="false" customHeight="false" outlineLevel="0" collapsed="false">
      <c r="A416" s="21"/>
      <c r="B416" s="22"/>
      <c r="C416" s="22"/>
      <c r="D416" s="23"/>
      <c r="E416" s="24"/>
      <c r="F416" s="22"/>
      <c r="G416" s="19" t="n">
        <f aca="false">IF($D416=0,0,$D416*$E416)</f>
        <v>0</v>
      </c>
      <c r="H416" s="20" t="str">
        <f aca="false">IF($B416="","",CONCATENATE("Pozisyon: ",$B416,"/",$C416," tutar ",TEXT($D416,"#,##0.00")))</f>
        <v/>
      </c>
    </row>
    <row r="417" customFormat="false" ht="15" hidden="false" customHeight="false" outlineLevel="0" collapsed="false">
      <c r="A417" s="21"/>
      <c r="B417" s="22"/>
      <c r="C417" s="22"/>
      <c r="D417" s="23"/>
      <c r="E417" s="24"/>
      <c r="F417" s="22"/>
      <c r="G417" s="19" t="n">
        <f aca="false">IF($D417=0,0,$D417*$E417)</f>
        <v>0</v>
      </c>
      <c r="H417" s="20" t="str">
        <f aca="false">IF($B417="","",CONCATENATE("Pozisyon: ",$B417,"/",$C417," tutar ",TEXT($D417,"#,##0.00")))</f>
        <v/>
      </c>
    </row>
    <row r="418" customFormat="false" ht="15" hidden="false" customHeight="false" outlineLevel="0" collapsed="false">
      <c r="A418" s="21"/>
      <c r="B418" s="22"/>
      <c r="C418" s="22"/>
      <c r="D418" s="23"/>
      <c r="E418" s="24"/>
      <c r="F418" s="22"/>
      <c r="G418" s="19" t="n">
        <f aca="false">IF($D418=0,0,$D418*$E418)</f>
        <v>0</v>
      </c>
      <c r="H418" s="20" t="str">
        <f aca="false">IF($B418="","",CONCATENATE("Pozisyon: ",$B418,"/",$C418," tutar ",TEXT($D418,"#,##0.00")))</f>
        <v/>
      </c>
    </row>
    <row r="419" customFormat="false" ht="15" hidden="false" customHeight="false" outlineLevel="0" collapsed="false">
      <c r="A419" s="21"/>
      <c r="B419" s="22"/>
      <c r="C419" s="22"/>
      <c r="D419" s="23"/>
      <c r="E419" s="24"/>
      <c r="F419" s="22"/>
      <c r="G419" s="19" t="n">
        <f aca="false">IF($D419=0,0,$D419*$E419)</f>
        <v>0</v>
      </c>
      <c r="H419" s="20" t="str">
        <f aca="false">IF($B419="","",CONCATENATE("Pozisyon: ",$B419,"/",$C419," tutar ",TEXT($D419,"#,##0.00")))</f>
        <v/>
      </c>
    </row>
    <row r="420" customFormat="false" ht="15" hidden="false" customHeight="false" outlineLevel="0" collapsed="false">
      <c r="A420" s="21"/>
      <c r="B420" s="22"/>
      <c r="C420" s="22"/>
      <c r="D420" s="23"/>
      <c r="E420" s="24"/>
      <c r="F420" s="22"/>
      <c r="G420" s="19" t="n">
        <f aca="false">IF($D420=0,0,$D420*$E420)</f>
        <v>0</v>
      </c>
      <c r="H420" s="20" t="str">
        <f aca="false">IF($B420="","",CONCATENATE("Pozisyon: ",$B420,"/",$C420," tutar ",TEXT($D420,"#,##0.00")))</f>
        <v/>
      </c>
    </row>
    <row r="421" customFormat="false" ht="15" hidden="false" customHeight="false" outlineLevel="0" collapsed="false">
      <c r="A421" s="21"/>
      <c r="B421" s="22"/>
      <c r="C421" s="22"/>
      <c r="D421" s="23"/>
      <c r="E421" s="24"/>
      <c r="F421" s="22"/>
      <c r="G421" s="19" t="n">
        <f aca="false">IF($D421=0,0,$D421*$E421)</f>
        <v>0</v>
      </c>
      <c r="H421" s="20" t="str">
        <f aca="false">IF($B421="","",CONCATENATE("Pozisyon: ",$B421,"/",$C421," tutar ",TEXT($D421,"#,##0.00")))</f>
        <v/>
      </c>
    </row>
    <row r="422" customFormat="false" ht="15" hidden="false" customHeight="false" outlineLevel="0" collapsed="false">
      <c r="A422" s="21"/>
      <c r="B422" s="22"/>
      <c r="C422" s="22"/>
      <c r="D422" s="23"/>
      <c r="E422" s="24"/>
      <c r="F422" s="22"/>
      <c r="G422" s="19" t="n">
        <f aca="false">IF($D422=0,0,$D422*$E422)</f>
        <v>0</v>
      </c>
      <c r="H422" s="20" t="str">
        <f aca="false">IF($B422="","",CONCATENATE("Pozisyon: ",$B422,"/",$C422," tutar ",TEXT($D422,"#,##0.00")))</f>
        <v/>
      </c>
    </row>
    <row r="423" customFormat="false" ht="15" hidden="false" customHeight="false" outlineLevel="0" collapsed="false">
      <c r="A423" s="21"/>
      <c r="B423" s="22"/>
      <c r="C423" s="22"/>
      <c r="D423" s="23"/>
      <c r="E423" s="24"/>
      <c r="F423" s="22"/>
      <c r="G423" s="19" t="n">
        <f aca="false">IF($D423=0,0,$D423*$E423)</f>
        <v>0</v>
      </c>
      <c r="H423" s="20" t="str">
        <f aca="false">IF($B423="","",CONCATENATE("Pozisyon: ",$B423,"/",$C423," tutar ",TEXT($D423,"#,##0.00")))</f>
        <v/>
      </c>
    </row>
    <row r="424" customFormat="false" ht="15" hidden="false" customHeight="false" outlineLevel="0" collapsed="false">
      <c r="A424" s="21"/>
      <c r="B424" s="22"/>
      <c r="C424" s="22"/>
      <c r="D424" s="23"/>
      <c r="E424" s="24"/>
      <c r="F424" s="22"/>
      <c r="G424" s="19" t="n">
        <f aca="false">IF($D424=0,0,$D424*$E424)</f>
        <v>0</v>
      </c>
      <c r="H424" s="20" t="str">
        <f aca="false">IF($B424="","",CONCATENATE("Pozisyon: ",$B424,"/",$C424," tutar ",TEXT($D424,"#,##0.00")))</f>
        <v/>
      </c>
    </row>
    <row r="425" customFormat="false" ht="15" hidden="false" customHeight="false" outlineLevel="0" collapsed="false">
      <c r="A425" s="21"/>
      <c r="B425" s="22"/>
      <c r="C425" s="22"/>
      <c r="D425" s="23"/>
      <c r="E425" s="24"/>
      <c r="F425" s="22"/>
      <c r="G425" s="19" t="n">
        <f aca="false">IF($D425=0,0,$D425*$E425)</f>
        <v>0</v>
      </c>
      <c r="H425" s="20" t="str">
        <f aca="false">IF($B425="","",CONCATENATE("Pozisyon: ",$B425,"/",$C425," tutar ",TEXT($D425,"#,##0.00")))</f>
        <v/>
      </c>
    </row>
    <row r="426" customFormat="false" ht="15" hidden="false" customHeight="false" outlineLevel="0" collapsed="false">
      <c r="A426" s="21"/>
      <c r="B426" s="22"/>
      <c r="C426" s="22"/>
      <c r="D426" s="23"/>
      <c r="E426" s="24"/>
      <c r="F426" s="22"/>
      <c r="G426" s="19" t="n">
        <f aca="false">IF($D426=0,0,$D426*$E426)</f>
        <v>0</v>
      </c>
      <c r="H426" s="20" t="str">
        <f aca="false">IF($B426="","",CONCATENATE("Pozisyon: ",$B426,"/",$C426," tutar ",TEXT($D426,"#,##0.00")))</f>
        <v/>
      </c>
    </row>
    <row r="427" customFormat="false" ht="15" hidden="false" customHeight="false" outlineLevel="0" collapsed="false">
      <c r="A427" s="21"/>
      <c r="B427" s="22"/>
      <c r="C427" s="22"/>
      <c r="D427" s="23"/>
      <c r="E427" s="24"/>
      <c r="F427" s="22"/>
      <c r="G427" s="19" t="n">
        <f aca="false">IF($D427=0,0,$D427*$E427)</f>
        <v>0</v>
      </c>
      <c r="H427" s="20" t="str">
        <f aca="false">IF($B427="","",CONCATENATE("Pozisyon: ",$B427,"/",$C427," tutar ",TEXT($D427,"#,##0.00")))</f>
        <v/>
      </c>
    </row>
    <row r="428" customFormat="false" ht="15" hidden="false" customHeight="false" outlineLevel="0" collapsed="false">
      <c r="A428" s="21"/>
      <c r="B428" s="22"/>
      <c r="C428" s="22"/>
      <c r="D428" s="23"/>
      <c r="E428" s="24"/>
      <c r="F428" s="22"/>
      <c r="G428" s="19" t="n">
        <f aca="false">IF($D428=0,0,$D428*$E428)</f>
        <v>0</v>
      </c>
      <c r="H428" s="20" t="str">
        <f aca="false">IF($B428="","",CONCATENATE("Pozisyon: ",$B428,"/",$C428," tutar ",TEXT($D428,"#,##0.00")))</f>
        <v/>
      </c>
    </row>
    <row r="429" customFormat="false" ht="15" hidden="false" customHeight="false" outlineLevel="0" collapsed="false">
      <c r="A429" s="21"/>
      <c r="B429" s="22"/>
      <c r="C429" s="22"/>
      <c r="D429" s="23"/>
      <c r="E429" s="24"/>
      <c r="F429" s="22"/>
      <c r="G429" s="19" t="n">
        <f aca="false">IF($D429=0,0,$D429*$E429)</f>
        <v>0</v>
      </c>
      <c r="H429" s="20" t="str">
        <f aca="false">IF($B429="","",CONCATENATE("Pozisyon: ",$B429,"/",$C429," tutar ",TEXT($D429,"#,##0.00")))</f>
        <v/>
      </c>
    </row>
    <row r="430" customFormat="false" ht="15" hidden="false" customHeight="false" outlineLevel="0" collapsed="false">
      <c r="A430" s="21"/>
      <c r="B430" s="22"/>
      <c r="C430" s="22"/>
      <c r="D430" s="23"/>
      <c r="E430" s="24"/>
      <c r="F430" s="22"/>
      <c r="G430" s="19" t="n">
        <f aca="false">IF($D430=0,0,$D430*$E430)</f>
        <v>0</v>
      </c>
      <c r="H430" s="20" t="str">
        <f aca="false">IF($B430="","",CONCATENATE("Pozisyon: ",$B430,"/",$C430," tutar ",TEXT($D430,"#,##0.00")))</f>
        <v/>
      </c>
    </row>
    <row r="431" customFormat="false" ht="15" hidden="false" customHeight="false" outlineLevel="0" collapsed="false">
      <c r="A431" s="21"/>
      <c r="B431" s="22"/>
      <c r="C431" s="22"/>
      <c r="D431" s="23"/>
      <c r="E431" s="24"/>
      <c r="F431" s="22"/>
      <c r="G431" s="19" t="n">
        <f aca="false">IF($D431=0,0,$D431*$E431)</f>
        <v>0</v>
      </c>
      <c r="H431" s="20" t="str">
        <f aca="false">IF($B431="","",CONCATENATE("Pozisyon: ",$B431,"/",$C431," tutar ",TEXT($D431,"#,##0.00")))</f>
        <v/>
      </c>
    </row>
    <row r="432" customFormat="false" ht="15" hidden="false" customHeight="false" outlineLevel="0" collapsed="false">
      <c r="A432" s="21"/>
      <c r="B432" s="22"/>
      <c r="C432" s="22"/>
      <c r="D432" s="23"/>
      <c r="E432" s="24"/>
      <c r="F432" s="22"/>
      <c r="G432" s="19" t="n">
        <f aca="false">IF($D432=0,0,$D432*$E432)</f>
        <v>0</v>
      </c>
      <c r="H432" s="20" t="str">
        <f aca="false">IF($B432="","",CONCATENATE("Pozisyon: ",$B432,"/",$C432," tutar ",TEXT($D432,"#,##0.00")))</f>
        <v/>
      </c>
    </row>
    <row r="433" customFormat="false" ht="15" hidden="false" customHeight="false" outlineLevel="0" collapsed="false">
      <c r="A433" s="21"/>
      <c r="B433" s="22"/>
      <c r="C433" s="22"/>
      <c r="D433" s="23"/>
      <c r="E433" s="24"/>
      <c r="F433" s="22"/>
      <c r="G433" s="19" t="n">
        <f aca="false">IF($D433=0,0,$D433*$E433)</f>
        <v>0</v>
      </c>
      <c r="H433" s="20" t="str">
        <f aca="false">IF($B433="","",CONCATENATE("Pozisyon: ",$B433,"/",$C433," tutar ",TEXT($D433,"#,##0.00")))</f>
        <v/>
      </c>
    </row>
    <row r="434" customFormat="false" ht="15" hidden="false" customHeight="false" outlineLevel="0" collapsed="false">
      <c r="A434" s="21"/>
      <c r="B434" s="22"/>
      <c r="C434" s="22"/>
      <c r="D434" s="23"/>
      <c r="E434" s="24"/>
      <c r="F434" s="22"/>
      <c r="G434" s="19" t="n">
        <f aca="false">IF($D434=0,0,$D434*$E434)</f>
        <v>0</v>
      </c>
      <c r="H434" s="20" t="str">
        <f aca="false">IF($B434="","",CONCATENATE("Pozisyon: ",$B434,"/",$C434," tutar ",TEXT($D434,"#,##0.00")))</f>
        <v/>
      </c>
    </row>
    <row r="435" customFormat="false" ht="15" hidden="false" customHeight="false" outlineLevel="0" collapsed="false">
      <c r="A435" s="21"/>
      <c r="B435" s="22"/>
      <c r="C435" s="22"/>
      <c r="D435" s="23"/>
      <c r="E435" s="24"/>
      <c r="F435" s="22"/>
      <c r="G435" s="19" t="n">
        <f aca="false">IF($D435=0,0,$D435*$E435)</f>
        <v>0</v>
      </c>
      <c r="H435" s="20" t="str">
        <f aca="false">IF($B435="","",CONCATENATE("Pozisyon: ",$B435,"/",$C435," tutar ",TEXT($D435,"#,##0.00")))</f>
        <v/>
      </c>
    </row>
    <row r="436" customFormat="false" ht="15" hidden="false" customHeight="false" outlineLevel="0" collapsed="false">
      <c r="A436" s="21"/>
      <c r="B436" s="22"/>
      <c r="C436" s="22"/>
      <c r="D436" s="23"/>
      <c r="E436" s="24"/>
      <c r="F436" s="22"/>
      <c r="G436" s="19" t="n">
        <f aca="false">IF($D436=0,0,$D436*$E436)</f>
        <v>0</v>
      </c>
      <c r="H436" s="20" t="str">
        <f aca="false">IF($B436="","",CONCATENATE("Pozisyon: ",$B436,"/",$C436," tutar ",TEXT($D436,"#,##0.00")))</f>
        <v/>
      </c>
    </row>
    <row r="437" customFormat="false" ht="15" hidden="false" customHeight="false" outlineLevel="0" collapsed="false">
      <c r="A437" s="21"/>
      <c r="B437" s="22"/>
      <c r="C437" s="22"/>
      <c r="D437" s="23"/>
      <c r="E437" s="24"/>
      <c r="F437" s="22"/>
      <c r="G437" s="19" t="n">
        <f aca="false">IF($D437=0,0,$D437*$E437)</f>
        <v>0</v>
      </c>
      <c r="H437" s="20" t="str">
        <f aca="false">IF($B437="","",CONCATENATE("Pozisyon: ",$B437,"/",$C437," tutar ",TEXT($D437,"#,##0.00")))</f>
        <v/>
      </c>
    </row>
    <row r="438" customFormat="false" ht="15" hidden="false" customHeight="false" outlineLevel="0" collapsed="false">
      <c r="A438" s="21"/>
      <c r="B438" s="22"/>
      <c r="C438" s="22"/>
      <c r="D438" s="23"/>
      <c r="E438" s="24"/>
      <c r="F438" s="22"/>
      <c r="G438" s="19" t="n">
        <f aca="false">IF($D438=0,0,$D438*$E438)</f>
        <v>0</v>
      </c>
      <c r="H438" s="20" t="str">
        <f aca="false">IF($B438="","",CONCATENATE("Pozisyon: ",$B438,"/",$C438," tutar ",TEXT($D438,"#,##0.00")))</f>
        <v/>
      </c>
    </row>
    <row r="439" customFormat="false" ht="15" hidden="false" customHeight="false" outlineLevel="0" collapsed="false">
      <c r="A439" s="21"/>
      <c r="B439" s="22"/>
      <c r="C439" s="22"/>
      <c r="D439" s="23"/>
      <c r="E439" s="24"/>
      <c r="F439" s="22"/>
      <c r="G439" s="19" t="n">
        <f aca="false">IF($D439=0,0,$D439*$E439)</f>
        <v>0</v>
      </c>
      <c r="H439" s="20" t="str">
        <f aca="false">IF($B439="","",CONCATENATE("Pozisyon: ",$B439,"/",$C439," tutar ",TEXT($D439,"#,##0.00")))</f>
        <v/>
      </c>
    </row>
    <row r="440" customFormat="false" ht="15" hidden="false" customHeight="false" outlineLevel="0" collapsed="false">
      <c r="A440" s="21"/>
      <c r="B440" s="22"/>
      <c r="C440" s="22"/>
      <c r="D440" s="23"/>
      <c r="E440" s="24"/>
      <c r="F440" s="22"/>
      <c r="G440" s="19" t="n">
        <f aca="false">IF($D440=0,0,$D440*$E440)</f>
        <v>0</v>
      </c>
      <c r="H440" s="20" t="str">
        <f aca="false">IF($B440="","",CONCATENATE("Pozisyon: ",$B440,"/",$C440," tutar ",TEXT($D440,"#,##0.00")))</f>
        <v/>
      </c>
    </row>
    <row r="441" customFormat="false" ht="15" hidden="false" customHeight="false" outlineLevel="0" collapsed="false">
      <c r="A441" s="21"/>
      <c r="B441" s="22"/>
      <c r="C441" s="22"/>
      <c r="D441" s="23"/>
      <c r="E441" s="24"/>
      <c r="F441" s="22"/>
      <c r="G441" s="19" t="n">
        <f aca="false">IF($D441=0,0,$D441*$E441)</f>
        <v>0</v>
      </c>
      <c r="H441" s="20" t="str">
        <f aca="false">IF($B441="","",CONCATENATE("Pozisyon: ",$B441,"/",$C441," tutar ",TEXT($D441,"#,##0.00")))</f>
        <v/>
      </c>
    </row>
    <row r="442" customFormat="false" ht="15" hidden="false" customHeight="false" outlineLevel="0" collapsed="false">
      <c r="A442" s="21"/>
      <c r="B442" s="22"/>
      <c r="C442" s="22"/>
      <c r="D442" s="23"/>
      <c r="E442" s="24"/>
      <c r="F442" s="22"/>
      <c r="G442" s="19" t="n">
        <f aca="false">IF($D442=0,0,$D442*$E442)</f>
        <v>0</v>
      </c>
      <c r="H442" s="20" t="str">
        <f aca="false">IF($B442="","",CONCATENATE("Pozisyon: ",$B442,"/",$C442," tutar ",TEXT($D442,"#,##0.00")))</f>
        <v/>
      </c>
    </row>
    <row r="443" customFormat="false" ht="15" hidden="false" customHeight="false" outlineLevel="0" collapsed="false">
      <c r="A443" s="21"/>
      <c r="B443" s="22"/>
      <c r="C443" s="22"/>
      <c r="D443" s="23"/>
      <c r="E443" s="24"/>
      <c r="F443" s="22"/>
      <c r="G443" s="19" t="n">
        <f aca="false">IF($D443=0,0,$D443*$E443)</f>
        <v>0</v>
      </c>
      <c r="H443" s="20" t="str">
        <f aca="false">IF($B443="","",CONCATENATE("Pozisyon: ",$B443,"/",$C443," tutar ",TEXT($D443,"#,##0.00")))</f>
        <v/>
      </c>
    </row>
    <row r="444" customFormat="false" ht="15" hidden="false" customHeight="false" outlineLevel="0" collapsed="false">
      <c r="A444" s="21"/>
      <c r="B444" s="22"/>
      <c r="C444" s="22"/>
      <c r="D444" s="23"/>
      <c r="E444" s="24"/>
      <c r="F444" s="22"/>
      <c r="G444" s="19" t="n">
        <f aca="false">IF($D444=0,0,$D444*$E444)</f>
        <v>0</v>
      </c>
      <c r="H444" s="20" t="str">
        <f aca="false">IF($B444="","",CONCATENATE("Pozisyon: ",$B444,"/",$C444," tutar ",TEXT($D444,"#,##0.00")))</f>
        <v/>
      </c>
    </row>
    <row r="445" customFormat="false" ht="15" hidden="false" customHeight="false" outlineLevel="0" collapsed="false">
      <c r="A445" s="21"/>
      <c r="B445" s="22"/>
      <c r="C445" s="22"/>
      <c r="D445" s="23"/>
      <c r="E445" s="24"/>
      <c r="F445" s="22"/>
      <c r="G445" s="19" t="n">
        <f aca="false">IF($D445=0,0,$D445*$E445)</f>
        <v>0</v>
      </c>
      <c r="H445" s="20" t="str">
        <f aca="false">IF($B445="","",CONCATENATE("Pozisyon: ",$B445,"/",$C445," tutar ",TEXT($D445,"#,##0.00")))</f>
        <v/>
      </c>
    </row>
    <row r="446" customFormat="false" ht="15" hidden="false" customHeight="false" outlineLevel="0" collapsed="false">
      <c r="A446" s="21"/>
      <c r="B446" s="22"/>
      <c r="C446" s="22"/>
      <c r="D446" s="23"/>
      <c r="E446" s="24"/>
      <c r="F446" s="22"/>
      <c r="G446" s="19" t="n">
        <f aca="false">IF($D446=0,0,$D446*$E446)</f>
        <v>0</v>
      </c>
      <c r="H446" s="20" t="str">
        <f aca="false">IF($B446="","",CONCATENATE("Pozisyon: ",$B446,"/",$C446," tutar ",TEXT($D446,"#,##0.00")))</f>
        <v/>
      </c>
    </row>
    <row r="447" customFormat="false" ht="15" hidden="false" customHeight="false" outlineLevel="0" collapsed="false">
      <c r="A447" s="21"/>
      <c r="B447" s="22"/>
      <c r="C447" s="22"/>
      <c r="D447" s="23"/>
      <c r="E447" s="24"/>
      <c r="F447" s="22"/>
      <c r="G447" s="19" t="n">
        <f aca="false">IF($D447=0,0,$D447*$E447)</f>
        <v>0</v>
      </c>
      <c r="H447" s="20" t="str">
        <f aca="false">IF($B447="","",CONCATENATE("Pozisyon: ",$B447,"/",$C447," tutar ",TEXT($D447,"#,##0.00")))</f>
        <v/>
      </c>
    </row>
    <row r="448" customFormat="false" ht="15" hidden="false" customHeight="false" outlineLevel="0" collapsed="false">
      <c r="A448" s="21"/>
      <c r="B448" s="22"/>
      <c r="C448" s="22"/>
      <c r="D448" s="23"/>
      <c r="E448" s="24"/>
      <c r="F448" s="22"/>
      <c r="G448" s="19" t="n">
        <f aca="false">IF($D448=0,0,$D448*$E448)</f>
        <v>0</v>
      </c>
      <c r="H448" s="20" t="str">
        <f aca="false">IF($B448="","",CONCATENATE("Pozisyon: ",$B448,"/",$C448," tutar ",TEXT($D448,"#,##0.00")))</f>
        <v/>
      </c>
    </row>
    <row r="449" customFormat="false" ht="15" hidden="false" customHeight="false" outlineLevel="0" collapsed="false">
      <c r="A449" s="21"/>
      <c r="B449" s="22"/>
      <c r="C449" s="22"/>
      <c r="D449" s="23"/>
      <c r="E449" s="24"/>
      <c r="F449" s="22"/>
      <c r="G449" s="19" t="n">
        <f aca="false">IF($D449=0,0,$D449*$E449)</f>
        <v>0</v>
      </c>
      <c r="H449" s="20" t="str">
        <f aca="false">IF($B449="","",CONCATENATE("Pozisyon: ",$B449,"/",$C449," tutar ",TEXT($D449,"#,##0.00")))</f>
        <v/>
      </c>
    </row>
    <row r="450" customFormat="false" ht="15" hidden="false" customHeight="false" outlineLevel="0" collapsed="false">
      <c r="A450" s="21"/>
      <c r="B450" s="22"/>
      <c r="C450" s="22"/>
      <c r="D450" s="23"/>
      <c r="E450" s="24"/>
      <c r="F450" s="22"/>
      <c r="G450" s="19" t="n">
        <f aca="false">IF($D450=0,0,$D450*$E450)</f>
        <v>0</v>
      </c>
      <c r="H450" s="20" t="str">
        <f aca="false">IF($B450="","",CONCATENATE("Pozisyon: ",$B450,"/",$C450," tutar ",TEXT($D450,"#,##0.00")))</f>
        <v/>
      </c>
    </row>
    <row r="451" customFormat="false" ht="15" hidden="false" customHeight="false" outlineLevel="0" collapsed="false">
      <c r="A451" s="21"/>
      <c r="B451" s="22"/>
      <c r="C451" s="22"/>
      <c r="D451" s="23"/>
      <c r="E451" s="24"/>
      <c r="F451" s="22"/>
      <c r="G451" s="19" t="n">
        <f aca="false">IF($D451=0,0,$D451*$E451)</f>
        <v>0</v>
      </c>
      <c r="H451" s="20" t="str">
        <f aca="false">IF($B451="","",CONCATENATE("Pozisyon: ",$B451,"/",$C451," tutar ",TEXT($D451,"#,##0.00")))</f>
        <v/>
      </c>
    </row>
    <row r="452" customFormat="false" ht="15" hidden="false" customHeight="false" outlineLevel="0" collapsed="false">
      <c r="A452" s="21"/>
      <c r="B452" s="22"/>
      <c r="C452" s="22"/>
      <c r="D452" s="23"/>
      <c r="E452" s="24"/>
      <c r="F452" s="22"/>
      <c r="G452" s="19" t="n">
        <f aca="false">IF($D452=0,0,$D452*$E452)</f>
        <v>0</v>
      </c>
      <c r="H452" s="20" t="str">
        <f aca="false">IF($B452="","",CONCATENATE("Pozisyon: ",$B452,"/",$C452," tutar ",TEXT($D452,"#,##0.00")))</f>
        <v/>
      </c>
    </row>
    <row r="453" customFormat="false" ht="15" hidden="false" customHeight="false" outlineLevel="0" collapsed="false">
      <c r="A453" s="21"/>
      <c r="B453" s="22"/>
      <c r="C453" s="22"/>
      <c r="D453" s="23"/>
      <c r="E453" s="24"/>
      <c r="F453" s="22"/>
      <c r="G453" s="19" t="n">
        <f aca="false">IF($D453=0,0,$D453*$E453)</f>
        <v>0</v>
      </c>
      <c r="H453" s="20" t="str">
        <f aca="false">IF($B453="","",CONCATENATE("Pozisyon: ",$B453,"/",$C453," tutar ",TEXT($D453,"#,##0.00")))</f>
        <v/>
      </c>
    </row>
    <row r="454" customFormat="false" ht="15" hidden="false" customHeight="false" outlineLevel="0" collapsed="false">
      <c r="A454" s="21"/>
      <c r="B454" s="22"/>
      <c r="C454" s="22"/>
      <c r="D454" s="23"/>
      <c r="E454" s="24"/>
      <c r="F454" s="22"/>
      <c r="G454" s="19" t="n">
        <f aca="false">IF($D454=0,0,$D454*$E454)</f>
        <v>0</v>
      </c>
      <c r="H454" s="20" t="str">
        <f aca="false">IF($B454="","",CONCATENATE("Pozisyon: ",$B454,"/",$C454," tutar ",TEXT($D454,"#,##0.00")))</f>
        <v/>
      </c>
    </row>
    <row r="455" customFormat="false" ht="15" hidden="false" customHeight="false" outlineLevel="0" collapsed="false">
      <c r="A455" s="21"/>
      <c r="B455" s="22"/>
      <c r="C455" s="22"/>
      <c r="D455" s="23"/>
      <c r="E455" s="24"/>
      <c r="F455" s="22"/>
      <c r="G455" s="19" t="n">
        <f aca="false">IF($D455=0,0,$D455*$E455)</f>
        <v>0</v>
      </c>
      <c r="H455" s="20" t="str">
        <f aca="false">IF($B455="","",CONCATENATE("Pozisyon: ",$B455,"/",$C455," tutar ",TEXT($D455,"#,##0.00")))</f>
        <v/>
      </c>
    </row>
    <row r="456" customFormat="false" ht="15" hidden="false" customHeight="false" outlineLevel="0" collapsed="false">
      <c r="A456" s="21"/>
      <c r="B456" s="22"/>
      <c r="C456" s="22"/>
      <c r="D456" s="23"/>
      <c r="E456" s="24"/>
      <c r="F456" s="22"/>
      <c r="G456" s="19" t="n">
        <f aca="false">IF($D456=0,0,$D456*$E456)</f>
        <v>0</v>
      </c>
      <c r="H456" s="20" t="str">
        <f aca="false">IF($B456="","",CONCATENATE("Pozisyon: ",$B456,"/",$C456," tutar ",TEXT($D456,"#,##0.00")))</f>
        <v/>
      </c>
    </row>
    <row r="457" customFormat="false" ht="15" hidden="false" customHeight="false" outlineLevel="0" collapsed="false">
      <c r="A457" s="21"/>
      <c r="B457" s="22"/>
      <c r="C457" s="22"/>
      <c r="D457" s="23"/>
      <c r="E457" s="24"/>
      <c r="F457" s="22"/>
      <c r="G457" s="19" t="n">
        <f aca="false">IF($D457=0,0,$D457*$E457)</f>
        <v>0</v>
      </c>
      <c r="H457" s="20" t="str">
        <f aca="false">IF($B457="","",CONCATENATE("Pozisyon: ",$B457,"/",$C457," tutar ",TEXT($D457,"#,##0.00")))</f>
        <v/>
      </c>
    </row>
    <row r="458" customFormat="false" ht="15" hidden="false" customHeight="false" outlineLevel="0" collapsed="false">
      <c r="A458" s="21"/>
      <c r="B458" s="22"/>
      <c r="C458" s="22"/>
      <c r="D458" s="23"/>
      <c r="E458" s="24"/>
      <c r="F458" s="22"/>
      <c r="G458" s="19" t="n">
        <f aca="false">IF($D458=0,0,$D458*$E458)</f>
        <v>0</v>
      </c>
      <c r="H458" s="20" t="str">
        <f aca="false">IF($B458="","",CONCATENATE("Pozisyon: ",$B458,"/",$C458," tutar ",TEXT($D458,"#,##0.00")))</f>
        <v/>
      </c>
    </row>
    <row r="459" customFormat="false" ht="15" hidden="false" customHeight="false" outlineLevel="0" collapsed="false">
      <c r="A459" s="21"/>
      <c r="B459" s="22"/>
      <c r="C459" s="22"/>
      <c r="D459" s="23"/>
      <c r="E459" s="24"/>
      <c r="F459" s="22"/>
      <c r="G459" s="19" t="n">
        <f aca="false">IF($D459=0,0,$D459*$E459)</f>
        <v>0</v>
      </c>
      <c r="H459" s="20" t="str">
        <f aca="false">IF($B459="","",CONCATENATE("Pozisyon: ",$B459,"/",$C459," tutar ",TEXT($D459,"#,##0.00")))</f>
        <v/>
      </c>
    </row>
    <row r="460" customFormat="false" ht="15" hidden="false" customHeight="false" outlineLevel="0" collapsed="false">
      <c r="A460" s="21"/>
      <c r="B460" s="22"/>
      <c r="C460" s="22"/>
      <c r="D460" s="23"/>
      <c r="E460" s="24"/>
      <c r="F460" s="22"/>
      <c r="G460" s="19" t="n">
        <f aca="false">IF($D460=0,0,$D460*$E460)</f>
        <v>0</v>
      </c>
      <c r="H460" s="20" t="str">
        <f aca="false">IF($B460="","",CONCATENATE("Pozisyon: ",$B460,"/",$C460," tutar ",TEXT($D460,"#,##0.00")))</f>
        <v/>
      </c>
    </row>
    <row r="461" customFormat="false" ht="15" hidden="false" customHeight="false" outlineLevel="0" collapsed="false">
      <c r="A461" s="21"/>
      <c r="B461" s="22"/>
      <c r="C461" s="22"/>
      <c r="D461" s="23"/>
      <c r="E461" s="24"/>
      <c r="F461" s="22"/>
      <c r="G461" s="19" t="n">
        <f aca="false">IF($D461=0,0,$D461*$E461)</f>
        <v>0</v>
      </c>
      <c r="H461" s="20" t="str">
        <f aca="false">IF($B461="","",CONCATENATE("Pozisyon: ",$B461,"/",$C461," tutar ",TEXT($D461,"#,##0.00")))</f>
        <v/>
      </c>
    </row>
    <row r="462" customFormat="false" ht="15" hidden="false" customHeight="false" outlineLevel="0" collapsed="false">
      <c r="A462" s="21"/>
      <c r="B462" s="22"/>
      <c r="C462" s="22"/>
      <c r="D462" s="23"/>
      <c r="E462" s="24"/>
      <c r="F462" s="22"/>
      <c r="G462" s="19" t="n">
        <f aca="false">IF($D462=0,0,$D462*$E462)</f>
        <v>0</v>
      </c>
      <c r="H462" s="20" t="str">
        <f aca="false">IF($B462="","",CONCATENATE("Pozisyon: ",$B462,"/",$C462," tutar ",TEXT($D462,"#,##0.00")))</f>
        <v/>
      </c>
    </row>
    <row r="463" customFormat="false" ht="15" hidden="false" customHeight="false" outlineLevel="0" collapsed="false">
      <c r="A463" s="21"/>
      <c r="B463" s="22"/>
      <c r="C463" s="22"/>
      <c r="D463" s="23"/>
      <c r="E463" s="24"/>
      <c r="F463" s="22"/>
      <c r="G463" s="19" t="n">
        <f aca="false">IF($D463=0,0,$D463*$E463)</f>
        <v>0</v>
      </c>
      <c r="H463" s="20" t="str">
        <f aca="false">IF($B463="","",CONCATENATE("Pozisyon: ",$B463,"/",$C463," tutar ",TEXT($D463,"#,##0.00")))</f>
        <v/>
      </c>
    </row>
    <row r="464" customFormat="false" ht="15" hidden="false" customHeight="false" outlineLevel="0" collapsed="false">
      <c r="A464" s="21"/>
      <c r="B464" s="22"/>
      <c r="C464" s="22"/>
      <c r="D464" s="23"/>
      <c r="E464" s="24"/>
      <c r="F464" s="22"/>
      <c r="G464" s="19" t="n">
        <f aca="false">IF($D464=0,0,$D464*$E464)</f>
        <v>0</v>
      </c>
      <c r="H464" s="20" t="str">
        <f aca="false">IF($B464="","",CONCATENATE("Pozisyon: ",$B464,"/",$C464," tutar ",TEXT($D464,"#,##0.00")))</f>
        <v/>
      </c>
    </row>
    <row r="465" customFormat="false" ht="15" hidden="false" customHeight="false" outlineLevel="0" collapsed="false">
      <c r="A465" s="21"/>
      <c r="B465" s="22"/>
      <c r="C465" s="22"/>
      <c r="D465" s="23"/>
      <c r="E465" s="24"/>
      <c r="F465" s="22"/>
      <c r="G465" s="19" t="n">
        <f aca="false">IF($D465=0,0,$D465*$E465)</f>
        <v>0</v>
      </c>
      <c r="H465" s="20" t="str">
        <f aca="false">IF($B465="","",CONCATENATE("Pozisyon: ",$B465,"/",$C465," tutar ",TEXT($D465,"#,##0.00")))</f>
        <v/>
      </c>
    </row>
    <row r="466" customFormat="false" ht="15" hidden="false" customHeight="false" outlineLevel="0" collapsed="false">
      <c r="A466" s="21"/>
      <c r="B466" s="22"/>
      <c r="C466" s="22"/>
      <c r="D466" s="23"/>
      <c r="E466" s="24"/>
      <c r="F466" s="22"/>
      <c r="G466" s="19" t="n">
        <f aca="false">IF($D466=0,0,$D466*$E466)</f>
        <v>0</v>
      </c>
      <c r="H466" s="20" t="str">
        <f aca="false">IF($B466="","",CONCATENATE("Pozisyon: ",$B466,"/",$C466," tutar ",TEXT($D466,"#,##0.00")))</f>
        <v/>
      </c>
    </row>
    <row r="467" customFormat="false" ht="15" hidden="false" customHeight="false" outlineLevel="0" collapsed="false">
      <c r="A467" s="21"/>
      <c r="B467" s="22"/>
      <c r="C467" s="22"/>
      <c r="D467" s="23"/>
      <c r="E467" s="24"/>
      <c r="F467" s="22"/>
      <c r="G467" s="19" t="n">
        <f aca="false">IF($D467=0,0,$D467*$E467)</f>
        <v>0</v>
      </c>
      <c r="H467" s="20" t="str">
        <f aca="false">IF($B467="","",CONCATENATE("Pozisyon: ",$B467,"/",$C467," tutar ",TEXT($D467,"#,##0.00")))</f>
        <v/>
      </c>
    </row>
    <row r="468" customFormat="false" ht="15" hidden="false" customHeight="false" outlineLevel="0" collapsed="false">
      <c r="A468" s="21"/>
      <c r="B468" s="22"/>
      <c r="C468" s="22"/>
      <c r="D468" s="23"/>
      <c r="E468" s="24"/>
      <c r="F468" s="22"/>
      <c r="G468" s="19" t="n">
        <f aca="false">IF($D468=0,0,$D468*$E468)</f>
        <v>0</v>
      </c>
      <c r="H468" s="20" t="str">
        <f aca="false">IF($B468="","",CONCATENATE("Pozisyon: ",$B468,"/",$C468," tutar ",TEXT($D468,"#,##0.00")))</f>
        <v/>
      </c>
    </row>
    <row r="469" customFormat="false" ht="15" hidden="false" customHeight="false" outlineLevel="0" collapsed="false">
      <c r="A469" s="21"/>
      <c r="B469" s="22"/>
      <c r="C469" s="22"/>
      <c r="D469" s="23"/>
      <c r="E469" s="24"/>
      <c r="F469" s="22"/>
      <c r="G469" s="19" t="n">
        <f aca="false">IF($D469=0,0,$D469*$E469)</f>
        <v>0</v>
      </c>
      <c r="H469" s="20" t="str">
        <f aca="false">IF($B469="","",CONCATENATE("Pozisyon: ",$B469,"/",$C469," tutar ",TEXT($D469,"#,##0.00")))</f>
        <v/>
      </c>
    </row>
    <row r="470" customFormat="false" ht="15" hidden="false" customHeight="false" outlineLevel="0" collapsed="false">
      <c r="A470" s="21"/>
      <c r="B470" s="22"/>
      <c r="C470" s="22"/>
      <c r="D470" s="23"/>
      <c r="E470" s="24"/>
      <c r="F470" s="22"/>
      <c r="G470" s="19" t="n">
        <f aca="false">IF($D470=0,0,$D470*$E470)</f>
        <v>0</v>
      </c>
      <c r="H470" s="20" t="str">
        <f aca="false">IF($B470="","",CONCATENATE("Pozisyon: ",$B470,"/",$C470," tutar ",TEXT($D470,"#,##0.00")))</f>
        <v/>
      </c>
    </row>
    <row r="471" customFormat="false" ht="15" hidden="false" customHeight="false" outlineLevel="0" collapsed="false">
      <c r="A471" s="21"/>
      <c r="B471" s="22"/>
      <c r="C471" s="22"/>
      <c r="D471" s="23"/>
      <c r="E471" s="24"/>
      <c r="F471" s="22"/>
      <c r="G471" s="19" t="n">
        <f aca="false">IF($D471=0,0,$D471*$E471)</f>
        <v>0</v>
      </c>
      <c r="H471" s="20" t="str">
        <f aca="false">IF($B471="","",CONCATENATE("Pozisyon: ",$B471,"/",$C471," tutar ",TEXT($D471,"#,##0.00")))</f>
        <v/>
      </c>
    </row>
    <row r="472" customFormat="false" ht="15" hidden="false" customHeight="false" outlineLevel="0" collapsed="false">
      <c r="A472" s="21"/>
      <c r="B472" s="22"/>
      <c r="C472" s="22"/>
      <c r="D472" s="23"/>
      <c r="E472" s="24"/>
      <c r="F472" s="22"/>
      <c r="G472" s="19" t="n">
        <f aca="false">IF($D472=0,0,$D472*$E472)</f>
        <v>0</v>
      </c>
      <c r="H472" s="20" t="str">
        <f aca="false">IF($B472="","",CONCATENATE("Pozisyon: ",$B472,"/",$C472," tutar ",TEXT($D472,"#,##0.00")))</f>
        <v/>
      </c>
    </row>
    <row r="473" customFormat="false" ht="15" hidden="false" customHeight="false" outlineLevel="0" collapsed="false">
      <c r="A473" s="21"/>
      <c r="B473" s="22"/>
      <c r="C473" s="22"/>
      <c r="D473" s="23"/>
      <c r="E473" s="24"/>
      <c r="F473" s="22"/>
      <c r="G473" s="19" t="n">
        <f aca="false">IF($D473=0,0,$D473*$E473)</f>
        <v>0</v>
      </c>
      <c r="H473" s="20" t="str">
        <f aca="false">IF($B473="","",CONCATENATE("Pozisyon: ",$B473,"/",$C473," tutar ",TEXT($D473,"#,##0.00")))</f>
        <v/>
      </c>
    </row>
    <row r="474" customFormat="false" ht="15" hidden="false" customHeight="false" outlineLevel="0" collapsed="false">
      <c r="A474" s="21"/>
      <c r="B474" s="22"/>
      <c r="C474" s="22"/>
      <c r="D474" s="23"/>
      <c r="E474" s="24"/>
      <c r="F474" s="22"/>
      <c r="G474" s="19" t="n">
        <f aca="false">IF($D474=0,0,$D474*$E474)</f>
        <v>0</v>
      </c>
      <c r="H474" s="20" t="str">
        <f aca="false">IF($B474="","",CONCATENATE("Pozisyon: ",$B474,"/",$C474," tutar ",TEXT($D474,"#,##0.00")))</f>
        <v/>
      </c>
    </row>
    <row r="475" customFormat="false" ht="15" hidden="false" customHeight="false" outlineLevel="0" collapsed="false">
      <c r="A475" s="21"/>
      <c r="B475" s="22"/>
      <c r="C475" s="22"/>
      <c r="D475" s="23"/>
      <c r="E475" s="24"/>
      <c r="F475" s="22"/>
      <c r="G475" s="19" t="n">
        <f aca="false">IF($D475=0,0,$D475*$E475)</f>
        <v>0</v>
      </c>
      <c r="H475" s="20" t="str">
        <f aca="false">IF($B475="","",CONCATENATE("Pozisyon: ",$B475,"/",$C475," tutar ",TEXT($D475,"#,##0.00")))</f>
        <v/>
      </c>
    </row>
    <row r="476" customFormat="false" ht="15" hidden="false" customHeight="false" outlineLevel="0" collapsed="false">
      <c r="A476" s="21"/>
      <c r="B476" s="22"/>
      <c r="C476" s="22"/>
      <c r="D476" s="23"/>
      <c r="E476" s="24"/>
      <c r="F476" s="22"/>
      <c r="G476" s="19" t="n">
        <f aca="false">IF($D476=0,0,$D476*$E476)</f>
        <v>0</v>
      </c>
      <c r="H476" s="20" t="str">
        <f aca="false">IF($B476="","",CONCATENATE("Pozisyon: ",$B476,"/",$C476," tutar ",TEXT($D476,"#,##0.00")))</f>
        <v/>
      </c>
    </row>
    <row r="477" customFormat="false" ht="15" hidden="false" customHeight="false" outlineLevel="0" collapsed="false">
      <c r="A477" s="21"/>
      <c r="B477" s="22"/>
      <c r="C477" s="22"/>
      <c r="D477" s="23"/>
      <c r="E477" s="24"/>
      <c r="F477" s="22"/>
      <c r="G477" s="19" t="n">
        <f aca="false">IF($D477=0,0,$D477*$E477)</f>
        <v>0</v>
      </c>
      <c r="H477" s="20" t="str">
        <f aca="false">IF($B477="","",CONCATENATE("Pozisyon: ",$B477,"/",$C477," tutar ",TEXT($D477,"#,##0.00")))</f>
        <v/>
      </c>
    </row>
    <row r="478" customFormat="false" ht="15" hidden="false" customHeight="false" outlineLevel="0" collapsed="false">
      <c r="A478" s="21"/>
      <c r="B478" s="22"/>
      <c r="C478" s="22"/>
      <c r="D478" s="23"/>
      <c r="E478" s="24"/>
      <c r="F478" s="22"/>
      <c r="G478" s="19" t="n">
        <f aca="false">IF($D478=0,0,$D478*$E478)</f>
        <v>0</v>
      </c>
      <c r="H478" s="20" t="str">
        <f aca="false">IF($B478="","",CONCATENATE("Pozisyon: ",$B478,"/",$C478," tutar ",TEXT($D478,"#,##0.00")))</f>
        <v/>
      </c>
    </row>
    <row r="479" customFormat="false" ht="15" hidden="false" customHeight="false" outlineLevel="0" collapsed="false">
      <c r="A479" s="21"/>
      <c r="B479" s="22"/>
      <c r="C479" s="22"/>
      <c r="D479" s="23"/>
      <c r="E479" s="24"/>
      <c r="F479" s="22"/>
      <c r="G479" s="19" t="n">
        <f aca="false">IF($D479=0,0,$D479*$E479)</f>
        <v>0</v>
      </c>
      <c r="H479" s="20" t="str">
        <f aca="false">IF($B479="","",CONCATENATE("Pozisyon: ",$B479,"/",$C479," tutar ",TEXT($D479,"#,##0.00")))</f>
        <v/>
      </c>
    </row>
    <row r="480" customFormat="false" ht="15" hidden="false" customHeight="false" outlineLevel="0" collapsed="false">
      <c r="A480" s="21"/>
      <c r="B480" s="22"/>
      <c r="C480" s="22"/>
      <c r="D480" s="23"/>
      <c r="E480" s="24"/>
      <c r="F480" s="22"/>
      <c r="G480" s="19" t="n">
        <f aca="false">IF($D480=0,0,$D480*$E480)</f>
        <v>0</v>
      </c>
      <c r="H480" s="20" t="str">
        <f aca="false">IF($B480="","",CONCATENATE("Pozisyon: ",$B480,"/",$C480," tutar ",TEXT($D480,"#,##0.00")))</f>
        <v/>
      </c>
    </row>
    <row r="481" customFormat="false" ht="15" hidden="false" customHeight="false" outlineLevel="0" collapsed="false">
      <c r="A481" s="21"/>
      <c r="B481" s="22"/>
      <c r="C481" s="22"/>
      <c r="D481" s="23"/>
      <c r="E481" s="24"/>
      <c r="F481" s="22"/>
      <c r="G481" s="19" t="n">
        <f aca="false">IF($D481=0,0,$D481*$E481)</f>
        <v>0</v>
      </c>
      <c r="H481" s="20" t="str">
        <f aca="false">IF($B481="","",CONCATENATE("Pozisyon: ",$B481,"/",$C481," tutar ",TEXT($D481,"#,##0.00")))</f>
        <v/>
      </c>
    </row>
    <row r="482" customFormat="false" ht="15" hidden="false" customHeight="false" outlineLevel="0" collapsed="false">
      <c r="A482" s="21"/>
      <c r="B482" s="22"/>
      <c r="C482" s="22"/>
      <c r="D482" s="23"/>
      <c r="E482" s="24"/>
      <c r="F482" s="22"/>
      <c r="G482" s="19" t="n">
        <f aca="false">IF($D482=0,0,$D482*$E482)</f>
        <v>0</v>
      </c>
      <c r="H482" s="20" t="str">
        <f aca="false">IF($B482="","",CONCATENATE("Pozisyon: ",$B482,"/",$C482," tutar ",TEXT($D482,"#,##0.00")))</f>
        <v/>
      </c>
    </row>
    <row r="483" customFormat="false" ht="15" hidden="false" customHeight="false" outlineLevel="0" collapsed="false">
      <c r="A483" s="21"/>
      <c r="B483" s="22"/>
      <c r="C483" s="22"/>
      <c r="D483" s="23"/>
      <c r="E483" s="24"/>
      <c r="F483" s="22"/>
      <c r="G483" s="19" t="n">
        <f aca="false">IF($D483=0,0,$D483*$E483)</f>
        <v>0</v>
      </c>
      <c r="H483" s="20" t="str">
        <f aca="false">IF($B483="","",CONCATENATE("Pozisyon: ",$B483,"/",$C483," tutar ",TEXT($D483,"#,##0.00")))</f>
        <v/>
      </c>
    </row>
    <row r="484" customFormat="false" ht="15" hidden="false" customHeight="false" outlineLevel="0" collapsed="false">
      <c r="A484" s="21"/>
      <c r="B484" s="22"/>
      <c r="C484" s="22"/>
      <c r="D484" s="23"/>
      <c r="E484" s="24"/>
      <c r="F484" s="22"/>
      <c r="G484" s="19" t="n">
        <f aca="false">IF($D484=0,0,$D484*$E484)</f>
        <v>0</v>
      </c>
      <c r="H484" s="20" t="str">
        <f aca="false">IF($B484="","",CONCATENATE("Pozisyon: ",$B484,"/",$C484," tutar ",TEXT($D484,"#,##0.00")))</f>
        <v/>
      </c>
    </row>
    <row r="485" customFormat="false" ht="15" hidden="false" customHeight="false" outlineLevel="0" collapsed="false">
      <c r="A485" s="21"/>
      <c r="B485" s="22"/>
      <c r="C485" s="22"/>
      <c r="D485" s="23"/>
      <c r="E485" s="24"/>
      <c r="F485" s="22"/>
      <c r="G485" s="19" t="n">
        <f aca="false">IF($D485=0,0,$D485*$E485)</f>
        <v>0</v>
      </c>
      <c r="H485" s="20" t="str">
        <f aca="false">IF($B485="","",CONCATENATE("Pozisyon: ",$B485,"/",$C485," tutar ",TEXT($D485,"#,##0.00")))</f>
        <v/>
      </c>
    </row>
    <row r="486" customFormat="false" ht="15" hidden="false" customHeight="false" outlineLevel="0" collapsed="false">
      <c r="A486" s="21"/>
      <c r="B486" s="22"/>
      <c r="C486" s="22"/>
      <c r="D486" s="23"/>
      <c r="E486" s="24"/>
      <c r="F486" s="22"/>
      <c r="G486" s="19" t="n">
        <f aca="false">IF($D486=0,0,$D486*$E486)</f>
        <v>0</v>
      </c>
      <c r="H486" s="20" t="str">
        <f aca="false">IF($B486="","",CONCATENATE("Pozisyon: ",$B486,"/",$C486," tutar ",TEXT($D486,"#,##0.00")))</f>
        <v/>
      </c>
    </row>
    <row r="487" customFormat="false" ht="15" hidden="false" customHeight="false" outlineLevel="0" collapsed="false">
      <c r="A487" s="21"/>
      <c r="B487" s="22"/>
      <c r="C487" s="22"/>
      <c r="D487" s="23"/>
      <c r="E487" s="24"/>
      <c r="F487" s="22"/>
      <c r="G487" s="19" t="n">
        <f aca="false">IF($D487=0,0,$D487*$E487)</f>
        <v>0</v>
      </c>
      <c r="H487" s="20" t="str">
        <f aca="false">IF($B487="","",CONCATENATE("Pozisyon: ",$B487,"/",$C487," tutar ",TEXT($D487,"#,##0.00")))</f>
        <v/>
      </c>
    </row>
    <row r="488" customFormat="false" ht="15" hidden="false" customHeight="false" outlineLevel="0" collapsed="false">
      <c r="A488" s="21"/>
      <c r="B488" s="22"/>
      <c r="C488" s="22"/>
      <c r="D488" s="23"/>
      <c r="E488" s="24"/>
      <c r="F488" s="22"/>
      <c r="G488" s="19" t="n">
        <f aca="false">IF($D488=0,0,$D488*$E488)</f>
        <v>0</v>
      </c>
      <c r="H488" s="20" t="str">
        <f aca="false">IF($B488="","",CONCATENATE("Pozisyon: ",$B488,"/",$C488," tutar ",TEXT($D488,"#,##0.00")))</f>
        <v/>
      </c>
    </row>
    <row r="489" customFormat="false" ht="15" hidden="false" customHeight="false" outlineLevel="0" collapsed="false">
      <c r="A489" s="21"/>
      <c r="B489" s="22"/>
      <c r="C489" s="22"/>
      <c r="D489" s="23"/>
      <c r="E489" s="24"/>
      <c r="F489" s="22"/>
      <c r="G489" s="19" t="n">
        <f aca="false">IF($D489=0,0,$D489*$E489)</f>
        <v>0</v>
      </c>
      <c r="H489" s="20" t="str">
        <f aca="false">IF($B489="","",CONCATENATE("Pozisyon: ",$B489,"/",$C489," tutar ",TEXT($D489,"#,##0.00")))</f>
        <v/>
      </c>
    </row>
    <row r="490" customFormat="false" ht="15" hidden="false" customHeight="false" outlineLevel="0" collapsed="false">
      <c r="A490" s="21"/>
      <c r="B490" s="22"/>
      <c r="C490" s="22"/>
      <c r="D490" s="23"/>
      <c r="E490" s="24"/>
      <c r="F490" s="22"/>
      <c r="G490" s="19" t="n">
        <f aca="false">IF($D490=0,0,$D490*$E490)</f>
        <v>0</v>
      </c>
      <c r="H490" s="20" t="str">
        <f aca="false">IF($B490="","",CONCATENATE("Pozisyon: ",$B490,"/",$C490," tutar ",TEXT($D490,"#,##0.00")))</f>
        <v/>
      </c>
    </row>
    <row r="491" customFormat="false" ht="15" hidden="false" customHeight="false" outlineLevel="0" collapsed="false">
      <c r="A491" s="21"/>
      <c r="B491" s="22"/>
      <c r="C491" s="22"/>
      <c r="D491" s="23"/>
      <c r="E491" s="24"/>
      <c r="F491" s="22"/>
      <c r="G491" s="19" t="n">
        <f aca="false">IF($D491=0,0,$D491*$E491)</f>
        <v>0</v>
      </c>
      <c r="H491" s="20" t="str">
        <f aca="false">IF($B491="","",CONCATENATE("Pozisyon: ",$B491,"/",$C491," tutar ",TEXT($D491,"#,##0.00")))</f>
        <v/>
      </c>
    </row>
    <row r="492" customFormat="false" ht="15" hidden="false" customHeight="false" outlineLevel="0" collapsed="false">
      <c r="A492" s="21"/>
      <c r="B492" s="22"/>
      <c r="C492" s="22"/>
      <c r="D492" s="23"/>
      <c r="E492" s="24"/>
      <c r="F492" s="22"/>
      <c r="G492" s="19" t="n">
        <f aca="false">IF($D492=0,0,$D492*$E492)</f>
        <v>0</v>
      </c>
      <c r="H492" s="20" t="str">
        <f aca="false">IF($B492="","",CONCATENATE("Pozisyon: ",$B492,"/",$C492," tutar ",TEXT($D492,"#,##0.00")))</f>
        <v/>
      </c>
    </row>
    <row r="493" customFormat="false" ht="15" hidden="false" customHeight="false" outlineLevel="0" collapsed="false">
      <c r="A493" s="21"/>
      <c r="B493" s="22"/>
      <c r="C493" s="22"/>
      <c r="D493" s="23"/>
      <c r="E493" s="24"/>
      <c r="F493" s="22"/>
      <c r="G493" s="19" t="n">
        <f aca="false">IF($D493=0,0,$D493*$E493)</f>
        <v>0</v>
      </c>
      <c r="H493" s="20" t="str">
        <f aca="false">IF($B493="","",CONCATENATE("Pozisyon: ",$B493,"/",$C493," tutar ",TEXT($D493,"#,##0.00")))</f>
        <v/>
      </c>
    </row>
    <row r="494" customFormat="false" ht="15" hidden="false" customHeight="false" outlineLevel="0" collapsed="false">
      <c r="A494" s="21"/>
      <c r="B494" s="22"/>
      <c r="C494" s="22"/>
      <c r="D494" s="23"/>
      <c r="E494" s="24"/>
      <c r="F494" s="22"/>
      <c r="G494" s="19" t="n">
        <f aca="false">IF($D494=0,0,$D494*$E494)</f>
        <v>0</v>
      </c>
      <c r="H494" s="20" t="str">
        <f aca="false">IF($B494="","",CONCATENATE("Pozisyon: ",$B494,"/",$C494," tutar ",TEXT($D494,"#,##0.00")))</f>
        <v/>
      </c>
    </row>
    <row r="495" customFormat="false" ht="15" hidden="false" customHeight="false" outlineLevel="0" collapsed="false">
      <c r="A495" s="21"/>
      <c r="B495" s="22"/>
      <c r="C495" s="22"/>
      <c r="D495" s="23"/>
      <c r="E495" s="24"/>
      <c r="F495" s="22"/>
      <c r="G495" s="19" t="n">
        <f aca="false">IF($D495=0,0,$D495*$E495)</f>
        <v>0</v>
      </c>
      <c r="H495" s="20" t="str">
        <f aca="false">IF($B495="","",CONCATENATE("Pozisyon: ",$B495,"/",$C495," tutar ",TEXT($D495,"#,##0.00")))</f>
        <v/>
      </c>
    </row>
    <row r="496" customFormat="false" ht="15" hidden="false" customHeight="false" outlineLevel="0" collapsed="false">
      <c r="A496" s="21"/>
      <c r="B496" s="22"/>
      <c r="C496" s="22"/>
      <c r="D496" s="23"/>
      <c r="E496" s="24"/>
      <c r="F496" s="22"/>
      <c r="G496" s="19" t="n">
        <f aca="false">IF($D496=0,0,$D496*$E496)</f>
        <v>0</v>
      </c>
      <c r="H496" s="20" t="str">
        <f aca="false">IF($B496="","",CONCATENATE("Pozisyon: ",$B496,"/",$C496," tutar ",TEXT($D496,"#,##0.00")))</f>
        <v/>
      </c>
    </row>
    <row r="497" customFormat="false" ht="15" hidden="false" customHeight="false" outlineLevel="0" collapsed="false">
      <c r="A497" s="21"/>
      <c r="B497" s="22"/>
      <c r="C497" s="22"/>
      <c r="D497" s="23"/>
      <c r="E497" s="24"/>
      <c r="F497" s="22"/>
      <c r="G497" s="19" t="n">
        <f aca="false">IF($D497=0,0,$D497*$E497)</f>
        <v>0</v>
      </c>
      <c r="H497" s="20" t="str">
        <f aca="false">IF($B497="","",CONCATENATE("Pozisyon: ",$B497,"/",$C497," tutar ",TEXT($D497,"#,##0.00")))</f>
        <v/>
      </c>
    </row>
    <row r="498" customFormat="false" ht="15" hidden="false" customHeight="false" outlineLevel="0" collapsed="false">
      <c r="A498" s="21"/>
      <c r="B498" s="22"/>
      <c r="C498" s="22"/>
      <c r="D498" s="23"/>
      <c r="E498" s="24"/>
      <c r="F498" s="22"/>
      <c r="G498" s="19" t="n">
        <f aca="false">IF($D498=0,0,$D498*$E498)</f>
        <v>0</v>
      </c>
      <c r="H498" s="20" t="str">
        <f aca="false">IF($B498="","",CONCATENATE("Pozisyon: ",$B498,"/",$C498," tutar ",TEXT($D498,"#,##0.00")))</f>
        <v/>
      </c>
    </row>
    <row r="499" customFormat="false" ht="15" hidden="false" customHeight="false" outlineLevel="0" collapsed="false">
      <c r="A499" s="21"/>
      <c r="B499" s="22"/>
      <c r="C499" s="22"/>
      <c r="D499" s="23"/>
      <c r="E499" s="24"/>
      <c r="F499" s="22"/>
      <c r="G499" s="19" t="n">
        <f aca="false">IF($D499=0,0,$D499*$E499)</f>
        <v>0</v>
      </c>
      <c r="H499" s="20" t="str">
        <f aca="false">IF($B499="","",CONCATENATE("Pozisyon: ",$B499,"/",$C499," tutar ",TEXT($D499,"#,##0.00")))</f>
        <v/>
      </c>
    </row>
    <row r="500" customFormat="false" ht="15" hidden="false" customHeight="false" outlineLevel="0" collapsed="false">
      <c r="A500" s="21"/>
      <c r="B500" s="22"/>
      <c r="C500" s="22"/>
      <c r="D500" s="23"/>
      <c r="E500" s="24"/>
      <c r="F500" s="22"/>
      <c r="G500" s="19" t="n">
        <f aca="false">IF($D500=0,0,$D500*$E500)</f>
        <v>0</v>
      </c>
      <c r="H500" s="20" t="str">
        <f aca="false">IF($B500="","",CONCATENATE("Pozisyon: ",$B500,"/",$C500," tutar ",TEXT($D500,"#,##0.00")))</f>
        <v/>
      </c>
    </row>
    <row r="501" customFormat="false" ht="15" hidden="false" customHeight="false" outlineLevel="0" collapsed="false">
      <c r="A501" s="21"/>
      <c r="B501" s="22"/>
      <c r="C501" s="22"/>
      <c r="D501" s="23"/>
      <c r="E501" s="24"/>
      <c r="F501" s="22"/>
      <c r="G501" s="19" t="n">
        <f aca="false">IF($D501=0,0,$D501*$E501)</f>
        <v>0</v>
      </c>
      <c r="H501" s="20" t="str">
        <f aca="false">IF($B501="","",CONCATENATE("Pozisyon: ",$B501,"/",$C501," tutar ",TEXT($D501,"#,##0.00")))</f>
        <v/>
      </c>
    </row>
    <row r="502" customFormat="false" ht="15" hidden="false" customHeight="false" outlineLevel="0" collapsed="false">
      <c r="A502" s="21"/>
      <c r="B502" s="22"/>
      <c r="C502" s="22"/>
      <c r="D502" s="23"/>
      <c r="E502" s="24"/>
      <c r="F502" s="22"/>
      <c r="G502" s="19" t="n">
        <f aca="false">IF($D502=0,0,$D502*$E502)</f>
        <v>0</v>
      </c>
      <c r="H502" s="20" t="str">
        <f aca="false">IF($B502="","",CONCATENATE("Pozisyon: ",$B502,"/",$C502," tutar ",TEXT($D502,"#,##0.00")))</f>
        <v/>
      </c>
    </row>
    <row r="503" customFormat="false" ht="15" hidden="false" customHeight="false" outlineLevel="0" collapsed="false">
      <c r="A503" s="21"/>
      <c r="B503" s="22"/>
      <c r="C503" s="22"/>
      <c r="D503" s="23"/>
      <c r="E503" s="24"/>
      <c r="F503" s="22"/>
      <c r="G503" s="19" t="n">
        <f aca="false">IF($D503=0,0,$D503*$E503)</f>
        <v>0</v>
      </c>
      <c r="H503" s="20" t="str">
        <f aca="false">IF($B503="","",CONCATENATE("Pozisyon: ",$B503,"/",$C503," tutar ",TEXT($D503,"#,##0.00")))</f>
        <v/>
      </c>
    </row>
    <row r="504" customFormat="false" ht="15" hidden="false" customHeight="false" outlineLevel="0" collapsed="false">
      <c r="A504" s="21"/>
      <c r="B504" s="22"/>
      <c r="C504" s="22"/>
      <c r="D504" s="23"/>
      <c r="E504" s="24"/>
      <c r="F504" s="22"/>
      <c r="G504" s="19" t="n">
        <f aca="false">IF($D504=0,0,$D504*$E504)</f>
        <v>0</v>
      </c>
      <c r="H504" s="20" t="str">
        <f aca="false">IF($B504="","",CONCATENATE("Pozisyon: ",$B504,"/",$C504," tutar ",TEXT($D504,"#,##0.00")))</f>
        <v/>
      </c>
    </row>
    <row r="505" customFormat="false" ht="15" hidden="false" customHeight="false" outlineLevel="0" collapsed="false">
      <c r="A505" s="21"/>
      <c r="B505" s="22"/>
      <c r="C505" s="22"/>
      <c r="D505" s="23"/>
      <c r="E505" s="24"/>
      <c r="F505" s="22"/>
      <c r="G505" s="19" t="n">
        <f aca="false">IF($D505=0,0,$D505*$E505)</f>
        <v>0</v>
      </c>
      <c r="H505" s="20" t="str">
        <f aca="false">IF($B505="","",CONCATENATE("Pozisyon: ",$B505,"/",$C505," tutar ",TEXT($D505,"#,##0.00")))</f>
        <v/>
      </c>
    </row>
    <row r="506" customFormat="false" ht="15" hidden="false" customHeight="false" outlineLevel="0" collapsed="false">
      <c r="A506" s="21"/>
      <c r="B506" s="22"/>
      <c r="C506" s="22"/>
      <c r="D506" s="23"/>
      <c r="E506" s="24"/>
      <c r="F506" s="22"/>
      <c r="G506" s="19" t="n">
        <f aca="false">IF($D506=0,0,$D506*$E506)</f>
        <v>0</v>
      </c>
      <c r="H506" s="20" t="str">
        <f aca="false">IF($B506="","",CONCATENATE("Pozisyon: ",$B506,"/",$C506," tutar ",TEXT($D506,"#,##0.00")))</f>
        <v/>
      </c>
    </row>
    <row r="507" customFormat="false" ht="15" hidden="false" customHeight="false" outlineLevel="0" collapsed="false">
      <c r="A507" s="21"/>
      <c r="B507" s="22"/>
      <c r="C507" s="22"/>
      <c r="D507" s="23"/>
      <c r="E507" s="24"/>
      <c r="F507" s="22"/>
      <c r="G507" s="19" t="n">
        <f aca="false">IF($D507=0,0,$D507*$E507)</f>
        <v>0</v>
      </c>
      <c r="H507" s="20" t="str">
        <f aca="false">IF($B507="","",CONCATENATE("Pozisyon: ",$B507,"/",$C507," tutar ",TEXT($D507,"#,##0.00")))</f>
        <v/>
      </c>
    </row>
    <row r="508" customFormat="false" ht="15" hidden="false" customHeight="false" outlineLevel="0" collapsed="false">
      <c r="A508" s="21"/>
      <c r="B508" s="22"/>
      <c r="C508" s="22"/>
      <c r="D508" s="23"/>
      <c r="E508" s="24"/>
      <c r="F508" s="22"/>
      <c r="G508" s="19" t="n">
        <f aca="false">IF($D508=0,0,$D508*$E508)</f>
        <v>0</v>
      </c>
      <c r="H508" s="20" t="str">
        <f aca="false">IF($B508="","",CONCATENATE("Pozisyon: ",$B508,"/",$C508," tutar ",TEXT($D508,"#,##0.00")))</f>
        <v/>
      </c>
    </row>
    <row r="509" customFormat="false" ht="15" hidden="false" customHeight="false" outlineLevel="0" collapsed="false">
      <c r="A509" s="21"/>
      <c r="B509" s="22"/>
      <c r="C509" s="22"/>
      <c r="D509" s="23"/>
      <c r="E509" s="24"/>
      <c r="F509" s="22"/>
      <c r="G509" s="19" t="n">
        <f aca="false">IF($D509=0,0,$D509*$E509)</f>
        <v>0</v>
      </c>
      <c r="H509" s="20" t="str">
        <f aca="false">IF($B509="","",CONCATENATE("Pozisyon: ",$B509,"/",$C509," tutar ",TEXT($D509,"#,##0.00")))</f>
        <v/>
      </c>
    </row>
    <row r="510" customFormat="false" ht="15" hidden="false" customHeight="false" outlineLevel="0" collapsed="false">
      <c r="A510" s="21"/>
      <c r="B510" s="22"/>
      <c r="C510" s="22"/>
      <c r="D510" s="23"/>
      <c r="E510" s="24"/>
      <c r="F510" s="22"/>
      <c r="G510" s="19" t="n">
        <f aca="false">IF($D510=0,0,$D510*$E510)</f>
        <v>0</v>
      </c>
      <c r="H510" s="20" t="str">
        <f aca="false">IF($B510="","",CONCATENATE("Pozisyon: ",$B510,"/",$C510," tutar ",TEXT($D510,"#,##0.00")))</f>
        <v/>
      </c>
    </row>
    <row r="511" customFormat="false" ht="15" hidden="false" customHeight="false" outlineLevel="0" collapsed="false">
      <c r="A511" s="21"/>
      <c r="B511" s="22"/>
      <c r="C511" s="22"/>
      <c r="D511" s="23"/>
      <c r="E511" s="24"/>
      <c r="F511" s="22"/>
      <c r="G511" s="19" t="n">
        <f aca="false">IF($D511=0,0,$D511*$E511)</f>
        <v>0</v>
      </c>
      <c r="H511" s="20" t="str">
        <f aca="false">IF($B511="","",CONCATENATE("Pozisyon: ",$B511,"/",$C511," tutar ",TEXT($D511,"#,##0.00")))</f>
        <v/>
      </c>
    </row>
    <row r="512" customFormat="false" ht="15" hidden="false" customHeight="false" outlineLevel="0" collapsed="false">
      <c r="A512" s="21"/>
      <c r="B512" s="22"/>
      <c r="C512" s="22"/>
      <c r="D512" s="23"/>
      <c r="E512" s="24"/>
      <c r="F512" s="22"/>
      <c r="G512" s="19" t="n">
        <f aca="false">IF($D512=0,0,$D512*$E512)</f>
        <v>0</v>
      </c>
      <c r="H512" s="20" t="str">
        <f aca="false">IF($B512="","",CONCATENATE("Pozisyon: ",$B512,"/",$C512," tutar ",TEXT($D512,"#,##0.00")))</f>
        <v/>
      </c>
    </row>
    <row r="513" customFormat="false" ht="15" hidden="false" customHeight="false" outlineLevel="0" collapsed="false">
      <c r="A513" s="21"/>
      <c r="B513" s="22"/>
      <c r="C513" s="22"/>
      <c r="D513" s="23"/>
      <c r="E513" s="24"/>
      <c r="F513" s="22"/>
      <c r="G513" s="19" t="n">
        <f aca="false">IF($D513=0,0,$D513*$E513)</f>
        <v>0</v>
      </c>
      <c r="H513" s="20" t="str">
        <f aca="false">IF($B513="","",CONCATENATE("Pozisyon: ",$B513,"/",$C513," tutar ",TEXT($D513,"#,##0.00")))</f>
        <v/>
      </c>
    </row>
    <row r="514" customFormat="false" ht="15" hidden="false" customHeight="false" outlineLevel="0" collapsed="false">
      <c r="A514" s="21"/>
      <c r="B514" s="22"/>
      <c r="C514" s="22"/>
      <c r="D514" s="23"/>
      <c r="E514" s="24"/>
      <c r="F514" s="22"/>
      <c r="G514" s="19" t="n">
        <f aca="false">IF($D514=0,0,$D514*$E514)</f>
        <v>0</v>
      </c>
      <c r="H514" s="20" t="str">
        <f aca="false">IF($B514="","",CONCATENATE("Pozisyon: ",$B514,"/",$C514," tutar ",TEXT($D514,"#,##0.00")))</f>
        <v/>
      </c>
    </row>
    <row r="515" customFormat="false" ht="15" hidden="false" customHeight="false" outlineLevel="0" collapsed="false">
      <c r="A515" s="21"/>
      <c r="B515" s="22"/>
      <c r="C515" s="22"/>
      <c r="D515" s="23"/>
      <c r="E515" s="24"/>
      <c r="F515" s="22"/>
      <c r="G515" s="19" t="n">
        <f aca="false">IF($D515=0,0,$D515*$E515)</f>
        <v>0</v>
      </c>
      <c r="H515" s="20" t="str">
        <f aca="false">IF($B515="","",CONCATENATE("Pozisyon: ",$B515,"/",$C515," tutar ",TEXT($D515,"#,##0.00")))</f>
        <v/>
      </c>
    </row>
    <row r="516" customFormat="false" ht="15" hidden="false" customHeight="false" outlineLevel="0" collapsed="false">
      <c r="A516" s="21"/>
      <c r="B516" s="22"/>
      <c r="C516" s="22"/>
      <c r="D516" s="23"/>
      <c r="E516" s="24"/>
      <c r="F516" s="22"/>
      <c r="G516" s="19" t="n">
        <f aca="false">IF($D516=0,0,$D516*$E516)</f>
        <v>0</v>
      </c>
      <c r="H516" s="20" t="str">
        <f aca="false">IF($B516="","",CONCATENATE("Pozisyon: ",$B516,"/",$C516," tutar ",TEXT($D516,"#,##0.00")))</f>
        <v/>
      </c>
    </row>
    <row r="517" customFormat="false" ht="15" hidden="false" customHeight="false" outlineLevel="0" collapsed="false">
      <c r="A517" s="21"/>
      <c r="B517" s="22"/>
      <c r="C517" s="22"/>
      <c r="D517" s="23"/>
      <c r="E517" s="24"/>
      <c r="F517" s="22"/>
      <c r="G517" s="19" t="n">
        <f aca="false">IF($D517=0,0,$D517*$E517)</f>
        <v>0</v>
      </c>
      <c r="H517" s="20" t="str">
        <f aca="false">IF($B517="","",CONCATENATE("Pozisyon: ",$B517,"/",$C517," tutar ",TEXT($D517,"#,##0.00")))</f>
        <v/>
      </c>
    </row>
    <row r="518" customFormat="false" ht="15" hidden="false" customHeight="false" outlineLevel="0" collapsed="false">
      <c r="A518" s="21"/>
      <c r="B518" s="22"/>
      <c r="C518" s="22"/>
      <c r="D518" s="23"/>
      <c r="E518" s="24"/>
      <c r="F518" s="22"/>
      <c r="G518" s="19" t="n">
        <f aca="false">IF($D518=0,0,$D518*$E518)</f>
        <v>0</v>
      </c>
      <c r="H518" s="20" t="str">
        <f aca="false">IF($B518="","",CONCATENATE("Pozisyon: ",$B518,"/",$C518," tutar ",TEXT($D518,"#,##0.00")))</f>
        <v/>
      </c>
    </row>
    <row r="519" customFormat="false" ht="15" hidden="false" customHeight="false" outlineLevel="0" collapsed="false">
      <c r="A519" s="21"/>
      <c r="B519" s="22"/>
      <c r="C519" s="22"/>
      <c r="D519" s="23"/>
      <c r="E519" s="24"/>
      <c r="F519" s="22"/>
      <c r="G519" s="19" t="n">
        <f aca="false">IF($D519=0,0,$D519*$E519)</f>
        <v>0</v>
      </c>
      <c r="H519" s="20" t="str">
        <f aca="false">IF($B519="","",CONCATENATE("Pozisyon: ",$B519,"/",$C519," tutar ",TEXT($D519,"#,##0.00")))</f>
        <v/>
      </c>
    </row>
    <row r="520" customFormat="false" ht="15" hidden="false" customHeight="false" outlineLevel="0" collapsed="false">
      <c r="A520" s="21"/>
      <c r="B520" s="22"/>
      <c r="C520" s="22"/>
      <c r="D520" s="23"/>
      <c r="E520" s="24"/>
      <c r="F520" s="22"/>
      <c r="G520" s="19" t="n">
        <f aca="false">IF($D520=0,0,$D520*$E520)</f>
        <v>0</v>
      </c>
      <c r="H520" s="20" t="str">
        <f aca="false">IF($B520="","",CONCATENATE("Pozisyon: ",$B520,"/",$C520," tutar ",TEXT($D520,"#,##0.00")))</f>
        <v/>
      </c>
    </row>
    <row r="521" customFormat="false" ht="15" hidden="false" customHeight="false" outlineLevel="0" collapsed="false">
      <c r="A521" s="21"/>
      <c r="B521" s="22"/>
      <c r="C521" s="22"/>
      <c r="D521" s="23"/>
      <c r="E521" s="24"/>
      <c r="F521" s="22"/>
      <c r="G521" s="19" t="n">
        <f aca="false">IF($D521=0,0,$D521*$E521)</f>
        <v>0</v>
      </c>
      <c r="H521" s="20" t="str">
        <f aca="false">IF($B521="","",CONCATENATE("Pozisyon: ",$B521,"/",$C521," tutar ",TEXT($D521,"#,##0.00")))</f>
        <v/>
      </c>
    </row>
    <row r="522" customFormat="false" ht="15" hidden="false" customHeight="false" outlineLevel="0" collapsed="false">
      <c r="A522" s="21"/>
      <c r="B522" s="22"/>
      <c r="C522" s="22"/>
      <c r="D522" s="23"/>
      <c r="E522" s="24"/>
      <c r="F522" s="22"/>
      <c r="G522" s="19" t="n">
        <f aca="false">IF($D522=0,0,$D522*$E522)</f>
        <v>0</v>
      </c>
      <c r="H522" s="20" t="str">
        <f aca="false">IF($B522="","",CONCATENATE("Pozisyon: ",$B522,"/",$C522," tutar ",TEXT($D522,"#,##0.00")))</f>
        <v/>
      </c>
    </row>
    <row r="523" customFormat="false" ht="15" hidden="false" customHeight="false" outlineLevel="0" collapsed="false">
      <c r="A523" s="21"/>
      <c r="B523" s="22"/>
      <c r="C523" s="22"/>
      <c r="D523" s="23"/>
      <c r="E523" s="24"/>
      <c r="F523" s="22"/>
      <c r="G523" s="19" t="n">
        <f aca="false">IF($D523=0,0,$D523*$E523)</f>
        <v>0</v>
      </c>
      <c r="H523" s="20" t="str">
        <f aca="false">IF($B523="","",CONCATENATE("Pozisyon: ",$B523,"/",$C523," tutar ",TEXT($D523,"#,##0.00")))</f>
        <v/>
      </c>
    </row>
    <row r="524" customFormat="false" ht="15" hidden="false" customHeight="false" outlineLevel="0" collapsed="false">
      <c r="A524" s="21"/>
      <c r="B524" s="22"/>
      <c r="C524" s="22"/>
      <c r="D524" s="23"/>
      <c r="E524" s="24"/>
      <c r="F524" s="22"/>
      <c r="G524" s="19" t="n">
        <f aca="false">IF($D524=0,0,$D524*$E524)</f>
        <v>0</v>
      </c>
      <c r="H524" s="20" t="str">
        <f aca="false">IF($B524="","",CONCATENATE("Pozisyon: ",$B524,"/",$C524," tutar ",TEXT($D524,"#,##0.00")))</f>
        <v/>
      </c>
    </row>
    <row r="525" customFormat="false" ht="15" hidden="false" customHeight="false" outlineLevel="0" collapsed="false">
      <c r="A525" s="21"/>
      <c r="B525" s="22"/>
      <c r="C525" s="22"/>
      <c r="D525" s="23"/>
      <c r="E525" s="24"/>
      <c r="F525" s="22"/>
      <c r="G525" s="19" t="n">
        <f aca="false">IF($D525=0,0,$D525*$E525)</f>
        <v>0</v>
      </c>
      <c r="H525" s="20" t="str">
        <f aca="false">IF($B525="","",CONCATENATE("Pozisyon: ",$B525,"/",$C525," tutar ",TEXT($D525,"#,##0.00")))</f>
        <v/>
      </c>
    </row>
    <row r="526" customFormat="false" ht="15" hidden="false" customHeight="false" outlineLevel="0" collapsed="false">
      <c r="A526" s="21"/>
      <c r="B526" s="22"/>
      <c r="C526" s="22"/>
      <c r="D526" s="23"/>
      <c r="E526" s="24"/>
      <c r="F526" s="22"/>
      <c r="G526" s="19" t="n">
        <f aca="false">IF($D526=0,0,$D526*$E526)</f>
        <v>0</v>
      </c>
      <c r="H526" s="20" t="str">
        <f aca="false">IF($B526="","",CONCATENATE("Pozisyon: ",$B526,"/",$C526," tutar ",TEXT($D526,"#,##0.00")))</f>
        <v/>
      </c>
    </row>
    <row r="527" customFormat="false" ht="15" hidden="false" customHeight="false" outlineLevel="0" collapsed="false">
      <c r="A527" s="21"/>
      <c r="B527" s="22"/>
      <c r="C527" s="22"/>
      <c r="D527" s="23"/>
      <c r="E527" s="24"/>
      <c r="F527" s="22"/>
      <c r="G527" s="19" t="n">
        <f aca="false">IF($D527=0,0,$D527*$E527)</f>
        <v>0</v>
      </c>
      <c r="H527" s="20" t="str">
        <f aca="false">IF($B527="","",CONCATENATE("Pozisyon: ",$B527,"/",$C527," tutar ",TEXT($D527,"#,##0.00")))</f>
        <v/>
      </c>
    </row>
    <row r="528" customFormat="false" ht="15" hidden="false" customHeight="false" outlineLevel="0" collapsed="false">
      <c r="A528" s="21"/>
      <c r="B528" s="22"/>
      <c r="C528" s="22"/>
      <c r="D528" s="23"/>
      <c r="E528" s="24"/>
      <c r="F528" s="22"/>
      <c r="G528" s="19" t="n">
        <f aca="false">IF($D528=0,0,$D528*$E528)</f>
        <v>0</v>
      </c>
      <c r="H528" s="20" t="str">
        <f aca="false">IF($B528="","",CONCATENATE("Pozisyon: ",$B528,"/",$C528," tutar ",TEXT($D528,"#,##0.00")))</f>
        <v/>
      </c>
    </row>
    <row r="529" customFormat="false" ht="15" hidden="false" customHeight="false" outlineLevel="0" collapsed="false">
      <c r="A529" s="21"/>
      <c r="B529" s="22"/>
      <c r="C529" s="22"/>
      <c r="D529" s="23"/>
      <c r="E529" s="24"/>
      <c r="F529" s="22"/>
      <c r="G529" s="19" t="n">
        <f aca="false">IF($D529=0,0,$D529*$E529)</f>
        <v>0</v>
      </c>
      <c r="H529" s="20" t="str">
        <f aca="false">IF($B529="","",CONCATENATE("Pozisyon: ",$B529,"/",$C529," tutar ",TEXT($D529,"#,##0.00")))</f>
        <v/>
      </c>
    </row>
    <row r="530" customFormat="false" ht="15" hidden="false" customHeight="false" outlineLevel="0" collapsed="false">
      <c r="A530" s="21"/>
      <c r="B530" s="22"/>
      <c r="C530" s="22"/>
      <c r="D530" s="23"/>
      <c r="E530" s="24"/>
      <c r="F530" s="22"/>
      <c r="G530" s="19" t="n">
        <f aca="false">IF($D530=0,0,$D530*$E530)</f>
        <v>0</v>
      </c>
      <c r="H530" s="20" t="str">
        <f aca="false">IF($B530="","",CONCATENATE("Pozisyon: ",$B530,"/",$C530," tutar ",TEXT($D530,"#,##0.00")))</f>
        <v/>
      </c>
    </row>
    <row r="531" customFormat="false" ht="15" hidden="false" customHeight="false" outlineLevel="0" collapsed="false">
      <c r="A531" s="21"/>
      <c r="B531" s="22"/>
      <c r="C531" s="22"/>
      <c r="D531" s="23"/>
      <c r="E531" s="24"/>
      <c r="F531" s="22"/>
      <c r="G531" s="19" t="n">
        <f aca="false">IF($D531=0,0,$D531*$E531)</f>
        <v>0</v>
      </c>
      <c r="H531" s="20" t="str">
        <f aca="false">IF($B531="","",CONCATENATE("Pozisyon: ",$B531,"/",$C531," tutar ",TEXT($D531,"#,##0.00")))</f>
        <v/>
      </c>
    </row>
    <row r="532" customFormat="false" ht="15" hidden="false" customHeight="false" outlineLevel="0" collapsed="false">
      <c r="A532" s="21"/>
      <c r="B532" s="22"/>
      <c r="C532" s="22"/>
      <c r="D532" s="23"/>
      <c r="E532" s="24"/>
      <c r="F532" s="22"/>
      <c r="G532" s="19" t="n">
        <f aca="false">IF($D532=0,0,$D532*$E532)</f>
        <v>0</v>
      </c>
      <c r="H532" s="20" t="str">
        <f aca="false">IF($B532="","",CONCATENATE("Pozisyon: ",$B532,"/",$C532," tutar ",TEXT($D532,"#,##0.00")))</f>
        <v/>
      </c>
    </row>
    <row r="533" customFormat="false" ht="15" hidden="false" customHeight="false" outlineLevel="0" collapsed="false">
      <c r="A533" s="21"/>
      <c r="B533" s="22"/>
      <c r="C533" s="22"/>
      <c r="D533" s="23"/>
      <c r="E533" s="24"/>
      <c r="F533" s="22"/>
      <c r="G533" s="19" t="n">
        <f aca="false">IF($D533=0,0,$D533*$E533)</f>
        <v>0</v>
      </c>
      <c r="H533" s="20" t="str">
        <f aca="false">IF($B533="","",CONCATENATE("Pozisyon: ",$B533,"/",$C533," tutar ",TEXT($D533,"#,##0.00")))</f>
        <v/>
      </c>
    </row>
    <row r="534" customFormat="false" ht="15" hidden="false" customHeight="false" outlineLevel="0" collapsed="false">
      <c r="A534" s="21"/>
      <c r="B534" s="22"/>
      <c r="C534" s="22"/>
      <c r="D534" s="23"/>
      <c r="E534" s="24"/>
      <c r="F534" s="22"/>
      <c r="G534" s="19" t="n">
        <f aca="false">IF($D534=0,0,$D534*$E534)</f>
        <v>0</v>
      </c>
      <c r="H534" s="20" t="str">
        <f aca="false">IF($B534="","",CONCATENATE("Pozisyon: ",$B534,"/",$C534," tutar ",TEXT($D534,"#,##0.00")))</f>
        <v/>
      </c>
    </row>
    <row r="535" customFormat="false" ht="15" hidden="false" customHeight="false" outlineLevel="0" collapsed="false">
      <c r="A535" s="21"/>
      <c r="B535" s="22"/>
      <c r="C535" s="22"/>
      <c r="D535" s="23"/>
      <c r="E535" s="24"/>
      <c r="F535" s="22"/>
      <c r="G535" s="19" t="n">
        <f aca="false">IF($D535=0,0,$D535*$E535)</f>
        <v>0</v>
      </c>
      <c r="H535" s="20" t="str">
        <f aca="false">IF($B535="","",CONCATENATE("Pozisyon: ",$B535,"/",$C535," tutar ",TEXT($D535,"#,##0.00")))</f>
        <v/>
      </c>
    </row>
    <row r="536" customFormat="false" ht="15" hidden="false" customHeight="false" outlineLevel="0" collapsed="false">
      <c r="A536" s="21"/>
      <c r="B536" s="22"/>
      <c r="C536" s="22"/>
      <c r="D536" s="23"/>
      <c r="E536" s="24"/>
      <c r="F536" s="22"/>
      <c r="G536" s="19" t="n">
        <f aca="false">IF($D536=0,0,$D536*$E536)</f>
        <v>0</v>
      </c>
      <c r="H536" s="20" t="str">
        <f aca="false">IF($B536="","",CONCATENATE("Pozisyon: ",$B536,"/",$C536," tutar ",TEXT($D536,"#,##0.00")))</f>
        <v/>
      </c>
    </row>
    <row r="537" customFormat="false" ht="15" hidden="false" customHeight="false" outlineLevel="0" collapsed="false">
      <c r="A537" s="21"/>
      <c r="B537" s="22"/>
      <c r="C537" s="22"/>
      <c r="D537" s="23"/>
      <c r="E537" s="24"/>
      <c r="F537" s="22"/>
      <c r="G537" s="19" t="n">
        <f aca="false">IF($D537=0,0,$D537*$E537)</f>
        <v>0</v>
      </c>
      <c r="H537" s="20" t="str">
        <f aca="false">IF($B537="","",CONCATENATE("Pozisyon: ",$B537,"/",$C537," tutar ",TEXT($D537,"#,##0.00")))</f>
        <v/>
      </c>
    </row>
    <row r="538" customFormat="false" ht="15" hidden="false" customHeight="false" outlineLevel="0" collapsed="false">
      <c r="A538" s="21"/>
      <c r="B538" s="22"/>
      <c r="C538" s="22"/>
      <c r="D538" s="23"/>
      <c r="E538" s="24"/>
      <c r="F538" s="22"/>
      <c r="G538" s="19" t="n">
        <f aca="false">IF($D538=0,0,$D538*$E538)</f>
        <v>0</v>
      </c>
      <c r="H538" s="20" t="str">
        <f aca="false">IF($B538="","",CONCATENATE("Pozisyon: ",$B538,"/",$C538," tutar ",TEXT($D538,"#,##0.00")))</f>
        <v/>
      </c>
    </row>
    <row r="539" customFormat="false" ht="15" hidden="false" customHeight="false" outlineLevel="0" collapsed="false">
      <c r="A539" s="21"/>
      <c r="B539" s="22"/>
      <c r="C539" s="22"/>
      <c r="D539" s="23"/>
      <c r="E539" s="24"/>
      <c r="F539" s="22"/>
      <c r="G539" s="19" t="n">
        <f aca="false">IF($D539=0,0,$D539*$E539)</f>
        <v>0</v>
      </c>
      <c r="H539" s="20" t="str">
        <f aca="false">IF($B539="","",CONCATENATE("Pozisyon: ",$B539,"/",$C539," tutar ",TEXT($D539,"#,##0.00")))</f>
        <v/>
      </c>
    </row>
    <row r="540" customFormat="false" ht="15" hidden="false" customHeight="false" outlineLevel="0" collapsed="false">
      <c r="A540" s="21"/>
      <c r="B540" s="22"/>
      <c r="C540" s="22"/>
      <c r="D540" s="23"/>
      <c r="E540" s="24"/>
      <c r="F540" s="22"/>
      <c r="G540" s="19" t="n">
        <f aca="false">IF($D540=0,0,$D540*$E540)</f>
        <v>0</v>
      </c>
      <c r="H540" s="20" t="str">
        <f aca="false">IF($B540="","",CONCATENATE("Pozisyon: ",$B540,"/",$C540," tutar ",TEXT($D540,"#,##0.00")))</f>
        <v/>
      </c>
    </row>
    <row r="541" customFormat="false" ht="15" hidden="false" customHeight="false" outlineLevel="0" collapsed="false">
      <c r="A541" s="21"/>
      <c r="B541" s="22"/>
      <c r="C541" s="22"/>
      <c r="D541" s="23"/>
      <c r="E541" s="24"/>
      <c r="F541" s="22"/>
      <c r="G541" s="19" t="n">
        <f aca="false">IF($D541=0,0,$D541*$E541)</f>
        <v>0</v>
      </c>
      <c r="H541" s="20" t="str">
        <f aca="false">IF($B541="","",CONCATENATE("Pozisyon: ",$B541,"/",$C541," tutar ",TEXT($D541,"#,##0.00")))</f>
        <v/>
      </c>
    </row>
    <row r="542" customFormat="false" ht="15" hidden="false" customHeight="false" outlineLevel="0" collapsed="false">
      <c r="A542" s="21"/>
      <c r="B542" s="22"/>
      <c r="C542" s="22"/>
      <c r="D542" s="23"/>
      <c r="E542" s="24"/>
      <c r="F542" s="22"/>
      <c r="G542" s="19" t="n">
        <f aca="false">IF($D542=0,0,$D542*$E542)</f>
        <v>0</v>
      </c>
      <c r="H542" s="20" t="str">
        <f aca="false">IF($B542="","",CONCATENATE("Pozisyon: ",$B542,"/",$C542," tutar ",TEXT($D542,"#,##0.00")))</f>
        <v/>
      </c>
    </row>
    <row r="543" customFormat="false" ht="15" hidden="false" customHeight="false" outlineLevel="0" collapsed="false">
      <c r="A543" s="21"/>
      <c r="B543" s="22"/>
      <c r="C543" s="22"/>
      <c r="D543" s="23"/>
      <c r="E543" s="24"/>
      <c r="F543" s="22"/>
      <c r="G543" s="19" t="n">
        <f aca="false">IF($D543=0,0,$D543*$E543)</f>
        <v>0</v>
      </c>
      <c r="H543" s="20" t="str">
        <f aca="false">IF($B543="","",CONCATENATE("Pozisyon: ",$B543,"/",$C543," tutar ",TEXT($D543,"#,##0.00")))</f>
        <v/>
      </c>
    </row>
    <row r="544" customFormat="false" ht="15" hidden="false" customHeight="false" outlineLevel="0" collapsed="false">
      <c r="A544" s="21"/>
      <c r="B544" s="22"/>
      <c r="C544" s="22"/>
      <c r="D544" s="23"/>
      <c r="E544" s="24"/>
      <c r="F544" s="22"/>
      <c r="G544" s="19" t="n">
        <f aca="false">IF($D544=0,0,$D544*$E544)</f>
        <v>0</v>
      </c>
      <c r="H544" s="20" t="str">
        <f aca="false">IF($B544="","",CONCATENATE("Pozisyon: ",$B544,"/",$C544," tutar ",TEXT($D544,"#,##0.00")))</f>
        <v/>
      </c>
    </row>
    <row r="545" customFormat="false" ht="15" hidden="false" customHeight="false" outlineLevel="0" collapsed="false">
      <c r="A545" s="21"/>
      <c r="B545" s="22"/>
      <c r="C545" s="22"/>
      <c r="D545" s="23"/>
      <c r="E545" s="24"/>
      <c r="F545" s="22"/>
      <c r="G545" s="19" t="n">
        <f aca="false">IF($D545=0,0,$D545*$E545)</f>
        <v>0</v>
      </c>
      <c r="H545" s="20" t="str">
        <f aca="false">IF($B545="","",CONCATENATE("Pozisyon: ",$B545,"/",$C545," tutar ",TEXT($D545,"#,##0.00")))</f>
        <v/>
      </c>
    </row>
    <row r="546" customFormat="false" ht="15" hidden="false" customHeight="false" outlineLevel="0" collapsed="false">
      <c r="A546" s="21"/>
      <c r="B546" s="22"/>
      <c r="C546" s="22"/>
      <c r="D546" s="23"/>
      <c r="E546" s="24"/>
      <c r="F546" s="22"/>
      <c r="G546" s="19" t="n">
        <f aca="false">IF($D546=0,0,$D546*$E546)</f>
        <v>0</v>
      </c>
      <c r="H546" s="20" t="str">
        <f aca="false">IF($B546="","",CONCATENATE("Pozisyon: ",$B546,"/",$C546," tutar ",TEXT($D546,"#,##0.00")))</f>
        <v/>
      </c>
    </row>
    <row r="547" customFormat="false" ht="15" hidden="false" customHeight="false" outlineLevel="0" collapsed="false">
      <c r="A547" s="21"/>
      <c r="B547" s="22"/>
      <c r="C547" s="22"/>
      <c r="D547" s="23"/>
      <c r="E547" s="24"/>
      <c r="F547" s="22"/>
      <c r="G547" s="19" t="n">
        <f aca="false">IF($D547=0,0,$D547*$E547)</f>
        <v>0</v>
      </c>
      <c r="H547" s="20" t="str">
        <f aca="false">IF($B547="","",CONCATENATE("Pozisyon: ",$B547,"/",$C547," tutar ",TEXT($D547,"#,##0.00")))</f>
        <v/>
      </c>
    </row>
    <row r="548" customFormat="false" ht="15" hidden="false" customHeight="false" outlineLevel="0" collapsed="false">
      <c r="A548" s="21"/>
      <c r="B548" s="22"/>
      <c r="C548" s="22"/>
      <c r="D548" s="23"/>
      <c r="E548" s="24"/>
      <c r="F548" s="22"/>
      <c r="G548" s="19" t="n">
        <f aca="false">IF($D548=0,0,$D548*$E548)</f>
        <v>0</v>
      </c>
      <c r="H548" s="20" t="str">
        <f aca="false">IF($B548="","",CONCATENATE("Pozisyon: ",$B548,"/",$C548," tutar ",TEXT($D548,"#,##0.00")))</f>
        <v/>
      </c>
    </row>
    <row r="549" customFormat="false" ht="15" hidden="false" customHeight="false" outlineLevel="0" collapsed="false">
      <c r="A549" s="21"/>
      <c r="B549" s="22"/>
      <c r="C549" s="22"/>
      <c r="D549" s="23"/>
      <c r="E549" s="24"/>
      <c r="F549" s="22"/>
      <c r="G549" s="19" t="n">
        <f aca="false">IF($D549=0,0,$D549*$E549)</f>
        <v>0</v>
      </c>
      <c r="H549" s="20" t="str">
        <f aca="false">IF($B549="","",CONCATENATE("Pozisyon: ",$B549,"/",$C549," tutar ",TEXT($D549,"#,##0.00")))</f>
        <v/>
      </c>
    </row>
    <row r="550" customFormat="false" ht="15" hidden="false" customHeight="false" outlineLevel="0" collapsed="false">
      <c r="A550" s="21"/>
      <c r="B550" s="22"/>
      <c r="C550" s="22"/>
      <c r="D550" s="23"/>
      <c r="E550" s="24"/>
      <c r="F550" s="22"/>
      <c r="G550" s="19" t="n">
        <f aca="false">IF($D550=0,0,$D550*$E550)</f>
        <v>0</v>
      </c>
      <c r="H550" s="20" t="str">
        <f aca="false">IF($B550="","",CONCATENATE("Pozisyon: ",$B550,"/",$C550," tutar ",TEXT($D550,"#,##0.00")))</f>
        <v/>
      </c>
    </row>
    <row r="551" customFormat="false" ht="15" hidden="false" customHeight="false" outlineLevel="0" collapsed="false">
      <c r="A551" s="21"/>
      <c r="B551" s="22"/>
      <c r="C551" s="22"/>
      <c r="D551" s="23"/>
      <c r="E551" s="24"/>
      <c r="F551" s="22"/>
      <c r="G551" s="19" t="n">
        <f aca="false">IF($D551=0,0,$D551*$E551)</f>
        <v>0</v>
      </c>
      <c r="H551" s="20" t="str">
        <f aca="false">IF($B551="","",CONCATENATE("Pozisyon: ",$B551,"/",$C551," tutar ",TEXT($D551,"#,##0.00")))</f>
        <v/>
      </c>
    </row>
    <row r="552" customFormat="false" ht="15" hidden="false" customHeight="false" outlineLevel="0" collapsed="false">
      <c r="A552" s="21"/>
      <c r="B552" s="22"/>
      <c r="C552" s="22"/>
      <c r="D552" s="23"/>
      <c r="E552" s="24"/>
      <c r="F552" s="22"/>
      <c r="G552" s="19" t="n">
        <f aca="false">IF($D552=0,0,$D552*$E552)</f>
        <v>0</v>
      </c>
      <c r="H552" s="20" t="str">
        <f aca="false">IF($B552="","",CONCATENATE("Pozisyon: ",$B552,"/",$C552," tutar ",TEXT($D552,"#,##0.00")))</f>
        <v/>
      </c>
    </row>
    <row r="553" customFormat="false" ht="15" hidden="false" customHeight="false" outlineLevel="0" collapsed="false">
      <c r="A553" s="21"/>
      <c r="B553" s="22"/>
      <c r="C553" s="22"/>
      <c r="D553" s="23"/>
      <c r="E553" s="24"/>
      <c r="F553" s="22"/>
      <c r="G553" s="19" t="n">
        <f aca="false">IF($D553=0,0,$D553*$E553)</f>
        <v>0</v>
      </c>
      <c r="H553" s="20" t="str">
        <f aca="false">IF($B553="","",CONCATENATE("Pozisyon: ",$B553,"/",$C553," tutar ",TEXT($D553,"#,##0.00")))</f>
        <v/>
      </c>
    </row>
    <row r="554" customFormat="false" ht="15" hidden="false" customHeight="false" outlineLevel="0" collapsed="false">
      <c r="A554" s="21"/>
      <c r="B554" s="22"/>
      <c r="C554" s="22"/>
      <c r="D554" s="23"/>
      <c r="E554" s="24"/>
      <c r="F554" s="22"/>
      <c r="G554" s="19" t="n">
        <f aca="false">IF($D554=0,0,$D554*$E554)</f>
        <v>0</v>
      </c>
      <c r="H554" s="20" t="str">
        <f aca="false">IF($B554="","",CONCATENATE("Pozisyon: ",$B554,"/",$C554," tutar ",TEXT($D554,"#,##0.00")))</f>
        <v/>
      </c>
    </row>
    <row r="555" customFormat="false" ht="15" hidden="false" customHeight="false" outlineLevel="0" collapsed="false">
      <c r="A555" s="21"/>
      <c r="B555" s="22"/>
      <c r="C555" s="22"/>
      <c r="D555" s="23"/>
      <c r="E555" s="24"/>
      <c r="F555" s="22"/>
      <c r="G555" s="19" t="n">
        <f aca="false">IF($D555=0,0,$D555*$E555)</f>
        <v>0</v>
      </c>
      <c r="H555" s="20" t="str">
        <f aca="false">IF($B555="","",CONCATENATE("Pozisyon: ",$B555,"/",$C555," tutar ",TEXT($D555,"#,##0.00")))</f>
        <v/>
      </c>
    </row>
    <row r="556" customFormat="false" ht="15" hidden="false" customHeight="false" outlineLevel="0" collapsed="false">
      <c r="A556" s="21"/>
      <c r="B556" s="22"/>
      <c r="C556" s="22"/>
      <c r="D556" s="23"/>
      <c r="E556" s="24"/>
      <c r="F556" s="22"/>
      <c r="G556" s="19" t="n">
        <f aca="false">IF($D556=0,0,$D556*$E556)</f>
        <v>0</v>
      </c>
      <c r="H556" s="20" t="str">
        <f aca="false">IF($B556="","",CONCATENATE("Pozisyon: ",$B556,"/",$C556," tutar ",TEXT($D556,"#,##0.00")))</f>
        <v/>
      </c>
    </row>
    <row r="557" customFormat="false" ht="15" hidden="false" customHeight="false" outlineLevel="0" collapsed="false">
      <c r="A557" s="21"/>
      <c r="B557" s="22"/>
      <c r="C557" s="22"/>
      <c r="D557" s="23"/>
      <c r="E557" s="24"/>
      <c r="F557" s="22"/>
      <c r="G557" s="19" t="n">
        <f aca="false">IF($D557=0,0,$D557*$E557)</f>
        <v>0</v>
      </c>
      <c r="H557" s="20" t="str">
        <f aca="false">IF($B557="","",CONCATENATE("Pozisyon: ",$B557,"/",$C557," tutar ",TEXT($D557,"#,##0.00")))</f>
        <v/>
      </c>
    </row>
    <row r="558" customFormat="false" ht="15" hidden="false" customHeight="false" outlineLevel="0" collapsed="false">
      <c r="A558" s="21"/>
      <c r="B558" s="22"/>
      <c r="C558" s="22"/>
      <c r="D558" s="23"/>
      <c r="E558" s="24"/>
      <c r="F558" s="22"/>
      <c r="G558" s="19" t="n">
        <f aca="false">IF($D558=0,0,$D558*$E558)</f>
        <v>0</v>
      </c>
      <c r="H558" s="20" t="str">
        <f aca="false">IF($B558="","",CONCATENATE("Pozisyon: ",$B558,"/",$C558," tutar ",TEXT($D558,"#,##0.00")))</f>
        <v/>
      </c>
    </row>
    <row r="559" customFormat="false" ht="15" hidden="false" customHeight="false" outlineLevel="0" collapsed="false">
      <c r="A559" s="21"/>
      <c r="B559" s="22"/>
      <c r="C559" s="22"/>
      <c r="D559" s="23"/>
      <c r="E559" s="24"/>
      <c r="F559" s="22"/>
      <c r="G559" s="19" t="n">
        <f aca="false">IF($D559=0,0,$D559*$E559)</f>
        <v>0</v>
      </c>
      <c r="H559" s="20" t="str">
        <f aca="false">IF($B559="","",CONCATENATE("Pozisyon: ",$B559,"/",$C559," tutar ",TEXT($D559,"#,##0.00")))</f>
        <v/>
      </c>
    </row>
    <row r="560" customFormat="false" ht="15" hidden="false" customHeight="false" outlineLevel="0" collapsed="false">
      <c r="A560" s="21"/>
      <c r="B560" s="22"/>
      <c r="C560" s="22"/>
      <c r="D560" s="23"/>
      <c r="E560" s="24"/>
      <c r="F560" s="22"/>
      <c r="G560" s="19" t="n">
        <f aca="false">IF($D560=0,0,$D560*$E560)</f>
        <v>0</v>
      </c>
      <c r="H560" s="20" t="str">
        <f aca="false">IF($B560="","",CONCATENATE("Pozisyon: ",$B560,"/",$C560," tutar ",TEXT($D560,"#,##0.00")))</f>
        <v/>
      </c>
    </row>
    <row r="561" customFormat="false" ht="15" hidden="false" customHeight="false" outlineLevel="0" collapsed="false">
      <c r="A561" s="21"/>
      <c r="B561" s="22"/>
      <c r="C561" s="22"/>
      <c r="D561" s="23"/>
      <c r="E561" s="24"/>
      <c r="F561" s="22"/>
      <c r="G561" s="19" t="n">
        <f aca="false">IF($D561=0,0,$D561*$E561)</f>
        <v>0</v>
      </c>
      <c r="H561" s="20" t="str">
        <f aca="false">IF($B561="","",CONCATENATE("Pozisyon: ",$B561,"/",$C561," tutar ",TEXT($D561,"#,##0.00")))</f>
        <v/>
      </c>
    </row>
    <row r="562" customFormat="false" ht="15" hidden="false" customHeight="false" outlineLevel="0" collapsed="false">
      <c r="A562" s="21"/>
      <c r="B562" s="22"/>
      <c r="C562" s="22"/>
      <c r="D562" s="23"/>
      <c r="E562" s="24"/>
      <c r="F562" s="22"/>
      <c r="G562" s="19" t="n">
        <f aca="false">IF($D562=0,0,$D562*$E562)</f>
        <v>0</v>
      </c>
      <c r="H562" s="20" t="str">
        <f aca="false">IF($B562="","",CONCATENATE("Pozisyon: ",$B562,"/",$C562," tutar ",TEXT($D562,"#,##0.00")))</f>
        <v/>
      </c>
    </row>
    <row r="563" customFormat="false" ht="15" hidden="false" customHeight="false" outlineLevel="0" collapsed="false">
      <c r="A563" s="21"/>
      <c r="B563" s="22"/>
      <c r="C563" s="22"/>
      <c r="D563" s="23"/>
      <c r="E563" s="24"/>
      <c r="F563" s="22"/>
      <c r="G563" s="19" t="n">
        <f aca="false">IF($D563=0,0,$D563*$E563)</f>
        <v>0</v>
      </c>
      <c r="H563" s="20" t="str">
        <f aca="false">IF($B563="","",CONCATENATE("Pozisyon: ",$B563,"/",$C563," tutar ",TEXT($D563,"#,##0.00")))</f>
        <v/>
      </c>
    </row>
    <row r="564" customFormat="false" ht="15" hidden="false" customHeight="false" outlineLevel="0" collapsed="false">
      <c r="A564" s="21"/>
      <c r="B564" s="22"/>
      <c r="C564" s="22"/>
      <c r="D564" s="23"/>
      <c r="E564" s="24"/>
      <c r="F564" s="22"/>
      <c r="G564" s="19" t="n">
        <f aca="false">IF($D564=0,0,$D564*$E564)</f>
        <v>0</v>
      </c>
      <c r="H564" s="20" t="str">
        <f aca="false">IF($B564="","",CONCATENATE("Pozisyon: ",$B564,"/",$C564," tutar ",TEXT($D564,"#,##0.00")))</f>
        <v/>
      </c>
    </row>
    <row r="565" customFormat="false" ht="15" hidden="false" customHeight="false" outlineLevel="0" collapsed="false">
      <c r="A565" s="21"/>
      <c r="B565" s="22"/>
      <c r="C565" s="22"/>
      <c r="D565" s="23"/>
      <c r="E565" s="24"/>
      <c r="F565" s="22"/>
      <c r="G565" s="19" t="n">
        <f aca="false">IF($D565=0,0,$D565*$E565)</f>
        <v>0</v>
      </c>
      <c r="H565" s="20" t="str">
        <f aca="false">IF($B565="","",CONCATENATE("Pozisyon: ",$B565,"/",$C565," tutar ",TEXT($D565,"#,##0.00")))</f>
        <v/>
      </c>
    </row>
    <row r="566" customFormat="false" ht="15" hidden="false" customHeight="false" outlineLevel="0" collapsed="false">
      <c r="A566" s="21"/>
      <c r="B566" s="22"/>
      <c r="C566" s="22"/>
      <c r="D566" s="23"/>
      <c r="E566" s="24"/>
      <c r="F566" s="22"/>
      <c r="G566" s="19" t="n">
        <f aca="false">IF($D566=0,0,$D566*$E566)</f>
        <v>0</v>
      </c>
      <c r="H566" s="20" t="str">
        <f aca="false">IF($B566="","",CONCATENATE("Pozisyon: ",$B566,"/",$C566," tutar ",TEXT($D566,"#,##0.00")))</f>
        <v/>
      </c>
    </row>
    <row r="567" customFormat="false" ht="15" hidden="false" customHeight="false" outlineLevel="0" collapsed="false">
      <c r="A567" s="21"/>
      <c r="B567" s="22"/>
      <c r="C567" s="22"/>
      <c r="D567" s="23"/>
      <c r="E567" s="24"/>
      <c r="F567" s="22"/>
      <c r="G567" s="19" t="n">
        <f aca="false">IF($D567=0,0,$D567*$E567)</f>
        <v>0</v>
      </c>
      <c r="H567" s="20" t="str">
        <f aca="false">IF($B567="","",CONCATENATE("Pozisyon: ",$B567,"/",$C567," tutar ",TEXT($D567,"#,##0.00")))</f>
        <v/>
      </c>
    </row>
    <row r="568" customFormat="false" ht="15" hidden="false" customHeight="false" outlineLevel="0" collapsed="false">
      <c r="A568" s="21"/>
      <c r="B568" s="22"/>
      <c r="C568" s="22"/>
      <c r="D568" s="23"/>
      <c r="E568" s="24"/>
      <c r="F568" s="22"/>
      <c r="G568" s="19" t="n">
        <f aca="false">IF($D568=0,0,$D568*$E568)</f>
        <v>0</v>
      </c>
      <c r="H568" s="20" t="str">
        <f aca="false">IF($B568="","",CONCATENATE("Pozisyon: ",$B568,"/",$C568," tutar ",TEXT($D568,"#,##0.00")))</f>
        <v/>
      </c>
    </row>
    <row r="569" customFormat="false" ht="15" hidden="false" customHeight="false" outlineLevel="0" collapsed="false">
      <c r="A569" s="21"/>
      <c r="B569" s="22"/>
      <c r="C569" s="22"/>
      <c r="D569" s="23"/>
      <c r="E569" s="24"/>
      <c r="F569" s="22"/>
      <c r="G569" s="19" t="n">
        <f aca="false">IF($D569=0,0,$D569*$E569)</f>
        <v>0</v>
      </c>
      <c r="H569" s="20" t="str">
        <f aca="false">IF($B569="","",CONCATENATE("Pozisyon: ",$B569,"/",$C569," tutar ",TEXT($D569,"#,##0.00")))</f>
        <v/>
      </c>
    </row>
    <row r="570" customFormat="false" ht="15" hidden="false" customHeight="false" outlineLevel="0" collapsed="false">
      <c r="A570" s="21"/>
      <c r="B570" s="22"/>
      <c r="C570" s="22"/>
      <c r="D570" s="23"/>
      <c r="E570" s="24"/>
      <c r="F570" s="22"/>
      <c r="G570" s="19" t="n">
        <f aca="false">IF($D570=0,0,$D570*$E570)</f>
        <v>0</v>
      </c>
      <c r="H570" s="20" t="str">
        <f aca="false">IF($B570="","",CONCATENATE("Pozisyon: ",$B570,"/",$C570," tutar ",TEXT($D570,"#,##0.00")))</f>
        <v/>
      </c>
    </row>
    <row r="571" customFormat="false" ht="15" hidden="false" customHeight="false" outlineLevel="0" collapsed="false">
      <c r="A571" s="21"/>
      <c r="B571" s="22"/>
      <c r="C571" s="22"/>
      <c r="D571" s="23"/>
      <c r="E571" s="24"/>
      <c r="F571" s="22"/>
      <c r="G571" s="19" t="n">
        <f aca="false">IF($D571=0,0,$D571*$E571)</f>
        <v>0</v>
      </c>
      <c r="H571" s="20" t="str">
        <f aca="false">IF($B571="","",CONCATENATE("Pozisyon: ",$B571,"/",$C571," tutar ",TEXT($D571,"#,##0.00")))</f>
        <v/>
      </c>
    </row>
    <row r="572" customFormat="false" ht="15" hidden="false" customHeight="false" outlineLevel="0" collapsed="false">
      <c r="A572" s="21"/>
      <c r="B572" s="22"/>
      <c r="C572" s="22"/>
      <c r="D572" s="23"/>
      <c r="E572" s="24"/>
      <c r="F572" s="22"/>
      <c r="G572" s="19" t="n">
        <f aca="false">IF($D572=0,0,$D572*$E572)</f>
        <v>0</v>
      </c>
      <c r="H572" s="20" t="str">
        <f aca="false">IF($B572="","",CONCATENATE("Pozisyon: ",$B572,"/",$C572," tutar ",TEXT($D572,"#,##0.00")))</f>
        <v/>
      </c>
    </row>
    <row r="573" customFormat="false" ht="15" hidden="false" customHeight="false" outlineLevel="0" collapsed="false">
      <c r="A573" s="21"/>
      <c r="B573" s="22"/>
      <c r="C573" s="22"/>
      <c r="D573" s="23"/>
      <c r="E573" s="24"/>
      <c r="F573" s="22"/>
      <c r="G573" s="19" t="n">
        <f aca="false">IF($D573=0,0,$D573*$E573)</f>
        <v>0</v>
      </c>
      <c r="H573" s="20" t="str">
        <f aca="false">IF($B573="","",CONCATENATE("Pozisyon: ",$B573,"/",$C573," tutar ",TEXT($D573,"#,##0.00")))</f>
        <v/>
      </c>
    </row>
    <row r="574" customFormat="false" ht="15" hidden="false" customHeight="false" outlineLevel="0" collapsed="false">
      <c r="A574" s="21"/>
      <c r="B574" s="22"/>
      <c r="C574" s="22"/>
      <c r="D574" s="23"/>
      <c r="E574" s="24"/>
      <c r="F574" s="22"/>
      <c r="G574" s="19" t="n">
        <f aca="false">IF($D574=0,0,$D574*$E574)</f>
        <v>0</v>
      </c>
      <c r="H574" s="20" t="str">
        <f aca="false">IF($B574="","",CONCATENATE("Pozisyon: ",$B574,"/",$C574," tutar ",TEXT($D574,"#,##0.00")))</f>
        <v/>
      </c>
    </row>
    <row r="575" customFormat="false" ht="15" hidden="false" customHeight="false" outlineLevel="0" collapsed="false">
      <c r="A575" s="21"/>
      <c r="B575" s="22"/>
      <c r="C575" s="22"/>
      <c r="D575" s="23"/>
      <c r="E575" s="24"/>
      <c r="F575" s="22"/>
      <c r="G575" s="19" t="n">
        <f aca="false">IF($D575=0,0,$D575*$E575)</f>
        <v>0</v>
      </c>
      <c r="H575" s="20" t="str">
        <f aca="false">IF($B575="","",CONCATENATE("Pozisyon: ",$B575,"/",$C575," tutar ",TEXT($D575,"#,##0.00")))</f>
        <v/>
      </c>
    </row>
    <row r="576" customFormat="false" ht="15" hidden="false" customHeight="false" outlineLevel="0" collapsed="false">
      <c r="A576" s="21"/>
      <c r="B576" s="22"/>
      <c r="C576" s="22"/>
      <c r="D576" s="23"/>
      <c r="E576" s="24"/>
      <c r="F576" s="22"/>
      <c r="G576" s="19" t="n">
        <f aca="false">IF($D576=0,0,$D576*$E576)</f>
        <v>0</v>
      </c>
      <c r="H576" s="20" t="str">
        <f aca="false">IF($B576="","",CONCATENATE("Pozisyon: ",$B576,"/",$C576," tutar ",TEXT($D576,"#,##0.00")))</f>
        <v/>
      </c>
    </row>
    <row r="577" customFormat="false" ht="15" hidden="false" customHeight="false" outlineLevel="0" collapsed="false">
      <c r="A577" s="21"/>
      <c r="B577" s="22"/>
      <c r="C577" s="22"/>
      <c r="D577" s="23"/>
      <c r="E577" s="24"/>
      <c r="F577" s="22"/>
      <c r="G577" s="19" t="n">
        <f aca="false">IF($D577=0,0,$D577*$E577)</f>
        <v>0</v>
      </c>
      <c r="H577" s="20" t="str">
        <f aca="false">IF($B577="","",CONCATENATE("Pozisyon: ",$B577,"/",$C577," tutar ",TEXT($D577,"#,##0.00")))</f>
        <v/>
      </c>
    </row>
    <row r="578" customFormat="false" ht="15" hidden="false" customHeight="false" outlineLevel="0" collapsed="false">
      <c r="A578" s="21"/>
      <c r="B578" s="22"/>
      <c r="C578" s="22"/>
      <c r="D578" s="23"/>
      <c r="E578" s="24"/>
      <c r="F578" s="22"/>
      <c r="G578" s="19" t="n">
        <f aca="false">IF($D578=0,0,$D578*$E578)</f>
        <v>0</v>
      </c>
      <c r="H578" s="20" t="str">
        <f aca="false">IF($B578="","",CONCATENATE("Pozisyon: ",$B578,"/",$C578," tutar ",TEXT($D578,"#,##0.00")))</f>
        <v/>
      </c>
    </row>
    <row r="579" customFormat="false" ht="15" hidden="false" customHeight="false" outlineLevel="0" collapsed="false">
      <c r="A579" s="21"/>
      <c r="B579" s="22"/>
      <c r="C579" s="22"/>
      <c r="D579" s="23"/>
      <c r="E579" s="24"/>
      <c r="F579" s="22"/>
      <c r="G579" s="19" t="n">
        <f aca="false">IF($D579=0,0,$D579*$E579)</f>
        <v>0</v>
      </c>
      <c r="H579" s="20" t="str">
        <f aca="false">IF($B579="","",CONCATENATE("Pozisyon: ",$B579,"/",$C579," tutar ",TEXT($D579,"#,##0.00")))</f>
        <v/>
      </c>
    </row>
    <row r="580" customFormat="false" ht="15" hidden="false" customHeight="false" outlineLevel="0" collapsed="false">
      <c r="A580" s="21"/>
      <c r="B580" s="22"/>
      <c r="C580" s="22"/>
      <c r="D580" s="23"/>
      <c r="E580" s="24"/>
      <c r="F580" s="22"/>
      <c r="G580" s="19" t="n">
        <f aca="false">IF($D580=0,0,$D580*$E580)</f>
        <v>0</v>
      </c>
      <c r="H580" s="20" t="str">
        <f aca="false">IF($B580="","",CONCATENATE("Pozisyon: ",$B580,"/",$C580," tutar ",TEXT($D580,"#,##0.00")))</f>
        <v/>
      </c>
    </row>
    <row r="581" customFormat="false" ht="15" hidden="false" customHeight="false" outlineLevel="0" collapsed="false">
      <c r="A581" s="21"/>
      <c r="B581" s="22"/>
      <c r="C581" s="22"/>
      <c r="D581" s="23"/>
      <c r="E581" s="24"/>
      <c r="F581" s="22"/>
      <c r="G581" s="19" t="n">
        <f aca="false">IF($D581=0,0,$D581*$E581)</f>
        <v>0</v>
      </c>
      <c r="H581" s="20" t="str">
        <f aca="false">IF($B581="","",CONCATENATE("Pozisyon: ",$B581,"/",$C581," tutar ",TEXT($D581,"#,##0.00")))</f>
        <v/>
      </c>
    </row>
    <row r="582" customFormat="false" ht="15" hidden="false" customHeight="false" outlineLevel="0" collapsed="false">
      <c r="A582" s="21"/>
      <c r="B582" s="22"/>
      <c r="C582" s="22"/>
      <c r="D582" s="23"/>
      <c r="E582" s="24"/>
      <c r="F582" s="22"/>
      <c r="G582" s="19" t="n">
        <f aca="false">IF($D582=0,0,$D582*$E582)</f>
        <v>0</v>
      </c>
      <c r="H582" s="20" t="str">
        <f aca="false">IF($B582="","",CONCATENATE("Pozisyon: ",$B582,"/",$C582," tutar ",TEXT($D582,"#,##0.00")))</f>
        <v/>
      </c>
    </row>
    <row r="583" customFormat="false" ht="15" hidden="false" customHeight="false" outlineLevel="0" collapsed="false">
      <c r="A583" s="21"/>
      <c r="B583" s="22"/>
      <c r="C583" s="22"/>
      <c r="D583" s="23"/>
      <c r="E583" s="24"/>
      <c r="F583" s="22"/>
      <c r="G583" s="19" t="n">
        <f aca="false">IF($D583=0,0,$D583*$E583)</f>
        <v>0</v>
      </c>
      <c r="H583" s="20" t="str">
        <f aca="false">IF($B583="","",CONCATENATE("Pozisyon: ",$B583,"/",$C583," tutar ",TEXT($D583,"#,##0.00")))</f>
        <v/>
      </c>
    </row>
    <row r="584" customFormat="false" ht="15" hidden="false" customHeight="false" outlineLevel="0" collapsed="false">
      <c r="A584" s="21"/>
      <c r="B584" s="22"/>
      <c r="C584" s="22"/>
      <c r="D584" s="23"/>
      <c r="E584" s="24"/>
      <c r="F584" s="22"/>
      <c r="G584" s="19" t="n">
        <f aca="false">IF($D584=0,0,$D584*$E584)</f>
        <v>0</v>
      </c>
      <c r="H584" s="20" t="str">
        <f aca="false">IF($B584="","",CONCATENATE("Pozisyon: ",$B584,"/",$C584," tutar ",TEXT($D584,"#,##0.00")))</f>
        <v/>
      </c>
    </row>
    <row r="585" customFormat="false" ht="15" hidden="false" customHeight="false" outlineLevel="0" collapsed="false">
      <c r="A585" s="21"/>
      <c r="B585" s="22"/>
      <c r="C585" s="22"/>
      <c r="D585" s="23"/>
      <c r="E585" s="24"/>
      <c r="F585" s="22"/>
      <c r="G585" s="19" t="n">
        <f aca="false">IF($D585=0,0,$D585*$E585)</f>
        <v>0</v>
      </c>
      <c r="H585" s="20" t="str">
        <f aca="false">IF($B585="","",CONCATENATE("Pozisyon: ",$B585,"/",$C585," tutar ",TEXT($D585,"#,##0.00")))</f>
        <v/>
      </c>
    </row>
    <row r="586" customFormat="false" ht="15" hidden="false" customHeight="false" outlineLevel="0" collapsed="false">
      <c r="A586" s="21"/>
      <c r="B586" s="22"/>
      <c r="C586" s="22"/>
      <c r="D586" s="23"/>
      <c r="E586" s="24"/>
      <c r="F586" s="22"/>
      <c r="G586" s="19" t="n">
        <f aca="false">IF($D586=0,0,$D586*$E586)</f>
        <v>0</v>
      </c>
      <c r="H586" s="20" t="str">
        <f aca="false">IF($B586="","",CONCATENATE("Pozisyon: ",$B586,"/",$C586," tutar ",TEXT($D586,"#,##0.00")))</f>
        <v/>
      </c>
    </row>
    <row r="587" customFormat="false" ht="15" hidden="false" customHeight="false" outlineLevel="0" collapsed="false">
      <c r="A587" s="21"/>
      <c r="B587" s="22"/>
      <c r="C587" s="22"/>
      <c r="D587" s="23"/>
      <c r="E587" s="24"/>
      <c r="F587" s="22"/>
      <c r="G587" s="19" t="n">
        <f aca="false">IF($D587=0,0,$D587*$E587)</f>
        <v>0</v>
      </c>
      <c r="H587" s="20" t="str">
        <f aca="false">IF($B587="","",CONCATENATE("Pozisyon: ",$B587,"/",$C587," tutar ",TEXT($D587,"#,##0.00")))</f>
        <v/>
      </c>
    </row>
    <row r="588" customFormat="false" ht="15" hidden="false" customHeight="false" outlineLevel="0" collapsed="false">
      <c r="A588" s="21"/>
      <c r="B588" s="22"/>
      <c r="C588" s="22"/>
      <c r="D588" s="23"/>
      <c r="E588" s="24"/>
      <c r="F588" s="22"/>
      <c r="G588" s="19" t="n">
        <f aca="false">IF($D588=0,0,$D588*$E588)</f>
        <v>0</v>
      </c>
      <c r="H588" s="20" t="str">
        <f aca="false">IF($B588="","",CONCATENATE("Pozisyon: ",$B588,"/",$C588," tutar ",TEXT($D588,"#,##0.00")))</f>
        <v/>
      </c>
    </row>
    <row r="589" customFormat="false" ht="15" hidden="false" customHeight="false" outlineLevel="0" collapsed="false">
      <c r="A589" s="21"/>
      <c r="B589" s="22"/>
      <c r="C589" s="22"/>
      <c r="D589" s="23"/>
      <c r="E589" s="24"/>
      <c r="F589" s="22"/>
      <c r="G589" s="19" t="n">
        <f aca="false">IF($D589=0,0,$D589*$E589)</f>
        <v>0</v>
      </c>
      <c r="H589" s="20" t="str">
        <f aca="false">IF($B589="","",CONCATENATE("Pozisyon: ",$B589,"/",$C589," tutar ",TEXT($D589,"#,##0.00")))</f>
        <v/>
      </c>
    </row>
    <row r="590" customFormat="false" ht="15" hidden="false" customHeight="false" outlineLevel="0" collapsed="false">
      <c r="A590" s="21"/>
      <c r="B590" s="22"/>
      <c r="C590" s="22"/>
      <c r="D590" s="23"/>
      <c r="E590" s="24"/>
      <c r="F590" s="22"/>
      <c r="G590" s="19" t="n">
        <f aca="false">IF($D590=0,0,$D590*$E590)</f>
        <v>0</v>
      </c>
      <c r="H590" s="20" t="str">
        <f aca="false">IF($B590="","",CONCATENATE("Pozisyon: ",$B590,"/",$C590," tutar ",TEXT($D590,"#,##0.00")))</f>
        <v/>
      </c>
    </row>
    <row r="591" customFormat="false" ht="15" hidden="false" customHeight="false" outlineLevel="0" collapsed="false">
      <c r="A591" s="21"/>
      <c r="B591" s="22"/>
      <c r="C591" s="22"/>
      <c r="D591" s="23"/>
      <c r="E591" s="24"/>
      <c r="F591" s="22"/>
      <c r="G591" s="19" t="n">
        <f aca="false">IF($D591=0,0,$D591*$E591)</f>
        <v>0</v>
      </c>
      <c r="H591" s="20" t="str">
        <f aca="false">IF($B591="","",CONCATENATE("Pozisyon: ",$B591,"/",$C591," tutar ",TEXT($D591,"#,##0.00")))</f>
        <v/>
      </c>
    </row>
    <row r="592" customFormat="false" ht="15" hidden="false" customHeight="false" outlineLevel="0" collapsed="false">
      <c r="A592" s="21"/>
      <c r="B592" s="22"/>
      <c r="C592" s="22"/>
      <c r="D592" s="23"/>
      <c r="E592" s="24"/>
      <c r="F592" s="22"/>
      <c r="G592" s="19" t="n">
        <f aca="false">IF($D592=0,0,$D592*$E592)</f>
        <v>0</v>
      </c>
      <c r="H592" s="20" t="str">
        <f aca="false">IF($B592="","",CONCATENATE("Pozisyon: ",$B592,"/",$C592," tutar ",TEXT($D592,"#,##0.00")))</f>
        <v/>
      </c>
    </row>
    <row r="593" customFormat="false" ht="15" hidden="false" customHeight="false" outlineLevel="0" collapsed="false">
      <c r="A593" s="21"/>
      <c r="B593" s="22"/>
      <c r="C593" s="22"/>
      <c r="D593" s="23"/>
      <c r="E593" s="24"/>
      <c r="F593" s="22"/>
      <c r="G593" s="19" t="n">
        <f aca="false">IF($D593=0,0,$D593*$E593)</f>
        <v>0</v>
      </c>
      <c r="H593" s="20" t="str">
        <f aca="false">IF($B593="","",CONCATENATE("Pozisyon: ",$B593,"/",$C593," tutar ",TEXT($D593,"#,##0.00")))</f>
        <v/>
      </c>
    </row>
    <row r="594" customFormat="false" ht="15" hidden="false" customHeight="false" outlineLevel="0" collapsed="false">
      <c r="A594" s="21"/>
      <c r="B594" s="22"/>
      <c r="C594" s="22"/>
      <c r="D594" s="23"/>
      <c r="E594" s="24"/>
      <c r="F594" s="22"/>
      <c r="G594" s="19" t="n">
        <f aca="false">IF($D594=0,0,$D594*$E594)</f>
        <v>0</v>
      </c>
      <c r="H594" s="20" t="str">
        <f aca="false">IF($B594="","",CONCATENATE("Pozisyon: ",$B594,"/",$C594," tutar ",TEXT($D594,"#,##0.00")))</f>
        <v/>
      </c>
    </row>
    <row r="595" customFormat="false" ht="15" hidden="false" customHeight="false" outlineLevel="0" collapsed="false">
      <c r="A595" s="21"/>
      <c r="B595" s="22"/>
      <c r="C595" s="22"/>
      <c r="D595" s="23"/>
      <c r="E595" s="24"/>
      <c r="F595" s="22"/>
      <c r="G595" s="19" t="n">
        <f aca="false">IF($D595=0,0,$D595*$E595)</f>
        <v>0</v>
      </c>
      <c r="H595" s="20" t="str">
        <f aca="false">IF($B595="","",CONCATENATE("Pozisyon: ",$B595,"/",$C595," tutar ",TEXT($D595,"#,##0.00")))</f>
        <v/>
      </c>
    </row>
    <row r="596" customFormat="false" ht="15" hidden="false" customHeight="false" outlineLevel="0" collapsed="false">
      <c r="A596" s="21"/>
      <c r="B596" s="22"/>
      <c r="C596" s="22"/>
      <c r="D596" s="23"/>
      <c r="E596" s="24"/>
      <c r="F596" s="22"/>
      <c r="G596" s="19" t="n">
        <f aca="false">IF($D596=0,0,$D596*$E596)</f>
        <v>0</v>
      </c>
      <c r="H596" s="20" t="str">
        <f aca="false">IF($B596="","",CONCATENATE("Pozisyon: ",$B596,"/",$C596," tutar ",TEXT($D596,"#,##0.00")))</f>
        <v/>
      </c>
    </row>
    <row r="597" customFormat="false" ht="15" hidden="false" customHeight="false" outlineLevel="0" collapsed="false">
      <c r="A597" s="21"/>
      <c r="B597" s="22"/>
      <c r="C597" s="22"/>
      <c r="D597" s="23"/>
      <c r="E597" s="24"/>
      <c r="F597" s="22"/>
      <c r="G597" s="19" t="n">
        <f aca="false">IF($D597=0,0,$D597*$E597)</f>
        <v>0</v>
      </c>
      <c r="H597" s="20" t="str">
        <f aca="false">IF($B597="","",CONCATENATE("Pozisyon: ",$B597,"/",$C597," tutar ",TEXT($D597,"#,##0.00")))</f>
        <v/>
      </c>
    </row>
    <row r="598" customFormat="false" ht="15" hidden="false" customHeight="false" outlineLevel="0" collapsed="false">
      <c r="A598" s="21"/>
      <c r="B598" s="22"/>
      <c r="C598" s="22"/>
      <c r="D598" s="23"/>
      <c r="E598" s="24"/>
      <c r="F598" s="22"/>
      <c r="G598" s="19" t="n">
        <f aca="false">IF($D598=0,0,$D598*$E598)</f>
        <v>0</v>
      </c>
      <c r="H598" s="20" t="str">
        <f aca="false">IF($B598="","",CONCATENATE("Pozisyon: ",$B598,"/",$C598," tutar ",TEXT($D598,"#,##0.00")))</f>
        <v/>
      </c>
    </row>
    <row r="599" customFormat="false" ht="15" hidden="false" customHeight="false" outlineLevel="0" collapsed="false">
      <c r="A599" s="21"/>
      <c r="B599" s="22"/>
      <c r="C599" s="22"/>
      <c r="D599" s="23"/>
      <c r="E599" s="24"/>
      <c r="F599" s="22"/>
      <c r="G599" s="19" t="n">
        <f aca="false">IF($D599=0,0,$D599*$E599)</f>
        <v>0</v>
      </c>
      <c r="H599" s="20" t="str">
        <f aca="false">IF($B599="","",CONCATENATE("Pozisyon: ",$B599,"/",$C599," tutar ",TEXT($D599,"#,##0.00")))</f>
        <v/>
      </c>
    </row>
    <row r="600" customFormat="false" ht="15" hidden="false" customHeight="false" outlineLevel="0" collapsed="false">
      <c r="A600" s="21"/>
      <c r="B600" s="22"/>
      <c r="C600" s="22"/>
      <c r="D600" s="23"/>
      <c r="E600" s="24"/>
      <c r="F600" s="22"/>
      <c r="G600" s="19" t="n">
        <f aca="false">IF($D600=0,0,$D600*$E600)</f>
        <v>0</v>
      </c>
      <c r="H600" s="20" t="str">
        <f aca="false">IF($B600="","",CONCATENATE("Pozisyon: ",$B600,"/",$C600," tutar ",TEXT($D600,"#,##0.00")))</f>
        <v/>
      </c>
    </row>
    <row r="601" customFormat="false" ht="15" hidden="false" customHeight="false" outlineLevel="0" collapsed="false">
      <c r="A601" s="21"/>
      <c r="B601" s="22"/>
      <c r="C601" s="22"/>
      <c r="D601" s="23"/>
      <c r="E601" s="24"/>
      <c r="F601" s="22"/>
      <c r="G601" s="19" t="n">
        <f aca="false">IF($D601=0,0,$D601*$E601)</f>
        <v>0</v>
      </c>
      <c r="H601" s="20" t="str">
        <f aca="false">IF($B601="","",CONCATENATE("Pozisyon: ",$B601,"/",$C601," tutar ",TEXT($D601,"#,##0.00")))</f>
        <v/>
      </c>
    </row>
    <row r="602" customFormat="false" ht="15" hidden="false" customHeight="false" outlineLevel="0" collapsed="false">
      <c r="A602" s="21"/>
      <c r="B602" s="22"/>
      <c r="C602" s="22"/>
      <c r="D602" s="23"/>
      <c r="E602" s="24"/>
      <c r="F602" s="22"/>
      <c r="G602" s="19" t="n">
        <f aca="false">IF($D602=0,0,$D602*$E602)</f>
        <v>0</v>
      </c>
      <c r="H602" s="20" t="str">
        <f aca="false">IF($B602="","",CONCATENATE("Pozisyon: ",$B602,"/",$C602," tutar ",TEXT($D602,"#,##0.00")))</f>
        <v/>
      </c>
    </row>
    <row r="603" customFormat="false" ht="15" hidden="false" customHeight="false" outlineLevel="0" collapsed="false">
      <c r="A603" s="21"/>
      <c r="B603" s="22"/>
      <c r="C603" s="22"/>
      <c r="D603" s="23"/>
      <c r="E603" s="24"/>
      <c r="F603" s="22"/>
      <c r="G603" s="19" t="n">
        <f aca="false">IF($D603=0,0,$D603*$E603)</f>
        <v>0</v>
      </c>
      <c r="H603" s="20" t="str">
        <f aca="false">IF($B603="","",CONCATENATE("Pozisyon: ",$B603,"/",$C603," tutar ",TEXT($D603,"#,##0.00")))</f>
        <v/>
      </c>
    </row>
    <row r="604" customFormat="false" ht="15" hidden="false" customHeight="false" outlineLevel="0" collapsed="false">
      <c r="A604" s="21"/>
      <c r="B604" s="22"/>
      <c r="C604" s="22"/>
      <c r="D604" s="23"/>
      <c r="E604" s="24"/>
      <c r="F604" s="22"/>
      <c r="G604" s="19" t="n">
        <f aca="false">IF($D604=0,0,$D604*$E604)</f>
        <v>0</v>
      </c>
      <c r="H604" s="20" t="str">
        <f aca="false">IF($B604="","",CONCATENATE("Pozisyon: ",$B604,"/",$C604," tutar ",TEXT($D604,"#,##0.00")))</f>
        <v/>
      </c>
    </row>
    <row r="605" customFormat="false" ht="15" hidden="false" customHeight="false" outlineLevel="0" collapsed="false">
      <c r="A605" s="21"/>
      <c r="B605" s="22"/>
      <c r="C605" s="22"/>
      <c r="D605" s="23"/>
      <c r="E605" s="24"/>
      <c r="F605" s="22"/>
      <c r="G605" s="19" t="n">
        <f aca="false">IF($D605=0,0,$D605*$E605)</f>
        <v>0</v>
      </c>
      <c r="H605" s="20" t="str">
        <f aca="false">IF($B605="","",CONCATENATE("Pozisyon: ",$B605,"/",$C605," tutar ",TEXT($D605,"#,##0.00")))</f>
        <v/>
      </c>
    </row>
    <row r="606" customFormat="false" ht="15" hidden="false" customHeight="false" outlineLevel="0" collapsed="false">
      <c r="A606" s="21"/>
      <c r="B606" s="22"/>
      <c r="C606" s="22"/>
      <c r="D606" s="23"/>
      <c r="E606" s="24"/>
      <c r="F606" s="22"/>
      <c r="G606" s="19" t="n">
        <f aca="false">IF($D606=0,0,$D606*$E606)</f>
        <v>0</v>
      </c>
      <c r="H606" s="20" t="str">
        <f aca="false">IF($B606="","",CONCATENATE("Pozisyon: ",$B606,"/",$C606," tutar ",TEXT($D606,"#,##0.00")))</f>
        <v/>
      </c>
    </row>
    <row r="607" customFormat="false" ht="15" hidden="false" customHeight="false" outlineLevel="0" collapsed="false">
      <c r="A607" s="21"/>
      <c r="B607" s="22"/>
      <c r="C607" s="22"/>
      <c r="D607" s="23"/>
      <c r="E607" s="24"/>
      <c r="F607" s="22"/>
      <c r="G607" s="19" t="n">
        <f aca="false">IF($D607=0,0,$D607*$E607)</f>
        <v>0</v>
      </c>
      <c r="H607" s="20" t="str">
        <f aca="false">IF($B607="","",CONCATENATE("Pozisyon: ",$B607,"/",$C607," tutar ",TEXT($D607,"#,##0.00")))</f>
        <v/>
      </c>
    </row>
    <row r="608" customFormat="false" ht="15" hidden="false" customHeight="false" outlineLevel="0" collapsed="false">
      <c r="A608" s="21"/>
      <c r="B608" s="22"/>
      <c r="C608" s="22"/>
      <c r="D608" s="23"/>
      <c r="E608" s="24"/>
      <c r="F608" s="22"/>
      <c r="G608" s="19" t="n">
        <f aca="false">IF($D608=0,0,$D608*$E608)</f>
        <v>0</v>
      </c>
      <c r="H608" s="20" t="str">
        <f aca="false">IF($B608="","",CONCATENATE("Pozisyon: ",$B608,"/",$C608," tutar ",TEXT($D608,"#,##0.00")))</f>
        <v/>
      </c>
    </row>
    <row r="609" customFormat="false" ht="15" hidden="false" customHeight="false" outlineLevel="0" collapsed="false">
      <c r="A609" s="21"/>
      <c r="B609" s="22"/>
      <c r="C609" s="22"/>
      <c r="D609" s="23"/>
      <c r="E609" s="24"/>
      <c r="F609" s="22"/>
      <c r="G609" s="19" t="n">
        <f aca="false">IF($D609=0,0,$D609*$E609)</f>
        <v>0</v>
      </c>
      <c r="H609" s="20" t="str">
        <f aca="false">IF($B609="","",CONCATENATE("Pozisyon: ",$B609,"/",$C609," tutar ",TEXT($D609,"#,##0.00")))</f>
        <v/>
      </c>
    </row>
    <row r="610" customFormat="false" ht="15" hidden="false" customHeight="false" outlineLevel="0" collapsed="false">
      <c r="A610" s="21"/>
      <c r="B610" s="22"/>
      <c r="C610" s="22"/>
      <c r="D610" s="23"/>
      <c r="E610" s="24"/>
      <c r="F610" s="22"/>
      <c r="G610" s="19" t="n">
        <f aca="false">IF($D610=0,0,$D610*$E610)</f>
        <v>0</v>
      </c>
      <c r="H610" s="20" t="str">
        <f aca="false">IF($B610="","",CONCATENATE("Pozisyon: ",$B610,"/",$C610," tutar ",TEXT($D610,"#,##0.00")))</f>
        <v/>
      </c>
    </row>
    <row r="611" customFormat="false" ht="15" hidden="false" customHeight="false" outlineLevel="0" collapsed="false">
      <c r="A611" s="21"/>
      <c r="B611" s="22"/>
      <c r="C611" s="22"/>
      <c r="D611" s="23"/>
      <c r="E611" s="24"/>
      <c r="F611" s="22"/>
      <c r="G611" s="19" t="n">
        <f aca="false">IF($D611=0,0,$D611*$E611)</f>
        <v>0</v>
      </c>
      <c r="H611" s="20" t="str">
        <f aca="false">IF($B611="","",CONCATENATE("Pozisyon: ",$B611,"/",$C611," tutar ",TEXT($D611,"#,##0.00")))</f>
        <v/>
      </c>
    </row>
    <row r="612" customFormat="false" ht="15" hidden="false" customHeight="false" outlineLevel="0" collapsed="false">
      <c r="A612" s="21"/>
      <c r="B612" s="22"/>
      <c r="C612" s="22"/>
      <c r="D612" s="23"/>
      <c r="E612" s="24"/>
      <c r="F612" s="22"/>
      <c r="G612" s="19" t="n">
        <f aca="false">IF($D612=0,0,$D612*$E612)</f>
        <v>0</v>
      </c>
      <c r="H612" s="20" t="str">
        <f aca="false">IF($B612="","",CONCATENATE("Pozisyon: ",$B612,"/",$C612," tutar ",TEXT($D612,"#,##0.00")))</f>
        <v/>
      </c>
    </row>
    <row r="613" customFormat="false" ht="15" hidden="false" customHeight="false" outlineLevel="0" collapsed="false">
      <c r="A613" s="21"/>
      <c r="B613" s="22"/>
      <c r="C613" s="22"/>
      <c r="D613" s="23"/>
      <c r="E613" s="24"/>
      <c r="F613" s="22"/>
      <c r="G613" s="19" t="n">
        <f aca="false">IF($D613=0,0,$D613*$E613)</f>
        <v>0</v>
      </c>
      <c r="H613" s="20" t="str">
        <f aca="false">IF($B613="","",CONCATENATE("Pozisyon: ",$B613,"/",$C613," tutar ",TEXT($D613,"#,##0.00")))</f>
        <v/>
      </c>
    </row>
    <row r="614" customFormat="false" ht="15" hidden="false" customHeight="false" outlineLevel="0" collapsed="false">
      <c r="A614" s="21"/>
      <c r="B614" s="22"/>
      <c r="C614" s="22"/>
      <c r="D614" s="23"/>
      <c r="E614" s="24"/>
      <c r="F614" s="22"/>
      <c r="G614" s="19" t="n">
        <f aca="false">IF($D614=0,0,$D614*$E614)</f>
        <v>0</v>
      </c>
      <c r="H614" s="20" t="str">
        <f aca="false">IF($B614="","",CONCATENATE("Pozisyon: ",$B614,"/",$C614," tutar ",TEXT($D614,"#,##0.00")))</f>
        <v/>
      </c>
    </row>
    <row r="615" customFormat="false" ht="15" hidden="false" customHeight="false" outlineLevel="0" collapsed="false">
      <c r="A615" s="21"/>
      <c r="B615" s="22"/>
      <c r="C615" s="22"/>
      <c r="D615" s="23"/>
      <c r="E615" s="24"/>
      <c r="F615" s="22"/>
      <c r="G615" s="19" t="n">
        <f aca="false">IF($D615=0,0,$D615*$E615)</f>
        <v>0</v>
      </c>
      <c r="H615" s="20" t="str">
        <f aca="false">IF($B615="","",CONCATENATE("Pozisyon: ",$B615,"/",$C615," tutar ",TEXT($D615,"#,##0.00")))</f>
        <v/>
      </c>
    </row>
    <row r="616" customFormat="false" ht="15" hidden="false" customHeight="false" outlineLevel="0" collapsed="false">
      <c r="A616" s="21"/>
      <c r="B616" s="22"/>
      <c r="C616" s="22"/>
      <c r="D616" s="23"/>
      <c r="E616" s="24"/>
      <c r="F616" s="22"/>
      <c r="G616" s="19" t="n">
        <f aca="false">IF($D616=0,0,$D616*$E616)</f>
        <v>0</v>
      </c>
      <c r="H616" s="20" t="str">
        <f aca="false">IF($B616="","",CONCATENATE("Pozisyon: ",$B616,"/",$C616," tutar ",TEXT($D616,"#,##0.00")))</f>
        <v/>
      </c>
    </row>
    <row r="617" customFormat="false" ht="15" hidden="false" customHeight="false" outlineLevel="0" collapsed="false">
      <c r="A617" s="21"/>
      <c r="B617" s="22"/>
      <c r="C617" s="22"/>
      <c r="D617" s="23"/>
      <c r="E617" s="24"/>
      <c r="F617" s="22"/>
      <c r="G617" s="19" t="n">
        <f aca="false">IF($D617=0,0,$D617*$E617)</f>
        <v>0</v>
      </c>
      <c r="H617" s="20" t="str">
        <f aca="false">IF($B617="","",CONCATENATE("Pozisyon: ",$B617,"/",$C617," tutar ",TEXT($D617,"#,##0.00")))</f>
        <v/>
      </c>
    </row>
    <row r="618" customFormat="false" ht="15" hidden="false" customHeight="false" outlineLevel="0" collapsed="false">
      <c r="A618" s="21"/>
      <c r="B618" s="22"/>
      <c r="C618" s="22"/>
      <c r="D618" s="23"/>
      <c r="E618" s="24"/>
      <c r="F618" s="22"/>
      <c r="G618" s="19" t="n">
        <f aca="false">IF($D618=0,0,$D618*$E618)</f>
        <v>0</v>
      </c>
      <c r="H618" s="20" t="str">
        <f aca="false">IF($B618="","",CONCATENATE("Pozisyon: ",$B618,"/",$C618," tutar ",TEXT($D618,"#,##0.00")))</f>
        <v/>
      </c>
    </row>
    <row r="619" customFormat="false" ht="15" hidden="false" customHeight="false" outlineLevel="0" collapsed="false">
      <c r="A619" s="21"/>
      <c r="B619" s="22"/>
      <c r="C619" s="22"/>
      <c r="D619" s="23"/>
      <c r="E619" s="24"/>
      <c r="F619" s="22"/>
      <c r="G619" s="19" t="n">
        <f aca="false">IF($D619=0,0,$D619*$E619)</f>
        <v>0</v>
      </c>
      <c r="H619" s="20" t="str">
        <f aca="false">IF($B619="","",CONCATENATE("Pozisyon: ",$B619,"/",$C619," tutar ",TEXT($D619,"#,##0.00")))</f>
        <v/>
      </c>
    </row>
    <row r="620" customFormat="false" ht="15" hidden="false" customHeight="false" outlineLevel="0" collapsed="false">
      <c r="A620" s="21"/>
      <c r="B620" s="22"/>
      <c r="C620" s="22"/>
      <c r="D620" s="23"/>
      <c r="E620" s="24"/>
      <c r="F620" s="22"/>
      <c r="G620" s="19" t="n">
        <f aca="false">IF($D620=0,0,$D620*$E620)</f>
        <v>0</v>
      </c>
      <c r="H620" s="20" t="str">
        <f aca="false">IF($B620="","",CONCATENATE("Pozisyon: ",$B620,"/",$C620," tutar ",TEXT($D620,"#,##0.00")))</f>
        <v/>
      </c>
    </row>
    <row r="621" customFormat="false" ht="15" hidden="false" customHeight="false" outlineLevel="0" collapsed="false">
      <c r="A621" s="21"/>
      <c r="B621" s="22"/>
      <c r="C621" s="22"/>
      <c r="D621" s="23"/>
      <c r="E621" s="24"/>
      <c r="F621" s="22"/>
      <c r="G621" s="19" t="n">
        <f aca="false">IF($D621=0,0,$D621*$E621)</f>
        <v>0</v>
      </c>
      <c r="H621" s="20" t="str">
        <f aca="false">IF($B621="","",CONCATENATE("Pozisyon: ",$B621,"/",$C621," tutar ",TEXT($D621,"#,##0.00")))</f>
        <v/>
      </c>
    </row>
    <row r="622" customFormat="false" ht="15" hidden="false" customHeight="false" outlineLevel="0" collapsed="false">
      <c r="A622" s="21"/>
      <c r="B622" s="22"/>
      <c r="C622" s="22"/>
      <c r="D622" s="23"/>
      <c r="E622" s="24"/>
      <c r="F622" s="22"/>
      <c r="G622" s="19" t="n">
        <f aca="false">IF($D622=0,0,$D622*$E622)</f>
        <v>0</v>
      </c>
      <c r="H622" s="20" t="str">
        <f aca="false">IF($B622="","",CONCATENATE("Pozisyon: ",$B622,"/",$C622," tutar ",TEXT($D622,"#,##0.00")))</f>
        <v/>
      </c>
    </row>
    <row r="623" customFormat="false" ht="15" hidden="false" customHeight="false" outlineLevel="0" collapsed="false">
      <c r="A623" s="21"/>
      <c r="B623" s="22"/>
      <c r="C623" s="22"/>
      <c r="D623" s="23"/>
      <c r="E623" s="24"/>
      <c r="F623" s="22"/>
      <c r="G623" s="19" t="n">
        <f aca="false">IF($D623=0,0,$D623*$E623)</f>
        <v>0</v>
      </c>
      <c r="H623" s="20" t="str">
        <f aca="false">IF($B623="","",CONCATENATE("Pozisyon: ",$B623,"/",$C623," tutar ",TEXT($D623,"#,##0.00")))</f>
        <v/>
      </c>
    </row>
    <row r="624" customFormat="false" ht="15" hidden="false" customHeight="false" outlineLevel="0" collapsed="false">
      <c r="A624" s="21"/>
      <c r="B624" s="22"/>
      <c r="C624" s="22"/>
      <c r="D624" s="23"/>
      <c r="E624" s="24"/>
      <c r="F624" s="22"/>
      <c r="G624" s="19" t="n">
        <f aca="false">IF($D624=0,0,$D624*$E624)</f>
        <v>0</v>
      </c>
      <c r="H624" s="20" t="str">
        <f aca="false">IF($B624="","",CONCATENATE("Pozisyon: ",$B624,"/",$C624," tutar ",TEXT($D624,"#,##0.00")))</f>
        <v/>
      </c>
    </row>
    <row r="625" customFormat="false" ht="15" hidden="false" customHeight="false" outlineLevel="0" collapsed="false">
      <c r="A625" s="21"/>
      <c r="B625" s="22"/>
      <c r="C625" s="22"/>
      <c r="D625" s="23"/>
      <c r="E625" s="24"/>
      <c r="F625" s="22"/>
      <c r="G625" s="19" t="n">
        <f aca="false">IF($D625=0,0,$D625*$E625)</f>
        <v>0</v>
      </c>
      <c r="H625" s="20" t="str">
        <f aca="false">IF($B625="","",CONCATENATE("Pozisyon: ",$B625,"/",$C625," tutar ",TEXT($D625,"#,##0.00")))</f>
        <v/>
      </c>
    </row>
    <row r="626" customFormat="false" ht="15" hidden="false" customHeight="false" outlineLevel="0" collapsed="false">
      <c r="A626" s="21"/>
      <c r="B626" s="22"/>
      <c r="C626" s="22"/>
      <c r="D626" s="23"/>
      <c r="E626" s="24"/>
      <c r="F626" s="22"/>
      <c r="G626" s="19" t="n">
        <f aca="false">IF($D626=0,0,$D626*$E626)</f>
        <v>0</v>
      </c>
      <c r="H626" s="20" t="str">
        <f aca="false">IF($B626="","",CONCATENATE("Pozisyon: ",$B626,"/",$C626," tutar ",TEXT($D626,"#,##0.00")))</f>
        <v/>
      </c>
    </row>
    <row r="627" customFormat="false" ht="15" hidden="false" customHeight="false" outlineLevel="0" collapsed="false">
      <c r="A627" s="21"/>
      <c r="B627" s="22"/>
      <c r="C627" s="22"/>
      <c r="D627" s="23"/>
      <c r="E627" s="24"/>
      <c r="F627" s="22"/>
      <c r="G627" s="19" t="n">
        <f aca="false">IF($D627=0,0,$D627*$E627)</f>
        <v>0</v>
      </c>
      <c r="H627" s="20" t="str">
        <f aca="false">IF($B627="","",CONCATENATE("Pozisyon: ",$B627,"/",$C627," tutar ",TEXT($D627,"#,##0.00")))</f>
        <v/>
      </c>
    </row>
    <row r="628" customFormat="false" ht="15" hidden="false" customHeight="false" outlineLevel="0" collapsed="false">
      <c r="A628" s="21"/>
      <c r="B628" s="22"/>
      <c r="C628" s="22"/>
      <c r="D628" s="23"/>
      <c r="E628" s="24"/>
      <c r="F628" s="22"/>
      <c r="G628" s="19" t="n">
        <f aca="false">IF($D628=0,0,$D628*$E628)</f>
        <v>0</v>
      </c>
      <c r="H628" s="20" t="str">
        <f aca="false">IF($B628="","",CONCATENATE("Pozisyon: ",$B628,"/",$C628," tutar ",TEXT($D628,"#,##0.00")))</f>
        <v/>
      </c>
    </row>
    <row r="629" customFormat="false" ht="15" hidden="false" customHeight="false" outlineLevel="0" collapsed="false">
      <c r="A629" s="21"/>
      <c r="B629" s="22"/>
      <c r="C629" s="22"/>
      <c r="D629" s="23"/>
      <c r="E629" s="24"/>
      <c r="F629" s="22"/>
      <c r="G629" s="19" t="n">
        <f aca="false">IF($D629=0,0,$D629*$E629)</f>
        <v>0</v>
      </c>
      <c r="H629" s="20" t="str">
        <f aca="false">IF($B629="","",CONCATENATE("Pozisyon: ",$B629,"/",$C629," tutar ",TEXT($D629,"#,##0.00")))</f>
        <v/>
      </c>
    </row>
    <row r="630" customFormat="false" ht="15" hidden="false" customHeight="false" outlineLevel="0" collapsed="false">
      <c r="A630" s="21"/>
      <c r="B630" s="22"/>
      <c r="C630" s="22"/>
      <c r="D630" s="23"/>
      <c r="E630" s="24"/>
      <c r="F630" s="22"/>
      <c r="G630" s="19" t="n">
        <f aca="false">IF($D630=0,0,$D630*$E630)</f>
        <v>0</v>
      </c>
      <c r="H630" s="20" t="str">
        <f aca="false">IF($B630="","",CONCATENATE("Pozisyon: ",$B630,"/",$C630," tutar ",TEXT($D630,"#,##0.00")))</f>
        <v/>
      </c>
    </row>
    <row r="631" customFormat="false" ht="15" hidden="false" customHeight="false" outlineLevel="0" collapsed="false">
      <c r="A631" s="21"/>
      <c r="B631" s="22"/>
      <c r="C631" s="22"/>
      <c r="D631" s="23"/>
      <c r="E631" s="24"/>
      <c r="F631" s="22"/>
      <c r="G631" s="19" t="n">
        <f aca="false">IF($D631=0,0,$D631*$E631)</f>
        <v>0</v>
      </c>
      <c r="H631" s="20" t="str">
        <f aca="false">IF($B631="","",CONCATENATE("Pozisyon: ",$B631,"/",$C631," tutar ",TEXT($D631,"#,##0.00")))</f>
        <v/>
      </c>
    </row>
    <row r="632" customFormat="false" ht="15" hidden="false" customHeight="false" outlineLevel="0" collapsed="false">
      <c r="A632" s="21"/>
      <c r="B632" s="22"/>
      <c r="C632" s="22"/>
      <c r="D632" s="23"/>
      <c r="E632" s="24"/>
      <c r="F632" s="22"/>
      <c r="G632" s="19" t="n">
        <f aca="false">IF($D632=0,0,$D632*$E632)</f>
        <v>0</v>
      </c>
      <c r="H632" s="20" t="str">
        <f aca="false">IF($B632="","",CONCATENATE("Pozisyon: ",$B632,"/",$C632," tutar ",TEXT($D632,"#,##0.00")))</f>
        <v/>
      </c>
    </row>
    <row r="633" customFormat="false" ht="15" hidden="false" customHeight="false" outlineLevel="0" collapsed="false">
      <c r="A633" s="21"/>
      <c r="B633" s="22"/>
      <c r="C633" s="22"/>
      <c r="D633" s="23"/>
      <c r="E633" s="24"/>
      <c r="F633" s="22"/>
      <c r="G633" s="19" t="n">
        <f aca="false">IF($D633=0,0,$D633*$E633)</f>
        <v>0</v>
      </c>
      <c r="H633" s="20" t="str">
        <f aca="false">IF($B633="","",CONCATENATE("Pozisyon: ",$B633,"/",$C633," tutar ",TEXT($D633,"#,##0.00")))</f>
        <v/>
      </c>
    </row>
    <row r="634" customFormat="false" ht="15" hidden="false" customHeight="false" outlineLevel="0" collapsed="false">
      <c r="A634" s="21"/>
      <c r="B634" s="22"/>
      <c r="C634" s="22"/>
      <c r="D634" s="23"/>
      <c r="E634" s="24"/>
      <c r="F634" s="22"/>
      <c r="G634" s="19" t="n">
        <f aca="false">IF($D634=0,0,$D634*$E634)</f>
        <v>0</v>
      </c>
      <c r="H634" s="20" t="str">
        <f aca="false">IF($B634="","",CONCATENATE("Pozisyon: ",$B634,"/",$C634," tutar ",TEXT($D634,"#,##0.00")))</f>
        <v/>
      </c>
    </row>
    <row r="635" customFormat="false" ht="15" hidden="false" customHeight="false" outlineLevel="0" collapsed="false">
      <c r="A635" s="21"/>
      <c r="B635" s="22"/>
      <c r="C635" s="22"/>
      <c r="D635" s="23"/>
      <c r="E635" s="24"/>
      <c r="F635" s="22"/>
      <c r="G635" s="19" t="n">
        <f aca="false">IF($D635=0,0,$D635*$E635)</f>
        <v>0</v>
      </c>
      <c r="H635" s="20" t="str">
        <f aca="false">IF($B635="","",CONCATENATE("Pozisyon: ",$B635,"/",$C635," tutar ",TEXT($D635,"#,##0.00")))</f>
        <v/>
      </c>
    </row>
    <row r="636" customFormat="false" ht="15" hidden="false" customHeight="false" outlineLevel="0" collapsed="false">
      <c r="A636" s="21"/>
      <c r="B636" s="22"/>
      <c r="C636" s="22"/>
      <c r="D636" s="23"/>
      <c r="E636" s="24"/>
      <c r="F636" s="22"/>
      <c r="G636" s="19" t="n">
        <f aca="false">IF($D636=0,0,$D636*$E636)</f>
        <v>0</v>
      </c>
      <c r="H636" s="20" t="str">
        <f aca="false">IF($B636="","",CONCATENATE("Pozisyon: ",$B636,"/",$C636," tutar ",TEXT($D636,"#,##0.00")))</f>
        <v/>
      </c>
    </row>
    <row r="637" customFormat="false" ht="15" hidden="false" customHeight="false" outlineLevel="0" collapsed="false">
      <c r="A637" s="21"/>
      <c r="B637" s="22"/>
      <c r="C637" s="22"/>
      <c r="D637" s="23"/>
      <c r="E637" s="24"/>
      <c r="F637" s="22"/>
      <c r="G637" s="19" t="n">
        <f aca="false">IF($D637=0,0,$D637*$E637)</f>
        <v>0</v>
      </c>
      <c r="H637" s="20" t="str">
        <f aca="false">IF($B637="","",CONCATENATE("Pozisyon: ",$B637,"/",$C637," tutar ",TEXT($D637,"#,##0.00")))</f>
        <v/>
      </c>
    </row>
    <row r="638" customFormat="false" ht="15" hidden="false" customHeight="false" outlineLevel="0" collapsed="false">
      <c r="A638" s="21"/>
      <c r="B638" s="22"/>
      <c r="C638" s="22"/>
      <c r="D638" s="23"/>
      <c r="E638" s="24"/>
      <c r="F638" s="22"/>
      <c r="G638" s="19" t="n">
        <f aca="false">IF($D638=0,0,$D638*$E638)</f>
        <v>0</v>
      </c>
      <c r="H638" s="20" t="str">
        <f aca="false">IF($B638="","",CONCATENATE("Pozisyon: ",$B638,"/",$C638," tutar ",TEXT($D638,"#,##0.00")))</f>
        <v/>
      </c>
    </row>
    <row r="639" customFormat="false" ht="15" hidden="false" customHeight="false" outlineLevel="0" collapsed="false">
      <c r="A639" s="21"/>
      <c r="B639" s="22"/>
      <c r="C639" s="22"/>
      <c r="D639" s="23"/>
      <c r="E639" s="24"/>
      <c r="F639" s="22"/>
      <c r="G639" s="19" t="n">
        <f aca="false">IF($D639=0,0,$D639*$E639)</f>
        <v>0</v>
      </c>
      <c r="H639" s="20" t="str">
        <f aca="false">IF($B639="","",CONCATENATE("Pozisyon: ",$B639,"/",$C639," tutar ",TEXT($D639,"#,##0.00")))</f>
        <v/>
      </c>
    </row>
    <row r="640" customFormat="false" ht="15" hidden="false" customHeight="false" outlineLevel="0" collapsed="false">
      <c r="A640" s="21"/>
      <c r="B640" s="22"/>
      <c r="C640" s="22"/>
      <c r="D640" s="23"/>
      <c r="E640" s="24"/>
      <c r="F640" s="22"/>
      <c r="G640" s="19" t="n">
        <f aca="false">IF($D640=0,0,$D640*$E640)</f>
        <v>0</v>
      </c>
      <c r="H640" s="20" t="str">
        <f aca="false">IF($B640="","",CONCATENATE("Pozisyon: ",$B640,"/",$C640," tutar ",TEXT($D640,"#,##0.00")))</f>
        <v/>
      </c>
    </row>
    <row r="641" customFormat="false" ht="15" hidden="false" customHeight="false" outlineLevel="0" collapsed="false">
      <c r="A641" s="21"/>
      <c r="B641" s="22"/>
      <c r="C641" s="22"/>
      <c r="D641" s="23"/>
      <c r="E641" s="24"/>
      <c r="F641" s="22"/>
      <c r="G641" s="19" t="n">
        <f aca="false">IF($D641=0,0,$D641*$E641)</f>
        <v>0</v>
      </c>
      <c r="H641" s="20" t="str">
        <f aca="false">IF($B641="","",CONCATENATE("Pozisyon: ",$B641,"/",$C641," tutar ",TEXT($D641,"#,##0.00")))</f>
        <v/>
      </c>
    </row>
    <row r="642" customFormat="false" ht="15" hidden="false" customHeight="false" outlineLevel="0" collapsed="false">
      <c r="A642" s="21"/>
      <c r="B642" s="22"/>
      <c r="C642" s="22"/>
      <c r="D642" s="23"/>
      <c r="E642" s="24"/>
      <c r="F642" s="22"/>
      <c r="G642" s="19" t="n">
        <f aca="false">IF($D642=0,0,$D642*$E642)</f>
        <v>0</v>
      </c>
      <c r="H642" s="20" t="str">
        <f aca="false">IF($B642="","",CONCATENATE("Pozisyon: ",$B642,"/",$C642," tutar ",TEXT($D642,"#,##0.00")))</f>
        <v/>
      </c>
    </row>
    <row r="643" customFormat="false" ht="15" hidden="false" customHeight="false" outlineLevel="0" collapsed="false">
      <c r="A643" s="21"/>
      <c r="B643" s="22"/>
      <c r="C643" s="22"/>
      <c r="D643" s="23"/>
      <c r="E643" s="24"/>
      <c r="F643" s="22"/>
      <c r="G643" s="19" t="n">
        <f aca="false">IF($D643=0,0,$D643*$E643)</f>
        <v>0</v>
      </c>
      <c r="H643" s="20" t="str">
        <f aca="false">IF($B643="","",CONCATENATE("Pozisyon: ",$B643,"/",$C643," tutar ",TEXT($D643,"#,##0.00")))</f>
        <v/>
      </c>
    </row>
    <row r="644" customFormat="false" ht="15" hidden="false" customHeight="false" outlineLevel="0" collapsed="false">
      <c r="A644" s="21"/>
      <c r="B644" s="22"/>
      <c r="C644" s="22"/>
      <c r="D644" s="23"/>
      <c r="E644" s="24"/>
      <c r="F644" s="22"/>
      <c r="G644" s="19" t="n">
        <f aca="false">IF($D644=0,0,$D644*$E644)</f>
        <v>0</v>
      </c>
      <c r="H644" s="20" t="str">
        <f aca="false">IF($B644="","",CONCATENATE("Pozisyon: ",$B644,"/",$C644," tutar ",TEXT($D644,"#,##0.00")))</f>
        <v/>
      </c>
    </row>
    <row r="645" customFormat="false" ht="15" hidden="false" customHeight="false" outlineLevel="0" collapsed="false">
      <c r="A645" s="21"/>
      <c r="B645" s="22"/>
      <c r="C645" s="22"/>
      <c r="D645" s="23"/>
      <c r="E645" s="24"/>
      <c r="F645" s="22"/>
      <c r="G645" s="19" t="n">
        <f aca="false">IF($D645=0,0,$D645*$E645)</f>
        <v>0</v>
      </c>
      <c r="H645" s="20" t="str">
        <f aca="false">IF($B645="","",CONCATENATE("Pozisyon: ",$B645,"/",$C645," tutar ",TEXT($D645,"#,##0.00")))</f>
        <v/>
      </c>
    </row>
    <row r="646" customFormat="false" ht="15" hidden="false" customHeight="false" outlineLevel="0" collapsed="false">
      <c r="A646" s="21"/>
      <c r="B646" s="22"/>
      <c r="C646" s="22"/>
      <c r="D646" s="23"/>
      <c r="E646" s="24"/>
      <c r="F646" s="22"/>
      <c r="G646" s="19" t="n">
        <f aca="false">IF($D646=0,0,$D646*$E646)</f>
        <v>0</v>
      </c>
      <c r="H646" s="20" t="str">
        <f aca="false">IF($B646="","",CONCATENATE("Pozisyon: ",$B646,"/",$C646," tutar ",TEXT($D646,"#,##0.00")))</f>
        <v/>
      </c>
    </row>
    <row r="647" customFormat="false" ht="15" hidden="false" customHeight="false" outlineLevel="0" collapsed="false">
      <c r="A647" s="21"/>
      <c r="B647" s="22"/>
      <c r="C647" s="22"/>
      <c r="D647" s="23"/>
      <c r="E647" s="24"/>
      <c r="F647" s="22"/>
      <c r="G647" s="19" t="n">
        <f aca="false">IF($D647=0,0,$D647*$E647)</f>
        <v>0</v>
      </c>
      <c r="H647" s="20" t="str">
        <f aca="false">IF($B647="","",CONCATENATE("Pozisyon: ",$B647,"/",$C647," tutar ",TEXT($D647,"#,##0.00")))</f>
        <v/>
      </c>
    </row>
    <row r="648" customFormat="false" ht="15" hidden="false" customHeight="false" outlineLevel="0" collapsed="false">
      <c r="A648" s="21"/>
      <c r="B648" s="22"/>
      <c r="C648" s="22"/>
      <c r="D648" s="23"/>
      <c r="E648" s="24"/>
      <c r="F648" s="22"/>
      <c r="G648" s="19" t="n">
        <f aca="false">IF($D648=0,0,$D648*$E648)</f>
        <v>0</v>
      </c>
      <c r="H648" s="20" t="str">
        <f aca="false">IF($B648="","",CONCATENATE("Pozisyon: ",$B648,"/",$C648," tutar ",TEXT($D648,"#,##0.00")))</f>
        <v/>
      </c>
    </row>
    <row r="649" customFormat="false" ht="15" hidden="false" customHeight="false" outlineLevel="0" collapsed="false">
      <c r="A649" s="21"/>
      <c r="B649" s="22"/>
      <c r="C649" s="22"/>
      <c r="D649" s="23"/>
      <c r="E649" s="24"/>
      <c r="F649" s="22"/>
      <c r="G649" s="19" t="n">
        <f aca="false">IF($D649=0,0,$D649*$E649)</f>
        <v>0</v>
      </c>
      <c r="H649" s="20" t="str">
        <f aca="false">IF($B649="","",CONCATENATE("Pozisyon: ",$B649,"/",$C649," tutar ",TEXT($D649,"#,##0.00")))</f>
        <v/>
      </c>
    </row>
    <row r="650" customFormat="false" ht="15" hidden="false" customHeight="false" outlineLevel="0" collapsed="false">
      <c r="A650" s="21"/>
      <c r="B650" s="22"/>
      <c r="C650" s="22"/>
      <c r="D650" s="23"/>
      <c r="E650" s="24"/>
      <c r="F650" s="22"/>
      <c r="G650" s="19" t="n">
        <f aca="false">IF($D650=0,0,$D650*$E650)</f>
        <v>0</v>
      </c>
      <c r="H650" s="20" t="str">
        <f aca="false">IF($B650="","",CONCATENATE("Pozisyon: ",$B650,"/",$C650," tutar ",TEXT($D650,"#,##0.00")))</f>
        <v/>
      </c>
    </row>
    <row r="651" customFormat="false" ht="15" hidden="false" customHeight="false" outlineLevel="0" collapsed="false">
      <c r="A651" s="21"/>
      <c r="B651" s="22"/>
      <c r="C651" s="22"/>
      <c r="D651" s="23"/>
      <c r="E651" s="24"/>
      <c r="F651" s="22"/>
      <c r="G651" s="19" t="n">
        <f aca="false">IF($D651=0,0,$D651*$E651)</f>
        <v>0</v>
      </c>
      <c r="H651" s="20" t="str">
        <f aca="false">IF($B651="","",CONCATENATE("Pozisyon: ",$B651,"/",$C651," tutar ",TEXT($D651,"#,##0.00")))</f>
        <v/>
      </c>
    </row>
    <row r="652" customFormat="false" ht="15" hidden="false" customHeight="false" outlineLevel="0" collapsed="false">
      <c r="A652" s="21"/>
      <c r="B652" s="22"/>
      <c r="C652" s="22"/>
      <c r="D652" s="23"/>
      <c r="E652" s="24"/>
      <c r="F652" s="22"/>
      <c r="G652" s="19" t="n">
        <f aca="false">IF($D652=0,0,$D652*$E652)</f>
        <v>0</v>
      </c>
      <c r="H652" s="20" t="str">
        <f aca="false">IF($B652="","",CONCATENATE("Pozisyon: ",$B652,"/",$C652," tutar ",TEXT($D652,"#,##0.00")))</f>
        <v/>
      </c>
    </row>
    <row r="653" customFormat="false" ht="15" hidden="false" customHeight="false" outlineLevel="0" collapsed="false">
      <c r="A653" s="21"/>
      <c r="B653" s="22"/>
      <c r="C653" s="22"/>
      <c r="D653" s="23"/>
      <c r="E653" s="24"/>
      <c r="F653" s="22"/>
      <c r="G653" s="19" t="n">
        <f aca="false">IF($D653=0,0,$D653*$E653)</f>
        <v>0</v>
      </c>
      <c r="H653" s="20" t="str">
        <f aca="false">IF($B653="","",CONCATENATE("Pozisyon: ",$B653,"/",$C653," tutar ",TEXT($D653,"#,##0.00")))</f>
        <v/>
      </c>
    </row>
    <row r="654" customFormat="false" ht="15" hidden="false" customHeight="false" outlineLevel="0" collapsed="false">
      <c r="A654" s="21"/>
      <c r="B654" s="22"/>
      <c r="C654" s="22"/>
      <c r="D654" s="23"/>
      <c r="E654" s="24"/>
      <c r="F654" s="22"/>
      <c r="G654" s="19" t="n">
        <f aca="false">IF($D654=0,0,$D654*$E654)</f>
        <v>0</v>
      </c>
      <c r="H654" s="20" t="str">
        <f aca="false">IF($B654="","",CONCATENATE("Pozisyon: ",$B654,"/",$C654," tutar ",TEXT($D654,"#,##0.00")))</f>
        <v/>
      </c>
    </row>
    <row r="655" customFormat="false" ht="15" hidden="false" customHeight="false" outlineLevel="0" collapsed="false">
      <c r="A655" s="21"/>
      <c r="B655" s="22"/>
      <c r="C655" s="22"/>
      <c r="D655" s="23"/>
      <c r="E655" s="24"/>
      <c r="F655" s="22"/>
      <c r="G655" s="19" t="n">
        <f aca="false">IF($D655=0,0,$D655*$E655)</f>
        <v>0</v>
      </c>
      <c r="H655" s="20" t="str">
        <f aca="false">IF($B655="","",CONCATENATE("Pozisyon: ",$B655,"/",$C655," tutar ",TEXT($D655,"#,##0.00")))</f>
        <v/>
      </c>
    </row>
    <row r="656" customFormat="false" ht="15" hidden="false" customHeight="false" outlineLevel="0" collapsed="false">
      <c r="A656" s="21"/>
      <c r="B656" s="22"/>
      <c r="C656" s="22"/>
      <c r="D656" s="23"/>
      <c r="E656" s="24"/>
      <c r="F656" s="22"/>
      <c r="G656" s="19" t="n">
        <f aca="false">IF($D656=0,0,$D656*$E656)</f>
        <v>0</v>
      </c>
      <c r="H656" s="20" t="str">
        <f aca="false">IF($B656="","",CONCATENATE("Pozisyon: ",$B656,"/",$C656," tutar ",TEXT($D656,"#,##0.00")))</f>
        <v/>
      </c>
    </row>
    <row r="657" customFormat="false" ht="15" hidden="false" customHeight="false" outlineLevel="0" collapsed="false">
      <c r="A657" s="21"/>
      <c r="B657" s="22"/>
      <c r="C657" s="22"/>
      <c r="D657" s="23"/>
      <c r="E657" s="24"/>
      <c r="F657" s="22"/>
      <c r="G657" s="19" t="n">
        <f aca="false">IF($D657=0,0,$D657*$E657)</f>
        <v>0</v>
      </c>
      <c r="H657" s="20" t="str">
        <f aca="false">IF($B657="","",CONCATENATE("Pozisyon: ",$B657,"/",$C657," tutar ",TEXT($D657,"#,##0.00")))</f>
        <v/>
      </c>
    </row>
    <row r="658" customFormat="false" ht="15" hidden="false" customHeight="false" outlineLevel="0" collapsed="false">
      <c r="A658" s="21"/>
      <c r="B658" s="22"/>
      <c r="C658" s="22"/>
      <c r="D658" s="23"/>
      <c r="E658" s="24"/>
      <c r="F658" s="22"/>
      <c r="G658" s="19" t="n">
        <f aca="false">IF($D658=0,0,$D658*$E658)</f>
        <v>0</v>
      </c>
      <c r="H658" s="20" t="str">
        <f aca="false">IF($B658="","",CONCATENATE("Pozisyon: ",$B658,"/",$C658," tutar ",TEXT($D658,"#,##0.00")))</f>
        <v/>
      </c>
    </row>
    <row r="659" customFormat="false" ht="15" hidden="false" customHeight="false" outlineLevel="0" collapsed="false">
      <c r="A659" s="21"/>
      <c r="B659" s="22"/>
      <c r="C659" s="22"/>
      <c r="D659" s="23"/>
      <c r="E659" s="24"/>
      <c r="F659" s="22"/>
      <c r="G659" s="19" t="n">
        <f aca="false">IF($D659=0,0,$D659*$E659)</f>
        <v>0</v>
      </c>
      <c r="H659" s="20" t="str">
        <f aca="false">IF($B659="","",CONCATENATE("Pozisyon: ",$B659,"/",$C659," tutar ",TEXT($D659,"#,##0.00")))</f>
        <v/>
      </c>
    </row>
    <row r="660" customFormat="false" ht="15" hidden="false" customHeight="false" outlineLevel="0" collapsed="false">
      <c r="A660" s="21"/>
      <c r="B660" s="22"/>
      <c r="C660" s="22"/>
      <c r="D660" s="23"/>
      <c r="E660" s="24"/>
      <c r="F660" s="22"/>
      <c r="G660" s="19" t="n">
        <f aca="false">IF($D660=0,0,$D660*$E660)</f>
        <v>0</v>
      </c>
      <c r="H660" s="20" t="str">
        <f aca="false">IF($B660="","",CONCATENATE("Pozisyon: ",$B660,"/",$C660," tutar ",TEXT($D660,"#,##0.00")))</f>
        <v/>
      </c>
    </row>
    <row r="661" customFormat="false" ht="15" hidden="false" customHeight="false" outlineLevel="0" collapsed="false">
      <c r="A661" s="21"/>
      <c r="B661" s="22"/>
      <c r="C661" s="22"/>
      <c r="D661" s="23"/>
      <c r="E661" s="24"/>
      <c r="F661" s="22"/>
      <c r="G661" s="19" t="n">
        <f aca="false">IF($D661=0,0,$D661*$E661)</f>
        <v>0</v>
      </c>
      <c r="H661" s="20" t="str">
        <f aca="false">IF($B661="","",CONCATENATE("Pozisyon: ",$B661,"/",$C661," tutar ",TEXT($D661,"#,##0.00")))</f>
        <v/>
      </c>
    </row>
    <row r="662" customFormat="false" ht="15" hidden="false" customHeight="false" outlineLevel="0" collapsed="false">
      <c r="A662" s="21"/>
      <c r="B662" s="22"/>
      <c r="C662" s="22"/>
      <c r="D662" s="23"/>
      <c r="E662" s="24"/>
      <c r="F662" s="22"/>
      <c r="G662" s="19" t="n">
        <f aca="false">IF($D662=0,0,$D662*$E662)</f>
        <v>0</v>
      </c>
      <c r="H662" s="20" t="str">
        <f aca="false">IF($B662="","",CONCATENATE("Pozisyon: ",$B662,"/",$C662," tutar ",TEXT($D662,"#,##0.00")))</f>
        <v/>
      </c>
    </row>
    <row r="663" customFormat="false" ht="15" hidden="false" customHeight="false" outlineLevel="0" collapsed="false">
      <c r="A663" s="21"/>
      <c r="B663" s="22"/>
      <c r="C663" s="22"/>
      <c r="D663" s="23"/>
      <c r="E663" s="24"/>
      <c r="F663" s="22"/>
      <c r="G663" s="19" t="n">
        <f aca="false">IF($D663=0,0,$D663*$E663)</f>
        <v>0</v>
      </c>
      <c r="H663" s="20" t="str">
        <f aca="false">IF($B663="","",CONCATENATE("Pozisyon: ",$B663,"/",$C663," tutar ",TEXT($D663,"#,##0.00")))</f>
        <v/>
      </c>
    </row>
    <row r="664" customFormat="false" ht="15" hidden="false" customHeight="false" outlineLevel="0" collapsed="false">
      <c r="A664" s="21"/>
      <c r="B664" s="22"/>
      <c r="C664" s="22"/>
      <c r="D664" s="23"/>
      <c r="E664" s="24"/>
      <c r="F664" s="22"/>
      <c r="G664" s="19" t="n">
        <f aca="false">IF($D664=0,0,$D664*$E664)</f>
        <v>0</v>
      </c>
      <c r="H664" s="20" t="str">
        <f aca="false">IF($B664="","",CONCATENATE("Pozisyon: ",$B664,"/",$C664," tutar ",TEXT($D664,"#,##0.00")))</f>
        <v/>
      </c>
    </row>
    <row r="665" customFormat="false" ht="15" hidden="false" customHeight="false" outlineLevel="0" collapsed="false">
      <c r="A665" s="21"/>
      <c r="B665" s="22"/>
      <c r="C665" s="22"/>
      <c r="D665" s="23"/>
      <c r="E665" s="24"/>
      <c r="F665" s="22"/>
      <c r="G665" s="19" t="n">
        <f aca="false">IF($D665=0,0,$D665*$E665)</f>
        <v>0</v>
      </c>
      <c r="H665" s="20" t="str">
        <f aca="false">IF($B665="","",CONCATENATE("Pozisyon: ",$B665,"/",$C665," tutar ",TEXT($D665,"#,##0.00")))</f>
        <v/>
      </c>
    </row>
    <row r="666" customFormat="false" ht="15" hidden="false" customHeight="false" outlineLevel="0" collapsed="false">
      <c r="A666" s="21"/>
      <c r="B666" s="22"/>
      <c r="C666" s="22"/>
      <c r="D666" s="23"/>
      <c r="E666" s="24"/>
      <c r="F666" s="22"/>
      <c r="G666" s="19" t="n">
        <f aca="false">IF($D666=0,0,$D666*$E666)</f>
        <v>0</v>
      </c>
      <c r="H666" s="20" t="str">
        <f aca="false">IF($B666="","",CONCATENATE("Pozisyon: ",$B666,"/",$C666," tutar ",TEXT($D666,"#,##0.00")))</f>
        <v/>
      </c>
    </row>
    <row r="667" customFormat="false" ht="15" hidden="false" customHeight="false" outlineLevel="0" collapsed="false">
      <c r="A667" s="21"/>
      <c r="B667" s="22"/>
      <c r="C667" s="22"/>
      <c r="D667" s="23"/>
      <c r="E667" s="24"/>
      <c r="F667" s="22"/>
      <c r="G667" s="19" t="n">
        <f aca="false">IF($D667=0,0,$D667*$E667)</f>
        <v>0</v>
      </c>
      <c r="H667" s="20" t="str">
        <f aca="false">IF($B667="","",CONCATENATE("Pozisyon: ",$B667,"/",$C667," tutar ",TEXT($D667,"#,##0.00")))</f>
        <v/>
      </c>
    </row>
    <row r="668" customFormat="false" ht="15" hidden="false" customHeight="false" outlineLevel="0" collapsed="false">
      <c r="A668" s="21"/>
      <c r="B668" s="22"/>
      <c r="C668" s="22"/>
      <c r="D668" s="23"/>
      <c r="E668" s="24"/>
      <c r="F668" s="22"/>
      <c r="G668" s="19" t="n">
        <f aca="false">IF($D668=0,0,$D668*$E668)</f>
        <v>0</v>
      </c>
      <c r="H668" s="20" t="str">
        <f aca="false">IF($B668="","",CONCATENATE("Pozisyon: ",$B668,"/",$C668," tutar ",TEXT($D668,"#,##0.00")))</f>
        <v/>
      </c>
    </row>
    <row r="669" customFormat="false" ht="15" hidden="false" customHeight="false" outlineLevel="0" collapsed="false">
      <c r="A669" s="21"/>
      <c r="B669" s="22"/>
      <c r="C669" s="22"/>
      <c r="D669" s="23"/>
      <c r="E669" s="24"/>
      <c r="F669" s="22"/>
      <c r="G669" s="19" t="n">
        <f aca="false">IF($D669=0,0,$D669*$E669)</f>
        <v>0</v>
      </c>
      <c r="H669" s="20" t="str">
        <f aca="false">IF($B669="","",CONCATENATE("Pozisyon: ",$B669,"/",$C669," tutar ",TEXT($D669,"#,##0.00")))</f>
        <v/>
      </c>
    </row>
    <row r="670" customFormat="false" ht="15" hidden="false" customHeight="false" outlineLevel="0" collapsed="false">
      <c r="A670" s="21"/>
      <c r="B670" s="22"/>
      <c r="C670" s="22"/>
      <c r="D670" s="23"/>
      <c r="E670" s="24"/>
      <c r="F670" s="22"/>
      <c r="G670" s="19" t="n">
        <f aca="false">IF($D670=0,0,$D670*$E670)</f>
        <v>0</v>
      </c>
      <c r="H670" s="20" t="str">
        <f aca="false">IF($B670="","",CONCATENATE("Pozisyon: ",$B670,"/",$C670," tutar ",TEXT($D670,"#,##0.00")))</f>
        <v/>
      </c>
    </row>
    <row r="671" customFormat="false" ht="15" hidden="false" customHeight="false" outlineLevel="0" collapsed="false">
      <c r="A671" s="21"/>
      <c r="B671" s="22"/>
      <c r="C671" s="22"/>
      <c r="D671" s="23"/>
      <c r="E671" s="24"/>
      <c r="F671" s="22"/>
      <c r="G671" s="19" t="n">
        <f aca="false">IF($D671=0,0,$D671*$E671)</f>
        <v>0</v>
      </c>
      <c r="H671" s="20" t="str">
        <f aca="false">IF($B671="","",CONCATENATE("Pozisyon: ",$B671,"/",$C671," tutar ",TEXT($D671,"#,##0.00")))</f>
        <v/>
      </c>
    </row>
    <row r="672" customFormat="false" ht="15" hidden="false" customHeight="false" outlineLevel="0" collapsed="false">
      <c r="A672" s="21"/>
      <c r="B672" s="22"/>
      <c r="C672" s="22"/>
      <c r="D672" s="23"/>
      <c r="E672" s="24"/>
      <c r="F672" s="22"/>
      <c r="G672" s="19" t="n">
        <f aca="false">IF($D672=0,0,$D672*$E672)</f>
        <v>0</v>
      </c>
      <c r="H672" s="20" t="str">
        <f aca="false">IF($B672="","",CONCATENATE("Pozisyon: ",$B672,"/",$C672," tutar ",TEXT($D672,"#,##0.00")))</f>
        <v/>
      </c>
    </row>
    <row r="673" customFormat="false" ht="15" hidden="false" customHeight="false" outlineLevel="0" collapsed="false">
      <c r="A673" s="21"/>
      <c r="B673" s="22"/>
      <c r="C673" s="22"/>
      <c r="D673" s="23"/>
      <c r="E673" s="24"/>
      <c r="F673" s="22"/>
      <c r="G673" s="19" t="n">
        <f aca="false">IF($D673=0,0,$D673*$E673)</f>
        <v>0</v>
      </c>
      <c r="H673" s="20" t="str">
        <f aca="false">IF($B673="","",CONCATENATE("Pozisyon: ",$B673,"/",$C673," tutar ",TEXT($D673,"#,##0.00")))</f>
        <v/>
      </c>
    </row>
    <row r="674" customFormat="false" ht="15" hidden="false" customHeight="false" outlineLevel="0" collapsed="false">
      <c r="A674" s="21"/>
      <c r="B674" s="22"/>
      <c r="C674" s="22"/>
      <c r="D674" s="23"/>
      <c r="E674" s="24"/>
      <c r="F674" s="22"/>
      <c r="G674" s="19" t="n">
        <f aca="false">IF($D674=0,0,$D674*$E674)</f>
        <v>0</v>
      </c>
      <c r="H674" s="20" t="str">
        <f aca="false">IF($B674="","",CONCATENATE("Pozisyon: ",$B674,"/",$C674," tutar ",TEXT($D674,"#,##0.00")))</f>
        <v/>
      </c>
    </row>
    <row r="675" customFormat="false" ht="15" hidden="false" customHeight="false" outlineLevel="0" collapsed="false">
      <c r="A675" s="21"/>
      <c r="B675" s="22"/>
      <c r="C675" s="22"/>
      <c r="D675" s="23"/>
      <c r="E675" s="24"/>
      <c r="F675" s="22"/>
      <c r="G675" s="19" t="n">
        <f aca="false">IF($D675=0,0,$D675*$E675)</f>
        <v>0</v>
      </c>
      <c r="H675" s="20" t="str">
        <f aca="false">IF($B675="","",CONCATENATE("Pozisyon: ",$B675,"/",$C675," tutar ",TEXT($D675,"#,##0.00")))</f>
        <v/>
      </c>
    </row>
    <row r="676" customFormat="false" ht="15" hidden="false" customHeight="false" outlineLevel="0" collapsed="false">
      <c r="A676" s="21"/>
      <c r="B676" s="22"/>
      <c r="C676" s="22"/>
      <c r="D676" s="23"/>
      <c r="E676" s="24"/>
      <c r="F676" s="22"/>
      <c r="G676" s="19" t="n">
        <f aca="false">IF($D676=0,0,$D676*$E676)</f>
        <v>0</v>
      </c>
      <c r="H676" s="20" t="str">
        <f aca="false">IF($B676="","",CONCATENATE("Pozisyon: ",$B676,"/",$C676," tutar ",TEXT($D676,"#,##0.00")))</f>
        <v/>
      </c>
    </row>
    <row r="677" customFormat="false" ht="15" hidden="false" customHeight="false" outlineLevel="0" collapsed="false">
      <c r="A677" s="21"/>
      <c r="B677" s="22"/>
      <c r="C677" s="22"/>
      <c r="D677" s="23"/>
      <c r="E677" s="24"/>
      <c r="F677" s="22"/>
      <c r="G677" s="19" t="n">
        <f aca="false">IF($D677=0,0,$D677*$E677)</f>
        <v>0</v>
      </c>
      <c r="H677" s="20" t="str">
        <f aca="false">IF($B677="","",CONCATENATE("Pozisyon: ",$B677,"/",$C677," tutar ",TEXT($D677,"#,##0.00")))</f>
        <v/>
      </c>
    </row>
    <row r="678" customFormat="false" ht="15" hidden="false" customHeight="false" outlineLevel="0" collapsed="false">
      <c r="A678" s="21"/>
      <c r="B678" s="22"/>
      <c r="C678" s="22"/>
      <c r="D678" s="23"/>
      <c r="E678" s="24"/>
      <c r="F678" s="22"/>
      <c r="G678" s="19" t="n">
        <f aca="false">IF($D678=0,0,$D678*$E678)</f>
        <v>0</v>
      </c>
      <c r="H678" s="20" t="str">
        <f aca="false">IF($B678="","",CONCATENATE("Pozisyon: ",$B678,"/",$C678," tutar ",TEXT($D678,"#,##0.00")))</f>
        <v/>
      </c>
    </row>
    <row r="679" customFormat="false" ht="15" hidden="false" customHeight="false" outlineLevel="0" collapsed="false">
      <c r="A679" s="21"/>
      <c r="B679" s="22"/>
      <c r="C679" s="22"/>
      <c r="D679" s="23"/>
      <c r="E679" s="24"/>
      <c r="F679" s="22"/>
      <c r="G679" s="19" t="n">
        <f aca="false">IF($D679=0,0,$D679*$E679)</f>
        <v>0</v>
      </c>
      <c r="H679" s="20" t="str">
        <f aca="false">IF($B679="","",CONCATENATE("Pozisyon: ",$B679,"/",$C679," tutar ",TEXT($D679,"#,##0.00")))</f>
        <v/>
      </c>
    </row>
    <row r="680" customFormat="false" ht="15" hidden="false" customHeight="false" outlineLevel="0" collapsed="false">
      <c r="A680" s="21"/>
      <c r="B680" s="22"/>
      <c r="C680" s="22"/>
      <c r="D680" s="23"/>
      <c r="E680" s="24"/>
      <c r="F680" s="22"/>
      <c r="G680" s="19" t="n">
        <f aca="false">IF($D680=0,0,$D680*$E680)</f>
        <v>0</v>
      </c>
      <c r="H680" s="20" t="str">
        <f aca="false">IF($B680="","",CONCATENATE("Pozisyon: ",$B680,"/",$C680," tutar ",TEXT($D680,"#,##0.00")))</f>
        <v/>
      </c>
    </row>
    <row r="681" customFormat="false" ht="15" hidden="false" customHeight="false" outlineLevel="0" collapsed="false">
      <c r="A681" s="21"/>
      <c r="B681" s="22"/>
      <c r="C681" s="22"/>
      <c r="D681" s="23"/>
      <c r="E681" s="24"/>
      <c r="F681" s="22"/>
      <c r="G681" s="19" t="n">
        <f aca="false">IF($D681=0,0,$D681*$E681)</f>
        <v>0</v>
      </c>
      <c r="H681" s="20" t="str">
        <f aca="false">IF($B681="","",CONCATENATE("Pozisyon: ",$B681,"/",$C681," tutar ",TEXT($D681,"#,##0.00")))</f>
        <v/>
      </c>
    </row>
    <row r="682" customFormat="false" ht="15" hidden="false" customHeight="false" outlineLevel="0" collapsed="false">
      <c r="A682" s="21"/>
      <c r="B682" s="22"/>
      <c r="C682" s="22"/>
      <c r="D682" s="23"/>
      <c r="E682" s="24"/>
      <c r="F682" s="22"/>
      <c r="G682" s="19" t="n">
        <f aca="false">IF($D682=0,0,$D682*$E682)</f>
        <v>0</v>
      </c>
      <c r="H682" s="20" t="str">
        <f aca="false">IF($B682="","",CONCATENATE("Pozisyon: ",$B682,"/",$C682," tutar ",TEXT($D682,"#,##0.00")))</f>
        <v/>
      </c>
    </row>
    <row r="683" customFormat="false" ht="15" hidden="false" customHeight="false" outlineLevel="0" collapsed="false">
      <c r="A683" s="21"/>
      <c r="B683" s="22"/>
      <c r="C683" s="22"/>
      <c r="D683" s="23"/>
      <c r="E683" s="24"/>
      <c r="F683" s="22"/>
      <c r="G683" s="19" t="n">
        <f aca="false">IF($D683=0,0,$D683*$E683)</f>
        <v>0</v>
      </c>
      <c r="H683" s="20" t="str">
        <f aca="false">IF($B683="","",CONCATENATE("Pozisyon: ",$B683,"/",$C683," tutar ",TEXT($D683,"#,##0.00")))</f>
        <v/>
      </c>
    </row>
    <row r="684" customFormat="false" ht="15" hidden="false" customHeight="false" outlineLevel="0" collapsed="false">
      <c r="A684" s="21"/>
      <c r="B684" s="22"/>
      <c r="C684" s="22"/>
      <c r="D684" s="23"/>
      <c r="E684" s="24"/>
      <c r="F684" s="22"/>
      <c r="G684" s="19" t="n">
        <f aca="false">IF($D684=0,0,$D684*$E684)</f>
        <v>0</v>
      </c>
      <c r="H684" s="20" t="str">
        <f aca="false">IF($B684="","",CONCATENATE("Pozisyon: ",$B684,"/",$C684," tutar ",TEXT($D684,"#,##0.00")))</f>
        <v/>
      </c>
    </row>
    <row r="685" customFormat="false" ht="15" hidden="false" customHeight="false" outlineLevel="0" collapsed="false">
      <c r="A685" s="21"/>
      <c r="B685" s="22"/>
      <c r="C685" s="22"/>
      <c r="D685" s="23"/>
      <c r="E685" s="24"/>
      <c r="F685" s="22"/>
      <c r="G685" s="19" t="n">
        <f aca="false">IF($D685=0,0,$D685*$E685)</f>
        <v>0</v>
      </c>
      <c r="H685" s="20" t="str">
        <f aca="false">IF($B685="","",CONCATENATE("Pozisyon: ",$B685,"/",$C685," tutar ",TEXT($D685,"#,##0.00")))</f>
        <v/>
      </c>
    </row>
    <row r="686" customFormat="false" ht="15" hidden="false" customHeight="false" outlineLevel="0" collapsed="false">
      <c r="A686" s="21"/>
      <c r="B686" s="22"/>
      <c r="C686" s="22"/>
      <c r="D686" s="23"/>
      <c r="E686" s="24"/>
      <c r="F686" s="22"/>
      <c r="G686" s="19" t="n">
        <f aca="false">IF($D686=0,0,$D686*$E686)</f>
        <v>0</v>
      </c>
      <c r="H686" s="20" t="str">
        <f aca="false">IF($B686="","",CONCATENATE("Pozisyon: ",$B686,"/",$C686," tutar ",TEXT($D686,"#,##0.00")))</f>
        <v/>
      </c>
    </row>
    <row r="687" customFormat="false" ht="15" hidden="false" customHeight="false" outlineLevel="0" collapsed="false">
      <c r="A687" s="21"/>
      <c r="B687" s="22"/>
      <c r="C687" s="22"/>
      <c r="D687" s="23"/>
      <c r="E687" s="24"/>
      <c r="F687" s="22"/>
      <c r="G687" s="19" t="n">
        <f aca="false">IF($D687=0,0,$D687*$E687)</f>
        <v>0</v>
      </c>
      <c r="H687" s="20" t="str">
        <f aca="false">IF($B687="","",CONCATENATE("Pozisyon: ",$B687,"/",$C687," tutar ",TEXT($D687,"#,##0.00")))</f>
        <v/>
      </c>
    </row>
    <row r="688" customFormat="false" ht="15" hidden="false" customHeight="false" outlineLevel="0" collapsed="false">
      <c r="A688" s="21"/>
      <c r="B688" s="22"/>
      <c r="C688" s="22"/>
      <c r="D688" s="23"/>
      <c r="E688" s="24"/>
      <c r="F688" s="22"/>
      <c r="G688" s="19" t="n">
        <f aca="false">IF($D688=0,0,$D688*$E688)</f>
        <v>0</v>
      </c>
      <c r="H688" s="20" t="str">
        <f aca="false">IF($B688="","",CONCATENATE("Pozisyon: ",$B688,"/",$C688," tutar ",TEXT($D688,"#,##0.00")))</f>
        <v/>
      </c>
    </row>
    <row r="689" customFormat="false" ht="15" hidden="false" customHeight="false" outlineLevel="0" collapsed="false">
      <c r="A689" s="21"/>
      <c r="B689" s="22"/>
      <c r="C689" s="22"/>
      <c r="D689" s="23"/>
      <c r="E689" s="24"/>
      <c r="F689" s="22"/>
      <c r="G689" s="19" t="n">
        <f aca="false">IF($D689=0,0,$D689*$E689)</f>
        <v>0</v>
      </c>
      <c r="H689" s="20" t="str">
        <f aca="false">IF($B689="","",CONCATENATE("Pozisyon: ",$B689,"/",$C689," tutar ",TEXT($D689,"#,##0.00")))</f>
        <v/>
      </c>
    </row>
    <row r="690" customFormat="false" ht="15" hidden="false" customHeight="false" outlineLevel="0" collapsed="false">
      <c r="A690" s="21"/>
      <c r="B690" s="22"/>
      <c r="C690" s="22"/>
      <c r="D690" s="23"/>
      <c r="E690" s="24"/>
      <c r="F690" s="22"/>
      <c r="G690" s="19" t="n">
        <f aca="false">IF($D690=0,0,$D690*$E690)</f>
        <v>0</v>
      </c>
      <c r="H690" s="20" t="str">
        <f aca="false">IF($B690="","",CONCATENATE("Pozisyon: ",$B690,"/",$C690," tutar ",TEXT($D690,"#,##0.00")))</f>
        <v/>
      </c>
    </row>
    <row r="691" customFormat="false" ht="15" hidden="false" customHeight="false" outlineLevel="0" collapsed="false">
      <c r="A691" s="21"/>
      <c r="B691" s="22"/>
      <c r="C691" s="22"/>
      <c r="D691" s="23"/>
      <c r="E691" s="24"/>
      <c r="F691" s="22"/>
      <c r="G691" s="19" t="n">
        <f aca="false">IF($D691=0,0,$D691*$E691)</f>
        <v>0</v>
      </c>
      <c r="H691" s="20" t="str">
        <f aca="false">IF($B691="","",CONCATENATE("Pozisyon: ",$B691,"/",$C691," tutar ",TEXT($D691,"#,##0.00")))</f>
        <v/>
      </c>
    </row>
    <row r="692" customFormat="false" ht="15" hidden="false" customHeight="false" outlineLevel="0" collapsed="false">
      <c r="A692" s="21"/>
      <c r="B692" s="22"/>
      <c r="C692" s="22"/>
      <c r="D692" s="23"/>
      <c r="E692" s="24"/>
      <c r="F692" s="22"/>
      <c r="G692" s="19" t="n">
        <f aca="false">IF($D692=0,0,$D692*$E692)</f>
        <v>0</v>
      </c>
      <c r="H692" s="20" t="str">
        <f aca="false">IF($B692="","",CONCATENATE("Pozisyon: ",$B692,"/",$C692," tutar ",TEXT($D692,"#,##0.00")))</f>
        <v/>
      </c>
    </row>
    <row r="693" customFormat="false" ht="15" hidden="false" customHeight="false" outlineLevel="0" collapsed="false">
      <c r="A693" s="21"/>
      <c r="B693" s="22"/>
      <c r="C693" s="22"/>
      <c r="D693" s="23"/>
      <c r="E693" s="24"/>
      <c r="F693" s="22"/>
      <c r="G693" s="19" t="n">
        <f aca="false">IF($D693=0,0,$D693*$E693)</f>
        <v>0</v>
      </c>
      <c r="H693" s="20" t="str">
        <f aca="false">IF($B693="","",CONCATENATE("Pozisyon: ",$B693,"/",$C693," tutar ",TEXT($D693,"#,##0.00")))</f>
        <v/>
      </c>
    </row>
    <row r="694" customFormat="false" ht="15" hidden="false" customHeight="false" outlineLevel="0" collapsed="false">
      <c r="A694" s="21"/>
      <c r="B694" s="22"/>
      <c r="C694" s="22"/>
      <c r="D694" s="23"/>
      <c r="E694" s="24"/>
      <c r="F694" s="22"/>
      <c r="G694" s="19" t="n">
        <f aca="false">IF($D694=0,0,$D694*$E694)</f>
        <v>0</v>
      </c>
      <c r="H694" s="20" t="str">
        <f aca="false">IF($B694="","",CONCATENATE("Pozisyon: ",$B694,"/",$C694," tutar ",TEXT($D694,"#,##0.00")))</f>
        <v/>
      </c>
    </row>
    <row r="695" customFormat="false" ht="15" hidden="false" customHeight="false" outlineLevel="0" collapsed="false">
      <c r="A695" s="21"/>
      <c r="B695" s="22"/>
      <c r="C695" s="22"/>
      <c r="D695" s="23"/>
      <c r="E695" s="24"/>
      <c r="F695" s="22"/>
      <c r="G695" s="19" t="n">
        <f aca="false">IF($D695=0,0,$D695*$E695)</f>
        <v>0</v>
      </c>
      <c r="H695" s="20" t="str">
        <f aca="false">IF($B695="","",CONCATENATE("Pozisyon: ",$B695,"/",$C695," tutar ",TEXT($D695,"#,##0.00")))</f>
        <v/>
      </c>
    </row>
    <row r="696" customFormat="false" ht="15" hidden="false" customHeight="false" outlineLevel="0" collapsed="false">
      <c r="A696" s="21"/>
      <c r="B696" s="22"/>
      <c r="C696" s="22"/>
      <c r="D696" s="23"/>
      <c r="E696" s="24"/>
      <c r="F696" s="22"/>
      <c r="G696" s="19" t="n">
        <f aca="false">IF($D696=0,0,$D696*$E696)</f>
        <v>0</v>
      </c>
      <c r="H696" s="20" t="str">
        <f aca="false">IF($B696="","",CONCATENATE("Pozisyon: ",$B696,"/",$C696," tutar ",TEXT($D696,"#,##0.00")))</f>
        <v/>
      </c>
    </row>
    <row r="697" customFormat="false" ht="15" hidden="false" customHeight="false" outlineLevel="0" collapsed="false">
      <c r="A697" s="21"/>
      <c r="B697" s="22"/>
      <c r="C697" s="22"/>
      <c r="D697" s="23"/>
      <c r="E697" s="24"/>
      <c r="F697" s="22"/>
      <c r="G697" s="19" t="n">
        <f aca="false">IF($D697=0,0,$D697*$E697)</f>
        <v>0</v>
      </c>
      <c r="H697" s="20" t="str">
        <f aca="false">IF($B697="","",CONCATENATE("Pozisyon: ",$B697,"/",$C697," tutar ",TEXT($D697,"#,##0.00")))</f>
        <v/>
      </c>
    </row>
    <row r="698" customFormat="false" ht="15" hidden="false" customHeight="false" outlineLevel="0" collapsed="false">
      <c r="A698" s="21"/>
      <c r="B698" s="22"/>
      <c r="C698" s="22"/>
      <c r="D698" s="23"/>
      <c r="E698" s="24"/>
      <c r="F698" s="22"/>
      <c r="G698" s="19" t="n">
        <f aca="false">IF($D698=0,0,$D698*$E698)</f>
        <v>0</v>
      </c>
      <c r="H698" s="20" t="str">
        <f aca="false">IF($B698="","",CONCATENATE("Pozisyon: ",$B698,"/",$C698," tutar ",TEXT($D698,"#,##0.00")))</f>
        <v/>
      </c>
    </row>
    <row r="699" customFormat="false" ht="15" hidden="false" customHeight="false" outlineLevel="0" collapsed="false">
      <c r="A699" s="21"/>
      <c r="B699" s="22"/>
      <c r="C699" s="22"/>
      <c r="D699" s="23"/>
      <c r="E699" s="24"/>
      <c r="F699" s="22"/>
      <c r="G699" s="19" t="n">
        <f aca="false">IF($D699=0,0,$D699*$E699)</f>
        <v>0</v>
      </c>
      <c r="H699" s="20" t="str">
        <f aca="false">IF($B699="","",CONCATENATE("Pozisyon: ",$B699,"/",$C699," tutar ",TEXT($D699,"#,##0.00")))</f>
        <v/>
      </c>
    </row>
    <row r="700" customFormat="false" ht="15" hidden="false" customHeight="false" outlineLevel="0" collapsed="false">
      <c r="A700" s="21"/>
      <c r="B700" s="22"/>
      <c r="C700" s="22"/>
      <c r="D700" s="23"/>
      <c r="E700" s="24"/>
      <c r="F700" s="22"/>
      <c r="G700" s="19" t="n">
        <f aca="false">IF($D700=0,0,$D700*$E700)</f>
        <v>0</v>
      </c>
      <c r="H700" s="20" t="str">
        <f aca="false">IF($B700="","",CONCATENATE("Pozisyon: ",$B700,"/",$C700," tutar ",TEXT($D700,"#,##0.00")))</f>
        <v/>
      </c>
    </row>
    <row r="701" customFormat="false" ht="15" hidden="false" customHeight="false" outlineLevel="0" collapsed="false">
      <c r="A701" s="21"/>
      <c r="B701" s="22"/>
      <c r="C701" s="22"/>
      <c r="D701" s="23"/>
      <c r="E701" s="24"/>
      <c r="F701" s="22"/>
      <c r="G701" s="19" t="n">
        <f aca="false">IF($D701=0,0,$D701*$E701)</f>
        <v>0</v>
      </c>
      <c r="H701" s="20" t="str">
        <f aca="false">IF($B701="","",CONCATENATE("Pozisyon: ",$B701,"/",$C701," tutar ",TEXT($D701,"#,##0.00")))</f>
        <v/>
      </c>
    </row>
    <row r="702" customFormat="false" ht="15" hidden="false" customHeight="false" outlineLevel="0" collapsed="false">
      <c r="A702" s="21"/>
      <c r="B702" s="22"/>
      <c r="C702" s="22"/>
      <c r="D702" s="23"/>
      <c r="E702" s="24"/>
      <c r="F702" s="22"/>
      <c r="G702" s="19" t="n">
        <f aca="false">IF($D702=0,0,$D702*$E702)</f>
        <v>0</v>
      </c>
      <c r="H702" s="20" t="str">
        <f aca="false">IF($B702="","",CONCATENATE("Pozisyon: ",$B702,"/",$C702," tutar ",TEXT($D702,"#,##0.00")))</f>
        <v/>
      </c>
    </row>
    <row r="703" customFormat="false" ht="15" hidden="false" customHeight="false" outlineLevel="0" collapsed="false">
      <c r="A703" s="21"/>
      <c r="B703" s="22"/>
      <c r="C703" s="22"/>
      <c r="D703" s="23"/>
      <c r="E703" s="24"/>
      <c r="F703" s="22"/>
      <c r="G703" s="19" t="n">
        <f aca="false">IF($D703=0,0,$D703*$E703)</f>
        <v>0</v>
      </c>
      <c r="H703" s="20" t="str">
        <f aca="false">IF($B703="","",CONCATENATE("Pozisyon: ",$B703,"/",$C703," tutar ",TEXT($D703,"#,##0.00")))</f>
        <v/>
      </c>
    </row>
    <row r="704" customFormat="false" ht="15" hidden="false" customHeight="false" outlineLevel="0" collapsed="false">
      <c r="A704" s="21"/>
      <c r="B704" s="22"/>
      <c r="C704" s="22"/>
      <c r="D704" s="23"/>
      <c r="E704" s="24"/>
      <c r="F704" s="22"/>
      <c r="G704" s="19" t="n">
        <f aca="false">IF($D704=0,0,$D704*$E704)</f>
        <v>0</v>
      </c>
      <c r="H704" s="20" t="str">
        <f aca="false">IF($B704="","",CONCATENATE("Pozisyon: ",$B704,"/",$C704," tutar ",TEXT($D704,"#,##0.00")))</f>
        <v/>
      </c>
    </row>
    <row r="705" customFormat="false" ht="15" hidden="false" customHeight="false" outlineLevel="0" collapsed="false">
      <c r="A705" s="21"/>
      <c r="B705" s="22"/>
      <c r="C705" s="22"/>
      <c r="D705" s="23"/>
      <c r="E705" s="24"/>
      <c r="F705" s="22"/>
      <c r="G705" s="19" t="n">
        <f aca="false">IF($D705=0,0,$D705*$E705)</f>
        <v>0</v>
      </c>
      <c r="H705" s="20" t="str">
        <f aca="false">IF($B705="","",CONCATENATE("Pozisyon: ",$B705,"/",$C705," tutar ",TEXT($D705,"#,##0.00")))</f>
        <v/>
      </c>
    </row>
    <row r="706" customFormat="false" ht="15" hidden="false" customHeight="false" outlineLevel="0" collapsed="false">
      <c r="A706" s="21"/>
      <c r="B706" s="22"/>
      <c r="C706" s="22"/>
      <c r="D706" s="23"/>
      <c r="E706" s="24"/>
      <c r="F706" s="22"/>
      <c r="G706" s="19" t="n">
        <f aca="false">IF($D706=0,0,$D706*$E706)</f>
        <v>0</v>
      </c>
      <c r="H706" s="20" t="str">
        <f aca="false">IF($B706="","",CONCATENATE("Pozisyon: ",$B706,"/",$C706," tutar ",TEXT($D706,"#,##0.00")))</f>
        <v/>
      </c>
    </row>
    <row r="707" customFormat="false" ht="15" hidden="false" customHeight="false" outlineLevel="0" collapsed="false">
      <c r="A707" s="21"/>
      <c r="B707" s="22"/>
      <c r="C707" s="22"/>
      <c r="D707" s="23"/>
      <c r="E707" s="24"/>
      <c r="F707" s="22"/>
      <c r="G707" s="19" t="n">
        <f aca="false">IF($D707=0,0,$D707*$E707)</f>
        <v>0</v>
      </c>
      <c r="H707" s="20" t="str">
        <f aca="false">IF($B707="","",CONCATENATE("Pozisyon: ",$B707,"/",$C707," tutar ",TEXT($D707,"#,##0.00")))</f>
        <v/>
      </c>
    </row>
    <row r="708" customFormat="false" ht="15" hidden="false" customHeight="false" outlineLevel="0" collapsed="false">
      <c r="A708" s="21"/>
      <c r="B708" s="22"/>
      <c r="C708" s="22"/>
      <c r="D708" s="23"/>
      <c r="E708" s="24"/>
      <c r="F708" s="22"/>
      <c r="G708" s="19" t="n">
        <f aca="false">IF($D708=0,0,$D708*$E708)</f>
        <v>0</v>
      </c>
      <c r="H708" s="20" t="str">
        <f aca="false">IF($B708="","",CONCATENATE("Pozisyon: ",$B708,"/",$C708," tutar ",TEXT($D708,"#,##0.00")))</f>
        <v/>
      </c>
    </row>
    <row r="709" customFormat="false" ht="15" hidden="false" customHeight="false" outlineLevel="0" collapsed="false">
      <c r="A709" s="21"/>
      <c r="B709" s="22"/>
      <c r="C709" s="22"/>
      <c r="D709" s="23"/>
      <c r="E709" s="24"/>
      <c r="F709" s="22"/>
      <c r="G709" s="19" t="n">
        <f aca="false">IF($D709=0,0,$D709*$E709)</f>
        <v>0</v>
      </c>
      <c r="H709" s="20" t="str">
        <f aca="false">IF($B709="","",CONCATENATE("Pozisyon: ",$B709,"/",$C709," tutar ",TEXT($D709,"#,##0.00")))</f>
        <v/>
      </c>
    </row>
    <row r="710" customFormat="false" ht="15" hidden="false" customHeight="false" outlineLevel="0" collapsed="false">
      <c r="A710" s="21"/>
      <c r="B710" s="22"/>
      <c r="C710" s="22"/>
      <c r="D710" s="23"/>
      <c r="E710" s="24"/>
      <c r="F710" s="22"/>
      <c r="G710" s="19" t="n">
        <f aca="false">IF($D710=0,0,$D710*$E710)</f>
        <v>0</v>
      </c>
      <c r="H710" s="20" t="str">
        <f aca="false">IF($B710="","",CONCATENATE("Pozisyon: ",$B710,"/",$C710," tutar ",TEXT($D710,"#,##0.00")))</f>
        <v/>
      </c>
    </row>
    <row r="711" customFormat="false" ht="15" hidden="false" customHeight="false" outlineLevel="0" collapsed="false">
      <c r="A711" s="21"/>
      <c r="B711" s="22"/>
      <c r="C711" s="22"/>
      <c r="D711" s="23"/>
      <c r="E711" s="24"/>
      <c r="F711" s="22"/>
      <c r="G711" s="19" t="n">
        <f aca="false">IF($D711=0,0,$D711*$E711)</f>
        <v>0</v>
      </c>
      <c r="H711" s="20" t="str">
        <f aca="false">IF($B711="","",CONCATENATE("Pozisyon: ",$B711,"/",$C711," tutar ",TEXT($D711,"#,##0.00")))</f>
        <v/>
      </c>
    </row>
    <row r="712" customFormat="false" ht="15" hidden="false" customHeight="false" outlineLevel="0" collapsed="false">
      <c r="A712" s="21"/>
      <c r="B712" s="22"/>
      <c r="C712" s="22"/>
      <c r="D712" s="23"/>
      <c r="E712" s="24"/>
      <c r="F712" s="22"/>
      <c r="G712" s="19" t="n">
        <f aca="false">IF($D712=0,0,$D712*$E712)</f>
        <v>0</v>
      </c>
      <c r="H712" s="20" t="str">
        <f aca="false">IF($B712="","",CONCATENATE("Pozisyon: ",$B712,"/",$C712," tutar ",TEXT($D712,"#,##0.00")))</f>
        <v/>
      </c>
    </row>
    <row r="713" customFormat="false" ht="15" hidden="false" customHeight="false" outlineLevel="0" collapsed="false">
      <c r="A713" s="21"/>
      <c r="B713" s="22"/>
      <c r="C713" s="22"/>
      <c r="D713" s="23"/>
      <c r="E713" s="24"/>
      <c r="F713" s="22"/>
      <c r="G713" s="19" t="n">
        <f aca="false">IF($D713=0,0,$D713*$E713)</f>
        <v>0</v>
      </c>
      <c r="H713" s="20" t="str">
        <f aca="false">IF($B713="","",CONCATENATE("Pozisyon: ",$B713,"/",$C713," tutar ",TEXT($D713,"#,##0.00")))</f>
        <v/>
      </c>
    </row>
    <row r="714" customFormat="false" ht="15" hidden="false" customHeight="false" outlineLevel="0" collapsed="false">
      <c r="A714" s="21"/>
      <c r="B714" s="22"/>
      <c r="C714" s="22"/>
      <c r="D714" s="23"/>
      <c r="E714" s="24"/>
      <c r="F714" s="22"/>
      <c r="G714" s="19" t="n">
        <f aca="false">IF($D714=0,0,$D714*$E714)</f>
        <v>0</v>
      </c>
      <c r="H714" s="20" t="str">
        <f aca="false">IF($B714="","",CONCATENATE("Pozisyon: ",$B714,"/",$C714," tutar ",TEXT($D714,"#,##0.00")))</f>
        <v/>
      </c>
    </row>
    <row r="715" customFormat="false" ht="15" hidden="false" customHeight="false" outlineLevel="0" collapsed="false">
      <c r="A715" s="21"/>
      <c r="B715" s="22"/>
      <c r="C715" s="22"/>
      <c r="D715" s="23"/>
      <c r="E715" s="24"/>
      <c r="F715" s="22"/>
      <c r="G715" s="19" t="n">
        <f aca="false">IF($D715=0,0,$D715*$E715)</f>
        <v>0</v>
      </c>
      <c r="H715" s="20" t="str">
        <f aca="false">IF($B715="","",CONCATENATE("Pozisyon: ",$B715,"/",$C715," tutar ",TEXT($D715,"#,##0.00")))</f>
        <v/>
      </c>
    </row>
    <row r="716" customFormat="false" ht="15" hidden="false" customHeight="false" outlineLevel="0" collapsed="false">
      <c r="A716" s="21"/>
      <c r="B716" s="22"/>
      <c r="C716" s="22"/>
      <c r="D716" s="23"/>
      <c r="E716" s="24"/>
      <c r="F716" s="22"/>
      <c r="G716" s="19" t="n">
        <f aca="false">IF($D716=0,0,$D716*$E716)</f>
        <v>0</v>
      </c>
      <c r="H716" s="20" t="str">
        <f aca="false">IF($B716="","",CONCATENATE("Pozisyon: ",$B716,"/",$C716," tutar ",TEXT($D716,"#,##0.00")))</f>
        <v/>
      </c>
    </row>
    <row r="717" customFormat="false" ht="15" hidden="false" customHeight="false" outlineLevel="0" collapsed="false">
      <c r="A717" s="21"/>
      <c r="B717" s="22"/>
      <c r="C717" s="22"/>
      <c r="D717" s="23"/>
      <c r="E717" s="24"/>
      <c r="F717" s="22"/>
      <c r="G717" s="19" t="n">
        <f aca="false">IF($D717=0,0,$D717*$E717)</f>
        <v>0</v>
      </c>
      <c r="H717" s="20" t="str">
        <f aca="false">IF($B717="","",CONCATENATE("Pozisyon: ",$B717,"/",$C717," tutar ",TEXT($D717,"#,##0.00")))</f>
        <v/>
      </c>
    </row>
    <row r="718" customFormat="false" ht="15" hidden="false" customHeight="false" outlineLevel="0" collapsed="false">
      <c r="A718" s="21"/>
      <c r="B718" s="22"/>
      <c r="C718" s="22"/>
      <c r="D718" s="23"/>
      <c r="E718" s="24"/>
      <c r="F718" s="22"/>
      <c r="G718" s="19" t="n">
        <f aca="false">IF($D718=0,0,$D718*$E718)</f>
        <v>0</v>
      </c>
      <c r="H718" s="20" t="str">
        <f aca="false">IF($B718="","",CONCATENATE("Pozisyon: ",$B718,"/",$C718," tutar ",TEXT($D718,"#,##0.00")))</f>
        <v/>
      </c>
    </row>
    <row r="719" customFormat="false" ht="15" hidden="false" customHeight="false" outlineLevel="0" collapsed="false">
      <c r="A719" s="21"/>
      <c r="B719" s="22"/>
      <c r="C719" s="22"/>
      <c r="D719" s="23"/>
      <c r="E719" s="24"/>
      <c r="F719" s="22"/>
      <c r="G719" s="19" t="n">
        <f aca="false">IF($D719=0,0,$D719*$E719)</f>
        <v>0</v>
      </c>
      <c r="H719" s="20" t="str">
        <f aca="false">IF($B719="","",CONCATENATE("Pozisyon: ",$B719,"/",$C719," tutar ",TEXT($D719,"#,##0.00")))</f>
        <v/>
      </c>
    </row>
    <row r="720" customFormat="false" ht="15" hidden="false" customHeight="false" outlineLevel="0" collapsed="false">
      <c r="A720" s="21"/>
      <c r="B720" s="22"/>
      <c r="C720" s="22"/>
      <c r="D720" s="23"/>
      <c r="E720" s="24"/>
      <c r="F720" s="22"/>
      <c r="G720" s="19" t="n">
        <f aca="false">IF($D720=0,0,$D720*$E720)</f>
        <v>0</v>
      </c>
      <c r="H720" s="20" t="str">
        <f aca="false">IF($B720="","",CONCATENATE("Pozisyon: ",$B720,"/",$C720," tutar ",TEXT($D720,"#,##0.00")))</f>
        <v/>
      </c>
    </row>
    <row r="721" customFormat="false" ht="15" hidden="false" customHeight="false" outlineLevel="0" collapsed="false">
      <c r="A721" s="21"/>
      <c r="B721" s="22"/>
      <c r="C721" s="22"/>
      <c r="D721" s="23"/>
      <c r="E721" s="24"/>
      <c r="F721" s="22"/>
      <c r="G721" s="19" t="n">
        <f aca="false">IF($D721=0,0,$D721*$E721)</f>
        <v>0</v>
      </c>
      <c r="H721" s="20" t="str">
        <f aca="false">IF($B721="","",CONCATENATE("Pozisyon: ",$B721,"/",$C721," tutar ",TEXT($D721,"#,##0.00")))</f>
        <v/>
      </c>
    </row>
    <row r="722" customFormat="false" ht="15" hidden="false" customHeight="false" outlineLevel="0" collapsed="false">
      <c r="A722" s="21"/>
      <c r="B722" s="22"/>
      <c r="C722" s="22"/>
      <c r="D722" s="23"/>
      <c r="E722" s="24"/>
      <c r="F722" s="22"/>
      <c r="G722" s="19" t="n">
        <f aca="false">IF($D722=0,0,$D722*$E722)</f>
        <v>0</v>
      </c>
      <c r="H722" s="20" t="str">
        <f aca="false">IF($B722="","",CONCATENATE("Pozisyon: ",$B722,"/",$C722," tutar ",TEXT($D722,"#,##0.00")))</f>
        <v/>
      </c>
    </row>
    <row r="723" customFormat="false" ht="15" hidden="false" customHeight="false" outlineLevel="0" collapsed="false">
      <c r="A723" s="21"/>
      <c r="B723" s="22"/>
      <c r="C723" s="22"/>
      <c r="D723" s="23"/>
      <c r="E723" s="24"/>
      <c r="F723" s="22"/>
      <c r="G723" s="19" t="n">
        <f aca="false">IF($D723=0,0,$D723*$E723)</f>
        <v>0</v>
      </c>
      <c r="H723" s="20" t="str">
        <f aca="false">IF($B723="","",CONCATENATE("Pozisyon: ",$B723,"/",$C723," tutar ",TEXT($D723,"#,##0.00")))</f>
        <v/>
      </c>
    </row>
    <row r="724" customFormat="false" ht="15" hidden="false" customHeight="false" outlineLevel="0" collapsed="false">
      <c r="A724" s="21"/>
      <c r="B724" s="22"/>
      <c r="C724" s="22"/>
      <c r="D724" s="23"/>
      <c r="E724" s="24"/>
      <c r="F724" s="22"/>
      <c r="G724" s="19" t="n">
        <f aca="false">IF($D724=0,0,$D724*$E724)</f>
        <v>0</v>
      </c>
      <c r="H724" s="20" t="str">
        <f aca="false">IF($B724="","",CONCATENATE("Pozisyon: ",$B724,"/",$C724," tutar ",TEXT($D724,"#,##0.00")))</f>
        <v/>
      </c>
    </row>
    <row r="725" customFormat="false" ht="15" hidden="false" customHeight="false" outlineLevel="0" collapsed="false">
      <c r="A725" s="21"/>
      <c r="B725" s="22"/>
      <c r="C725" s="22"/>
      <c r="D725" s="23"/>
      <c r="E725" s="24"/>
      <c r="F725" s="22"/>
      <c r="G725" s="19" t="n">
        <f aca="false">IF($D725=0,0,$D725*$E725)</f>
        <v>0</v>
      </c>
      <c r="H725" s="20" t="str">
        <f aca="false">IF($B725="","",CONCATENATE("Pozisyon: ",$B725,"/",$C725," tutar ",TEXT($D725,"#,##0.00")))</f>
        <v/>
      </c>
    </row>
    <row r="726" customFormat="false" ht="15" hidden="false" customHeight="false" outlineLevel="0" collapsed="false">
      <c r="A726" s="21"/>
      <c r="B726" s="22"/>
      <c r="C726" s="22"/>
      <c r="D726" s="23"/>
      <c r="E726" s="24"/>
      <c r="F726" s="22"/>
      <c r="G726" s="19" t="n">
        <f aca="false">IF($D726=0,0,$D726*$E726)</f>
        <v>0</v>
      </c>
      <c r="H726" s="20" t="str">
        <f aca="false">IF($B726="","",CONCATENATE("Pozisyon: ",$B726,"/",$C726," tutar ",TEXT($D726,"#,##0.00")))</f>
        <v/>
      </c>
    </row>
    <row r="727" customFormat="false" ht="15" hidden="false" customHeight="false" outlineLevel="0" collapsed="false">
      <c r="A727" s="21"/>
      <c r="B727" s="22"/>
      <c r="C727" s="22"/>
      <c r="D727" s="23"/>
      <c r="E727" s="24"/>
      <c r="F727" s="22"/>
      <c r="G727" s="19" t="n">
        <f aca="false">IF($D727=0,0,$D727*$E727)</f>
        <v>0</v>
      </c>
      <c r="H727" s="20" t="str">
        <f aca="false">IF($B727="","",CONCATENATE("Pozisyon: ",$B727,"/",$C727," tutar ",TEXT($D727,"#,##0.00")))</f>
        <v/>
      </c>
    </row>
    <row r="728" customFormat="false" ht="15" hidden="false" customHeight="false" outlineLevel="0" collapsed="false">
      <c r="A728" s="21"/>
      <c r="B728" s="22"/>
      <c r="C728" s="22"/>
      <c r="D728" s="23"/>
      <c r="E728" s="24"/>
      <c r="F728" s="22"/>
      <c r="G728" s="19" t="n">
        <f aca="false">IF($D728=0,0,$D728*$E728)</f>
        <v>0</v>
      </c>
      <c r="H728" s="20" t="str">
        <f aca="false">IF($B728="","",CONCATENATE("Pozisyon: ",$B728,"/",$C728," tutar ",TEXT($D728,"#,##0.00")))</f>
        <v/>
      </c>
    </row>
    <row r="729" customFormat="false" ht="15" hidden="false" customHeight="false" outlineLevel="0" collapsed="false">
      <c r="A729" s="21"/>
      <c r="B729" s="22"/>
      <c r="C729" s="22"/>
      <c r="D729" s="23"/>
      <c r="E729" s="24"/>
      <c r="F729" s="22"/>
      <c r="G729" s="19" t="n">
        <f aca="false">IF($D729=0,0,$D729*$E729)</f>
        <v>0</v>
      </c>
      <c r="H729" s="20" t="str">
        <f aca="false">IF($B729="","",CONCATENATE("Pozisyon: ",$B729,"/",$C729," tutar ",TEXT($D729,"#,##0.00")))</f>
        <v/>
      </c>
    </row>
    <row r="730" customFormat="false" ht="15" hidden="false" customHeight="false" outlineLevel="0" collapsed="false">
      <c r="A730" s="21"/>
      <c r="B730" s="22"/>
      <c r="C730" s="22"/>
      <c r="D730" s="23"/>
      <c r="E730" s="24"/>
      <c r="F730" s="22"/>
      <c r="G730" s="19" t="n">
        <f aca="false">IF($D730=0,0,$D730*$E730)</f>
        <v>0</v>
      </c>
      <c r="H730" s="20" t="str">
        <f aca="false">IF($B730="","",CONCATENATE("Pozisyon: ",$B730,"/",$C730," tutar ",TEXT($D730,"#,##0.00")))</f>
        <v/>
      </c>
    </row>
    <row r="731" customFormat="false" ht="15" hidden="false" customHeight="false" outlineLevel="0" collapsed="false">
      <c r="A731" s="21"/>
      <c r="B731" s="22"/>
      <c r="C731" s="22"/>
      <c r="D731" s="23"/>
      <c r="E731" s="24"/>
      <c r="F731" s="22"/>
      <c r="G731" s="19" t="n">
        <f aca="false">IF($D731=0,0,$D731*$E731)</f>
        <v>0</v>
      </c>
      <c r="H731" s="20" t="str">
        <f aca="false">IF($B731="","",CONCATENATE("Pozisyon: ",$B731,"/",$C731," tutar ",TEXT($D731,"#,##0.00")))</f>
        <v/>
      </c>
    </row>
    <row r="732" customFormat="false" ht="15" hidden="false" customHeight="false" outlineLevel="0" collapsed="false">
      <c r="A732" s="21"/>
      <c r="B732" s="22"/>
      <c r="C732" s="22"/>
      <c r="D732" s="23"/>
      <c r="E732" s="24"/>
      <c r="F732" s="22"/>
      <c r="G732" s="19" t="n">
        <f aca="false">IF($D732=0,0,$D732*$E732)</f>
        <v>0</v>
      </c>
      <c r="H732" s="20" t="str">
        <f aca="false">IF($B732="","",CONCATENATE("Pozisyon: ",$B732,"/",$C732," tutar ",TEXT($D732,"#,##0.00")))</f>
        <v/>
      </c>
    </row>
    <row r="733" customFormat="false" ht="15" hidden="false" customHeight="false" outlineLevel="0" collapsed="false">
      <c r="A733" s="21"/>
      <c r="B733" s="22"/>
      <c r="C733" s="22"/>
      <c r="D733" s="23"/>
      <c r="E733" s="24"/>
      <c r="F733" s="22"/>
      <c r="G733" s="19" t="n">
        <f aca="false">IF($D733=0,0,$D733*$E733)</f>
        <v>0</v>
      </c>
      <c r="H733" s="20" t="str">
        <f aca="false">IF($B733="","",CONCATENATE("Pozisyon: ",$B733,"/",$C733," tutar ",TEXT($D733,"#,##0.00")))</f>
        <v/>
      </c>
    </row>
    <row r="734" customFormat="false" ht="15" hidden="false" customHeight="false" outlineLevel="0" collapsed="false">
      <c r="A734" s="21"/>
      <c r="B734" s="22"/>
      <c r="C734" s="22"/>
      <c r="D734" s="23"/>
      <c r="E734" s="24"/>
      <c r="F734" s="22"/>
      <c r="G734" s="19" t="n">
        <f aca="false">IF($D734=0,0,$D734*$E734)</f>
        <v>0</v>
      </c>
      <c r="H734" s="20" t="str">
        <f aca="false">IF($B734="","",CONCATENATE("Pozisyon: ",$B734,"/",$C734," tutar ",TEXT($D734,"#,##0.00")))</f>
        <v/>
      </c>
    </row>
    <row r="735" customFormat="false" ht="15" hidden="false" customHeight="false" outlineLevel="0" collapsed="false">
      <c r="A735" s="21"/>
      <c r="B735" s="22"/>
      <c r="C735" s="22"/>
      <c r="D735" s="23"/>
      <c r="E735" s="24"/>
      <c r="F735" s="22"/>
      <c r="G735" s="19" t="n">
        <f aca="false">IF($D735=0,0,$D735*$E735)</f>
        <v>0</v>
      </c>
      <c r="H735" s="20" t="str">
        <f aca="false">IF($B735="","",CONCATENATE("Pozisyon: ",$B735,"/",$C735," tutar ",TEXT($D735,"#,##0.00")))</f>
        <v/>
      </c>
    </row>
    <row r="736" customFormat="false" ht="15" hidden="false" customHeight="false" outlineLevel="0" collapsed="false">
      <c r="A736" s="21"/>
      <c r="B736" s="22"/>
      <c r="C736" s="22"/>
      <c r="D736" s="23"/>
      <c r="E736" s="24"/>
      <c r="F736" s="22"/>
      <c r="G736" s="19" t="n">
        <f aca="false">IF($D736=0,0,$D736*$E736)</f>
        <v>0</v>
      </c>
      <c r="H736" s="20" t="str">
        <f aca="false">IF($B736="","",CONCATENATE("Pozisyon: ",$B736,"/",$C736," tutar ",TEXT($D736,"#,##0.00")))</f>
        <v/>
      </c>
    </row>
    <row r="737" customFormat="false" ht="15" hidden="false" customHeight="false" outlineLevel="0" collapsed="false">
      <c r="A737" s="21"/>
      <c r="B737" s="22"/>
      <c r="C737" s="22"/>
      <c r="D737" s="23"/>
      <c r="E737" s="24"/>
      <c r="F737" s="22"/>
      <c r="G737" s="19" t="n">
        <f aca="false">IF($D737=0,0,$D737*$E737)</f>
        <v>0</v>
      </c>
      <c r="H737" s="20" t="str">
        <f aca="false">IF($B737="","",CONCATENATE("Pozisyon: ",$B737,"/",$C737," tutar ",TEXT($D737,"#,##0.00")))</f>
        <v/>
      </c>
    </row>
    <row r="738" customFormat="false" ht="15" hidden="false" customHeight="false" outlineLevel="0" collapsed="false">
      <c r="A738" s="21"/>
      <c r="B738" s="22"/>
      <c r="C738" s="22"/>
      <c r="D738" s="23"/>
      <c r="E738" s="24"/>
      <c r="F738" s="22"/>
      <c r="G738" s="19" t="n">
        <f aca="false">IF($D738=0,0,$D738*$E738)</f>
        <v>0</v>
      </c>
      <c r="H738" s="20" t="str">
        <f aca="false">IF($B738="","",CONCATENATE("Pozisyon: ",$B738,"/",$C738," tutar ",TEXT($D738,"#,##0.00")))</f>
        <v/>
      </c>
    </row>
    <row r="739" customFormat="false" ht="15" hidden="false" customHeight="false" outlineLevel="0" collapsed="false">
      <c r="A739" s="21"/>
      <c r="B739" s="22"/>
      <c r="C739" s="22"/>
      <c r="D739" s="23"/>
      <c r="E739" s="24"/>
      <c r="F739" s="22"/>
      <c r="G739" s="19" t="n">
        <f aca="false">IF($D739=0,0,$D739*$E739)</f>
        <v>0</v>
      </c>
      <c r="H739" s="20" t="str">
        <f aca="false">IF($B739="","",CONCATENATE("Pozisyon: ",$B739,"/",$C739," tutar ",TEXT($D739,"#,##0.00")))</f>
        <v/>
      </c>
    </row>
    <row r="740" customFormat="false" ht="15" hidden="false" customHeight="false" outlineLevel="0" collapsed="false">
      <c r="A740" s="21"/>
      <c r="B740" s="22"/>
      <c r="C740" s="22"/>
      <c r="D740" s="23"/>
      <c r="E740" s="24"/>
      <c r="F740" s="22"/>
      <c r="G740" s="19" t="n">
        <f aca="false">IF($D740=0,0,$D740*$E740)</f>
        <v>0</v>
      </c>
      <c r="H740" s="20" t="str">
        <f aca="false">IF($B740="","",CONCATENATE("Pozisyon: ",$B740,"/",$C740," tutar ",TEXT($D740,"#,##0.00")))</f>
        <v/>
      </c>
    </row>
    <row r="741" customFormat="false" ht="15" hidden="false" customHeight="false" outlineLevel="0" collapsed="false">
      <c r="A741" s="21"/>
      <c r="B741" s="22"/>
      <c r="C741" s="22"/>
      <c r="D741" s="23"/>
      <c r="E741" s="24"/>
      <c r="F741" s="22"/>
      <c r="G741" s="19" t="n">
        <f aca="false">IF($D741=0,0,$D741*$E741)</f>
        <v>0</v>
      </c>
      <c r="H741" s="20" t="str">
        <f aca="false">IF($B741="","",CONCATENATE("Pozisyon: ",$B741,"/",$C741," tutar ",TEXT($D741,"#,##0.00")))</f>
        <v/>
      </c>
    </row>
    <row r="742" customFormat="false" ht="15" hidden="false" customHeight="false" outlineLevel="0" collapsed="false">
      <c r="A742" s="21"/>
      <c r="B742" s="22"/>
      <c r="C742" s="22"/>
      <c r="D742" s="23"/>
      <c r="E742" s="24"/>
      <c r="F742" s="22"/>
      <c r="G742" s="19" t="n">
        <f aca="false">IF($D742=0,0,$D742*$E742)</f>
        <v>0</v>
      </c>
      <c r="H742" s="20" t="str">
        <f aca="false">IF($B742="","",CONCATENATE("Pozisyon: ",$B742,"/",$C742," tutar ",TEXT($D742,"#,##0.00")))</f>
        <v/>
      </c>
    </row>
    <row r="743" customFormat="false" ht="15" hidden="false" customHeight="false" outlineLevel="0" collapsed="false">
      <c r="A743" s="21"/>
      <c r="B743" s="22"/>
      <c r="C743" s="22"/>
      <c r="D743" s="23"/>
      <c r="E743" s="24"/>
      <c r="F743" s="22"/>
      <c r="G743" s="19" t="n">
        <f aca="false">IF($D743=0,0,$D743*$E743)</f>
        <v>0</v>
      </c>
      <c r="H743" s="20" t="str">
        <f aca="false">IF($B743="","",CONCATENATE("Pozisyon: ",$B743,"/",$C743," tutar ",TEXT($D743,"#,##0.00")))</f>
        <v/>
      </c>
    </row>
    <row r="744" customFormat="false" ht="15" hidden="false" customHeight="false" outlineLevel="0" collapsed="false">
      <c r="A744" s="21"/>
      <c r="B744" s="22"/>
      <c r="C744" s="22"/>
      <c r="D744" s="23"/>
      <c r="E744" s="24"/>
      <c r="F744" s="22"/>
      <c r="G744" s="19" t="n">
        <f aca="false">IF($D744=0,0,$D744*$E744)</f>
        <v>0</v>
      </c>
      <c r="H744" s="20" t="str">
        <f aca="false">IF($B744="","",CONCATENATE("Pozisyon: ",$B744,"/",$C744," tutar ",TEXT($D744,"#,##0.00")))</f>
        <v/>
      </c>
    </row>
    <row r="745" customFormat="false" ht="15" hidden="false" customHeight="false" outlineLevel="0" collapsed="false">
      <c r="A745" s="21"/>
      <c r="B745" s="22"/>
      <c r="C745" s="22"/>
      <c r="D745" s="23"/>
      <c r="E745" s="24"/>
      <c r="F745" s="22"/>
      <c r="G745" s="19" t="n">
        <f aca="false">IF($D745=0,0,$D745*$E745)</f>
        <v>0</v>
      </c>
      <c r="H745" s="20" t="str">
        <f aca="false">IF($B745="","",CONCATENATE("Pozisyon: ",$B745,"/",$C745," tutar ",TEXT($D745,"#,##0.00")))</f>
        <v/>
      </c>
    </row>
    <row r="746" customFormat="false" ht="15" hidden="false" customHeight="false" outlineLevel="0" collapsed="false">
      <c r="A746" s="21"/>
      <c r="B746" s="22"/>
      <c r="C746" s="22"/>
      <c r="D746" s="23"/>
      <c r="E746" s="24"/>
      <c r="F746" s="22"/>
      <c r="G746" s="19" t="n">
        <f aca="false">IF($D746=0,0,$D746*$E746)</f>
        <v>0</v>
      </c>
      <c r="H746" s="20" t="str">
        <f aca="false">IF($B746="","",CONCATENATE("Pozisyon: ",$B746,"/",$C746," tutar ",TEXT($D746,"#,##0.00")))</f>
        <v/>
      </c>
    </row>
    <row r="747" customFormat="false" ht="15" hidden="false" customHeight="false" outlineLevel="0" collapsed="false">
      <c r="A747" s="21"/>
      <c r="B747" s="22"/>
      <c r="C747" s="22"/>
      <c r="D747" s="23"/>
      <c r="E747" s="24"/>
      <c r="F747" s="22"/>
      <c r="G747" s="19" t="n">
        <f aca="false">IF($D747=0,0,$D747*$E747)</f>
        <v>0</v>
      </c>
      <c r="H747" s="20" t="str">
        <f aca="false">IF($B747="","",CONCATENATE("Pozisyon: ",$B747,"/",$C747," tutar ",TEXT($D747,"#,##0.00")))</f>
        <v/>
      </c>
    </row>
    <row r="748" customFormat="false" ht="15" hidden="false" customHeight="false" outlineLevel="0" collapsed="false">
      <c r="A748" s="21"/>
      <c r="B748" s="22"/>
      <c r="C748" s="22"/>
      <c r="D748" s="23"/>
      <c r="E748" s="24"/>
      <c r="F748" s="22"/>
      <c r="G748" s="19" t="n">
        <f aca="false">IF($D748=0,0,$D748*$E748)</f>
        <v>0</v>
      </c>
      <c r="H748" s="20" t="str">
        <f aca="false">IF($B748="","",CONCATENATE("Pozisyon: ",$B748,"/",$C748," tutar ",TEXT($D748,"#,##0.00")))</f>
        <v/>
      </c>
    </row>
    <row r="749" customFormat="false" ht="15" hidden="false" customHeight="false" outlineLevel="0" collapsed="false">
      <c r="A749" s="21"/>
      <c r="B749" s="22"/>
      <c r="C749" s="22"/>
      <c r="D749" s="23"/>
      <c r="E749" s="24"/>
      <c r="F749" s="22"/>
      <c r="G749" s="19" t="n">
        <f aca="false">IF($D749=0,0,$D749*$E749)</f>
        <v>0</v>
      </c>
      <c r="H749" s="20" t="str">
        <f aca="false">IF($B749="","",CONCATENATE("Pozisyon: ",$B749,"/",$C749," tutar ",TEXT($D749,"#,##0.00")))</f>
        <v/>
      </c>
    </row>
    <row r="750" customFormat="false" ht="15" hidden="false" customHeight="false" outlineLevel="0" collapsed="false">
      <c r="A750" s="21"/>
      <c r="B750" s="22"/>
      <c r="C750" s="22"/>
      <c r="D750" s="23"/>
      <c r="E750" s="24"/>
      <c r="F750" s="22"/>
      <c r="G750" s="19" t="n">
        <f aca="false">IF($D750=0,0,$D750*$E750)</f>
        <v>0</v>
      </c>
      <c r="H750" s="20" t="str">
        <f aca="false">IF($B750="","",CONCATENATE("Pozisyon: ",$B750,"/",$C750," tutar ",TEXT($D750,"#,##0.00")))</f>
        <v/>
      </c>
    </row>
    <row r="751" customFormat="false" ht="15" hidden="false" customHeight="false" outlineLevel="0" collapsed="false">
      <c r="A751" s="21"/>
      <c r="B751" s="22"/>
      <c r="C751" s="22"/>
      <c r="D751" s="23"/>
      <c r="E751" s="24"/>
      <c r="F751" s="22"/>
      <c r="G751" s="19" t="n">
        <f aca="false">IF($D751=0,0,$D751*$E751)</f>
        <v>0</v>
      </c>
      <c r="H751" s="20" t="str">
        <f aca="false">IF($B751="","",CONCATENATE("Pozisyon: ",$B751,"/",$C751," tutar ",TEXT($D751,"#,##0.00")))</f>
        <v/>
      </c>
    </row>
    <row r="752" customFormat="false" ht="15" hidden="false" customHeight="false" outlineLevel="0" collapsed="false">
      <c r="A752" s="21"/>
      <c r="B752" s="22"/>
      <c r="C752" s="22"/>
      <c r="D752" s="23"/>
      <c r="E752" s="24"/>
      <c r="F752" s="22"/>
      <c r="G752" s="19" t="n">
        <f aca="false">IF($D752=0,0,$D752*$E752)</f>
        <v>0</v>
      </c>
      <c r="H752" s="20" t="str">
        <f aca="false">IF($B752="","",CONCATENATE("Pozisyon: ",$B752,"/",$C752," tutar ",TEXT($D752,"#,##0.00")))</f>
        <v/>
      </c>
    </row>
    <row r="753" customFormat="false" ht="15" hidden="false" customHeight="false" outlineLevel="0" collapsed="false">
      <c r="A753" s="21"/>
      <c r="B753" s="22"/>
      <c r="C753" s="22"/>
      <c r="D753" s="23"/>
      <c r="E753" s="24"/>
      <c r="F753" s="22"/>
      <c r="G753" s="19" t="n">
        <f aca="false">IF($D753=0,0,$D753*$E753)</f>
        <v>0</v>
      </c>
      <c r="H753" s="20" t="str">
        <f aca="false">IF($B753="","",CONCATENATE("Pozisyon: ",$B753,"/",$C753," tutar ",TEXT($D753,"#,##0.00")))</f>
        <v/>
      </c>
    </row>
    <row r="754" customFormat="false" ht="15" hidden="false" customHeight="false" outlineLevel="0" collapsed="false">
      <c r="A754" s="21"/>
      <c r="B754" s="22"/>
      <c r="C754" s="22"/>
      <c r="D754" s="23"/>
      <c r="E754" s="24"/>
      <c r="F754" s="22"/>
      <c r="G754" s="19" t="n">
        <f aca="false">IF($D754=0,0,$D754*$E754)</f>
        <v>0</v>
      </c>
      <c r="H754" s="20" t="str">
        <f aca="false">IF($B754="","",CONCATENATE("Pozisyon: ",$B754,"/",$C754," tutar ",TEXT($D754,"#,##0.00")))</f>
        <v/>
      </c>
    </row>
    <row r="755" customFormat="false" ht="15" hidden="false" customHeight="false" outlineLevel="0" collapsed="false">
      <c r="A755" s="21"/>
      <c r="B755" s="22"/>
      <c r="C755" s="22"/>
      <c r="D755" s="23"/>
      <c r="E755" s="24"/>
      <c r="F755" s="22"/>
      <c r="G755" s="19" t="n">
        <f aca="false">IF($D755=0,0,$D755*$E755)</f>
        <v>0</v>
      </c>
      <c r="H755" s="20" t="str">
        <f aca="false">IF($B755="","",CONCATENATE("Pozisyon: ",$B755,"/",$C755," tutar ",TEXT($D755,"#,##0.00")))</f>
        <v/>
      </c>
    </row>
    <row r="756" customFormat="false" ht="15" hidden="false" customHeight="false" outlineLevel="0" collapsed="false">
      <c r="A756" s="21"/>
      <c r="B756" s="22"/>
      <c r="C756" s="22"/>
      <c r="D756" s="23"/>
      <c r="E756" s="24"/>
      <c r="F756" s="22"/>
      <c r="G756" s="19" t="n">
        <f aca="false">IF($D756=0,0,$D756*$E756)</f>
        <v>0</v>
      </c>
      <c r="H756" s="20" t="str">
        <f aca="false">IF($B756="","",CONCATENATE("Pozisyon: ",$B756,"/",$C756," tutar ",TEXT($D756,"#,##0.00")))</f>
        <v/>
      </c>
    </row>
    <row r="757" customFormat="false" ht="15" hidden="false" customHeight="false" outlineLevel="0" collapsed="false">
      <c r="A757" s="21"/>
      <c r="B757" s="22"/>
      <c r="C757" s="22"/>
      <c r="D757" s="23"/>
      <c r="E757" s="24"/>
      <c r="F757" s="22"/>
      <c r="G757" s="19" t="n">
        <f aca="false">IF($D757=0,0,$D757*$E757)</f>
        <v>0</v>
      </c>
      <c r="H757" s="20" t="str">
        <f aca="false">IF($B757="","",CONCATENATE("Pozisyon: ",$B757,"/",$C757," tutar ",TEXT($D757,"#,##0.00")))</f>
        <v/>
      </c>
    </row>
    <row r="758" customFormat="false" ht="15" hidden="false" customHeight="false" outlineLevel="0" collapsed="false">
      <c r="A758" s="21"/>
      <c r="B758" s="22"/>
      <c r="C758" s="22"/>
      <c r="D758" s="23"/>
      <c r="E758" s="24"/>
      <c r="F758" s="22"/>
      <c r="G758" s="19" t="n">
        <f aca="false">IF($D758=0,0,$D758*$E758)</f>
        <v>0</v>
      </c>
      <c r="H758" s="20" t="str">
        <f aca="false">IF($B758="","",CONCATENATE("Pozisyon: ",$B758,"/",$C758," tutar ",TEXT($D758,"#,##0.00")))</f>
        <v/>
      </c>
    </row>
    <row r="759" customFormat="false" ht="15" hidden="false" customHeight="false" outlineLevel="0" collapsed="false">
      <c r="A759" s="21"/>
      <c r="B759" s="22"/>
      <c r="C759" s="22"/>
      <c r="D759" s="23"/>
      <c r="E759" s="24"/>
      <c r="F759" s="22"/>
      <c r="G759" s="19" t="n">
        <f aca="false">IF($D759=0,0,$D759*$E759)</f>
        <v>0</v>
      </c>
      <c r="H759" s="20" t="str">
        <f aca="false">IF($B759="","",CONCATENATE("Pozisyon: ",$B759,"/",$C759," tutar ",TEXT($D759,"#,##0.00")))</f>
        <v/>
      </c>
    </row>
    <row r="760" customFormat="false" ht="15" hidden="false" customHeight="false" outlineLevel="0" collapsed="false">
      <c r="A760" s="21"/>
      <c r="B760" s="22"/>
      <c r="C760" s="22"/>
      <c r="D760" s="23"/>
      <c r="E760" s="24"/>
      <c r="F760" s="22"/>
      <c r="G760" s="19" t="n">
        <f aca="false">IF($D760=0,0,$D760*$E760)</f>
        <v>0</v>
      </c>
      <c r="H760" s="20" t="str">
        <f aca="false">IF($B760="","",CONCATENATE("Pozisyon: ",$B760,"/",$C760," tutar ",TEXT($D760,"#,##0.00")))</f>
        <v/>
      </c>
    </row>
    <row r="761" customFormat="false" ht="15" hidden="false" customHeight="false" outlineLevel="0" collapsed="false">
      <c r="A761" s="21"/>
      <c r="B761" s="22"/>
      <c r="C761" s="22"/>
      <c r="D761" s="23"/>
      <c r="E761" s="24"/>
      <c r="F761" s="22"/>
      <c r="G761" s="19" t="n">
        <f aca="false">IF($D761=0,0,$D761*$E761)</f>
        <v>0</v>
      </c>
      <c r="H761" s="20" t="str">
        <f aca="false">IF($B761="","",CONCATENATE("Pozisyon: ",$B761,"/",$C761," tutar ",TEXT($D761,"#,##0.00")))</f>
        <v/>
      </c>
    </row>
    <row r="762" customFormat="false" ht="15" hidden="false" customHeight="false" outlineLevel="0" collapsed="false">
      <c r="A762" s="21"/>
      <c r="B762" s="22"/>
      <c r="C762" s="22"/>
      <c r="D762" s="23"/>
      <c r="E762" s="24"/>
      <c r="F762" s="22"/>
      <c r="G762" s="19" t="n">
        <f aca="false">IF($D762=0,0,$D762*$E762)</f>
        <v>0</v>
      </c>
      <c r="H762" s="20" t="str">
        <f aca="false">IF($B762="","",CONCATENATE("Pozisyon: ",$B762,"/",$C762," tutar ",TEXT($D762,"#,##0.00")))</f>
        <v/>
      </c>
    </row>
    <row r="763" customFormat="false" ht="15" hidden="false" customHeight="false" outlineLevel="0" collapsed="false">
      <c r="A763" s="21"/>
      <c r="B763" s="22"/>
      <c r="C763" s="22"/>
      <c r="D763" s="23"/>
      <c r="E763" s="24"/>
      <c r="F763" s="22"/>
      <c r="G763" s="19" t="n">
        <f aca="false">IF($D763=0,0,$D763*$E763)</f>
        <v>0</v>
      </c>
      <c r="H763" s="20" t="str">
        <f aca="false">IF($B763="","",CONCATENATE("Pozisyon: ",$B763,"/",$C763," tutar ",TEXT($D763,"#,##0.00")))</f>
        <v/>
      </c>
    </row>
    <row r="764" customFormat="false" ht="15" hidden="false" customHeight="false" outlineLevel="0" collapsed="false">
      <c r="A764" s="21"/>
      <c r="B764" s="22"/>
      <c r="C764" s="22"/>
      <c r="D764" s="23"/>
      <c r="E764" s="24"/>
      <c r="F764" s="22"/>
      <c r="G764" s="19" t="n">
        <f aca="false">IF($D764=0,0,$D764*$E764)</f>
        <v>0</v>
      </c>
      <c r="H764" s="20" t="str">
        <f aca="false">IF($B764="","",CONCATENATE("Pozisyon: ",$B764,"/",$C764," tutar ",TEXT($D764,"#,##0.00")))</f>
        <v/>
      </c>
    </row>
    <row r="765" customFormat="false" ht="15" hidden="false" customHeight="false" outlineLevel="0" collapsed="false">
      <c r="A765" s="21"/>
      <c r="B765" s="22"/>
      <c r="C765" s="22"/>
      <c r="D765" s="23"/>
      <c r="E765" s="24"/>
      <c r="F765" s="22"/>
      <c r="G765" s="19" t="n">
        <f aca="false">IF($D765=0,0,$D765*$E765)</f>
        <v>0</v>
      </c>
      <c r="H765" s="20" t="str">
        <f aca="false">IF($B765="","",CONCATENATE("Pozisyon: ",$B765,"/",$C765," tutar ",TEXT($D765,"#,##0.00")))</f>
        <v/>
      </c>
    </row>
    <row r="766" customFormat="false" ht="15" hidden="false" customHeight="false" outlineLevel="0" collapsed="false">
      <c r="A766" s="21"/>
      <c r="B766" s="22"/>
      <c r="C766" s="22"/>
      <c r="D766" s="23"/>
      <c r="E766" s="24"/>
      <c r="F766" s="22"/>
      <c r="G766" s="19" t="n">
        <f aca="false">IF($D766=0,0,$D766*$E766)</f>
        <v>0</v>
      </c>
      <c r="H766" s="20" t="str">
        <f aca="false">IF($B766="","",CONCATENATE("Pozisyon: ",$B766,"/",$C766," tutar ",TEXT($D766,"#,##0.00")))</f>
        <v/>
      </c>
    </row>
    <row r="767" customFormat="false" ht="15" hidden="false" customHeight="false" outlineLevel="0" collapsed="false">
      <c r="A767" s="21"/>
      <c r="B767" s="22"/>
      <c r="C767" s="22"/>
      <c r="D767" s="23"/>
      <c r="E767" s="24"/>
      <c r="F767" s="22"/>
      <c r="G767" s="19" t="n">
        <f aca="false">IF($D767=0,0,$D767*$E767)</f>
        <v>0</v>
      </c>
      <c r="H767" s="20" t="str">
        <f aca="false">IF($B767="","",CONCATENATE("Pozisyon: ",$B767,"/",$C767," tutar ",TEXT($D767,"#,##0.00")))</f>
        <v/>
      </c>
    </row>
    <row r="768" customFormat="false" ht="15" hidden="false" customHeight="false" outlineLevel="0" collapsed="false">
      <c r="A768" s="21"/>
      <c r="B768" s="22"/>
      <c r="C768" s="22"/>
      <c r="D768" s="23"/>
      <c r="E768" s="24"/>
      <c r="F768" s="22"/>
      <c r="G768" s="19" t="n">
        <f aca="false">IF($D768=0,0,$D768*$E768)</f>
        <v>0</v>
      </c>
      <c r="H768" s="20" t="str">
        <f aca="false">IF($B768="","",CONCATENATE("Pozisyon: ",$B768,"/",$C768," tutar ",TEXT($D768,"#,##0.00")))</f>
        <v/>
      </c>
    </row>
    <row r="769" customFormat="false" ht="15" hidden="false" customHeight="false" outlineLevel="0" collapsed="false">
      <c r="A769" s="21"/>
      <c r="B769" s="22"/>
      <c r="C769" s="22"/>
      <c r="D769" s="23"/>
      <c r="E769" s="24"/>
      <c r="F769" s="22"/>
      <c r="G769" s="19" t="n">
        <f aca="false">IF($D769=0,0,$D769*$E769)</f>
        <v>0</v>
      </c>
      <c r="H769" s="20" t="str">
        <f aca="false">IF($B769="","",CONCATENATE("Pozisyon: ",$B769,"/",$C769," tutar ",TEXT($D769,"#,##0.00")))</f>
        <v/>
      </c>
    </row>
    <row r="770" customFormat="false" ht="15" hidden="false" customHeight="false" outlineLevel="0" collapsed="false">
      <c r="A770" s="21"/>
      <c r="B770" s="22"/>
      <c r="C770" s="22"/>
      <c r="D770" s="23"/>
      <c r="E770" s="24"/>
      <c r="F770" s="22"/>
      <c r="G770" s="19" t="n">
        <f aca="false">IF($D770=0,0,$D770*$E770)</f>
        <v>0</v>
      </c>
      <c r="H770" s="20" t="str">
        <f aca="false">IF($B770="","",CONCATENATE("Pozisyon: ",$B770,"/",$C770," tutar ",TEXT($D770,"#,##0.00")))</f>
        <v/>
      </c>
    </row>
    <row r="771" customFormat="false" ht="15" hidden="false" customHeight="false" outlineLevel="0" collapsed="false">
      <c r="A771" s="21"/>
      <c r="B771" s="22"/>
      <c r="C771" s="22"/>
      <c r="D771" s="23"/>
      <c r="E771" s="24"/>
      <c r="F771" s="22"/>
      <c r="G771" s="19" t="n">
        <f aca="false">IF($D771=0,0,$D771*$E771)</f>
        <v>0</v>
      </c>
      <c r="H771" s="20" t="str">
        <f aca="false">IF($B771="","",CONCATENATE("Pozisyon: ",$B771,"/",$C771," tutar ",TEXT($D771,"#,##0.00")))</f>
        <v/>
      </c>
    </row>
    <row r="772" customFormat="false" ht="15" hidden="false" customHeight="false" outlineLevel="0" collapsed="false">
      <c r="A772" s="21"/>
      <c r="B772" s="22"/>
      <c r="C772" s="22"/>
      <c r="D772" s="23"/>
      <c r="E772" s="24"/>
      <c r="F772" s="22"/>
      <c r="G772" s="19" t="n">
        <f aca="false">IF($D772=0,0,$D772*$E772)</f>
        <v>0</v>
      </c>
      <c r="H772" s="20" t="str">
        <f aca="false">IF($B772="","",CONCATENATE("Pozisyon: ",$B772,"/",$C772," tutar ",TEXT($D772,"#,##0.00")))</f>
        <v/>
      </c>
    </row>
    <row r="773" customFormat="false" ht="15" hidden="false" customHeight="false" outlineLevel="0" collapsed="false">
      <c r="A773" s="21"/>
      <c r="B773" s="22"/>
      <c r="C773" s="22"/>
      <c r="D773" s="23"/>
      <c r="E773" s="24"/>
      <c r="F773" s="22"/>
      <c r="G773" s="19" t="n">
        <f aca="false">IF($D773=0,0,$D773*$E773)</f>
        <v>0</v>
      </c>
      <c r="H773" s="20" t="str">
        <f aca="false">IF($B773="","",CONCATENATE("Pozisyon: ",$B773,"/",$C773," tutar ",TEXT($D773,"#,##0.00")))</f>
        <v/>
      </c>
    </row>
    <row r="774" customFormat="false" ht="15" hidden="false" customHeight="false" outlineLevel="0" collapsed="false">
      <c r="A774" s="21"/>
      <c r="B774" s="22"/>
      <c r="C774" s="22"/>
      <c r="D774" s="23"/>
      <c r="E774" s="24"/>
      <c r="F774" s="22"/>
      <c r="G774" s="19" t="n">
        <f aca="false">IF($D774=0,0,$D774*$E774)</f>
        <v>0</v>
      </c>
      <c r="H774" s="20" t="str">
        <f aca="false">IF($B774="","",CONCATENATE("Pozisyon: ",$B774,"/",$C774," tutar ",TEXT($D774,"#,##0.00")))</f>
        <v/>
      </c>
    </row>
    <row r="775" customFormat="false" ht="15" hidden="false" customHeight="false" outlineLevel="0" collapsed="false">
      <c r="A775" s="21"/>
      <c r="B775" s="22"/>
      <c r="C775" s="22"/>
      <c r="D775" s="23"/>
      <c r="E775" s="24"/>
      <c r="F775" s="22"/>
      <c r="G775" s="19" t="n">
        <f aca="false">IF($D775=0,0,$D775*$E775)</f>
        <v>0</v>
      </c>
      <c r="H775" s="20" t="str">
        <f aca="false">IF($B775="","",CONCATENATE("Pozisyon: ",$B775,"/",$C775," tutar ",TEXT($D775,"#,##0.00")))</f>
        <v/>
      </c>
    </row>
    <row r="776" customFormat="false" ht="15" hidden="false" customHeight="false" outlineLevel="0" collapsed="false">
      <c r="A776" s="21"/>
      <c r="B776" s="22"/>
      <c r="C776" s="22"/>
      <c r="D776" s="23"/>
      <c r="E776" s="24"/>
      <c r="F776" s="22"/>
      <c r="G776" s="19" t="n">
        <f aca="false">IF($D776=0,0,$D776*$E776)</f>
        <v>0</v>
      </c>
      <c r="H776" s="20" t="str">
        <f aca="false">IF($B776="","",CONCATENATE("Pozisyon: ",$B776,"/",$C776," tutar ",TEXT($D776,"#,##0.00")))</f>
        <v/>
      </c>
    </row>
    <row r="777" customFormat="false" ht="15" hidden="false" customHeight="false" outlineLevel="0" collapsed="false">
      <c r="A777" s="21"/>
      <c r="B777" s="22"/>
      <c r="C777" s="22"/>
      <c r="D777" s="23"/>
      <c r="E777" s="24"/>
      <c r="F777" s="22"/>
      <c r="G777" s="19" t="n">
        <f aca="false">IF($D777=0,0,$D777*$E777)</f>
        <v>0</v>
      </c>
      <c r="H777" s="20" t="str">
        <f aca="false">IF($B777="","",CONCATENATE("Pozisyon: ",$B777,"/",$C777," tutar ",TEXT($D777,"#,##0.00")))</f>
        <v/>
      </c>
    </row>
    <row r="778" customFormat="false" ht="15" hidden="false" customHeight="false" outlineLevel="0" collapsed="false">
      <c r="A778" s="21"/>
      <c r="B778" s="22"/>
      <c r="C778" s="22"/>
      <c r="D778" s="23"/>
      <c r="E778" s="24"/>
      <c r="F778" s="22"/>
      <c r="G778" s="19" t="n">
        <f aca="false">IF($D778=0,0,$D778*$E778)</f>
        <v>0</v>
      </c>
      <c r="H778" s="20" t="str">
        <f aca="false">IF($B778="","",CONCATENATE("Pozisyon: ",$B778,"/",$C778," tutar ",TEXT($D778,"#,##0.00")))</f>
        <v/>
      </c>
    </row>
    <row r="779" customFormat="false" ht="15" hidden="false" customHeight="false" outlineLevel="0" collapsed="false">
      <c r="A779" s="21"/>
      <c r="B779" s="22"/>
      <c r="C779" s="22"/>
      <c r="D779" s="23"/>
      <c r="E779" s="24"/>
      <c r="F779" s="22"/>
      <c r="G779" s="19" t="n">
        <f aca="false">IF($D779=0,0,$D779*$E779)</f>
        <v>0</v>
      </c>
      <c r="H779" s="20" t="str">
        <f aca="false">IF($B779="","",CONCATENATE("Pozisyon: ",$B779,"/",$C779," tutar ",TEXT($D779,"#,##0.00")))</f>
        <v/>
      </c>
    </row>
    <row r="780" customFormat="false" ht="15" hidden="false" customHeight="false" outlineLevel="0" collapsed="false">
      <c r="A780" s="21"/>
      <c r="B780" s="22"/>
      <c r="C780" s="22"/>
      <c r="D780" s="23"/>
      <c r="E780" s="24"/>
      <c r="F780" s="22"/>
      <c r="G780" s="19" t="n">
        <f aca="false">IF($D780=0,0,$D780*$E780)</f>
        <v>0</v>
      </c>
      <c r="H780" s="20" t="str">
        <f aca="false">IF($B780="","",CONCATENATE("Pozisyon: ",$B780,"/",$C780," tutar ",TEXT($D780,"#,##0.00")))</f>
        <v/>
      </c>
    </row>
    <row r="781" customFormat="false" ht="15" hidden="false" customHeight="false" outlineLevel="0" collapsed="false">
      <c r="A781" s="21"/>
      <c r="B781" s="22"/>
      <c r="C781" s="22"/>
      <c r="D781" s="23"/>
      <c r="E781" s="24"/>
      <c r="F781" s="22"/>
      <c r="G781" s="19" t="n">
        <f aca="false">IF($D781=0,0,$D781*$E781)</f>
        <v>0</v>
      </c>
      <c r="H781" s="20" t="str">
        <f aca="false">IF($B781="","",CONCATENATE("Pozisyon: ",$B781,"/",$C781," tutar ",TEXT($D781,"#,##0.00")))</f>
        <v/>
      </c>
    </row>
    <row r="782" customFormat="false" ht="15" hidden="false" customHeight="false" outlineLevel="0" collapsed="false">
      <c r="A782" s="21"/>
      <c r="B782" s="22"/>
      <c r="C782" s="22"/>
      <c r="D782" s="23"/>
      <c r="E782" s="24"/>
      <c r="F782" s="22"/>
      <c r="G782" s="19" t="n">
        <f aca="false">IF($D782=0,0,$D782*$E782)</f>
        <v>0</v>
      </c>
      <c r="H782" s="20" t="str">
        <f aca="false">IF($B782="","",CONCATENATE("Pozisyon: ",$B782,"/",$C782," tutar ",TEXT($D782,"#,##0.00")))</f>
        <v/>
      </c>
    </row>
    <row r="783" customFormat="false" ht="15" hidden="false" customHeight="false" outlineLevel="0" collapsed="false">
      <c r="A783" s="21"/>
      <c r="B783" s="22"/>
      <c r="C783" s="22"/>
      <c r="D783" s="23"/>
      <c r="E783" s="24"/>
      <c r="F783" s="22"/>
      <c r="G783" s="19" t="n">
        <f aca="false">IF($D783=0,0,$D783*$E783)</f>
        <v>0</v>
      </c>
      <c r="H783" s="20" t="str">
        <f aca="false">IF($B783="","",CONCATENATE("Pozisyon: ",$B783,"/",$C783," tutar ",TEXT($D783,"#,##0.00")))</f>
        <v/>
      </c>
    </row>
    <row r="784" customFormat="false" ht="15" hidden="false" customHeight="false" outlineLevel="0" collapsed="false">
      <c r="A784" s="21"/>
      <c r="B784" s="22"/>
      <c r="C784" s="22"/>
      <c r="D784" s="23"/>
      <c r="E784" s="24"/>
      <c r="F784" s="22"/>
      <c r="G784" s="19" t="n">
        <f aca="false">IF($D784=0,0,$D784*$E784)</f>
        <v>0</v>
      </c>
      <c r="H784" s="20" t="str">
        <f aca="false">IF($B784="","",CONCATENATE("Pozisyon: ",$B784,"/",$C784," tutar ",TEXT($D784,"#,##0.00")))</f>
        <v/>
      </c>
    </row>
    <row r="785" customFormat="false" ht="15" hidden="false" customHeight="false" outlineLevel="0" collapsed="false">
      <c r="A785" s="21"/>
      <c r="B785" s="22"/>
      <c r="C785" s="22"/>
      <c r="D785" s="23"/>
      <c r="E785" s="24"/>
      <c r="F785" s="22"/>
      <c r="G785" s="19" t="n">
        <f aca="false">IF($D785=0,0,$D785*$E785)</f>
        <v>0</v>
      </c>
      <c r="H785" s="20" t="str">
        <f aca="false">IF($B785="","",CONCATENATE("Pozisyon: ",$B785,"/",$C785," tutar ",TEXT($D785,"#,##0.00")))</f>
        <v/>
      </c>
    </row>
    <row r="786" customFormat="false" ht="15" hidden="false" customHeight="false" outlineLevel="0" collapsed="false">
      <c r="A786" s="21"/>
      <c r="B786" s="22"/>
      <c r="C786" s="22"/>
      <c r="D786" s="23"/>
      <c r="E786" s="24"/>
      <c r="F786" s="22"/>
      <c r="G786" s="19" t="n">
        <f aca="false">IF($D786=0,0,$D786*$E786)</f>
        <v>0</v>
      </c>
      <c r="H786" s="20" t="str">
        <f aca="false">IF($B786="","",CONCATENATE("Pozisyon: ",$B786,"/",$C786," tutar ",TEXT($D786,"#,##0.00")))</f>
        <v/>
      </c>
    </row>
    <row r="787" customFormat="false" ht="15" hidden="false" customHeight="false" outlineLevel="0" collapsed="false">
      <c r="A787" s="21"/>
      <c r="B787" s="22"/>
      <c r="C787" s="22"/>
      <c r="D787" s="23"/>
      <c r="E787" s="24"/>
      <c r="F787" s="22"/>
      <c r="G787" s="19" t="n">
        <f aca="false">IF($D787=0,0,$D787*$E787)</f>
        <v>0</v>
      </c>
      <c r="H787" s="20" t="str">
        <f aca="false">IF($B787="","",CONCATENATE("Pozisyon: ",$B787,"/",$C787," tutar ",TEXT($D787,"#,##0.00")))</f>
        <v/>
      </c>
    </row>
    <row r="788" customFormat="false" ht="15" hidden="false" customHeight="false" outlineLevel="0" collapsed="false">
      <c r="A788" s="21"/>
      <c r="B788" s="22"/>
      <c r="C788" s="22"/>
      <c r="D788" s="23"/>
      <c r="E788" s="24"/>
      <c r="F788" s="22"/>
      <c r="G788" s="19" t="n">
        <f aca="false">IF($D788=0,0,$D788*$E788)</f>
        <v>0</v>
      </c>
      <c r="H788" s="20" t="str">
        <f aca="false">IF($B788="","",CONCATENATE("Pozisyon: ",$B788,"/",$C788," tutar ",TEXT($D788,"#,##0.00")))</f>
        <v/>
      </c>
    </row>
    <row r="789" customFormat="false" ht="15" hidden="false" customHeight="false" outlineLevel="0" collapsed="false">
      <c r="A789" s="21"/>
      <c r="B789" s="22"/>
      <c r="C789" s="22"/>
      <c r="D789" s="23"/>
      <c r="E789" s="24"/>
      <c r="F789" s="22"/>
      <c r="G789" s="19" t="n">
        <f aca="false">IF($D789=0,0,$D789*$E789)</f>
        <v>0</v>
      </c>
      <c r="H789" s="20" t="str">
        <f aca="false">IF($B789="","",CONCATENATE("Pozisyon: ",$B789,"/",$C789," tutar ",TEXT($D789,"#,##0.00")))</f>
        <v/>
      </c>
    </row>
    <row r="790" customFormat="false" ht="15" hidden="false" customHeight="false" outlineLevel="0" collapsed="false">
      <c r="A790" s="21"/>
      <c r="B790" s="22"/>
      <c r="C790" s="22"/>
      <c r="D790" s="23"/>
      <c r="E790" s="24"/>
      <c r="F790" s="22"/>
      <c r="G790" s="19" t="n">
        <f aca="false">IF($D790=0,0,$D790*$E790)</f>
        <v>0</v>
      </c>
      <c r="H790" s="20" t="str">
        <f aca="false">IF($B790="","",CONCATENATE("Pozisyon: ",$B790,"/",$C790," tutar ",TEXT($D790,"#,##0.00")))</f>
        <v/>
      </c>
    </row>
    <row r="791" customFormat="false" ht="15" hidden="false" customHeight="false" outlineLevel="0" collapsed="false">
      <c r="A791" s="21"/>
      <c r="B791" s="22"/>
      <c r="C791" s="22"/>
      <c r="D791" s="23"/>
      <c r="E791" s="24"/>
      <c r="F791" s="22"/>
      <c r="G791" s="19" t="n">
        <f aca="false">IF($D791=0,0,$D791*$E791)</f>
        <v>0</v>
      </c>
      <c r="H791" s="20" t="str">
        <f aca="false">IF($B791="","",CONCATENATE("Pozisyon: ",$B791,"/",$C791," tutar ",TEXT($D791,"#,##0.00")))</f>
        <v/>
      </c>
    </row>
    <row r="792" customFormat="false" ht="15" hidden="false" customHeight="false" outlineLevel="0" collapsed="false">
      <c r="A792" s="21"/>
      <c r="B792" s="22"/>
      <c r="C792" s="22"/>
      <c r="D792" s="23"/>
      <c r="E792" s="24"/>
      <c r="F792" s="22"/>
      <c r="G792" s="19" t="n">
        <f aca="false">IF($D792=0,0,$D792*$E792)</f>
        <v>0</v>
      </c>
      <c r="H792" s="20" t="str">
        <f aca="false">IF($B792="","",CONCATENATE("Pozisyon: ",$B792,"/",$C792," tutar ",TEXT($D792,"#,##0.00")))</f>
        <v/>
      </c>
    </row>
    <row r="793" customFormat="false" ht="15" hidden="false" customHeight="false" outlineLevel="0" collapsed="false">
      <c r="A793" s="21"/>
      <c r="B793" s="22"/>
      <c r="C793" s="22"/>
      <c r="D793" s="23"/>
      <c r="E793" s="24"/>
      <c r="F793" s="22"/>
      <c r="G793" s="19" t="n">
        <f aca="false">IF($D793=0,0,$D793*$E793)</f>
        <v>0</v>
      </c>
      <c r="H793" s="20" t="str">
        <f aca="false">IF($B793="","",CONCATENATE("Pozisyon: ",$B793,"/",$C793," tutar ",TEXT($D793,"#,##0.00")))</f>
        <v/>
      </c>
    </row>
    <row r="794" customFormat="false" ht="15" hidden="false" customHeight="false" outlineLevel="0" collapsed="false">
      <c r="A794" s="21"/>
      <c r="B794" s="22"/>
      <c r="C794" s="22"/>
      <c r="D794" s="23"/>
      <c r="E794" s="24"/>
      <c r="F794" s="22"/>
      <c r="G794" s="19" t="n">
        <f aca="false">IF($D794=0,0,$D794*$E794)</f>
        <v>0</v>
      </c>
      <c r="H794" s="20" t="str">
        <f aca="false">IF($B794="","",CONCATENATE("Pozisyon: ",$B794,"/",$C794," tutar ",TEXT($D794,"#,##0.00")))</f>
        <v/>
      </c>
    </row>
    <row r="795" customFormat="false" ht="15" hidden="false" customHeight="false" outlineLevel="0" collapsed="false">
      <c r="A795" s="21"/>
      <c r="B795" s="22"/>
      <c r="C795" s="22"/>
      <c r="D795" s="23"/>
      <c r="E795" s="24"/>
      <c r="F795" s="22"/>
      <c r="G795" s="19" t="n">
        <f aca="false">IF($D795=0,0,$D795*$E795)</f>
        <v>0</v>
      </c>
      <c r="H795" s="20" t="str">
        <f aca="false">IF($B795="","",CONCATENATE("Pozisyon: ",$B795,"/",$C795," tutar ",TEXT($D795,"#,##0.00")))</f>
        <v/>
      </c>
    </row>
    <row r="796" customFormat="false" ht="15" hidden="false" customHeight="false" outlineLevel="0" collapsed="false">
      <c r="A796" s="21"/>
      <c r="B796" s="22"/>
      <c r="C796" s="22"/>
      <c r="D796" s="23"/>
      <c r="E796" s="24"/>
      <c r="F796" s="22"/>
      <c r="G796" s="19" t="n">
        <f aca="false">IF($D796=0,0,$D796*$E796)</f>
        <v>0</v>
      </c>
      <c r="H796" s="20" t="str">
        <f aca="false">IF($B796="","",CONCATENATE("Pozisyon: ",$B796,"/",$C796," tutar ",TEXT($D796,"#,##0.00")))</f>
        <v/>
      </c>
    </row>
    <row r="797" customFormat="false" ht="15" hidden="false" customHeight="false" outlineLevel="0" collapsed="false">
      <c r="A797" s="21"/>
      <c r="B797" s="22"/>
      <c r="C797" s="22"/>
      <c r="D797" s="23"/>
      <c r="E797" s="24"/>
      <c r="F797" s="22"/>
      <c r="G797" s="19" t="n">
        <f aca="false">IF($D797=0,0,$D797*$E797)</f>
        <v>0</v>
      </c>
      <c r="H797" s="20" t="str">
        <f aca="false">IF($B797="","",CONCATENATE("Pozisyon: ",$B797,"/",$C797," tutar ",TEXT($D797,"#,##0.00")))</f>
        <v/>
      </c>
    </row>
    <row r="798" customFormat="false" ht="15" hidden="false" customHeight="false" outlineLevel="0" collapsed="false">
      <c r="A798" s="21"/>
      <c r="B798" s="22"/>
      <c r="C798" s="22"/>
      <c r="D798" s="23"/>
      <c r="E798" s="24"/>
      <c r="F798" s="22"/>
      <c r="G798" s="19" t="n">
        <f aca="false">IF($D798=0,0,$D798*$E798)</f>
        <v>0</v>
      </c>
      <c r="H798" s="20" t="str">
        <f aca="false">IF($B798="","",CONCATENATE("Pozisyon: ",$B798,"/",$C798," tutar ",TEXT($D798,"#,##0.00")))</f>
        <v/>
      </c>
    </row>
    <row r="799" customFormat="false" ht="15" hidden="false" customHeight="false" outlineLevel="0" collapsed="false">
      <c r="A799" s="21"/>
      <c r="B799" s="22"/>
      <c r="C799" s="22"/>
      <c r="D799" s="23"/>
      <c r="E799" s="24"/>
      <c r="F799" s="22"/>
      <c r="G799" s="19" t="n">
        <f aca="false">IF($D799=0,0,$D799*$E799)</f>
        <v>0</v>
      </c>
      <c r="H799" s="20" t="str">
        <f aca="false">IF($B799="","",CONCATENATE("Pozisyon: ",$B799,"/",$C799," tutar ",TEXT($D799,"#,##0.00")))</f>
        <v/>
      </c>
    </row>
    <row r="800" customFormat="false" ht="15" hidden="false" customHeight="false" outlineLevel="0" collapsed="false">
      <c r="A800" s="21"/>
      <c r="B800" s="22"/>
      <c r="C800" s="22"/>
      <c r="D800" s="23"/>
      <c r="E800" s="24"/>
      <c r="F800" s="22"/>
      <c r="G800" s="19" t="n">
        <f aca="false">IF($D800=0,0,$D800*$E800)</f>
        <v>0</v>
      </c>
      <c r="H800" s="20" t="str">
        <f aca="false">IF($B800="","",CONCATENATE("Pozisyon: ",$B800,"/",$C800," tutar ",TEXT($D800,"#,##0.00")))</f>
        <v/>
      </c>
    </row>
    <row r="801" customFormat="false" ht="15" hidden="false" customHeight="false" outlineLevel="0" collapsed="false">
      <c r="A801" s="21"/>
      <c r="B801" s="22"/>
      <c r="C801" s="22"/>
      <c r="D801" s="23"/>
      <c r="E801" s="24"/>
      <c r="F801" s="22"/>
      <c r="G801" s="19" t="n">
        <f aca="false">IF($D801=0,0,$D801*$E801)</f>
        <v>0</v>
      </c>
      <c r="H801" s="20" t="str">
        <f aca="false">IF($B801="","",CONCATENATE("Pozisyon: ",$B801,"/",$C801," tutar ",TEXT($D801,"#,##0.00")))</f>
        <v/>
      </c>
    </row>
    <row r="802" customFormat="false" ht="15" hidden="false" customHeight="false" outlineLevel="0" collapsed="false">
      <c r="A802" s="21"/>
      <c r="B802" s="22"/>
      <c r="C802" s="22"/>
      <c r="D802" s="23"/>
      <c r="E802" s="24"/>
      <c r="F802" s="22"/>
      <c r="G802" s="19" t="n">
        <f aca="false">IF($D802=0,0,$D802*$E802)</f>
        <v>0</v>
      </c>
      <c r="H802" s="20" t="str">
        <f aca="false">IF($B802="","",CONCATENATE("Pozisyon: ",$B802,"/",$C802," tutar ",TEXT($D802,"#,##0.00")))</f>
        <v/>
      </c>
    </row>
    <row r="803" customFormat="false" ht="15" hidden="false" customHeight="false" outlineLevel="0" collapsed="false">
      <c r="A803" s="21"/>
      <c r="B803" s="22"/>
      <c r="C803" s="22"/>
      <c r="D803" s="23"/>
      <c r="E803" s="24"/>
      <c r="F803" s="22"/>
      <c r="G803" s="19" t="n">
        <f aca="false">IF($D803=0,0,$D803*$E803)</f>
        <v>0</v>
      </c>
      <c r="H803" s="20" t="str">
        <f aca="false">IF($B803="","",CONCATENATE("Pozisyon: ",$B803,"/",$C803," tutar ",TEXT($D803,"#,##0.00")))</f>
        <v/>
      </c>
    </row>
    <row r="804" customFormat="false" ht="15" hidden="false" customHeight="false" outlineLevel="0" collapsed="false">
      <c r="A804" s="21"/>
      <c r="B804" s="22"/>
      <c r="C804" s="22"/>
      <c r="D804" s="23"/>
      <c r="E804" s="24"/>
      <c r="F804" s="22"/>
      <c r="G804" s="19" t="n">
        <f aca="false">IF($D804=0,0,$D804*$E804)</f>
        <v>0</v>
      </c>
      <c r="H804" s="20" t="str">
        <f aca="false">IF($B804="","",CONCATENATE("Pozisyon: ",$B804,"/",$C804," tutar ",TEXT($D804,"#,##0.00")))</f>
        <v/>
      </c>
    </row>
    <row r="805" customFormat="false" ht="15" hidden="false" customHeight="false" outlineLevel="0" collapsed="false">
      <c r="A805" s="21"/>
      <c r="B805" s="22"/>
      <c r="C805" s="22"/>
      <c r="D805" s="23"/>
      <c r="E805" s="24"/>
      <c r="F805" s="22"/>
      <c r="G805" s="19" t="n">
        <f aca="false">IF($D805=0,0,$D805*$E805)</f>
        <v>0</v>
      </c>
      <c r="H805" s="20" t="str">
        <f aca="false">IF($B805="","",CONCATENATE("Pozisyon: ",$B805,"/",$C805," tutar ",TEXT($D805,"#,##0.00")))</f>
        <v/>
      </c>
    </row>
    <row r="806" customFormat="false" ht="15" hidden="false" customHeight="false" outlineLevel="0" collapsed="false">
      <c r="A806" s="21"/>
      <c r="B806" s="22"/>
      <c r="C806" s="22"/>
      <c r="D806" s="23"/>
      <c r="E806" s="24"/>
      <c r="F806" s="22"/>
      <c r="G806" s="19" t="n">
        <f aca="false">IF($D806=0,0,$D806*$E806)</f>
        <v>0</v>
      </c>
      <c r="H806" s="20" t="str">
        <f aca="false">IF($B806="","",CONCATENATE("Pozisyon: ",$B806,"/",$C806," tutar ",TEXT($D806,"#,##0.00")))</f>
        <v/>
      </c>
    </row>
    <row r="807" customFormat="false" ht="15" hidden="false" customHeight="false" outlineLevel="0" collapsed="false">
      <c r="A807" s="21"/>
      <c r="B807" s="22"/>
      <c r="C807" s="22"/>
      <c r="D807" s="23"/>
      <c r="E807" s="24"/>
      <c r="F807" s="22"/>
      <c r="G807" s="19" t="n">
        <f aca="false">IF($D807=0,0,$D807*$E807)</f>
        <v>0</v>
      </c>
      <c r="H807" s="20" t="str">
        <f aca="false">IF($B807="","",CONCATENATE("Pozisyon: ",$B807,"/",$C807," tutar ",TEXT($D807,"#,##0.00")))</f>
        <v/>
      </c>
    </row>
    <row r="808" customFormat="false" ht="15" hidden="false" customHeight="false" outlineLevel="0" collapsed="false">
      <c r="A808" s="21"/>
      <c r="B808" s="22"/>
      <c r="C808" s="22"/>
      <c r="D808" s="23"/>
      <c r="E808" s="24"/>
      <c r="F808" s="22"/>
      <c r="G808" s="19" t="n">
        <f aca="false">IF($D808=0,0,$D808*$E808)</f>
        <v>0</v>
      </c>
      <c r="H808" s="20" t="str">
        <f aca="false">IF($B808="","",CONCATENATE("Pozisyon: ",$B808,"/",$C808," tutar ",TEXT($D808,"#,##0.00")))</f>
        <v/>
      </c>
    </row>
    <row r="809" customFormat="false" ht="15" hidden="false" customHeight="false" outlineLevel="0" collapsed="false">
      <c r="A809" s="21"/>
      <c r="B809" s="22"/>
      <c r="C809" s="22"/>
      <c r="D809" s="23"/>
      <c r="E809" s="24"/>
      <c r="F809" s="22"/>
      <c r="G809" s="19" t="n">
        <f aca="false">IF($D809=0,0,$D809*$E809)</f>
        <v>0</v>
      </c>
      <c r="H809" s="20" t="str">
        <f aca="false">IF($B809="","",CONCATENATE("Pozisyon: ",$B809,"/",$C809," tutar ",TEXT($D809,"#,##0.00")))</f>
        <v/>
      </c>
    </row>
    <row r="810" customFormat="false" ht="15" hidden="false" customHeight="false" outlineLevel="0" collapsed="false">
      <c r="A810" s="21"/>
      <c r="B810" s="22"/>
      <c r="C810" s="22"/>
      <c r="D810" s="23"/>
      <c r="E810" s="24"/>
      <c r="F810" s="22"/>
      <c r="G810" s="19" t="n">
        <f aca="false">IF($D810=0,0,$D810*$E810)</f>
        <v>0</v>
      </c>
      <c r="H810" s="20" t="str">
        <f aca="false">IF($B810="","",CONCATENATE("Pozisyon: ",$B810,"/",$C810," tutar ",TEXT($D810,"#,##0.00")))</f>
        <v/>
      </c>
    </row>
    <row r="811" customFormat="false" ht="15" hidden="false" customHeight="false" outlineLevel="0" collapsed="false">
      <c r="A811" s="21"/>
      <c r="B811" s="22"/>
      <c r="C811" s="22"/>
      <c r="D811" s="23"/>
      <c r="E811" s="24"/>
      <c r="F811" s="22"/>
      <c r="G811" s="19" t="n">
        <f aca="false">IF($D811=0,0,$D811*$E811)</f>
        <v>0</v>
      </c>
      <c r="H811" s="20" t="str">
        <f aca="false">IF($B811="","",CONCATENATE("Pozisyon: ",$B811,"/",$C811," tutar ",TEXT($D811,"#,##0.00")))</f>
        <v/>
      </c>
    </row>
    <row r="812" customFormat="false" ht="15" hidden="false" customHeight="false" outlineLevel="0" collapsed="false">
      <c r="A812" s="21"/>
      <c r="B812" s="22"/>
      <c r="C812" s="22"/>
      <c r="D812" s="23"/>
      <c r="E812" s="24"/>
      <c r="F812" s="22"/>
      <c r="G812" s="19" t="n">
        <f aca="false">IF($D812=0,0,$D812*$E812)</f>
        <v>0</v>
      </c>
      <c r="H812" s="20" t="str">
        <f aca="false">IF($B812="","",CONCATENATE("Pozisyon: ",$B812,"/",$C812," tutar ",TEXT($D812,"#,##0.00")))</f>
        <v/>
      </c>
    </row>
    <row r="813" customFormat="false" ht="15" hidden="false" customHeight="false" outlineLevel="0" collapsed="false">
      <c r="A813" s="21"/>
      <c r="B813" s="22"/>
      <c r="C813" s="22"/>
      <c r="D813" s="23"/>
      <c r="E813" s="24"/>
      <c r="F813" s="22"/>
      <c r="G813" s="19" t="n">
        <f aca="false">IF($D813=0,0,$D813*$E813)</f>
        <v>0</v>
      </c>
      <c r="H813" s="20" t="str">
        <f aca="false">IF($B813="","",CONCATENATE("Pozisyon: ",$B813,"/",$C813," tutar ",TEXT($D813,"#,##0.00")))</f>
        <v/>
      </c>
    </row>
    <row r="814" customFormat="false" ht="15" hidden="false" customHeight="false" outlineLevel="0" collapsed="false">
      <c r="A814" s="21"/>
      <c r="B814" s="22"/>
      <c r="C814" s="22"/>
      <c r="D814" s="23"/>
      <c r="E814" s="24"/>
      <c r="F814" s="22"/>
      <c r="G814" s="19" t="n">
        <f aca="false">IF($D814=0,0,$D814*$E814)</f>
        <v>0</v>
      </c>
      <c r="H814" s="20" t="str">
        <f aca="false">IF($B814="","",CONCATENATE("Pozisyon: ",$B814,"/",$C814," tutar ",TEXT($D814,"#,##0.00")))</f>
        <v/>
      </c>
    </row>
    <row r="815" customFormat="false" ht="15" hidden="false" customHeight="false" outlineLevel="0" collapsed="false">
      <c r="A815" s="21"/>
      <c r="B815" s="22"/>
      <c r="C815" s="22"/>
      <c r="D815" s="23"/>
      <c r="E815" s="24"/>
      <c r="F815" s="22"/>
      <c r="G815" s="19" t="n">
        <f aca="false">IF($D815=0,0,$D815*$E815)</f>
        <v>0</v>
      </c>
      <c r="H815" s="20" t="str">
        <f aca="false">IF($B815="","",CONCATENATE("Pozisyon: ",$B815,"/",$C815," tutar ",TEXT($D815,"#,##0.00")))</f>
        <v/>
      </c>
    </row>
    <row r="816" customFormat="false" ht="15" hidden="false" customHeight="false" outlineLevel="0" collapsed="false">
      <c r="A816" s="21"/>
      <c r="B816" s="22"/>
      <c r="C816" s="22"/>
      <c r="D816" s="23"/>
      <c r="E816" s="24"/>
      <c r="F816" s="22"/>
      <c r="G816" s="19" t="n">
        <f aca="false">IF($D816=0,0,$D816*$E816)</f>
        <v>0</v>
      </c>
      <c r="H816" s="20" t="str">
        <f aca="false">IF($B816="","",CONCATENATE("Pozisyon: ",$B816,"/",$C816," tutar ",TEXT($D816,"#,##0.00")))</f>
        <v/>
      </c>
    </row>
    <row r="817" customFormat="false" ht="15" hidden="false" customHeight="false" outlineLevel="0" collapsed="false">
      <c r="A817" s="21"/>
      <c r="B817" s="22"/>
      <c r="C817" s="22"/>
      <c r="D817" s="23"/>
      <c r="E817" s="24"/>
      <c r="F817" s="22"/>
      <c r="G817" s="19" t="n">
        <f aca="false">IF($D817=0,0,$D817*$E817)</f>
        <v>0</v>
      </c>
      <c r="H817" s="20" t="str">
        <f aca="false">IF($B817="","",CONCATENATE("Pozisyon: ",$B817,"/",$C817," tutar ",TEXT($D817,"#,##0.00")))</f>
        <v/>
      </c>
    </row>
    <row r="818" customFormat="false" ht="15" hidden="false" customHeight="false" outlineLevel="0" collapsed="false">
      <c r="A818" s="21"/>
      <c r="B818" s="22"/>
      <c r="C818" s="22"/>
      <c r="D818" s="23"/>
      <c r="E818" s="24"/>
      <c r="F818" s="22"/>
      <c r="G818" s="19" t="n">
        <f aca="false">IF($D818=0,0,$D818*$E818)</f>
        <v>0</v>
      </c>
      <c r="H818" s="20" t="str">
        <f aca="false">IF($B818="","",CONCATENATE("Pozisyon: ",$B818,"/",$C818," tutar ",TEXT($D818,"#,##0.00")))</f>
        <v/>
      </c>
    </row>
    <row r="819" customFormat="false" ht="15" hidden="false" customHeight="false" outlineLevel="0" collapsed="false">
      <c r="A819" s="21"/>
      <c r="B819" s="22"/>
      <c r="C819" s="22"/>
      <c r="D819" s="23"/>
      <c r="E819" s="24"/>
      <c r="F819" s="22"/>
      <c r="G819" s="19" t="n">
        <f aca="false">IF($D819=0,0,$D819*$E819)</f>
        <v>0</v>
      </c>
      <c r="H819" s="20" t="str">
        <f aca="false">IF($B819="","",CONCATENATE("Pozisyon: ",$B819,"/",$C819," tutar ",TEXT($D819,"#,##0.00")))</f>
        <v/>
      </c>
    </row>
    <row r="820" customFormat="false" ht="15" hidden="false" customHeight="false" outlineLevel="0" collapsed="false">
      <c r="A820" s="21"/>
      <c r="B820" s="22"/>
      <c r="C820" s="22"/>
      <c r="D820" s="23"/>
      <c r="E820" s="24"/>
      <c r="F820" s="22"/>
      <c r="G820" s="19" t="n">
        <f aca="false">IF($D820=0,0,$D820*$E820)</f>
        <v>0</v>
      </c>
      <c r="H820" s="20" t="str">
        <f aca="false">IF($B820="","",CONCATENATE("Pozisyon: ",$B820,"/",$C820," tutar ",TEXT($D820,"#,##0.00")))</f>
        <v/>
      </c>
    </row>
    <row r="821" customFormat="false" ht="15" hidden="false" customHeight="false" outlineLevel="0" collapsed="false">
      <c r="A821" s="21"/>
      <c r="B821" s="22"/>
      <c r="C821" s="22"/>
      <c r="D821" s="23"/>
      <c r="E821" s="24"/>
      <c r="F821" s="22"/>
      <c r="G821" s="19" t="n">
        <f aca="false">IF($D821=0,0,$D821*$E821)</f>
        <v>0</v>
      </c>
      <c r="H821" s="20" t="str">
        <f aca="false">IF($B821="","",CONCATENATE("Pozisyon: ",$B821,"/",$C821," tutar ",TEXT($D821,"#,##0.00")))</f>
        <v/>
      </c>
    </row>
    <row r="822" customFormat="false" ht="15" hidden="false" customHeight="false" outlineLevel="0" collapsed="false">
      <c r="A822" s="21"/>
      <c r="B822" s="22"/>
      <c r="C822" s="22"/>
      <c r="D822" s="23"/>
      <c r="E822" s="24"/>
      <c r="F822" s="22"/>
      <c r="G822" s="19" t="n">
        <f aca="false">IF($D822=0,0,$D822*$E822)</f>
        <v>0</v>
      </c>
      <c r="H822" s="20" t="str">
        <f aca="false">IF($B822="","",CONCATENATE("Pozisyon: ",$B822,"/",$C822," tutar ",TEXT($D822,"#,##0.00")))</f>
        <v/>
      </c>
    </row>
    <row r="823" customFormat="false" ht="15" hidden="false" customHeight="false" outlineLevel="0" collapsed="false">
      <c r="A823" s="21"/>
      <c r="B823" s="22"/>
      <c r="C823" s="22"/>
      <c r="D823" s="23"/>
      <c r="E823" s="24"/>
      <c r="F823" s="22"/>
      <c r="G823" s="19" t="n">
        <f aca="false">IF($D823=0,0,$D823*$E823)</f>
        <v>0</v>
      </c>
      <c r="H823" s="20" t="str">
        <f aca="false">IF($B823="","",CONCATENATE("Pozisyon: ",$B823,"/",$C823," tutar ",TEXT($D823,"#,##0.00")))</f>
        <v/>
      </c>
    </row>
    <row r="824" customFormat="false" ht="15" hidden="false" customHeight="false" outlineLevel="0" collapsed="false">
      <c r="A824" s="21"/>
      <c r="B824" s="22"/>
      <c r="C824" s="22"/>
      <c r="D824" s="23"/>
      <c r="E824" s="24"/>
      <c r="F824" s="22"/>
      <c r="G824" s="19" t="n">
        <f aca="false">IF($D824=0,0,$D824*$E824)</f>
        <v>0</v>
      </c>
      <c r="H824" s="20" t="str">
        <f aca="false">IF($B824="","",CONCATENATE("Pozisyon: ",$B824,"/",$C824," tutar ",TEXT($D824,"#,##0.00")))</f>
        <v/>
      </c>
    </row>
    <row r="825" customFormat="false" ht="15" hidden="false" customHeight="false" outlineLevel="0" collapsed="false">
      <c r="A825" s="21"/>
      <c r="B825" s="22"/>
      <c r="C825" s="22"/>
      <c r="D825" s="23"/>
      <c r="E825" s="24"/>
      <c r="F825" s="22"/>
      <c r="G825" s="19" t="n">
        <f aca="false">IF($D825=0,0,$D825*$E825)</f>
        <v>0</v>
      </c>
      <c r="H825" s="20" t="str">
        <f aca="false">IF($B825="","",CONCATENATE("Pozisyon: ",$B825,"/",$C825," tutar ",TEXT($D825,"#,##0.00")))</f>
        <v/>
      </c>
    </row>
    <row r="826" customFormat="false" ht="15" hidden="false" customHeight="false" outlineLevel="0" collapsed="false">
      <c r="A826" s="21"/>
      <c r="B826" s="22"/>
      <c r="C826" s="22"/>
      <c r="D826" s="23"/>
      <c r="E826" s="24"/>
      <c r="F826" s="22"/>
      <c r="G826" s="19" t="n">
        <f aca="false">IF($D826=0,0,$D826*$E826)</f>
        <v>0</v>
      </c>
      <c r="H826" s="20" t="str">
        <f aca="false">IF($B826="","",CONCATENATE("Pozisyon: ",$B826,"/",$C826," tutar ",TEXT($D826,"#,##0.00")))</f>
        <v/>
      </c>
    </row>
    <row r="827" customFormat="false" ht="15" hidden="false" customHeight="false" outlineLevel="0" collapsed="false">
      <c r="A827" s="21"/>
      <c r="B827" s="22"/>
      <c r="C827" s="22"/>
      <c r="D827" s="23"/>
      <c r="E827" s="24"/>
      <c r="F827" s="22"/>
      <c r="G827" s="19" t="n">
        <f aca="false">IF($D827=0,0,$D827*$E827)</f>
        <v>0</v>
      </c>
      <c r="H827" s="20" t="str">
        <f aca="false">IF($B827="","",CONCATENATE("Pozisyon: ",$B827,"/",$C827," tutar ",TEXT($D827,"#,##0.00")))</f>
        <v/>
      </c>
    </row>
    <row r="828" customFormat="false" ht="15" hidden="false" customHeight="false" outlineLevel="0" collapsed="false">
      <c r="A828" s="21"/>
      <c r="B828" s="22"/>
      <c r="C828" s="22"/>
      <c r="D828" s="23"/>
      <c r="E828" s="24"/>
      <c r="F828" s="22"/>
      <c r="G828" s="19" t="n">
        <f aca="false">IF($D828=0,0,$D828*$E828)</f>
        <v>0</v>
      </c>
      <c r="H828" s="20" t="str">
        <f aca="false">IF($B828="","",CONCATENATE("Pozisyon: ",$B828,"/",$C828," tutar ",TEXT($D828,"#,##0.00")))</f>
        <v/>
      </c>
    </row>
    <row r="829" customFormat="false" ht="15" hidden="false" customHeight="false" outlineLevel="0" collapsed="false">
      <c r="A829" s="21"/>
      <c r="B829" s="22"/>
      <c r="C829" s="22"/>
      <c r="D829" s="23"/>
      <c r="E829" s="24"/>
      <c r="F829" s="22"/>
      <c r="G829" s="19" t="n">
        <f aca="false">IF($D829=0,0,$D829*$E829)</f>
        <v>0</v>
      </c>
      <c r="H829" s="20" t="str">
        <f aca="false">IF($B829="","",CONCATENATE("Pozisyon: ",$B829,"/",$C829," tutar ",TEXT($D829,"#,##0.00")))</f>
        <v/>
      </c>
    </row>
    <row r="830" customFormat="false" ht="15" hidden="false" customHeight="false" outlineLevel="0" collapsed="false">
      <c r="A830" s="21"/>
      <c r="B830" s="22"/>
      <c r="C830" s="22"/>
      <c r="D830" s="23"/>
      <c r="E830" s="24"/>
      <c r="F830" s="22"/>
      <c r="G830" s="19" t="n">
        <f aca="false">IF($D830=0,0,$D830*$E830)</f>
        <v>0</v>
      </c>
      <c r="H830" s="20" t="str">
        <f aca="false">IF($B830="","",CONCATENATE("Pozisyon: ",$B830,"/",$C830," tutar ",TEXT($D830,"#,##0.00")))</f>
        <v/>
      </c>
    </row>
    <row r="831" customFormat="false" ht="15" hidden="false" customHeight="false" outlineLevel="0" collapsed="false">
      <c r="A831" s="21"/>
      <c r="B831" s="22"/>
      <c r="C831" s="22"/>
      <c r="D831" s="23"/>
      <c r="E831" s="24"/>
      <c r="F831" s="22"/>
      <c r="G831" s="19" t="n">
        <f aca="false">IF($D831=0,0,$D831*$E831)</f>
        <v>0</v>
      </c>
      <c r="H831" s="20" t="str">
        <f aca="false">IF($B831="","",CONCATENATE("Pozisyon: ",$B831,"/",$C831," tutar ",TEXT($D831,"#,##0.00")))</f>
        <v/>
      </c>
    </row>
    <row r="832" customFormat="false" ht="15" hidden="false" customHeight="false" outlineLevel="0" collapsed="false">
      <c r="A832" s="21"/>
      <c r="B832" s="22"/>
      <c r="C832" s="22"/>
      <c r="D832" s="23"/>
      <c r="E832" s="24"/>
      <c r="F832" s="22"/>
      <c r="G832" s="19" t="n">
        <f aca="false">IF($D832=0,0,$D832*$E832)</f>
        <v>0</v>
      </c>
      <c r="H832" s="20" t="str">
        <f aca="false">IF($B832="","",CONCATENATE("Pozisyon: ",$B832,"/",$C832," tutar ",TEXT($D832,"#,##0.00")))</f>
        <v/>
      </c>
    </row>
    <row r="833" customFormat="false" ht="15" hidden="false" customHeight="false" outlineLevel="0" collapsed="false">
      <c r="A833" s="21"/>
      <c r="B833" s="22"/>
      <c r="C833" s="22"/>
      <c r="D833" s="23"/>
      <c r="E833" s="24"/>
      <c r="F833" s="22"/>
      <c r="G833" s="19" t="n">
        <f aca="false">IF($D833=0,0,$D833*$E833)</f>
        <v>0</v>
      </c>
      <c r="H833" s="20" t="str">
        <f aca="false">IF($B833="","",CONCATENATE("Pozisyon: ",$B833,"/",$C833," tutar ",TEXT($D833,"#,##0.00")))</f>
        <v/>
      </c>
    </row>
    <row r="834" customFormat="false" ht="15" hidden="false" customHeight="false" outlineLevel="0" collapsed="false">
      <c r="A834" s="21"/>
      <c r="B834" s="22"/>
      <c r="C834" s="22"/>
      <c r="D834" s="23"/>
      <c r="E834" s="24"/>
      <c r="F834" s="22"/>
      <c r="G834" s="19" t="n">
        <f aca="false">IF($D834=0,0,$D834*$E834)</f>
        <v>0</v>
      </c>
      <c r="H834" s="20" t="str">
        <f aca="false">IF($B834="","",CONCATENATE("Pozisyon: ",$B834,"/",$C834," tutar ",TEXT($D834,"#,##0.00")))</f>
        <v/>
      </c>
    </row>
    <row r="835" customFormat="false" ht="15" hidden="false" customHeight="false" outlineLevel="0" collapsed="false">
      <c r="A835" s="21"/>
      <c r="B835" s="22"/>
      <c r="C835" s="22"/>
      <c r="D835" s="23"/>
      <c r="E835" s="24"/>
      <c r="F835" s="22"/>
      <c r="G835" s="19" t="n">
        <f aca="false">IF($D835=0,0,$D835*$E835)</f>
        <v>0</v>
      </c>
      <c r="H835" s="20" t="str">
        <f aca="false">IF($B835="","",CONCATENATE("Pozisyon: ",$B835,"/",$C835," tutar ",TEXT($D835,"#,##0.00")))</f>
        <v/>
      </c>
    </row>
    <row r="836" customFormat="false" ht="15" hidden="false" customHeight="false" outlineLevel="0" collapsed="false">
      <c r="A836" s="21"/>
      <c r="B836" s="22"/>
      <c r="C836" s="22"/>
      <c r="D836" s="23"/>
      <c r="E836" s="24"/>
      <c r="F836" s="22"/>
      <c r="G836" s="19" t="n">
        <f aca="false">IF($D836=0,0,$D836*$E836)</f>
        <v>0</v>
      </c>
      <c r="H836" s="20" t="str">
        <f aca="false">IF($B836="","",CONCATENATE("Pozisyon: ",$B836,"/",$C836," tutar ",TEXT($D836,"#,##0.00")))</f>
        <v/>
      </c>
    </row>
    <row r="837" customFormat="false" ht="15" hidden="false" customHeight="false" outlineLevel="0" collapsed="false">
      <c r="A837" s="21"/>
      <c r="B837" s="22"/>
      <c r="C837" s="22"/>
      <c r="D837" s="23"/>
      <c r="E837" s="24"/>
      <c r="F837" s="22"/>
      <c r="G837" s="19" t="n">
        <f aca="false">IF($D837=0,0,$D837*$E837)</f>
        <v>0</v>
      </c>
      <c r="H837" s="20" t="str">
        <f aca="false">IF($B837="","",CONCATENATE("Pozisyon: ",$B837,"/",$C837," tutar ",TEXT($D837,"#,##0.00")))</f>
        <v/>
      </c>
    </row>
    <row r="838" customFormat="false" ht="15" hidden="false" customHeight="false" outlineLevel="0" collapsed="false">
      <c r="A838" s="21"/>
      <c r="B838" s="22"/>
      <c r="C838" s="22"/>
      <c r="D838" s="23"/>
      <c r="E838" s="24"/>
      <c r="F838" s="22"/>
      <c r="G838" s="19" t="n">
        <f aca="false">IF($D838=0,0,$D838*$E838)</f>
        <v>0</v>
      </c>
      <c r="H838" s="20" t="str">
        <f aca="false">IF($B838="","",CONCATENATE("Pozisyon: ",$B838,"/",$C838," tutar ",TEXT($D838,"#,##0.00")))</f>
        <v/>
      </c>
    </row>
    <row r="839" customFormat="false" ht="15" hidden="false" customHeight="false" outlineLevel="0" collapsed="false">
      <c r="A839" s="21"/>
      <c r="B839" s="22"/>
      <c r="C839" s="22"/>
      <c r="D839" s="23"/>
      <c r="E839" s="24"/>
      <c r="F839" s="22"/>
      <c r="G839" s="19" t="n">
        <f aca="false">IF($D839=0,0,$D839*$E839)</f>
        <v>0</v>
      </c>
      <c r="H839" s="20" t="str">
        <f aca="false">IF($B839="","",CONCATENATE("Pozisyon: ",$B839,"/",$C839," tutar ",TEXT($D839,"#,##0.00")))</f>
        <v/>
      </c>
    </row>
    <row r="840" customFormat="false" ht="15" hidden="false" customHeight="false" outlineLevel="0" collapsed="false">
      <c r="A840" s="21"/>
      <c r="B840" s="22"/>
      <c r="C840" s="22"/>
      <c r="D840" s="23"/>
      <c r="E840" s="24"/>
      <c r="F840" s="22"/>
      <c r="G840" s="19" t="n">
        <f aca="false">IF($D840=0,0,$D840*$E840)</f>
        <v>0</v>
      </c>
      <c r="H840" s="20" t="str">
        <f aca="false">IF($B840="","",CONCATENATE("Pozisyon: ",$B840,"/",$C840," tutar ",TEXT($D840,"#,##0.00")))</f>
        <v/>
      </c>
    </row>
    <row r="841" customFormat="false" ht="15" hidden="false" customHeight="false" outlineLevel="0" collapsed="false">
      <c r="A841" s="21"/>
      <c r="B841" s="22"/>
      <c r="C841" s="22"/>
      <c r="D841" s="23"/>
      <c r="E841" s="24"/>
      <c r="F841" s="22"/>
      <c r="G841" s="19" t="n">
        <f aca="false">IF($D841=0,0,$D841*$E841)</f>
        <v>0</v>
      </c>
      <c r="H841" s="20" t="str">
        <f aca="false">IF($B841="","",CONCATENATE("Pozisyon: ",$B841,"/",$C841," tutar ",TEXT($D841,"#,##0.00")))</f>
        <v/>
      </c>
    </row>
    <row r="842" customFormat="false" ht="15" hidden="false" customHeight="false" outlineLevel="0" collapsed="false">
      <c r="A842" s="21"/>
      <c r="B842" s="22"/>
      <c r="C842" s="22"/>
      <c r="D842" s="23"/>
      <c r="E842" s="24"/>
      <c r="F842" s="22"/>
      <c r="G842" s="19" t="n">
        <f aca="false">IF($D842=0,0,$D842*$E842)</f>
        <v>0</v>
      </c>
      <c r="H842" s="20" t="str">
        <f aca="false">IF($B842="","",CONCATENATE("Pozisyon: ",$B842,"/",$C842," tutar ",TEXT($D842,"#,##0.00")))</f>
        <v/>
      </c>
    </row>
    <row r="843" customFormat="false" ht="15" hidden="false" customHeight="false" outlineLevel="0" collapsed="false">
      <c r="A843" s="21"/>
      <c r="B843" s="22"/>
      <c r="C843" s="22"/>
      <c r="D843" s="23"/>
      <c r="E843" s="24"/>
      <c r="F843" s="22"/>
      <c r="G843" s="19" t="n">
        <f aca="false">IF($D843=0,0,$D843*$E843)</f>
        <v>0</v>
      </c>
      <c r="H843" s="20" t="str">
        <f aca="false">IF($B843="","",CONCATENATE("Pozisyon: ",$B843,"/",$C843," tutar ",TEXT($D843,"#,##0.00")))</f>
        <v/>
      </c>
    </row>
    <row r="844" customFormat="false" ht="15" hidden="false" customHeight="false" outlineLevel="0" collapsed="false">
      <c r="A844" s="21"/>
      <c r="B844" s="22"/>
      <c r="C844" s="22"/>
      <c r="D844" s="23"/>
      <c r="E844" s="24"/>
      <c r="F844" s="22"/>
      <c r="G844" s="19" t="n">
        <f aca="false">IF($D844=0,0,$D844*$E844)</f>
        <v>0</v>
      </c>
      <c r="H844" s="20" t="str">
        <f aca="false">IF($B844="","",CONCATENATE("Pozisyon: ",$B844,"/",$C844," tutar ",TEXT($D844,"#,##0.00")))</f>
        <v/>
      </c>
    </row>
    <row r="845" customFormat="false" ht="15" hidden="false" customHeight="false" outlineLevel="0" collapsed="false">
      <c r="A845" s="21"/>
      <c r="B845" s="22"/>
      <c r="C845" s="22"/>
      <c r="D845" s="23"/>
      <c r="E845" s="24"/>
      <c r="F845" s="22"/>
      <c r="G845" s="19" t="n">
        <f aca="false">IF($D845=0,0,$D845*$E845)</f>
        <v>0</v>
      </c>
      <c r="H845" s="20" t="str">
        <f aca="false">IF($B845="","",CONCATENATE("Pozisyon: ",$B845,"/",$C845," tutar ",TEXT($D845,"#,##0.00")))</f>
        <v/>
      </c>
    </row>
    <row r="846" customFormat="false" ht="15" hidden="false" customHeight="false" outlineLevel="0" collapsed="false">
      <c r="A846" s="21"/>
      <c r="B846" s="22"/>
      <c r="C846" s="22"/>
      <c r="D846" s="23"/>
      <c r="E846" s="24"/>
      <c r="F846" s="22"/>
      <c r="G846" s="19" t="n">
        <f aca="false">IF($D846=0,0,$D846*$E846)</f>
        <v>0</v>
      </c>
      <c r="H846" s="20" t="str">
        <f aca="false">IF($B846="","",CONCATENATE("Pozisyon: ",$B846,"/",$C846," tutar ",TEXT($D846,"#,##0.00")))</f>
        <v/>
      </c>
    </row>
    <row r="847" customFormat="false" ht="15" hidden="false" customHeight="false" outlineLevel="0" collapsed="false">
      <c r="A847" s="21"/>
      <c r="B847" s="22"/>
      <c r="C847" s="22"/>
      <c r="D847" s="23"/>
      <c r="E847" s="24"/>
      <c r="F847" s="22"/>
      <c r="G847" s="19" t="n">
        <f aca="false">IF($D847=0,0,$D847*$E847)</f>
        <v>0</v>
      </c>
      <c r="H847" s="20" t="str">
        <f aca="false">IF($B847="","",CONCATENATE("Pozisyon: ",$B847,"/",$C847," tutar ",TEXT($D847,"#,##0.00")))</f>
        <v/>
      </c>
    </row>
    <row r="848" customFormat="false" ht="15" hidden="false" customHeight="false" outlineLevel="0" collapsed="false">
      <c r="A848" s="21"/>
      <c r="B848" s="22"/>
      <c r="C848" s="22"/>
      <c r="D848" s="23"/>
      <c r="E848" s="24"/>
      <c r="F848" s="22"/>
      <c r="G848" s="19" t="n">
        <f aca="false">IF($D848=0,0,$D848*$E848)</f>
        <v>0</v>
      </c>
      <c r="H848" s="20" t="str">
        <f aca="false">IF($B848="","",CONCATENATE("Pozisyon: ",$B848,"/",$C848," tutar ",TEXT($D848,"#,##0.00")))</f>
        <v/>
      </c>
    </row>
    <row r="849" customFormat="false" ht="15" hidden="false" customHeight="false" outlineLevel="0" collapsed="false">
      <c r="A849" s="21"/>
      <c r="B849" s="22"/>
      <c r="C849" s="22"/>
      <c r="D849" s="23"/>
      <c r="E849" s="24"/>
      <c r="F849" s="22"/>
      <c r="G849" s="19" t="n">
        <f aca="false">IF($D849=0,0,$D849*$E849)</f>
        <v>0</v>
      </c>
      <c r="H849" s="20" t="str">
        <f aca="false">IF($B849="","",CONCATENATE("Pozisyon: ",$B849,"/",$C849," tutar ",TEXT($D849,"#,##0.00")))</f>
        <v/>
      </c>
    </row>
    <row r="850" customFormat="false" ht="15" hidden="false" customHeight="false" outlineLevel="0" collapsed="false">
      <c r="A850" s="21"/>
      <c r="B850" s="22"/>
      <c r="C850" s="22"/>
      <c r="D850" s="23"/>
      <c r="E850" s="24"/>
      <c r="F850" s="22"/>
      <c r="G850" s="19" t="n">
        <f aca="false">IF($D850=0,0,$D850*$E850)</f>
        <v>0</v>
      </c>
      <c r="H850" s="20" t="str">
        <f aca="false">IF($B850="","",CONCATENATE("Pozisyon: ",$B850,"/",$C850," tutar ",TEXT($D850,"#,##0.00")))</f>
        <v/>
      </c>
    </row>
    <row r="851" customFormat="false" ht="15" hidden="false" customHeight="false" outlineLevel="0" collapsed="false">
      <c r="A851" s="21"/>
      <c r="B851" s="22"/>
      <c r="C851" s="22"/>
      <c r="D851" s="23"/>
      <c r="E851" s="24"/>
      <c r="F851" s="22"/>
      <c r="G851" s="19" t="n">
        <f aca="false">IF($D851=0,0,$D851*$E851)</f>
        <v>0</v>
      </c>
      <c r="H851" s="20" t="str">
        <f aca="false">IF($B851="","",CONCATENATE("Pozisyon: ",$B851,"/",$C851," tutar ",TEXT($D851,"#,##0.00")))</f>
        <v/>
      </c>
    </row>
    <row r="852" customFormat="false" ht="15" hidden="false" customHeight="false" outlineLevel="0" collapsed="false">
      <c r="A852" s="21"/>
      <c r="B852" s="22"/>
      <c r="C852" s="22"/>
      <c r="D852" s="23"/>
      <c r="E852" s="24"/>
      <c r="F852" s="22"/>
      <c r="G852" s="19" t="n">
        <f aca="false">IF($D852=0,0,$D852*$E852)</f>
        <v>0</v>
      </c>
      <c r="H852" s="20" t="str">
        <f aca="false">IF($B852="","",CONCATENATE("Pozisyon: ",$B852,"/",$C852," tutar ",TEXT($D852,"#,##0.00")))</f>
        <v/>
      </c>
    </row>
    <row r="853" customFormat="false" ht="15" hidden="false" customHeight="false" outlineLevel="0" collapsed="false">
      <c r="A853" s="21"/>
      <c r="B853" s="22"/>
      <c r="C853" s="22"/>
      <c r="D853" s="23"/>
      <c r="E853" s="24"/>
      <c r="F853" s="22"/>
      <c r="G853" s="19" t="n">
        <f aca="false">IF($D853=0,0,$D853*$E853)</f>
        <v>0</v>
      </c>
      <c r="H853" s="20" t="str">
        <f aca="false">IF($B853="","",CONCATENATE("Pozisyon: ",$B853,"/",$C853," tutar ",TEXT($D853,"#,##0.00")))</f>
        <v/>
      </c>
    </row>
    <row r="854" customFormat="false" ht="15" hidden="false" customHeight="false" outlineLevel="0" collapsed="false">
      <c r="A854" s="21"/>
      <c r="B854" s="22"/>
      <c r="C854" s="22"/>
      <c r="D854" s="23"/>
      <c r="E854" s="24"/>
      <c r="F854" s="22"/>
      <c r="G854" s="19" t="n">
        <f aca="false">IF($D854=0,0,$D854*$E854)</f>
        <v>0</v>
      </c>
      <c r="H854" s="20" t="str">
        <f aca="false">IF($B854="","",CONCATENATE("Pozisyon: ",$B854,"/",$C854," tutar ",TEXT($D854,"#,##0.00")))</f>
        <v/>
      </c>
    </row>
    <row r="855" customFormat="false" ht="15" hidden="false" customHeight="false" outlineLevel="0" collapsed="false">
      <c r="A855" s="21"/>
      <c r="B855" s="22"/>
      <c r="C855" s="22"/>
      <c r="D855" s="23"/>
      <c r="E855" s="24"/>
      <c r="F855" s="22"/>
      <c r="G855" s="19" t="n">
        <f aca="false">IF($D855=0,0,$D855*$E855)</f>
        <v>0</v>
      </c>
      <c r="H855" s="20" t="str">
        <f aca="false">IF($B855="","",CONCATENATE("Pozisyon: ",$B855,"/",$C855," tutar ",TEXT($D855,"#,##0.00")))</f>
        <v/>
      </c>
    </row>
    <row r="856" customFormat="false" ht="15" hidden="false" customHeight="false" outlineLevel="0" collapsed="false">
      <c r="A856" s="21"/>
      <c r="B856" s="22"/>
      <c r="C856" s="22"/>
      <c r="D856" s="23"/>
      <c r="E856" s="24"/>
      <c r="F856" s="22"/>
      <c r="G856" s="19" t="n">
        <f aca="false">IF($D856=0,0,$D856*$E856)</f>
        <v>0</v>
      </c>
      <c r="H856" s="20" t="str">
        <f aca="false">IF($B856="","",CONCATENATE("Pozisyon: ",$B856,"/",$C856," tutar ",TEXT($D856,"#,##0.00")))</f>
        <v/>
      </c>
    </row>
    <row r="857" customFormat="false" ht="15" hidden="false" customHeight="false" outlineLevel="0" collapsed="false">
      <c r="A857" s="21"/>
      <c r="B857" s="22"/>
      <c r="C857" s="22"/>
      <c r="D857" s="23"/>
      <c r="E857" s="24"/>
      <c r="F857" s="22"/>
      <c r="G857" s="19" t="n">
        <f aca="false">IF($D857=0,0,$D857*$E857)</f>
        <v>0</v>
      </c>
      <c r="H857" s="20" t="str">
        <f aca="false">IF($B857="","",CONCATENATE("Pozisyon: ",$B857,"/",$C857," tutar ",TEXT($D857,"#,##0.00")))</f>
        <v/>
      </c>
    </row>
    <row r="858" customFormat="false" ht="15" hidden="false" customHeight="false" outlineLevel="0" collapsed="false">
      <c r="A858" s="21"/>
      <c r="B858" s="22"/>
      <c r="C858" s="22"/>
      <c r="D858" s="23"/>
      <c r="E858" s="24"/>
      <c r="F858" s="22"/>
      <c r="G858" s="19" t="n">
        <f aca="false">IF($D858=0,0,$D858*$E858)</f>
        <v>0</v>
      </c>
      <c r="H858" s="20" t="str">
        <f aca="false">IF($B858="","",CONCATENATE("Pozisyon: ",$B858,"/",$C858," tutar ",TEXT($D858,"#,##0.00")))</f>
        <v/>
      </c>
    </row>
    <row r="859" customFormat="false" ht="15" hidden="false" customHeight="false" outlineLevel="0" collapsed="false">
      <c r="A859" s="21"/>
      <c r="B859" s="22"/>
      <c r="C859" s="22"/>
      <c r="D859" s="23"/>
      <c r="E859" s="24"/>
      <c r="F859" s="22"/>
      <c r="G859" s="19" t="n">
        <f aca="false">IF($D859=0,0,$D859*$E859)</f>
        <v>0</v>
      </c>
      <c r="H859" s="20" t="str">
        <f aca="false">IF($B859="","",CONCATENATE("Pozisyon: ",$B859,"/",$C859," tutar ",TEXT($D859,"#,##0.00")))</f>
        <v/>
      </c>
    </row>
    <row r="860" customFormat="false" ht="15" hidden="false" customHeight="false" outlineLevel="0" collapsed="false">
      <c r="A860" s="21"/>
      <c r="B860" s="22"/>
      <c r="C860" s="22"/>
      <c r="D860" s="23"/>
      <c r="E860" s="24"/>
      <c r="F860" s="22"/>
      <c r="G860" s="19" t="n">
        <f aca="false">IF($D860=0,0,$D860*$E860)</f>
        <v>0</v>
      </c>
      <c r="H860" s="20" t="str">
        <f aca="false">IF($B860="","",CONCATENATE("Pozisyon: ",$B860,"/",$C860," tutar ",TEXT($D860,"#,##0.00")))</f>
        <v/>
      </c>
    </row>
    <row r="861" customFormat="false" ht="15" hidden="false" customHeight="false" outlineLevel="0" collapsed="false">
      <c r="A861" s="21"/>
      <c r="B861" s="22"/>
      <c r="C861" s="22"/>
      <c r="D861" s="23"/>
      <c r="E861" s="24"/>
      <c r="F861" s="22"/>
      <c r="G861" s="19" t="n">
        <f aca="false">IF($D861=0,0,$D861*$E861)</f>
        <v>0</v>
      </c>
      <c r="H861" s="20" t="str">
        <f aca="false">IF($B861="","",CONCATENATE("Pozisyon: ",$B861,"/",$C861," tutar ",TEXT($D861,"#,##0.00")))</f>
        <v/>
      </c>
    </row>
    <row r="862" customFormat="false" ht="15" hidden="false" customHeight="false" outlineLevel="0" collapsed="false">
      <c r="A862" s="21"/>
      <c r="B862" s="22"/>
      <c r="C862" s="22"/>
      <c r="D862" s="23"/>
      <c r="E862" s="24"/>
      <c r="F862" s="22"/>
      <c r="G862" s="19" t="n">
        <f aca="false">IF($D862=0,0,$D862*$E862)</f>
        <v>0</v>
      </c>
      <c r="H862" s="20" t="str">
        <f aca="false">IF($B862="","",CONCATENATE("Pozisyon: ",$B862,"/",$C862," tutar ",TEXT($D862,"#,##0.00")))</f>
        <v/>
      </c>
    </row>
    <row r="863" customFormat="false" ht="15" hidden="false" customHeight="false" outlineLevel="0" collapsed="false">
      <c r="A863" s="21"/>
      <c r="B863" s="22"/>
      <c r="C863" s="22"/>
      <c r="D863" s="23"/>
      <c r="E863" s="24"/>
      <c r="F863" s="22"/>
      <c r="G863" s="19" t="n">
        <f aca="false">IF($D863=0,0,$D863*$E863)</f>
        <v>0</v>
      </c>
      <c r="H863" s="20" t="str">
        <f aca="false">IF($B863="","",CONCATENATE("Pozisyon: ",$B863,"/",$C863," tutar ",TEXT($D863,"#,##0.00")))</f>
        <v/>
      </c>
    </row>
    <row r="864" customFormat="false" ht="15" hidden="false" customHeight="false" outlineLevel="0" collapsed="false">
      <c r="A864" s="21"/>
      <c r="B864" s="22"/>
      <c r="C864" s="22"/>
      <c r="D864" s="23"/>
      <c r="E864" s="24"/>
      <c r="F864" s="22"/>
      <c r="G864" s="19" t="n">
        <f aca="false">IF($D864=0,0,$D864*$E864)</f>
        <v>0</v>
      </c>
      <c r="H864" s="20" t="str">
        <f aca="false">IF($B864="","",CONCATENATE("Pozisyon: ",$B864,"/",$C864," tutar ",TEXT($D864,"#,##0.00")))</f>
        <v/>
      </c>
    </row>
    <row r="865" customFormat="false" ht="15" hidden="false" customHeight="false" outlineLevel="0" collapsed="false">
      <c r="A865" s="21"/>
      <c r="B865" s="22"/>
      <c r="C865" s="22"/>
      <c r="D865" s="23"/>
      <c r="E865" s="24"/>
      <c r="F865" s="22"/>
      <c r="G865" s="19" t="n">
        <f aca="false">IF($D865=0,0,$D865*$E865)</f>
        <v>0</v>
      </c>
      <c r="H865" s="20" t="str">
        <f aca="false">IF($B865="","",CONCATENATE("Pozisyon: ",$B865,"/",$C865," tutar ",TEXT($D865,"#,##0.00")))</f>
        <v/>
      </c>
    </row>
    <row r="866" customFormat="false" ht="15" hidden="false" customHeight="false" outlineLevel="0" collapsed="false">
      <c r="A866" s="21"/>
      <c r="B866" s="22"/>
      <c r="C866" s="22"/>
      <c r="D866" s="23"/>
      <c r="E866" s="24"/>
      <c r="F866" s="22"/>
      <c r="G866" s="19" t="n">
        <f aca="false">IF($D866=0,0,$D866*$E866)</f>
        <v>0</v>
      </c>
      <c r="H866" s="20" t="str">
        <f aca="false">IF($B866="","",CONCATENATE("Pozisyon: ",$B866,"/",$C866," tutar ",TEXT($D866,"#,##0.00")))</f>
        <v/>
      </c>
    </row>
    <row r="867" customFormat="false" ht="15" hidden="false" customHeight="false" outlineLevel="0" collapsed="false">
      <c r="A867" s="21"/>
      <c r="B867" s="22"/>
      <c r="C867" s="22"/>
      <c r="D867" s="23"/>
      <c r="E867" s="24"/>
      <c r="F867" s="22"/>
      <c r="G867" s="19" t="n">
        <f aca="false">IF($D867=0,0,$D867*$E867)</f>
        <v>0</v>
      </c>
      <c r="H867" s="20" t="str">
        <f aca="false">IF($B867="","",CONCATENATE("Pozisyon: ",$B867,"/",$C867," tutar ",TEXT($D867,"#,##0.00")))</f>
        <v/>
      </c>
    </row>
    <row r="868" customFormat="false" ht="15" hidden="false" customHeight="false" outlineLevel="0" collapsed="false">
      <c r="A868" s="21"/>
      <c r="B868" s="22"/>
      <c r="C868" s="22"/>
      <c r="D868" s="23"/>
      <c r="E868" s="24"/>
      <c r="F868" s="22"/>
      <c r="G868" s="19" t="n">
        <f aca="false">IF($D868=0,0,$D868*$E868)</f>
        <v>0</v>
      </c>
      <c r="H868" s="20" t="str">
        <f aca="false">IF($B868="","",CONCATENATE("Pozisyon: ",$B868,"/",$C868," tutar ",TEXT($D868,"#,##0.00")))</f>
        <v/>
      </c>
    </row>
    <row r="869" customFormat="false" ht="15" hidden="false" customHeight="false" outlineLevel="0" collapsed="false">
      <c r="A869" s="21"/>
      <c r="B869" s="22"/>
      <c r="C869" s="22"/>
      <c r="D869" s="23"/>
      <c r="E869" s="24"/>
      <c r="F869" s="22"/>
      <c r="G869" s="19" t="n">
        <f aca="false">IF($D869=0,0,$D869*$E869)</f>
        <v>0</v>
      </c>
      <c r="H869" s="20" t="str">
        <f aca="false">IF($B869="","",CONCATENATE("Pozisyon: ",$B869,"/",$C869," tutar ",TEXT($D869,"#,##0.00")))</f>
        <v/>
      </c>
    </row>
    <row r="870" customFormat="false" ht="15" hidden="false" customHeight="false" outlineLevel="0" collapsed="false">
      <c r="A870" s="21"/>
      <c r="B870" s="22"/>
      <c r="C870" s="22"/>
      <c r="D870" s="23"/>
      <c r="E870" s="24"/>
      <c r="F870" s="22"/>
      <c r="G870" s="19" t="n">
        <f aca="false">IF($D870=0,0,$D870*$E870)</f>
        <v>0</v>
      </c>
      <c r="H870" s="20" t="str">
        <f aca="false">IF($B870="","",CONCATENATE("Pozisyon: ",$B870,"/",$C870," tutar ",TEXT($D870,"#,##0.00")))</f>
        <v/>
      </c>
    </row>
    <row r="871" customFormat="false" ht="15" hidden="false" customHeight="false" outlineLevel="0" collapsed="false">
      <c r="A871" s="21"/>
      <c r="B871" s="22"/>
      <c r="C871" s="22"/>
      <c r="D871" s="23"/>
      <c r="E871" s="24"/>
      <c r="F871" s="22"/>
      <c r="G871" s="19" t="n">
        <f aca="false">IF($D871=0,0,$D871*$E871)</f>
        <v>0</v>
      </c>
      <c r="H871" s="20" t="str">
        <f aca="false">IF($B871="","",CONCATENATE("Pozisyon: ",$B871,"/",$C871," tutar ",TEXT($D871,"#,##0.00")))</f>
        <v/>
      </c>
    </row>
    <row r="872" customFormat="false" ht="15" hidden="false" customHeight="false" outlineLevel="0" collapsed="false">
      <c r="A872" s="21"/>
      <c r="B872" s="22"/>
      <c r="C872" s="22"/>
      <c r="D872" s="23"/>
      <c r="E872" s="24"/>
      <c r="F872" s="22"/>
      <c r="G872" s="19" t="n">
        <f aca="false">IF($D872=0,0,$D872*$E872)</f>
        <v>0</v>
      </c>
      <c r="H872" s="20" t="str">
        <f aca="false">IF($B872="","",CONCATENATE("Pozisyon: ",$B872,"/",$C872," tutar ",TEXT($D872,"#,##0.00")))</f>
        <v/>
      </c>
    </row>
    <row r="873" customFormat="false" ht="15" hidden="false" customHeight="false" outlineLevel="0" collapsed="false">
      <c r="A873" s="21"/>
      <c r="B873" s="22"/>
      <c r="C873" s="22"/>
      <c r="D873" s="23"/>
      <c r="E873" s="24"/>
      <c r="F873" s="22"/>
      <c r="G873" s="19" t="n">
        <f aca="false">IF($D873=0,0,$D873*$E873)</f>
        <v>0</v>
      </c>
      <c r="H873" s="20" t="str">
        <f aca="false">IF($B873="","",CONCATENATE("Pozisyon: ",$B873,"/",$C873," tutar ",TEXT($D873,"#,##0.00")))</f>
        <v/>
      </c>
    </row>
    <row r="874" customFormat="false" ht="15" hidden="false" customHeight="false" outlineLevel="0" collapsed="false">
      <c r="A874" s="21"/>
      <c r="B874" s="22"/>
      <c r="C874" s="22"/>
      <c r="D874" s="23"/>
      <c r="E874" s="24"/>
      <c r="F874" s="22"/>
      <c r="G874" s="19" t="n">
        <f aca="false">IF($D874=0,0,$D874*$E874)</f>
        <v>0</v>
      </c>
      <c r="H874" s="20" t="str">
        <f aca="false">IF($B874="","",CONCATENATE("Pozisyon: ",$B874,"/",$C874," tutar ",TEXT($D874,"#,##0.00")))</f>
        <v/>
      </c>
    </row>
    <row r="875" customFormat="false" ht="15" hidden="false" customHeight="false" outlineLevel="0" collapsed="false">
      <c r="A875" s="21"/>
      <c r="B875" s="22"/>
      <c r="C875" s="22"/>
      <c r="D875" s="23"/>
      <c r="E875" s="24"/>
      <c r="F875" s="22"/>
      <c r="G875" s="19" t="n">
        <f aca="false">IF($D875=0,0,$D875*$E875)</f>
        <v>0</v>
      </c>
      <c r="H875" s="20" t="str">
        <f aca="false">IF($B875="","",CONCATENATE("Pozisyon: ",$B875,"/",$C875," tutar ",TEXT($D875,"#,##0.00")))</f>
        <v/>
      </c>
    </row>
    <row r="876" customFormat="false" ht="15" hidden="false" customHeight="false" outlineLevel="0" collapsed="false">
      <c r="A876" s="21"/>
      <c r="B876" s="22"/>
      <c r="C876" s="22"/>
      <c r="D876" s="23"/>
      <c r="E876" s="24"/>
      <c r="F876" s="22"/>
      <c r="G876" s="19" t="n">
        <f aca="false">IF($D876=0,0,$D876*$E876)</f>
        <v>0</v>
      </c>
      <c r="H876" s="20" t="str">
        <f aca="false">IF($B876="","",CONCATENATE("Pozisyon: ",$B876,"/",$C876," tutar ",TEXT($D876,"#,##0.00")))</f>
        <v/>
      </c>
    </row>
    <row r="877" customFormat="false" ht="15" hidden="false" customHeight="false" outlineLevel="0" collapsed="false">
      <c r="A877" s="21"/>
      <c r="B877" s="22"/>
      <c r="C877" s="22"/>
      <c r="D877" s="23"/>
      <c r="E877" s="24"/>
      <c r="F877" s="22"/>
      <c r="G877" s="19" t="n">
        <f aca="false">IF($D877=0,0,$D877*$E877)</f>
        <v>0</v>
      </c>
      <c r="H877" s="20" t="str">
        <f aca="false">IF($B877="","",CONCATENATE("Pozisyon: ",$B877,"/",$C877," tutar ",TEXT($D877,"#,##0.00")))</f>
        <v/>
      </c>
    </row>
    <row r="878" customFormat="false" ht="15" hidden="false" customHeight="false" outlineLevel="0" collapsed="false">
      <c r="A878" s="21"/>
      <c r="B878" s="22"/>
      <c r="C878" s="22"/>
      <c r="D878" s="23"/>
      <c r="E878" s="24"/>
      <c r="F878" s="22"/>
      <c r="G878" s="19" t="n">
        <f aca="false">IF($D878=0,0,$D878*$E878)</f>
        <v>0</v>
      </c>
      <c r="H878" s="20" t="str">
        <f aca="false">IF($B878="","",CONCATENATE("Pozisyon: ",$B878,"/",$C878," tutar ",TEXT($D878,"#,##0.00")))</f>
        <v/>
      </c>
    </row>
    <row r="879" customFormat="false" ht="15" hidden="false" customHeight="false" outlineLevel="0" collapsed="false">
      <c r="A879" s="21"/>
      <c r="B879" s="22"/>
      <c r="C879" s="22"/>
      <c r="D879" s="23"/>
      <c r="E879" s="24"/>
      <c r="F879" s="22"/>
      <c r="G879" s="19" t="n">
        <f aca="false">IF($D879=0,0,$D879*$E879)</f>
        <v>0</v>
      </c>
      <c r="H879" s="20" t="str">
        <f aca="false">IF($B879="","",CONCATENATE("Pozisyon: ",$B879,"/",$C879," tutar ",TEXT($D879,"#,##0.00")))</f>
        <v/>
      </c>
    </row>
    <row r="880" customFormat="false" ht="15" hidden="false" customHeight="false" outlineLevel="0" collapsed="false">
      <c r="A880" s="21"/>
      <c r="B880" s="22"/>
      <c r="C880" s="22"/>
      <c r="D880" s="23"/>
      <c r="E880" s="24"/>
      <c r="F880" s="22"/>
      <c r="G880" s="19" t="n">
        <f aca="false">IF($D880=0,0,$D880*$E880)</f>
        <v>0</v>
      </c>
      <c r="H880" s="20" t="str">
        <f aca="false">IF($B880="","",CONCATENATE("Pozisyon: ",$B880,"/",$C880," tutar ",TEXT($D880,"#,##0.00")))</f>
        <v/>
      </c>
    </row>
    <row r="881" customFormat="false" ht="15" hidden="false" customHeight="false" outlineLevel="0" collapsed="false">
      <c r="A881" s="21"/>
      <c r="B881" s="22"/>
      <c r="C881" s="22"/>
      <c r="D881" s="23"/>
      <c r="E881" s="24"/>
      <c r="F881" s="22"/>
      <c r="G881" s="19" t="n">
        <f aca="false">IF($D881=0,0,$D881*$E881)</f>
        <v>0</v>
      </c>
      <c r="H881" s="20" t="str">
        <f aca="false">IF($B881="","",CONCATENATE("Pozisyon: ",$B881,"/",$C881," tutar ",TEXT($D881,"#,##0.00")))</f>
        <v/>
      </c>
    </row>
    <row r="882" customFormat="false" ht="15" hidden="false" customHeight="false" outlineLevel="0" collapsed="false">
      <c r="A882" s="21"/>
      <c r="B882" s="22"/>
      <c r="C882" s="22"/>
      <c r="D882" s="23"/>
      <c r="E882" s="24"/>
      <c r="F882" s="22"/>
      <c r="G882" s="19" t="n">
        <f aca="false">IF($D882=0,0,$D882*$E882)</f>
        <v>0</v>
      </c>
      <c r="H882" s="20" t="str">
        <f aca="false">IF($B882="","",CONCATENATE("Pozisyon: ",$B882,"/",$C882," tutar ",TEXT($D882,"#,##0.00")))</f>
        <v/>
      </c>
    </row>
    <row r="883" customFormat="false" ht="15" hidden="false" customHeight="false" outlineLevel="0" collapsed="false">
      <c r="A883" s="21"/>
      <c r="B883" s="22"/>
      <c r="C883" s="22"/>
      <c r="D883" s="23"/>
      <c r="E883" s="24"/>
      <c r="F883" s="22"/>
      <c r="G883" s="19" t="n">
        <f aca="false">IF($D883=0,0,$D883*$E883)</f>
        <v>0</v>
      </c>
      <c r="H883" s="20" t="str">
        <f aca="false">IF($B883="","",CONCATENATE("Pozisyon: ",$B883,"/",$C883," tutar ",TEXT($D883,"#,##0.00")))</f>
        <v/>
      </c>
    </row>
    <row r="884" customFormat="false" ht="15" hidden="false" customHeight="false" outlineLevel="0" collapsed="false">
      <c r="A884" s="21"/>
      <c r="B884" s="22"/>
      <c r="C884" s="22"/>
      <c r="D884" s="23"/>
      <c r="E884" s="24"/>
      <c r="F884" s="22"/>
      <c r="G884" s="19" t="n">
        <f aca="false">IF($D884=0,0,$D884*$E884)</f>
        <v>0</v>
      </c>
      <c r="H884" s="20" t="str">
        <f aca="false">IF($B884="","",CONCATENATE("Pozisyon: ",$B884,"/",$C884," tutar ",TEXT($D884,"#,##0.00")))</f>
        <v/>
      </c>
    </row>
    <row r="885" customFormat="false" ht="15" hidden="false" customHeight="false" outlineLevel="0" collapsed="false">
      <c r="A885" s="21"/>
      <c r="B885" s="22"/>
      <c r="C885" s="22"/>
      <c r="D885" s="23"/>
      <c r="E885" s="24"/>
      <c r="F885" s="22"/>
      <c r="G885" s="19" t="n">
        <f aca="false">IF($D885=0,0,$D885*$E885)</f>
        <v>0</v>
      </c>
      <c r="H885" s="20" t="str">
        <f aca="false">IF($B885="","",CONCATENATE("Pozisyon: ",$B885,"/",$C885," tutar ",TEXT($D885,"#,##0.00")))</f>
        <v/>
      </c>
    </row>
    <row r="886" customFormat="false" ht="15" hidden="false" customHeight="false" outlineLevel="0" collapsed="false">
      <c r="A886" s="21"/>
      <c r="B886" s="22"/>
      <c r="C886" s="22"/>
      <c r="D886" s="23"/>
      <c r="E886" s="24"/>
      <c r="F886" s="22"/>
      <c r="G886" s="19" t="n">
        <f aca="false">IF($D886=0,0,$D886*$E886)</f>
        <v>0</v>
      </c>
      <c r="H886" s="20" t="str">
        <f aca="false">IF($B886="","",CONCATENATE("Pozisyon: ",$B886,"/",$C886," tutar ",TEXT($D886,"#,##0.00")))</f>
        <v/>
      </c>
    </row>
    <row r="887" customFormat="false" ht="15" hidden="false" customHeight="false" outlineLevel="0" collapsed="false">
      <c r="A887" s="21"/>
      <c r="B887" s="22"/>
      <c r="C887" s="22"/>
      <c r="D887" s="23"/>
      <c r="E887" s="24"/>
      <c r="F887" s="22"/>
      <c r="G887" s="19" t="n">
        <f aca="false">IF($D887=0,0,$D887*$E887)</f>
        <v>0</v>
      </c>
      <c r="H887" s="20" t="str">
        <f aca="false">IF($B887="","",CONCATENATE("Pozisyon: ",$B887,"/",$C887," tutar ",TEXT($D887,"#,##0.00")))</f>
        <v/>
      </c>
    </row>
    <row r="888" customFormat="false" ht="15" hidden="false" customHeight="false" outlineLevel="0" collapsed="false">
      <c r="A888" s="21"/>
      <c r="B888" s="22"/>
      <c r="C888" s="22"/>
      <c r="D888" s="23"/>
      <c r="E888" s="24"/>
      <c r="F888" s="22"/>
      <c r="G888" s="19" t="n">
        <f aca="false">IF($D888=0,0,$D888*$E888)</f>
        <v>0</v>
      </c>
      <c r="H888" s="20" t="str">
        <f aca="false">IF($B888="","",CONCATENATE("Pozisyon: ",$B888,"/",$C888," tutar ",TEXT($D888,"#,##0.00")))</f>
        <v/>
      </c>
    </row>
    <row r="889" customFormat="false" ht="15" hidden="false" customHeight="false" outlineLevel="0" collapsed="false">
      <c r="A889" s="21"/>
      <c r="B889" s="22"/>
      <c r="C889" s="22"/>
      <c r="D889" s="23"/>
      <c r="E889" s="24"/>
      <c r="F889" s="22"/>
      <c r="G889" s="19" t="n">
        <f aca="false">IF($D889=0,0,$D889*$E889)</f>
        <v>0</v>
      </c>
      <c r="H889" s="20" t="str">
        <f aca="false">IF($B889="","",CONCATENATE("Pozisyon: ",$B889,"/",$C889," tutar ",TEXT($D889,"#,##0.00")))</f>
        <v/>
      </c>
    </row>
    <row r="890" customFormat="false" ht="15" hidden="false" customHeight="false" outlineLevel="0" collapsed="false">
      <c r="A890" s="21"/>
      <c r="B890" s="22"/>
      <c r="C890" s="22"/>
      <c r="D890" s="23"/>
      <c r="E890" s="24"/>
      <c r="F890" s="22"/>
      <c r="G890" s="19" t="n">
        <f aca="false">IF($D890=0,0,$D890*$E890)</f>
        <v>0</v>
      </c>
      <c r="H890" s="20" t="str">
        <f aca="false">IF($B890="","",CONCATENATE("Pozisyon: ",$B890,"/",$C890," tutar ",TEXT($D890,"#,##0.00")))</f>
        <v/>
      </c>
    </row>
    <row r="891" customFormat="false" ht="15" hidden="false" customHeight="false" outlineLevel="0" collapsed="false">
      <c r="A891" s="21"/>
      <c r="B891" s="22"/>
      <c r="C891" s="22"/>
      <c r="D891" s="23"/>
      <c r="E891" s="24"/>
      <c r="F891" s="22"/>
      <c r="G891" s="19" t="n">
        <f aca="false">IF($D891=0,0,$D891*$E891)</f>
        <v>0</v>
      </c>
      <c r="H891" s="20" t="str">
        <f aca="false">IF($B891="","",CONCATENATE("Pozisyon: ",$B891,"/",$C891," tutar ",TEXT($D891,"#,##0.00")))</f>
        <v/>
      </c>
    </row>
    <row r="892" customFormat="false" ht="15" hidden="false" customHeight="false" outlineLevel="0" collapsed="false">
      <c r="A892" s="21"/>
      <c r="B892" s="22"/>
      <c r="C892" s="22"/>
      <c r="D892" s="23"/>
      <c r="E892" s="24"/>
      <c r="F892" s="22"/>
      <c r="G892" s="19" t="n">
        <f aca="false">IF($D892=0,0,$D892*$E892)</f>
        <v>0</v>
      </c>
      <c r="H892" s="20" t="str">
        <f aca="false">IF($B892="","",CONCATENATE("Pozisyon: ",$B892,"/",$C892," tutar ",TEXT($D892,"#,##0.00")))</f>
        <v/>
      </c>
    </row>
    <row r="893" customFormat="false" ht="15" hidden="false" customHeight="false" outlineLevel="0" collapsed="false">
      <c r="A893" s="21"/>
      <c r="B893" s="22"/>
      <c r="C893" s="22"/>
      <c r="D893" s="23"/>
      <c r="E893" s="24"/>
      <c r="F893" s="22"/>
      <c r="G893" s="19" t="n">
        <f aca="false">IF($D893=0,0,$D893*$E893)</f>
        <v>0</v>
      </c>
      <c r="H893" s="20" t="str">
        <f aca="false">IF($B893="","",CONCATENATE("Pozisyon: ",$B893,"/",$C893," tutar ",TEXT($D893,"#,##0.00")))</f>
        <v/>
      </c>
    </row>
    <row r="894" customFormat="false" ht="15" hidden="false" customHeight="false" outlineLevel="0" collapsed="false">
      <c r="A894" s="21"/>
      <c r="B894" s="22"/>
      <c r="C894" s="22"/>
      <c r="D894" s="23"/>
      <c r="E894" s="24"/>
      <c r="F894" s="22"/>
      <c r="G894" s="19" t="n">
        <f aca="false">IF($D894=0,0,$D894*$E894)</f>
        <v>0</v>
      </c>
      <c r="H894" s="20" t="str">
        <f aca="false">IF($B894="","",CONCATENATE("Pozisyon: ",$B894,"/",$C894," tutar ",TEXT($D894,"#,##0.00")))</f>
        <v/>
      </c>
    </row>
    <row r="895" customFormat="false" ht="15" hidden="false" customHeight="false" outlineLevel="0" collapsed="false">
      <c r="A895" s="21"/>
      <c r="B895" s="22"/>
      <c r="C895" s="22"/>
      <c r="D895" s="23"/>
      <c r="E895" s="24"/>
      <c r="F895" s="22"/>
      <c r="G895" s="19" t="n">
        <f aca="false">IF($D895=0,0,$D895*$E895)</f>
        <v>0</v>
      </c>
      <c r="H895" s="20" t="str">
        <f aca="false">IF($B895="","",CONCATENATE("Pozisyon: ",$B895,"/",$C895," tutar ",TEXT($D895,"#,##0.00")))</f>
        <v/>
      </c>
    </row>
    <row r="896" customFormat="false" ht="15" hidden="false" customHeight="false" outlineLevel="0" collapsed="false">
      <c r="A896" s="21"/>
      <c r="B896" s="22"/>
      <c r="C896" s="22"/>
      <c r="D896" s="23"/>
      <c r="E896" s="24"/>
      <c r="F896" s="22"/>
      <c r="G896" s="19" t="n">
        <f aca="false">IF($D896=0,0,$D896*$E896)</f>
        <v>0</v>
      </c>
      <c r="H896" s="20" t="str">
        <f aca="false">IF($B896="","",CONCATENATE("Pozisyon: ",$B896,"/",$C896," tutar ",TEXT($D896,"#,##0.00")))</f>
        <v/>
      </c>
    </row>
    <row r="897" customFormat="false" ht="15" hidden="false" customHeight="false" outlineLevel="0" collapsed="false">
      <c r="A897" s="21"/>
      <c r="B897" s="22"/>
      <c r="C897" s="22"/>
      <c r="D897" s="23"/>
      <c r="E897" s="24"/>
      <c r="F897" s="22"/>
      <c r="G897" s="19" t="n">
        <f aca="false">IF($D897=0,0,$D897*$E897)</f>
        <v>0</v>
      </c>
      <c r="H897" s="20" t="str">
        <f aca="false">IF($B897="","",CONCATENATE("Pozisyon: ",$B897,"/",$C897," tutar ",TEXT($D897,"#,##0.00")))</f>
        <v/>
      </c>
    </row>
    <row r="898" customFormat="false" ht="15" hidden="false" customHeight="false" outlineLevel="0" collapsed="false">
      <c r="A898" s="21"/>
      <c r="B898" s="22"/>
      <c r="C898" s="22"/>
      <c r="D898" s="23"/>
      <c r="E898" s="24"/>
      <c r="F898" s="22"/>
      <c r="G898" s="19" t="n">
        <f aca="false">IF($D898=0,0,$D898*$E898)</f>
        <v>0</v>
      </c>
      <c r="H898" s="20" t="str">
        <f aca="false">IF($B898="","",CONCATENATE("Pozisyon: ",$B898,"/",$C898," tutar ",TEXT($D898,"#,##0.00")))</f>
        <v/>
      </c>
    </row>
    <row r="899" customFormat="false" ht="15" hidden="false" customHeight="false" outlineLevel="0" collapsed="false">
      <c r="A899" s="21"/>
      <c r="B899" s="22"/>
      <c r="C899" s="22"/>
      <c r="D899" s="23"/>
      <c r="E899" s="24"/>
      <c r="F899" s="22"/>
      <c r="G899" s="19" t="n">
        <f aca="false">IF($D899=0,0,$D899*$E899)</f>
        <v>0</v>
      </c>
      <c r="H899" s="20" t="str">
        <f aca="false">IF($B899="","",CONCATENATE("Pozisyon: ",$B899,"/",$C899," tutar ",TEXT($D899,"#,##0.00")))</f>
        <v/>
      </c>
    </row>
    <row r="900" customFormat="false" ht="15" hidden="false" customHeight="false" outlineLevel="0" collapsed="false">
      <c r="A900" s="21"/>
      <c r="B900" s="22"/>
      <c r="C900" s="22"/>
      <c r="D900" s="23"/>
      <c r="E900" s="24"/>
      <c r="F900" s="22"/>
      <c r="G900" s="19" t="n">
        <f aca="false">IF($D900=0,0,$D900*$E900)</f>
        <v>0</v>
      </c>
      <c r="H900" s="20" t="str">
        <f aca="false">IF($B900="","",CONCATENATE("Pozisyon: ",$B900,"/",$C900," tutar ",TEXT($D900,"#,##0.00")))</f>
        <v/>
      </c>
    </row>
    <row r="901" customFormat="false" ht="15" hidden="false" customHeight="false" outlineLevel="0" collapsed="false">
      <c r="A901" s="21"/>
      <c r="B901" s="22"/>
      <c r="C901" s="22"/>
      <c r="D901" s="23"/>
      <c r="E901" s="24"/>
      <c r="F901" s="22"/>
      <c r="G901" s="19" t="n">
        <f aca="false">IF($D901=0,0,$D901*$E901)</f>
        <v>0</v>
      </c>
      <c r="H901" s="20" t="str">
        <f aca="false">IF($B901="","",CONCATENATE("Pozisyon: ",$B901,"/",$C901," tutar ",TEXT($D901,"#,##0.00")))</f>
        <v/>
      </c>
    </row>
    <row r="902" customFormat="false" ht="15" hidden="false" customHeight="false" outlineLevel="0" collapsed="false">
      <c r="A902" s="21"/>
      <c r="B902" s="22"/>
      <c r="C902" s="22"/>
      <c r="D902" s="23"/>
      <c r="E902" s="24"/>
      <c r="F902" s="22"/>
      <c r="G902" s="19" t="n">
        <f aca="false">IF($D902=0,0,$D902*$E902)</f>
        <v>0</v>
      </c>
      <c r="H902" s="20" t="str">
        <f aca="false">IF($B902="","",CONCATENATE("Pozisyon: ",$B902,"/",$C902," tutar ",TEXT($D902,"#,##0.00")))</f>
        <v/>
      </c>
    </row>
    <row r="903" customFormat="false" ht="15" hidden="false" customHeight="false" outlineLevel="0" collapsed="false">
      <c r="A903" s="21"/>
      <c r="B903" s="22"/>
      <c r="C903" s="22"/>
      <c r="D903" s="23"/>
      <c r="E903" s="24"/>
      <c r="F903" s="22"/>
      <c r="G903" s="19" t="n">
        <f aca="false">IF($D903=0,0,$D903*$E903)</f>
        <v>0</v>
      </c>
      <c r="H903" s="20" t="str">
        <f aca="false">IF($B903="","",CONCATENATE("Pozisyon: ",$B903,"/",$C903," tutar ",TEXT($D903,"#,##0.00")))</f>
        <v/>
      </c>
    </row>
    <row r="904" customFormat="false" ht="15" hidden="false" customHeight="false" outlineLevel="0" collapsed="false">
      <c r="A904" s="21"/>
      <c r="B904" s="22"/>
      <c r="C904" s="22"/>
      <c r="D904" s="23"/>
      <c r="E904" s="24"/>
      <c r="F904" s="22"/>
      <c r="G904" s="19" t="n">
        <f aca="false">IF($D904=0,0,$D904*$E904)</f>
        <v>0</v>
      </c>
      <c r="H904" s="20" t="str">
        <f aca="false">IF($B904="","",CONCATENATE("Pozisyon: ",$B904,"/",$C904," tutar ",TEXT($D904,"#,##0.00")))</f>
        <v/>
      </c>
    </row>
    <row r="905" customFormat="false" ht="15" hidden="false" customHeight="false" outlineLevel="0" collapsed="false">
      <c r="A905" s="21"/>
      <c r="B905" s="22"/>
      <c r="C905" s="22"/>
      <c r="D905" s="23"/>
      <c r="E905" s="24"/>
      <c r="F905" s="22"/>
      <c r="G905" s="19" t="n">
        <f aca="false">IF($D905=0,0,$D905*$E905)</f>
        <v>0</v>
      </c>
      <c r="H905" s="20" t="str">
        <f aca="false">IF($B905="","",CONCATENATE("Pozisyon: ",$B905,"/",$C905," tutar ",TEXT($D905,"#,##0.00")))</f>
        <v/>
      </c>
    </row>
    <row r="906" customFormat="false" ht="15" hidden="false" customHeight="false" outlineLevel="0" collapsed="false">
      <c r="A906" s="21"/>
      <c r="B906" s="22"/>
      <c r="C906" s="22"/>
      <c r="D906" s="23"/>
      <c r="E906" s="24"/>
      <c r="F906" s="22"/>
      <c r="G906" s="19" t="n">
        <f aca="false">IF($D906=0,0,$D906*$E906)</f>
        <v>0</v>
      </c>
      <c r="H906" s="20" t="str">
        <f aca="false">IF($B906="","",CONCATENATE("Pozisyon: ",$B906,"/",$C906," tutar ",TEXT($D906,"#,##0.00")))</f>
        <v/>
      </c>
    </row>
    <row r="907" customFormat="false" ht="15" hidden="false" customHeight="false" outlineLevel="0" collapsed="false">
      <c r="A907" s="21"/>
      <c r="B907" s="22"/>
      <c r="C907" s="22"/>
      <c r="D907" s="23"/>
      <c r="E907" s="24"/>
      <c r="F907" s="22"/>
      <c r="G907" s="19" t="n">
        <f aca="false">IF($D907=0,0,$D907*$E907)</f>
        <v>0</v>
      </c>
      <c r="H907" s="20" t="str">
        <f aca="false">IF($B907="","",CONCATENATE("Pozisyon: ",$B907,"/",$C907," tutar ",TEXT($D907,"#,##0.00")))</f>
        <v/>
      </c>
    </row>
    <row r="908" customFormat="false" ht="15" hidden="false" customHeight="false" outlineLevel="0" collapsed="false">
      <c r="A908" s="21"/>
      <c r="B908" s="22"/>
      <c r="C908" s="22"/>
      <c r="D908" s="23"/>
      <c r="E908" s="24"/>
      <c r="F908" s="22"/>
      <c r="G908" s="19" t="n">
        <f aca="false">IF($D908=0,0,$D908*$E908)</f>
        <v>0</v>
      </c>
      <c r="H908" s="20" t="str">
        <f aca="false">IF($B908="","",CONCATENATE("Pozisyon: ",$B908,"/",$C908," tutar ",TEXT($D908,"#,##0.00")))</f>
        <v/>
      </c>
    </row>
    <row r="909" customFormat="false" ht="15" hidden="false" customHeight="false" outlineLevel="0" collapsed="false">
      <c r="A909" s="21"/>
      <c r="B909" s="22"/>
      <c r="C909" s="22"/>
      <c r="D909" s="23"/>
      <c r="E909" s="24"/>
      <c r="F909" s="22"/>
      <c r="G909" s="19" t="n">
        <f aca="false">IF($D909=0,0,$D909*$E909)</f>
        <v>0</v>
      </c>
      <c r="H909" s="20" t="str">
        <f aca="false">IF($B909="","",CONCATENATE("Pozisyon: ",$B909,"/",$C909," tutar ",TEXT($D909,"#,##0.00")))</f>
        <v/>
      </c>
    </row>
    <row r="910" customFormat="false" ht="15" hidden="false" customHeight="false" outlineLevel="0" collapsed="false">
      <c r="A910" s="21"/>
      <c r="B910" s="22"/>
      <c r="C910" s="22"/>
      <c r="D910" s="23"/>
      <c r="E910" s="24"/>
      <c r="F910" s="22"/>
      <c r="G910" s="19" t="n">
        <f aca="false">IF($D910=0,0,$D910*$E910)</f>
        <v>0</v>
      </c>
      <c r="H910" s="20" t="str">
        <f aca="false">IF($B910="","",CONCATENATE("Pozisyon: ",$B910,"/",$C910," tutar ",TEXT($D910,"#,##0.00")))</f>
        <v/>
      </c>
    </row>
    <row r="911" customFormat="false" ht="15" hidden="false" customHeight="false" outlineLevel="0" collapsed="false">
      <c r="A911" s="21"/>
      <c r="B911" s="22"/>
      <c r="C911" s="22"/>
      <c r="D911" s="23"/>
      <c r="E911" s="24"/>
      <c r="F911" s="22"/>
      <c r="G911" s="19" t="n">
        <f aca="false">IF($D911=0,0,$D911*$E911)</f>
        <v>0</v>
      </c>
      <c r="H911" s="20" t="str">
        <f aca="false">IF($B911="","",CONCATENATE("Pozisyon: ",$B911,"/",$C911," tutar ",TEXT($D911,"#,##0.00")))</f>
        <v/>
      </c>
    </row>
    <row r="912" customFormat="false" ht="15" hidden="false" customHeight="false" outlineLevel="0" collapsed="false">
      <c r="A912" s="21"/>
      <c r="B912" s="22"/>
      <c r="C912" s="22"/>
      <c r="D912" s="23"/>
      <c r="E912" s="24"/>
      <c r="F912" s="22"/>
      <c r="G912" s="19" t="n">
        <f aca="false">IF($D912=0,0,$D912*$E912)</f>
        <v>0</v>
      </c>
      <c r="H912" s="20" t="str">
        <f aca="false">IF($B912="","",CONCATENATE("Pozisyon: ",$B912,"/",$C912," tutar ",TEXT($D912,"#,##0.00")))</f>
        <v/>
      </c>
    </row>
    <row r="913" customFormat="false" ht="15" hidden="false" customHeight="false" outlineLevel="0" collapsed="false">
      <c r="A913" s="21"/>
      <c r="B913" s="22"/>
      <c r="C913" s="22"/>
      <c r="D913" s="23"/>
      <c r="E913" s="24"/>
      <c r="F913" s="22"/>
      <c r="G913" s="19" t="n">
        <f aca="false">IF($D913=0,0,$D913*$E913)</f>
        <v>0</v>
      </c>
      <c r="H913" s="20" t="str">
        <f aca="false">IF($B913="","",CONCATENATE("Pozisyon: ",$B913,"/",$C913," tutar ",TEXT($D913,"#,##0.00")))</f>
        <v/>
      </c>
    </row>
    <row r="914" customFormat="false" ht="15" hidden="false" customHeight="false" outlineLevel="0" collapsed="false">
      <c r="A914" s="21"/>
      <c r="B914" s="22"/>
      <c r="C914" s="22"/>
      <c r="D914" s="23"/>
      <c r="E914" s="24"/>
      <c r="F914" s="22"/>
      <c r="G914" s="19" t="n">
        <f aca="false">IF($D914=0,0,$D914*$E914)</f>
        <v>0</v>
      </c>
      <c r="H914" s="20" t="str">
        <f aca="false">IF($B914="","",CONCATENATE("Pozisyon: ",$B914,"/",$C914," tutar ",TEXT($D914,"#,##0.00")))</f>
        <v/>
      </c>
    </row>
    <row r="915" customFormat="false" ht="15" hidden="false" customHeight="false" outlineLevel="0" collapsed="false">
      <c r="A915" s="21"/>
      <c r="B915" s="22"/>
      <c r="C915" s="22"/>
      <c r="D915" s="23"/>
      <c r="E915" s="24"/>
      <c r="F915" s="22"/>
      <c r="G915" s="19" t="n">
        <f aca="false">IF($D915=0,0,$D915*$E915)</f>
        <v>0</v>
      </c>
      <c r="H915" s="20" t="str">
        <f aca="false">IF($B915="","",CONCATENATE("Pozisyon: ",$B915,"/",$C915," tutar ",TEXT($D915,"#,##0.00")))</f>
        <v/>
      </c>
    </row>
    <row r="916" customFormat="false" ht="15" hidden="false" customHeight="false" outlineLevel="0" collapsed="false">
      <c r="A916" s="21"/>
      <c r="B916" s="22"/>
      <c r="C916" s="22"/>
      <c r="D916" s="23"/>
      <c r="E916" s="24"/>
      <c r="F916" s="22"/>
      <c r="G916" s="19" t="n">
        <f aca="false">IF($D916=0,0,$D916*$E916)</f>
        <v>0</v>
      </c>
      <c r="H916" s="20" t="str">
        <f aca="false">IF($B916="","",CONCATENATE("Pozisyon: ",$B916,"/",$C916," tutar ",TEXT($D916,"#,##0.00")))</f>
        <v/>
      </c>
    </row>
    <row r="917" customFormat="false" ht="15" hidden="false" customHeight="false" outlineLevel="0" collapsed="false">
      <c r="A917" s="21"/>
      <c r="B917" s="22"/>
      <c r="C917" s="22"/>
      <c r="D917" s="23"/>
      <c r="E917" s="24"/>
      <c r="F917" s="22"/>
      <c r="G917" s="19" t="n">
        <f aca="false">IF($D917=0,0,$D917*$E917)</f>
        <v>0</v>
      </c>
      <c r="H917" s="20" t="str">
        <f aca="false">IF($B917="","",CONCATENATE("Pozisyon: ",$B917,"/",$C917," tutar ",TEXT($D917,"#,##0.00")))</f>
        <v/>
      </c>
    </row>
    <row r="918" customFormat="false" ht="15" hidden="false" customHeight="false" outlineLevel="0" collapsed="false">
      <c r="A918" s="21"/>
      <c r="B918" s="22"/>
      <c r="C918" s="22"/>
      <c r="D918" s="23"/>
      <c r="E918" s="24"/>
      <c r="F918" s="22"/>
      <c r="G918" s="19" t="n">
        <f aca="false">IF($D918=0,0,$D918*$E918)</f>
        <v>0</v>
      </c>
      <c r="H918" s="20" t="str">
        <f aca="false">IF($B918="","",CONCATENATE("Pozisyon: ",$B918,"/",$C918," tutar ",TEXT($D918,"#,##0.00")))</f>
        <v/>
      </c>
    </row>
    <row r="919" customFormat="false" ht="15" hidden="false" customHeight="false" outlineLevel="0" collapsed="false">
      <c r="A919" s="21"/>
      <c r="B919" s="22"/>
      <c r="C919" s="22"/>
      <c r="D919" s="23"/>
      <c r="E919" s="24"/>
      <c r="F919" s="22"/>
      <c r="G919" s="19" t="n">
        <f aca="false">IF($D919=0,0,$D919*$E919)</f>
        <v>0</v>
      </c>
      <c r="H919" s="20" t="str">
        <f aca="false">IF($B919="","",CONCATENATE("Pozisyon: ",$B919,"/",$C919," tutar ",TEXT($D919,"#,##0.00")))</f>
        <v/>
      </c>
    </row>
    <row r="920" customFormat="false" ht="15" hidden="false" customHeight="false" outlineLevel="0" collapsed="false">
      <c r="A920" s="21"/>
      <c r="B920" s="22"/>
      <c r="C920" s="22"/>
      <c r="D920" s="23"/>
      <c r="E920" s="24"/>
      <c r="F920" s="22"/>
      <c r="G920" s="19" t="n">
        <f aca="false">IF($D920=0,0,$D920*$E920)</f>
        <v>0</v>
      </c>
      <c r="H920" s="20" t="str">
        <f aca="false">IF($B920="","",CONCATENATE("Pozisyon: ",$B920,"/",$C920," tutar ",TEXT($D920,"#,##0.00")))</f>
        <v/>
      </c>
    </row>
    <row r="921" customFormat="false" ht="15" hidden="false" customHeight="false" outlineLevel="0" collapsed="false">
      <c r="A921" s="21"/>
      <c r="B921" s="22"/>
      <c r="C921" s="22"/>
      <c r="D921" s="23"/>
      <c r="E921" s="24"/>
      <c r="F921" s="22"/>
      <c r="G921" s="19" t="n">
        <f aca="false">IF($D921=0,0,$D921*$E921)</f>
        <v>0</v>
      </c>
      <c r="H921" s="20" t="str">
        <f aca="false">IF($B921="","",CONCATENATE("Pozisyon: ",$B921,"/",$C921," tutar ",TEXT($D921,"#,##0.00")))</f>
        <v/>
      </c>
    </row>
    <row r="922" customFormat="false" ht="15" hidden="false" customHeight="false" outlineLevel="0" collapsed="false">
      <c r="A922" s="21"/>
      <c r="B922" s="22"/>
      <c r="C922" s="22"/>
      <c r="D922" s="23"/>
      <c r="E922" s="24"/>
      <c r="F922" s="22"/>
      <c r="G922" s="19" t="n">
        <f aca="false">IF($D922=0,0,$D922*$E922)</f>
        <v>0</v>
      </c>
      <c r="H922" s="20" t="str">
        <f aca="false">IF($B922="","",CONCATENATE("Pozisyon: ",$B922,"/",$C922," tutar ",TEXT($D922,"#,##0.00")))</f>
        <v/>
      </c>
    </row>
    <row r="923" customFormat="false" ht="15" hidden="false" customHeight="false" outlineLevel="0" collapsed="false">
      <c r="A923" s="21"/>
      <c r="B923" s="22"/>
      <c r="C923" s="22"/>
      <c r="D923" s="23"/>
      <c r="E923" s="24"/>
      <c r="F923" s="22"/>
      <c r="G923" s="19" t="n">
        <f aca="false">IF($D923=0,0,$D923*$E923)</f>
        <v>0</v>
      </c>
      <c r="H923" s="20" t="str">
        <f aca="false">IF($B923="","",CONCATENATE("Pozisyon: ",$B923,"/",$C923," tutar ",TEXT($D923,"#,##0.00")))</f>
        <v/>
      </c>
    </row>
    <row r="924" customFormat="false" ht="15" hidden="false" customHeight="false" outlineLevel="0" collapsed="false">
      <c r="A924" s="21"/>
      <c r="B924" s="22"/>
      <c r="C924" s="22"/>
      <c r="D924" s="23"/>
      <c r="E924" s="24"/>
      <c r="F924" s="22"/>
      <c r="G924" s="19" t="n">
        <f aca="false">IF($D924=0,0,$D924*$E924)</f>
        <v>0</v>
      </c>
      <c r="H924" s="20" t="str">
        <f aca="false">IF($B924="","",CONCATENATE("Pozisyon: ",$B924,"/",$C924," tutar ",TEXT($D924,"#,##0.00")))</f>
        <v/>
      </c>
    </row>
    <row r="925" customFormat="false" ht="15" hidden="false" customHeight="false" outlineLevel="0" collapsed="false">
      <c r="A925" s="21"/>
      <c r="B925" s="22"/>
      <c r="C925" s="22"/>
      <c r="D925" s="23"/>
      <c r="E925" s="24"/>
      <c r="F925" s="22"/>
      <c r="G925" s="19" t="n">
        <f aca="false">IF($D925=0,0,$D925*$E925)</f>
        <v>0</v>
      </c>
      <c r="H925" s="20" t="str">
        <f aca="false">IF($B925="","",CONCATENATE("Pozisyon: ",$B925,"/",$C925," tutar ",TEXT($D925,"#,##0.00")))</f>
        <v/>
      </c>
    </row>
    <row r="926" customFormat="false" ht="15" hidden="false" customHeight="false" outlineLevel="0" collapsed="false">
      <c r="A926" s="21"/>
      <c r="B926" s="22"/>
      <c r="C926" s="22"/>
      <c r="D926" s="23"/>
      <c r="E926" s="24"/>
      <c r="F926" s="22"/>
      <c r="G926" s="19" t="n">
        <f aca="false">IF($D926=0,0,$D926*$E926)</f>
        <v>0</v>
      </c>
      <c r="H926" s="20" t="str">
        <f aca="false">IF($B926="","",CONCATENATE("Pozisyon: ",$B926,"/",$C926," tutar ",TEXT($D926,"#,##0.00")))</f>
        <v/>
      </c>
    </row>
    <row r="927" customFormat="false" ht="15" hidden="false" customHeight="false" outlineLevel="0" collapsed="false">
      <c r="A927" s="21"/>
      <c r="B927" s="22"/>
      <c r="C927" s="22"/>
      <c r="D927" s="23"/>
      <c r="E927" s="24"/>
      <c r="F927" s="22"/>
      <c r="G927" s="19" t="n">
        <f aca="false">IF($D927=0,0,$D927*$E927)</f>
        <v>0</v>
      </c>
      <c r="H927" s="20" t="str">
        <f aca="false">IF($B927="","",CONCATENATE("Pozisyon: ",$B927,"/",$C927," tutar ",TEXT($D927,"#,##0.00")))</f>
        <v/>
      </c>
    </row>
    <row r="928" customFormat="false" ht="15" hidden="false" customHeight="false" outlineLevel="0" collapsed="false">
      <c r="A928" s="21"/>
      <c r="B928" s="22"/>
      <c r="C928" s="22"/>
      <c r="D928" s="23"/>
      <c r="E928" s="24"/>
      <c r="F928" s="22"/>
      <c r="G928" s="19" t="n">
        <f aca="false">IF($D928=0,0,$D928*$E928)</f>
        <v>0</v>
      </c>
      <c r="H928" s="20" t="str">
        <f aca="false">IF($B928="","",CONCATENATE("Pozisyon: ",$B928,"/",$C928," tutar ",TEXT($D928,"#,##0.00")))</f>
        <v/>
      </c>
    </row>
    <row r="929" customFormat="false" ht="15" hidden="false" customHeight="false" outlineLevel="0" collapsed="false">
      <c r="A929" s="21"/>
      <c r="B929" s="22"/>
      <c r="C929" s="22"/>
      <c r="D929" s="23"/>
      <c r="E929" s="24"/>
      <c r="F929" s="22"/>
      <c r="G929" s="19" t="n">
        <f aca="false">IF($D929=0,0,$D929*$E929)</f>
        <v>0</v>
      </c>
      <c r="H929" s="20" t="str">
        <f aca="false">IF($B929="","",CONCATENATE("Pozisyon: ",$B929,"/",$C929," tutar ",TEXT($D929,"#,##0.00")))</f>
        <v/>
      </c>
    </row>
    <row r="930" customFormat="false" ht="15" hidden="false" customHeight="false" outlineLevel="0" collapsed="false">
      <c r="A930" s="21"/>
      <c r="B930" s="22"/>
      <c r="C930" s="22"/>
      <c r="D930" s="23"/>
      <c r="E930" s="24"/>
      <c r="F930" s="22"/>
      <c r="G930" s="19" t="n">
        <f aca="false">IF($D930=0,0,$D930*$E930)</f>
        <v>0</v>
      </c>
      <c r="H930" s="20" t="str">
        <f aca="false">IF($B930="","",CONCATENATE("Pozisyon: ",$B930,"/",$C930," tutar ",TEXT($D930,"#,##0.00")))</f>
        <v/>
      </c>
    </row>
    <row r="931" customFormat="false" ht="15" hidden="false" customHeight="false" outlineLevel="0" collapsed="false">
      <c r="A931" s="21"/>
      <c r="B931" s="22"/>
      <c r="C931" s="22"/>
      <c r="D931" s="23"/>
      <c r="E931" s="24"/>
      <c r="F931" s="22"/>
      <c r="G931" s="19" t="n">
        <f aca="false">IF($D931=0,0,$D931*$E931)</f>
        <v>0</v>
      </c>
      <c r="H931" s="20" t="str">
        <f aca="false">IF($B931="","",CONCATENATE("Pozisyon: ",$B931,"/",$C931," tutar ",TEXT($D931,"#,##0.00")))</f>
        <v/>
      </c>
    </row>
    <row r="932" customFormat="false" ht="15" hidden="false" customHeight="false" outlineLevel="0" collapsed="false">
      <c r="A932" s="21"/>
      <c r="B932" s="22"/>
      <c r="C932" s="22"/>
      <c r="D932" s="23"/>
      <c r="E932" s="24"/>
      <c r="F932" s="22"/>
      <c r="G932" s="19" t="n">
        <f aca="false">IF($D932=0,0,$D932*$E932)</f>
        <v>0</v>
      </c>
      <c r="H932" s="20" t="str">
        <f aca="false">IF($B932="","",CONCATENATE("Pozisyon: ",$B932,"/",$C932," tutar ",TEXT($D932,"#,##0.00")))</f>
        <v/>
      </c>
    </row>
    <row r="933" customFormat="false" ht="15" hidden="false" customHeight="false" outlineLevel="0" collapsed="false">
      <c r="A933" s="21"/>
      <c r="B933" s="22"/>
      <c r="C933" s="22"/>
      <c r="D933" s="23"/>
      <c r="E933" s="24"/>
      <c r="F933" s="22"/>
      <c r="G933" s="19" t="n">
        <f aca="false">IF($D933=0,0,$D933*$E933)</f>
        <v>0</v>
      </c>
      <c r="H933" s="20" t="str">
        <f aca="false">IF($B933="","",CONCATENATE("Pozisyon: ",$B933,"/",$C933," tutar ",TEXT($D933,"#,##0.00")))</f>
        <v/>
      </c>
    </row>
    <row r="934" customFormat="false" ht="15" hidden="false" customHeight="false" outlineLevel="0" collapsed="false">
      <c r="A934" s="21"/>
      <c r="B934" s="22"/>
      <c r="C934" s="22"/>
      <c r="D934" s="23"/>
      <c r="E934" s="24"/>
      <c r="F934" s="22"/>
      <c r="G934" s="19" t="n">
        <f aca="false">IF($D934=0,0,$D934*$E934)</f>
        <v>0</v>
      </c>
      <c r="H934" s="20" t="str">
        <f aca="false">IF($B934="","",CONCATENATE("Pozisyon: ",$B934,"/",$C934," tutar ",TEXT($D934,"#,##0.00")))</f>
        <v/>
      </c>
    </row>
    <row r="935" customFormat="false" ht="15" hidden="false" customHeight="false" outlineLevel="0" collapsed="false">
      <c r="A935" s="21"/>
      <c r="B935" s="22"/>
      <c r="C935" s="22"/>
      <c r="D935" s="23"/>
      <c r="E935" s="24"/>
      <c r="F935" s="22"/>
      <c r="G935" s="19" t="n">
        <f aca="false">IF($D935=0,0,$D935*$E935)</f>
        <v>0</v>
      </c>
      <c r="H935" s="20" t="str">
        <f aca="false">IF($B935="","",CONCATENATE("Pozisyon: ",$B935,"/",$C935," tutar ",TEXT($D935,"#,##0.00")))</f>
        <v/>
      </c>
    </row>
    <row r="936" customFormat="false" ht="15" hidden="false" customHeight="false" outlineLevel="0" collapsed="false">
      <c r="A936" s="21"/>
      <c r="B936" s="22"/>
      <c r="C936" s="22"/>
      <c r="D936" s="23"/>
      <c r="E936" s="24"/>
      <c r="F936" s="22"/>
      <c r="G936" s="19" t="n">
        <f aca="false">IF($D936=0,0,$D936*$E936)</f>
        <v>0</v>
      </c>
      <c r="H936" s="20" t="str">
        <f aca="false">IF($B936="","",CONCATENATE("Pozisyon: ",$B936,"/",$C936," tutar ",TEXT($D936,"#,##0.00")))</f>
        <v/>
      </c>
    </row>
    <row r="937" customFormat="false" ht="15" hidden="false" customHeight="false" outlineLevel="0" collapsed="false">
      <c r="A937" s="21"/>
      <c r="B937" s="22"/>
      <c r="C937" s="22"/>
      <c r="D937" s="23"/>
      <c r="E937" s="24"/>
      <c r="F937" s="22"/>
      <c r="G937" s="19" t="n">
        <f aca="false">IF($D937=0,0,$D937*$E937)</f>
        <v>0</v>
      </c>
      <c r="H937" s="20" t="str">
        <f aca="false">IF($B937="","",CONCATENATE("Pozisyon: ",$B937,"/",$C937," tutar ",TEXT($D937,"#,##0.00")))</f>
        <v/>
      </c>
    </row>
    <row r="938" customFormat="false" ht="15" hidden="false" customHeight="false" outlineLevel="0" collapsed="false">
      <c r="A938" s="21"/>
      <c r="B938" s="22"/>
      <c r="C938" s="22"/>
      <c r="D938" s="23"/>
      <c r="E938" s="24"/>
      <c r="F938" s="22"/>
      <c r="G938" s="19" t="n">
        <f aca="false">IF($D938=0,0,$D938*$E938)</f>
        <v>0</v>
      </c>
      <c r="H938" s="20" t="str">
        <f aca="false">IF($B938="","",CONCATENATE("Pozisyon: ",$B938,"/",$C938," tutar ",TEXT($D938,"#,##0.00")))</f>
        <v/>
      </c>
    </row>
    <row r="939" customFormat="false" ht="15" hidden="false" customHeight="false" outlineLevel="0" collapsed="false">
      <c r="A939" s="21"/>
      <c r="B939" s="22"/>
      <c r="C939" s="22"/>
      <c r="D939" s="23"/>
      <c r="E939" s="24"/>
      <c r="F939" s="22"/>
      <c r="G939" s="19" t="n">
        <f aca="false">IF($D939=0,0,$D939*$E939)</f>
        <v>0</v>
      </c>
      <c r="H939" s="20" t="str">
        <f aca="false">IF($B939="","",CONCATENATE("Pozisyon: ",$B939,"/",$C939," tutar ",TEXT($D939,"#,##0.00")))</f>
        <v/>
      </c>
    </row>
    <row r="940" customFormat="false" ht="15" hidden="false" customHeight="false" outlineLevel="0" collapsed="false">
      <c r="A940" s="21"/>
      <c r="B940" s="22"/>
      <c r="C940" s="22"/>
      <c r="D940" s="23"/>
      <c r="E940" s="24"/>
      <c r="F940" s="22"/>
      <c r="G940" s="19" t="n">
        <f aca="false">IF($D940=0,0,$D940*$E940)</f>
        <v>0</v>
      </c>
      <c r="H940" s="20" t="str">
        <f aca="false">IF($B940="","",CONCATENATE("Pozisyon: ",$B940,"/",$C940," tutar ",TEXT($D940,"#,##0.00")))</f>
        <v/>
      </c>
    </row>
    <row r="941" customFormat="false" ht="15" hidden="false" customHeight="false" outlineLevel="0" collapsed="false">
      <c r="A941" s="21"/>
      <c r="B941" s="22"/>
      <c r="C941" s="22"/>
      <c r="D941" s="23"/>
      <c r="E941" s="24"/>
      <c r="F941" s="22"/>
      <c r="G941" s="19" t="n">
        <f aca="false">IF($D941=0,0,$D941*$E941)</f>
        <v>0</v>
      </c>
      <c r="H941" s="20" t="str">
        <f aca="false">IF($B941="","",CONCATENATE("Pozisyon: ",$B941,"/",$C941," tutar ",TEXT($D941,"#,##0.00")))</f>
        <v/>
      </c>
    </row>
    <row r="942" customFormat="false" ht="15" hidden="false" customHeight="false" outlineLevel="0" collapsed="false">
      <c r="A942" s="21"/>
      <c r="B942" s="22"/>
      <c r="C942" s="22"/>
      <c r="D942" s="23"/>
      <c r="E942" s="24"/>
      <c r="F942" s="22"/>
      <c r="G942" s="19" t="n">
        <f aca="false">IF($D942=0,0,$D942*$E942)</f>
        <v>0</v>
      </c>
      <c r="H942" s="20" t="str">
        <f aca="false">IF($B942="","",CONCATENATE("Pozisyon: ",$B942,"/",$C942," tutar ",TEXT($D942,"#,##0.00")))</f>
        <v/>
      </c>
    </row>
    <row r="943" customFormat="false" ht="15" hidden="false" customHeight="false" outlineLevel="0" collapsed="false">
      <c r="A943" s="21"/>
      <c r="B943" s="22"/>
      <c r="C943" s="22"/>
      <c r="D943" s="23"/>
      <c r="E943" s="24"/>
      <c r="F943" s="22"/>
      <c r="G943" s="19" t="n">
        <f aca="false">IF($D943=0,0,$D943*$E943)</f>
        <v>0</v>
      </c>
      <c r="H943" s="20" t="str">
        <f aca="false">IF($B943="","",CONCATENATE("Pozisyon: ",$B943,"/",$C943," tutar ",TEXT($D943,"#,##0.00")))</f>
        <v/>
      </c>
    </row>
    <row r="944" customFormat="false" ht="15" hidden="false" customHeight="false" outlineLevel="0" collapsed="false">
      <c r="A944" s="21"/>
      <c r="B944" s="22"/>
      <c r="C944" s="22"/>
      <c r="D944" s="23"/>
      <c r="E944" s="24"/>
      <c r="F944" s="22"/>
      <c r="G944" s="19" t="n">
        <f aca="false">IF($D944=0,0,$D944*$E944)</f>
        <v>0</v>
      </c>
      <c r="H944" s="20" t="str">
        <f aca="false">IF($B944="","",CONCATENATE("Pozisyon: ",$B944,"/",$C944," tutar ",TEXT($D944,"#,##0.00")))</f>
        <v/>
      </c>
    </row>
    <row r="945" customFormat="false" ht="15" hidden="false" customHeight="false" outlineLevel="0" collapsed="false">
      <c r="A945" s="21"/>
      <c r="B945" s="22"/>
      <c r="C945" s="22"/>
      <c r="D945" s="23"/>
      <c r="E945" s="24"/>
      <c r="F945" s="22"/>
      <c r="G945" s="19" t="n">
        <f aca="false">IF($D945=0,0,$D945*$E945)</f>
        <v>0</v>
      </c>
      <c r="H945" s="20" t="str">
        <f aca="false">IF($B945="","",CONCATENATE("Pozisyon: ",$B945,"/",$C945," tutar ",TEXT($D945,"#,##0.00")))</f>
        <v/>
      </c>
    </row>
    <row r="946" customFormat="false" ht="15" hidden="false" customHeight="false" outlineLevel="0" collapsed="false">
      <c r="A946" s="21"/>
      <c r="B946" s="22"/>
      <c r="C946" s="22"/>
      <c r="D946" s="23"/>
      <c r="E946" s="24"/>
      <c r="F946" s="22"/>
      <c r="G946" s="19" t="n">
        <f aca="false">IF($D946=0,0,$D946*$E946)</f>
        <v>0</v>
      </c>
      <c r="H946" s="20" t="str">
        <f aca="false">IF($B946="","",CONCATENATE("Pozisyon: ",$B946,"/",$C946," tutar ",TEXT($D946,"#,##0.00")))</f>
        <v/>
      </c>
    </row>
    <row r="947" customFormat="false" ht="15" hidden="false" customHeight="false" outlineLevel="0" collapsed="false">
      <c r="A947" s="21"/>
      <c r="B947" s="22"/>
      <c r="C947" s="22"/>
      <c r="D947" s="23"/>
      <c r="E947" s="24"/>
      <c r="F947" s="22"/>
      <c r="G947" s="19" t="n">
        <f aca="false">IF($D947=0,0,$D947*$E947)</f>
        <v>0</v>
      </c>
      <c r="H947" s="20" t="str">
        <f aca="false">IF($B947="","",CONCATENATE("Pozisyon: ",$B947,"/",$C947," tutar ",TEXT($D947,"#,##0.00")))</f>
        <v/>
      </c>
    </row>
    <row r="948" customFormat="false" ht="15" hidden="false" customHeight="false" outlineLevel="0" collapsed="false">
      <c r="A948" s="21"/>
      <c r="B948" s="22"/>
      <c r="C948" s="22"/>
      <c r="D948" s="23"/>
      <c r="E948" s="24"/>
      <c r="F948" s="22"/>
      <c r="G948" s="19" t="n">
        <f aca="false">IF($D948=0,0,$D948*$E948)</f>
        <v>0</v>
      </c>
      <c r="H948" s="20" t="str">
        <f aca="false">IF($B948="","",CONCATENATE("Pozisyon: ",$B948,"/",$C948," tutar ",TEXT($D948,"#,##0.00")))</f>
        <v/>
      </c>
    </row>
    <row r="949" customFormat="false" ht="15" hidden="false" customHeight="false" outlineLevel="0" collapsed="false">
      <c r="A949" s="21"/>
      <c r="B949" s="22"/>
      <c r="C949" s="22"/>
      <c r="D949" s="23"/>
      <c r="E949" s="24"/>
      <c r="F949" s="22"/>
      <c r="G949" s="19" t="n">
        <f aca="false">IF($D949=0,0,$D949*$E949)</f>
        <v>0</v>
      </c>
      <c r="H949" s="20" t="str">
        <f aca="false">IF($B949="","",CONCATENATE("Pozisyon: ",$B949,"/",$C949," tutar ",TEXT($D949,"#,##0.00")))</f>
        <v/>
      </c>
    </row>
    <row r="950" customFormat="false" ht="15" hidden="false" customHeight="false" outlineLevel="0" collapsed="false">
      <c r="A950" s="21"/>
      <c r="B950" s="22"/>
      <c r="C950" s="22"/>
      <c r="D950" s="23"/>
      <c r="E950" s="24"/>
      <c r="F950" s="22"/>
      <c r="G950" s="19" t="n">
        <f aca="false">IF($D950=0,0,$D950*$E950)</f>
        <v>0</v>
      </c>
      <c r="H950" s="20" t="str">
        <f aca="false">IF($B950="","",CONCATENATE("Pozisyon: ",$B950,"/",$C950," tutar ",TEXT($D950,"#,##0.00")))</f>
        <v/>
      </c>
    </row>
    <row r="951" customFormat="false" ht="15" hidden="false" customHeight="false" outlineLevel="0" collapsed="false">
      <c r="A951" s="21"/>
      <c r="B951" s="22"/>
      <c r="C951" s="22"/>
      <c r="D951" s="23"/>
      <c r="E951" s="24"/>
      <c r="F951" s="22"/>
      <c r="G951" s="19" t="n">
        <f aca="false">IF($D951=0,0,$D951*$E951)</f>
        <v>0</v>
      </c>
      <c r="H951" s="20" t="str">
        <f aca="false">IF($B951="","",CONCATENATE("Pozisyon: ",$B951,"/",$C951," tutar ",TEXT($D951,"#,##0.00")))</f>
        <v/>
      </c>
    </row>
    <row r="952" customFormat="false" ht="15" hidden="false" customHeight="false" outlineLevel="0" collapsed="false">
      <c r="A952" s="21"/>
      <c r="B952" s="22"/>
      <c r="C952" s="22"/>
      <c r="D952" s="23"/>
      <c r="E952" s="24"/>
      <c r="F952" s="22"/>
      <c r="G952" s="19" t="n">
        <f aca="false">IF($D952=0,0,$D952*$E952)</f>
        <v>0</v>
      </c>
      <c r="H952" s="20" t="str">
        <f aca="false">IF($B952="","",CONCATENATE("Pozisyon: ",$B952,"/",$C952," tutar ",TEXT($D952,"#,##0.00")))</f>
        <v/>
      </c>
    </row>
    <row r="953" customFormat="false" ht="15" hidden="false" customHeight="false" outlineLevel="0" collapsed="false">
      <c r="A953" s="21"/>
      <c r="B953" s="22"/>
      <c r="C953" s="22"/>
      <c r="D953" s="23"/>
      <c r="E953" s="24"/>
      <c r="F953" s="22"/>
      <c r="G953" s="19" t="n">
        <f aca="false">IF($D953=0,0,$D953*$E953)</f>
        <v>0</v>
      </c>
      <c r="H953" s="20" t="str">
        <f aca="false">IF($B953="","",CONCATENATE("Pozisyon: ",$B953,"/",$C953," tutar ",TEXT($D953,"#,##0.00")))</f>
        <v/>
      </c>
    </row>
    <row r="954" customFormat="false" ht="15" hidden="false" customHeight="false" outlineLevel="0" collapsed="false">
      <c r="A954" s="21"/>
      <c r="B954" s="22"/>
      <c r="C954" s="22"/>
      <c r="D954" s="23"/>
      <c r="E954" s="24"/>
      <c r="F954" s="22"/>
      <c r="G954" s="19" t="n">
        <f aca="false">IF($D954=0,0,$D954*$E954)</f>
        <v>0</v>
      </c>
      <c r="H954" s="20" t="str">
        <f aca="false">IF($B954="","",CONCATENATE("Pozisyon: ",$B954,"/",$C954," tutar ",TEXT($D954,"#,##0.00")))</f>
        <v/>
      </c>
    </row>
    <row r="955" customFormat="false" ht="15" hidden="false" customHeight="false" outlineLevel="0" collapsed="false">
      <c r="A955" s="21"/>
      <c r="B955" s="22"/>
      <c r="C955" s="22"/>
      <c r="D955" s="23"/>
      <c r="E955" s="24"/>
      <c r="F955" s="22"/>
      <c r="G955" s="19" t="n">
        <f aca="false">IF($D955=0,0,$D955*$E955)</f>
        <v>0</v>
      </c>
      <c r="H955" s="20" t="str">
        <f aca="false">IF($B955="","",CONCATENATE("Pozisyon: ",$B955,"/",$C955," tutar ",TEXT($D955,"#,##0.00")))</f>
        <v/>
      </c>
    </row>
    <row r="956" customFormat="false" ht="15" hidden="false" customHeight="false" outlineLevel="0" collapsed="false">
      <c r="A956" s="21"/>
      <c r="B956" s="22"/>
      <c r="C956" s="22"/>
      <c r="D956" s="23"/>
      <c r="E956" s="24"/>
      <c r="F956" s="22"/>
      <c r="G956" s="19" t="n">
        <f aca="false">IF($D956=0,0,$D956*$E956)</f>
        <v>0</v>
      </c>
      <c r="H956" s="20" t="str">
        <f aca="false">IF($B956="","",CONCATENATE("Pozisyon: ",$B956,"/",$C956," tutar ",TEXT($D956,"#,##0.00")))</f>
        <v/>
      </c>
    </row>
    <row r="957" customFormat="false" ht="15" hidden="false" customHeight="false" outlineLevel="0" collapsed="false">
      <c r="A957" s="21"/>
      <c r="B957" s="22"/>
      <c r="C957" s="22"/>
      <c r="D957" s="23"/>
      <c r="E957" s="24"/>
      <c r="F957" s="22"/>
      <c r="G957" s="19" t="n">
        <f aca="false">IF($D957=0,0,$D957*$E957)</f>
        <v>0</v>
      </c>
      <c r="H957" s="20" t="str">
        <f aca="false">IF($B957="","",CONCATENATE("Pozisyon: ",$B957,"/",$C957," tutar ",TEXT($D957,"#,##0.00")))</f>
        <v/>
      </c>
    </row>
    <row r="958" customFormat="false" ht="15" hidden="false" customHeight="false" outlineLevel="0" collapsed="false">
      <c r="A958" s="21"/>
      <c r="B958" s="22"/>
      <c r="C958" s="22"/>
      <c r="D958" s="23"/>
      <c r="E958" s="24"/>
      <c r="F958" s="22"/>
      <c r="G958" s="19" t="n">
        <f aca="false">IF($D958=0,0,$D958*$E958)</f>
        <v>0</v>
      </c>
      <c r="H958" s="20" t="str">
        <f aca="false">IF($B958="","",CONCATENATE("Pozisyon: ",$B958,"/",$C958," tutar ",TEXT($D958,"#,##0.00")))</f>
        <v/>
      </c>
    </row>
    <row r="959" customFormat="false" ht="15" hidden="false" customHeight="false" outlineLevel="0" collapsed="false">
      <c r="A959" s="21"/>
      <c r="B959" s="22"/>
      <c r="C959" s="22"/>
      <c r="D959" s="23"/>
      <c r="E959" s="24"/>
      <c r="F959" s="22"/>
      <c r="G959" s="19" t="n">
        <f aca="false">IF($D959=0,0,$D959*$E959)</f>
        <v>0</v>
      </c>
      <c r="H959" s="20" t="str">
        <f aca="false">IF($B959="","",CONCATENATE("Pozisyon: ",$B959,"/",$C959," tutar ",TEXT($D959,"#,##0.00")))</f>
        <v/>
      </c>
    </row>
    <row r="960" customFormat="false" ht="15" hidden="false" customHeight="false" outlineLevel="0" collapsed="false">
      <c r="A960" s="21"/>
      <c r="B960" s="22"/>
      <c r="C960" s="22"/>
      <c r="D960" s="23"/>
      <c r="E960" s="24"/>
      <c r="F960" s="22"/>
      <c r="G960" s="19" t="n">
        <f aca="false">IF($D960=0,0,$D960*$E960)</f>
        <v>0</v>
      </c>
      <c r="H960" s="20" t="str">
        <f aca="false">IF($B960="","",CONCATENATE("Pozisyon: ",$B960,"/",$C960," tutar ",TEXT($D960,"#,##0.00")))</f>
        <v/>
      </c>
    </row>
    <row r="961" customFormat="false" ht="15" hidden="false" customHeight="false" outlineLevel="0" collapsed="false">
      <c r="A961" s="21"/>
      <c r="B961" s="22"/>
      <c r="C961" s="22"/>
      <c r="D961" s="23"/>
      <c r="E961" s="24"/>
      <c r="F961" s="22"/>
      <c r="G961" s="19" t="n">
        <f aca="false">IF($D961=0,0,$D961*$E961)</f>
        <v>0</v>
      </c>
      <c r="H961" s="20" t="str">
        <f aca="false">IF($B961="","",CONCATENATE("Pozisyon: ",$B961,"/",$C961," tutar ",TEXT($D961,"#,##0.00")))</f>
        <v/>
      </c>
    </row>
    <row r="962" customFormat="false" ht="15" hidden="false" customHeight="false" outlineLevel="0" collapsed="false">
      <c r="A962" s="21"/>
      <c r="B962" s="22"/>
      <c r="C962" s="22"/>
      <c r="D962" s="23"/>
      <c r="E962" s="24"/>
      <c r="F962" s="22"/>
      <c r="G962" s="19" t="n">
        <f aca="false">IF($D962=0,0,$D962*$E962)</f>
        <v>0</v>
      </c>
      <c r="H962" s="20" t="str">
        <f aca="false">IF($B962="","",CONCATENATE("Pozisyon: ",$B962,"/",$C962," tutar ",TEXT($D962,"#,##0.00")))</f>
        <v/>
      </c>
    </row>
    <row r="963" customFormat="false" ht="15" hidden="false" customHeight="false" outlineLevel="0" collapsed="false">
      <c r="A963" s="21"/>
      <c r="B963" s="22"/>
      <c r="C963" s="22"/>
      <c r="D963" s="23"/>
      <c r="E963" s="24"/>
      <c r="F963" s="22"/>
      <c r="G963" s="19" t="n">
        <f aca="false">IF($D963=0,0,$D963*$E963)</f>
        <v>0</v>
      </c>
      <c r="H963" s="20" t="str">
        <f aca="false">IF($B963="","",CONCATENATE("Pozisyon: ",$B963,"/",$C963," tutar ",TEXT($D963,"#,##0.00")))</f>
        <v/>
      </c>
    </row>
    <row r="964" customFormat="false" ht="15" hidden="false" customHeight="false" outlineLevel="0" collapsed="false">
      <c r="A964" s="21"/>
      <c r="B964" s="22"/>
      <c r="C964" s="22"/>
      <c r="D964" s="23"/>
      <c r="E964" s="24"/>
      <c r="F964" s="22"/>
      <c r="G964" s="19" t="n">
        <f aca="false">IF($D964=0,0,$D964*$E964)</f>
        <v>0</v>
      </c>
      <c r="H964" s="20" t="str">
        <f aca="false">IF($B964="","",CONCATENATE("Pozisyon: ",$B964,"/",$C964," tutar ",TEXT($D964,"#,##0.00")))</f>
        <v/>
      </c>
    </row>
    <row r="965" customFormat="false" ht="15" hidden="false" customHeight="false" outlineLevel="0" collapsed="false">
      <c r="A965" s="21"/>
      <c r="B965" s="22"/>
      <c r="C965" s="22"/>
      <c r="D965" s="23"/>
      <c r="E965" s="24"/>
      <c r="F965" s="22"/>
      <c r="G965" s="19" t="n">
        <f aca="false">IF($D965=0,0,$D965*$E965)</f>
        <v>0</v>
      </c>
      <c r="H965" s="20" t="str">
        <f aca="false">IF($B965="","",CONCATENATE("Pozisyon: ",$B965,"/",$C965," tutar ",TEXT($D965,"#,##0.00")))</f>
        <v/>
      </c>
    </row>
    <row r="966" customFormat="false" ht="15" hidden="false" customHeight="false" outlineLevel="0" collapsed="false">
      <c r="A966" s="21"/>
      <c r="B966" s="22"/>
      <c r="C966" s="22"/>
      <c r="D966" s="23"/>
      <c r="E966" s="24"/>
      <c r="F966" s="22"/>
      <c r="G966" s="19" t="n">
        <f aca="false">IF($D966=0,0,$D966*$E966)</f>
        <v>0</v>
      </c>
      <c r="H966" s="20" t="str">
        <f aca="false">IF($B966="","",CONCATENATE("Pozisyon: ",$B966,"/",$C966," tutar ",TEXT($D966,"#,##0.00")))</f>
        <v/>
      </c>
    </row>
    <row r="967" customFormat="false" ht="15" hidden="false" customHeight="false" outlineLevel="0" collapsed="false">
      <c r="A967" s="21"/>
      <c r="B967" s="22"/>
      <c r="C967" s="22"/>
      <c r="D967" s="23"/>
      <c r="E967" s="24"/>
      <c r="F967" s="22"/>
      <c r="G967" s="19" t="n">
        <f aca="false">IF($D967=0,0,$D967*$E967)</f>
        <v>0</v>
      </c>
      <c r="H967" s="20" t="str">
        <f aca="false">IF($B967="","",CONCATENATE("Pozisyon: ",$B967,"/",$C967," tutar ",TEXT($D967,"#,##0.00")))</f>
        <v/>
      </c>
    </row>
    <row r="968" customFormat="false" ht="15" hidden="false" customHeight="false" outlineLevel="0" collapsed="false">
      <c r="A968" s="21"/>
      <c r="B968" s="22"/>
      <c r="C968" s="22"/>
      <c r="D968" s="23"/>
      <c r="E968" s="24"/>
      <c r="F968" s="22"/>
      <c r="G968" s="19" t="n">
        <f aca="false">IF($D968=0,0,$D968*$E968)</f>
        <v>0</v>
      </c>
      <c r="H968" s="20" t="str">
        <f aca="false">IF($B968="","",CONCATENATE("Pozisyon: ",$B968,"/",$C968," tutar ",TEXT($D968,"#,##0.00")))</f>
        <v/>
      </c>
    </row>
    <row r="969" customFormat="false" ht="15" hidden="false" customHeight="false" outlineLevel="0" collapsed="false">
      <c r="A969" s="21"/>
      <c r="B969" s="22"/>
      <c r="C969" s="22"/>
      <c r="D969" s="23"/>
      <c r="E969" s="24"/>
      <c r="F969" s="22"/>
      <c r="G969" s="19" t="n">
        <f aca="false">IF($D969=0,0,$D969*$E969)</f>
        <v>0</v>
      </c>
      <c r="H969" s="20" t="str">
        <f aca="false">IF($B969="","",CONCATENATE("Pozisyon: ",$B969,"/",$C969," tutar ",TEXT($D969,"#,##0.00")))</f>
        <v/>
      </c>
    </row>
    <row r="970" customFormat="false" ht="15" hidden="false" customHeight="false" outlineLevel="0" collapsed="false">
      <c r="A970" s="21"/>
      <c r="B970" s="22"/>
      <c r="C970" s="22"/>
      <c r="D970" s="23"/>
      <c r="E970" s="24"/>
      <c r="F970" s="22"/>
      <c r="G970" s="19" t="n">
        <f aca="false">IF($D970=0,0,$D970*$E970)</f>
        <v>0</v>
      </c>
      <c r="H970" s="20" t="str">
        <f aca="false">IF($B970="","",CONCATENATE("Pozisyon: ",$B970,"/",$C970," tutar ",TEXT($D970,"#,##0.00")))</f>
        <v/>
      </c>
    </row>
    <row r="971" customFormat="false" ht="15" hidden="false" customHeight="false" outlineLevel="0" collapsed="false">
      <c r="A971" s="21"/>
      <c r="B971" s="22"/>
      <c r="C971" s="22"/>
      <c r="D971" s="23"/>
      <c r="E971" s="24"/>
      <c r="F971" s="22"/>
      <c r="G971" s="19" t="n">
        <f aca="false">IF($D971=0,0,$D971*$E971)</f>
        <v>0</v>
      </c>
      <c r="H971" s="20" t="str">
        <f aca="false">IF($B971="","",CONCATENATE("Pozisyon: ",$B971,"/",$C971," tutar ",TEXT($D971,"#,##0.00")))</f>
        <v/>
      </c>
    </row>
    <row r="972" customFormat="false" ht="15" hidden="false" customHeight="false" outlineLevel="0" collapsed="false">
      <c r="A972" s="21"/>
      <c r="B972" s="22"/>
      <c r="C972" s="22"/>
      <c r="D972" s="23"/>
      <c r="E972" s="24"/>
      <c r="F972" s="22"/>
      <c r="G972" s="19" t="n">
        <f aca="false">IF($D972=0,0,$D972*$E972)</f>
        <v>0</v>
      </c>
      <c r="H972" s="20" t="str">
        <f aca="false">IF($B972="","",CONCATENATE("Pozisyon: ",$B972,"/",$C972," tutar ",TEXT($D972,"#,##0.00")))</f>
        <v/>
      </c>
    </row>
    <row r="973" customFormat="false" ht="15" hidden="false" customHeight="false" outlineLevel="0" collapsed="false">
      <c r="A973" s="21"/>
      <c r="B973" s="22"/>
      <c r="C973" s="22"/>
      <c r="D973" s="23"/>
      <c r="E973" s="24"/>
      <c r="F973" s="22"/>
      <c r="G973" s="19" t="n">
        <f aca="false">IF($D973=0,0,$D973*$E973)</f>
        <v>0</v>
      </c>
      <c r="H973" s="20" t="str">
        <f aca="false">IF($B973="","",CONCATENATE("Pozisyon: ",$B973,"/",$C973," tutar ",TEXT($D973,"#,##0.00")))</f>
        <v/>
      </c>
    </row>
    <row r="974" customFormat="false" ht="15" hidden="false" customHeight="false" outlineLevel="0" collapsed="false">
      <c r="A974" s="21"/>
      <c r="B974" s="22"/>
      <c r="C974" s="22"/>
      <c r="D974" s="23"/>
      <c r="E974" s="24"/>
      <c r="F974" s="22"/>
      <c r="G974" s="19" t="n">
        <f aca="false">IF($D974=0,0,$D974*$E974)</f>
        <v>0</v>
      </c>
      <c r="H974" s="20" t="str">
        <f aca="false">IF($B974="","",CONCATENATE("Pozisyon: ",$B974,"/",$C974," tutar ",TEXT($D974,"#,##0.00")))</f>
        <v/>
      </c>
    </row>
    <row r="975" customFormat="false" ht="15" hidden="false" customHeight="false" outlineLevel="0" collapsed="false">
      <c r="A975" s="21"/>
      <c r="B975" s="22"/>
      <c r="C975" s="22"/>
      <c r="D975" s="23"/>
      <c r="E975" s="24"/>
      <c r="F975" s="22"/>
      <c r="G975" s="19" t="n">
        <f aca="false">IF($D975=0,0,$D975*$E975)</f>
        <v>0</v>
      </c>
      <c r="H975" s="20" t="str">
        <f aca="false">IF($B975="","",CONCATENATE("Pozisyon: ",$B975,"/",$C975," tutar ",TEXT($D975,"#,##0.00")))</f>
        <v/>
      </c>
    </row>
    <row r="976" customFormat="false" ht="15" hidden="false" customHeight="false" outlineLevel="0" collapsed="false">
      <c r="A976" s="21"/>
      <c r="B976" s="22"/>
      <c r="C976" s="22"/>
      <c r="D976" s="23"/>
      <c r="E976" s="24"/>
      <c r="F976" s="22"/>
      <c r="G976" s="19" t="n">
        <f aca="false">IF($D976=0,0,$D976*$E976)</f>
        <v>0</v>
      </c>
      <c r="H976" s="20" t="str">
        <f aca="false">IF($B976="","",CONCATENATE("Pozisyon: ",$B976,"/",$C976," tutar ",TEXT($D976,"#,##0.00")))</f>
        <v/>
      </c>
    </row>
    <row r="977" customFormat="false" ht="15" hidden="false" customHeight="false" outlineLevel="0" collapsed="false">
      <c r="A977" s="21"/>
      <c r="B977" s="22"/>
      <c r="C977" s="22"/>
      <c r="D977" s="23"/>
      <c r="E977" s="24"/>
      <c r="F977" s="22"/>
      <c r="G977" s="19" t="n">
        <f aca="false">IF($D977=0,0,$D977*$E977)</f>
        <v>0</v>
      </c>
      <c r="H977" s="20" t="str">
        <f aca="false">IF($B977="","",CONCATENATE("Pozisyon: ",$B977,"/",$C977," tutar ",TEXT($D977,"#,##0.00")))</f>
        <v/>
      </c>
    </row>
    <row r="978" customFormat="false" ht="15" hidden="false" customHeight="false" outlineLevel="0" collapsed="false">
      <c r="A978" s="21"/>
      <c r="B978" s="22"/>
      <c r="C978" s="22"/>
      <c r="D978" s="23"/>
      <c r="E978" s="24"/>
      <c r="F978" s="22"/>
      <c r="G978" s="19" t="n">
        <f aca="false">IF($D978=0,0,$D978*$E978)</f>
        <v>0</v>
      </c>
      <c r="H978" s="20" t="str">
        <f aca="false">IF($B978="","",CONCATENATE("Pozisyon: ",$B978,"/",$C978," tutar ",TEXT($D978,"#,##0.00")))</f>
        <v/>
      </c>
    </row>
    <row r="979" customFormat="false" ht="15" hidden="false" customHeight="false" outlineLevel="0" collapsed="false">
      <c r="A979" s="21"/>
      <c r="B979" s="22"/>
      <c r="C979" s="22"/>
      <c r="D979" s="23"/>
      <c r="E979" s="24"/>
      <c r="F979" s="22"/>
      <c r="G979" s="19" t="n">
        <f aca="false">IF($D979=0,0,$D979*$E979)</f>
        <v>0</v>
      </c>
      <c r="H979" s="20" t="str">
        <f aca="false">IF($B979="","",CONCATENATE("Pozisyon: ",$B979,"/",$C979," tutar ",TEXT($D979,"#,##0.00")))</f>
        <v/>
      </c>
    </row>
    <row r="980" customFormat="false" ht="15" hidden="false" customHeight="false" outlineLevel="0" collapsed="false">
      <c r="A980" s="21"/>
      <c r="B980" s="22"/>
      <c r="C980" s="22"/>
      <c r="D980" s="23"/>
      <c r="E980" s="24"/>
      <c r="F980" s="22"/>
      <c r="G980" s="19" t="n">
        <f aca="false">IF($D980=0,0,$D980*$E980)</f>
        <v>0</v>
      </c>
      <c r="H980" s="20" t="str">
        <f aca="false">IF($B980="","",CONCATENATE("Pozisyon: ",$B980,"/",$C980," tutar ",TEXT($D980,"#,##0.00")))</f>
        <v/>
      </c>
    </row>
    <row r="981" customFormat="false" ht="15" hidden="false" customHeight="false" outlineLevel="0" collapsed="false">
      <c r="A981" s="21"/>
      <c r="B981" s="22"/>
      <c r="C981" s="22"/>
      <c r="D981" s="23"/>
      <c r="E981" s="24"/>
      <c r="F981" s="22"/>
      <c r="G981" s="19" t="n">
        <f aca="false">IF($D981=0,0,$D981*$E981)</f>
        <v>0</v>
      </c>
      <c r="H981" s="20" t="str">
        <f aca="false">IF($B981="","",CONCATENATE("Pozisyon: ",$B981,"/",$C981," tutar ",TEXT($D981,"#,##0.00")))</f>
        <v/>
      </c>
    </row>
    <row r="982" customFormat="false" ht="15" hidden="false" customHeight="false" outlineLevel="0" collapsed="false">
      <c r="A982" s="21"/>
      <c r="B982" s="22"/>
      <c r="C982" s="22"/>
      <c r="D982" s="23"/>
      <c r="E982" s="24"/>
      <c r="F982" s="22"/>
      <c r="G982" s="19" t="n">
        <f aca="false">IF($D982=0,0,$D982*$E982)</f>
        <v>0</v>
      </c>
      <c r="H982" s="20" t="str">
        <f aca="false">IF($B982="","",CONCATENATE("Pozisyon: ",$B982,"/",$C982," tutar ",TEXT($D982,"#,##0.00")))</f>
        <v/>
      </c>
    </row>
    <row r="983" customFormat="false" ht="15" hidden="false" customHeight="false" outlineLevel="0" collapsed="false">
      <c r="A983" s="21"/>
      <c r="B983" s="22"/>
      <c r="C983" s="22"/>
      <c r="D983" s="23"/>
      <c r="E983" s="24"/>
      <c r="F983" s="22"/>
      <c r="G983" s="19" t="n">
        <f aca="false">IF($D983=0,0,$D983*$E983)</f>
        <v>0</v>
      </c>
      <c r="H983" s="20" t="str">
        <f aca="false">IF($B983="","",CONCATENATE("Pozisyon: ",$B983,"/",$C983," tutar ",TEXT($D983,"#,##0.00")))</f>
        <v/>
      </c>
    </row>
    <row r="984" customFormat="false" ht="15" hidden="false" customHeight="false" outlineLevel="0" collapsed="false">
      <c r="A984" s="21"/>
      <c r="B984" s="22"/>
      <c r="C984" s="22"/>
      <c r="D984" s="23"/>
      <c r="E984" s="24"/>
      <c r="F984" s="22"/>
      <c r="G984" s="19" t="n">
        <f aca="false">IF($D984=0,0,$D984*$E984)</f>
        <v>0</v>
      </c>
      <c r="H984" s="20" t="str">
        <f aca="false">IF($B984="","",CONCATENATE("Pozisyon: ",$B984,"/",$C984," tutar ",TEXT($D984,"#,##0.00")))</f>
        <v/>
      </c>
    </row>
    <row r="985" customFormat="false" ht="15" hidden="false" customHeight="false" outlineLevel="0" collapsed="false">
      <c r="A985" s="21"/>
      <c r="B985" s="22"/>
      <c r="C985" s="22"/>
      <c r="D985" s="23"/>
      <c r="E985" s="24"/>
      <c r="F985" s="22"/>
      <c r="G985" s="19" t="n">
        <f aca="false">IF($D985=0,0,$D985*$E985)</f>
        <v>0</v>
      </c>
      <c r="H985" s="20" t="str">
        <f aca="false">IF($B985="","",CONCATENATE("Pozisyon: ",$B985,"/",$C985," tutar ",TEXT($D985,"#,##0.00")))</f>
        <v/>
      </c>
    </row>
    <row r="986" customFormat="false" ht="15" hidden="false" customHeight="false" outlineLevel="0" collapsed="false">
      <c r="A986" s="21"/>
      <c r="B986" s="22"/>
      <c r="C986" s="22"/>
      <c r="D986" s="23"/>
      <c r="E986" s="24"/>
      <c r="F986" s="22"/>
      <c r="G986" s="19" t="n">
        <f aca="false">IF($D986=0,0,$D986*$E986)</f>
        <v>0</v>
      </c>
      <c r="H986" s="20" t="str">
        <f aca="false">IF($B986="","",CONCATENATE("Pozisyon: ",$B986,"/",$C986," tutar ",TEXT($D986,"#,##0.00")))</f>
        <v/>
      </c>
    </row>
    <row r="987" customFormat="false" ht="15" hidden="false" customHeight="false" outlineLevel="0" collapsed="false">
      <c r="A987" s="21"/>
      <c r="B987" s="22"/>
      <c r="C987" s="22"/>
      <c r="D987" s="23"/>
      <c r="E987" s="24"/>
      <c r="F987" s="22"/>
      <c r="G987" s="19" t="n">
        <f aca="false">IF($D987=0,0,$D987*$E987)</f>
        <v>0</v>
      </c>
      <c r="H987" s="20" t="str">
        <f aca="false">IF($B987="","",CONCATENATE("Pozisyon: ",$B987,"/",$C987," tutar ",TEXT($D987,"#,##0.00")))</f>
        <v/>
      </c>
    </row>
    <row r="988" customFormat="false" ht="15" hidden="false" customHeight="false" outlineLevel="0" collapsed="false">
      <c r="A988" s="21"/>
      <c r="B988" s="22"/>
      <c r="C988" s="22"/>
      <c r="D988" s="23"/>
      <c r="E988" s="24"/>
      <c r="F988" s="22"/>
      <c r="G988" s="19" t="n">
        <f aca="false">IF($D988=0,0,$D988*$E988)</f>
        <v>0</v>
      </c>
      <c r="H988" s="20" t="str">
        <f aca="false">IF($B988="","",CONCATENATE("Pozisyon: ",$B988,"/",$C988," tutar ",TEXT($D988,"#,##0.00")))</f>
        <v/>
      </c>
    </row>
    <row r="989" customFormat="false" ht="15" hidden="false" customHeight="false" outlineLevel="0" collapsed="false">
      <c r="A989" s="21"/>
      <c r="B989" s="22"/>
      <c r="C989" s="22"/>
      <c r="D989" s="23"/>
      <c r="E989" s="24"/>
      <c r="F989" s="22"/>
      <c r="G989" s="19" t="n">
        <f aca="false">IF($D989=0,0,$D989*$E989)</f>
        <v>0</v>
      </c>
      <c r="H989" s="20" t="str">
        <f aca="false">IF($B989="","",CONCATENATE("Pozisyon: ",$B989,"/",$C989," tutar ",TEXT($D989,"#,##0.00")))</f>
        <v/>
      </c>
    </row>
    <row r="990" customFormat="false" ht="15" hidden="false" customHeight="false" outlineLevel="0" collapsed="false">
      <c r="A990" s="21"/>
      <c r="B990" s="22"/>
      <c r="C990" s="22"/>
      <c r="D990" s="23"/>
      <c r="E990" s="24"/>
      <c r="F990" s="22"/>
      <c r="G990" s="19" t="n">
        <f aca="false">IF($D990=0,0,$D990*$E990)</f>
        <v>0</v>
      </c>
      <c r="H990" s="20" t="str">
        <f aca="false">IF($B990="","",CONCATENATE("Pozisyon: ",$B990,"/",$C990," tutar ",TEXT($D990,"#,##0.00")))</f>
        <v/>
      </c>
    </row>
    <row r="991" customFormat="false" ht="15" hidden="false" customHeight="false" outlineLevel="0" collapsed="false">
      <c r="A991" s="21"/>
      <c r="B991" s="22"/>
      <c r="C991" s="22"/>
      <c r="D991" s="23"/>
      <c r="E991" s="24"/>
      <c r="F991" s="22"/>
      <c r="G991" s="19" t="n">
        <f aca="false">IF($D991=0,0,$D991*$E991)</f>
        <v>0</v>
      </c>
      <c r="H991" s="20" t="str">
        <f aca="false">IF($B991="","",CONCATENATE("Pozisyon: ",$B991,"/",$C991," tutar ",TEXT($D991,"#,##0.00")))</f>
        <v/>
      </c>
    </row>
    <row r="992" customFormat="false" ht="15" hidden="false" customHeight="false" outlineLevel="0" collapsed="false">
      <c r="A992" s="21"/>
      <c r="B992" s="22"/>
      <c r="C992" s="22"/>
      <c r="D992" s="23"/>
      <c r="E992" s="24"/>
      <c r="F992" s="22"/>
      <c r="G992" s="19" t="n">
        <f aca="false">IF($D992=0,0,$D992*$E992)</f>
        <v>0</v>
      </c>
      <c r="H992" s="20" t="str">
        <f aca="false">IF($B992="","",CONCATENATE("Pozisyon: ",$B992,"/",$C992," tutar ",TEXT($D992,"#,##0.00")))</f>
        <v/>
      </c>
    </row>
    <row r="993" customFormat="false" ht="15" hidden="false" customHeight="false" outlineLevel="0" collapsed="false">
      <c r="A993" s="21"/>
      <c r="B993" s="22"/>
      <c r="C993" s="22"/>
      <c r="D993" s="23"/>
      <c r="E993" s="24"/>
      <c r="F993" s="22"/>
      <c r="G993" s="19" t="n">
        <f aca="false">IF($D993=0,0,$D993*$E993)</f>
        <v>0</v>
      </c>
      <c r="H993" s="20" t="str">
        <f aca="false">IF($B993="","",CONCATENATE("Pozisyon: ",$B993,"/",$C993," tutar ",TEXT($D993,"#,##0.00")))</f>
        <v/>
      </c>
    </row>
    <row r="994" customFormat="false" ht="15" hidden="false" customHeight="false" outlineLevel="0" collapsed="false">
      <c r="A994" s="21"/>
      <c r="B994" s="22"/>
      <c r="C994" s="22"/>
      <c r="D994" s="23"/>
      <c r="E994" s="24"/>
      <c r="F994" s="22"/>
      <c r="G994" s="19" t="n">
        <f aca="false">IF($D994=0,0,$D994*$E994)</f>
        <v>0</v>
      </c>
      <c r="H994" s="20" t="str">
        <f aca="false">IF($B994="","",CONCATENATE("Pozisyon: ",$B994,"/",$C994," tutar ",TEXT($D994,"#,##0.00")))</f>
        <v/>
      </c>
    </row>
    <row r="995" customFormat="false" ht="15" hidden="false" customHeight="false" outlineLevel="0" collapsed="false">
      <c r="A995" s="21"/>
      <c r="B995" s="22"/>
      <c r="C995" s="22"/>
      <c r="D995" s="23"/>
      <c r="E995" s="24"/>
      <c r="F995" s="22"/>
      <c r="G995" s="19" t="n">
        <f aca="false">IF($D995=0,0,$D995*$E995)</f>
        <v>0</v>
      </c>
      <c r="H995" s="20" t="str">
        <f aca="false">IF($B995="","",CONCATENATE("Pozisyon: ",$B995,"/",$C995," tutar ",TEXT($D995,"#,##0.00")))</f>
        <v/>
      </c>
    </row>
    <row r="996" customFormat="false" ht="15" hidden="false" customHeight="false" outlineLevel="0" collapsed="false">
      <c r="A996" s="21"/>
      <c r="B996" s="22"/>
      <c r="C996" s="22"/>
      <c r="D996" s="23"/>
      <c r="E996" s="24"/>
      <c r="F996" s="22"/>
      <c r="G996" s="19" t="n">
        <f aca="false">IF($D996=0,0,$D996*$E996)</f>
        <v>0</v>
      </c>
      <c r="H996" s="20" t="str">
        <f aca="false">IF($B996="","",CONCATENATE("Pozisyon: ",$B996,"/",$C996," tutar ",TEXT($D996,"#,##0.00")))</f>
        <v/>
      </c>
    </row>
    <row r="997" customFormat="false" ht="15" hidden="false" customHeight="false" outlineLevel="0" collapsed="false">
      <c r="A997" s="21"/>
      <c r="B997" s="22"/>
      <c r="C997" s="22"/>
      <c r="D997" s="23"/>
      <c r="E997" s="24"/>
      <c r="F997" s="22"/>
      <c r="G997" s="19" t="n">
        <f aca="false">IF($D997=0,0,$D997*$E997)</f>
        <v>0</v>
      </c>
      <c r="H997" s="20" t="str">
        <f aca="false">IF($B997="","",CONCATENATE("Pozisyon: ",$B997,"/",$C997," tutar ",TEXT($D997,"#,##0.00")))</f>
        <v/>
      </c>
    </row>
    <row r="998" customFormat="false" ht="15" hidden="false" customHeight="false" outlineLevel="0" collapsed="false">
      <c r="A998" s="21"/>
      <c r="B998" s="22"/>
      <c r="C998" s="22"/>
      <c r="D998" s="23"/>
      <c r="E998" s="24"/>
      <c r="F998" s="22"/>
      <c r="G998" s="19" t="n">
        <f aca="false">IF($D998=0,0,$D998*$E998)</f>
        <v>0</v>
      </c>
      <c r="H998" s="20" t="str">
        <f aca="false">IF($B998="","",CONCATENATE("Pozisyon: ",$B998,"/",$C998," tutar ",TEXT($D998,"#,##0.00")))</f>
        <v/>
      </c>
    </row>
    <row r="999" customFormat="false" ht="15" hidden="false" customHeight="false" outlineLevel="0" collapsed="false">
      <c r="A999" s="21"/>
      <c r="B999" s="22"/>
      <c r="C999" s="22"/>
      <c r="D999" s="23"/>
      <c r="E999" s="24"/>
      <c r="F999" s="22"/>
      <c r="G999" s="19" t="n">
        <f aca="false">IF($D999=0,0,$D999*$E999)</f>
        <v>0</v>
      </c>
      <c r="H999" s="20" t="str">
        <f aca="false">IF($B999="","",CONCATENATE("Pozisyon: ",$B999,"/",$C999," tutar ",TEXT($D999,"#,##0.00")))</f>
        <v/>
      </c>
    </row>
    <row r="1000" customFormat="false" ht="15" hidden="false" customHeight="false" outlineLevel="0" collapsed="false">
      <c r="A1000" s="21"/>
      <c r="B1000" s="22"/>
      <c r="C1000" s="22"/>
      <c r="D1000" s="23"/>
      <c r="E1000" s="24"/>
      <c r="F1000" s="22"/>
      <c r="G1000" s="19" t="n">
        <f aca="false">IF($D1000=0,0,$D1000*$E1000)</f>
        <v>0</v>
      </c>
      <c r="H1000" s="20" t="str">
        <f aca="false">IF($B1000="","",CONCATENATE("Pozisyon: ",$B1000,"/",$C1000," tutar ",TEXT($D1000,"#,##0.00")))</f>
        <v/>
      </c>
    </row>
    <row r="1001" customFormat="false" ht="15" hidden="false" customHeight="false" outlineLevel="0" collapsed="false">
      <c r="A1001" s="21"/>
      <c r="B1001" s="22"/>
      <c r="C1001" s="22"/>
      <c r="D1001" s="23"/>
      <c r="E1001" s="24"/>
      <c r="F1001" s="22"/>
      <c r="G1001" s="19" t="n">
        <f aca="false">IF($D1001=0,0,$D1001*$E1001)</f>
        <v>0</v>
      </c>
      <c r="H1001" s="20" t="str">
        <f aca="false">IF($B1001="","",CONCATENATE("Pozisyon: ",$B1001,"/",$C1001," tutar ",TEXT($D1001,"#,##0.00")))</f>
        <v/>
      </c>
    </row>
    <row r="1002" customFormat="false" ht="15" hidden="false" customHeight="false" outlineLevel="0" collapsed="false">
      <c r="A1002" s="21"/>
      <c r="B1002" s="22"/>
      <c r="C1002" s="22"/>
      <c r="D1002" s="23"/>
      <c r="E1002" s="24"/>
      <c r="F1002" s="22"/>
      <c r="G1002" s="19" t="n">
        <f aca="false">IF($D1002=0,0,$D1002*$E1002)</f>
        <v>0</v>
      </c>
      <c r="H1002" s="20" t="str">
        <f aca="false">IF($B1002="","",CONCATENATE("Pozisyon: ",$B1002,"/",$C1002," tutar ",TEXT($D1002,"#,##0.00")))</f>
        <v/>
      </c>
    </row>
    <row r="1003" customFormat="false" ht="15" hidden="false" customHeight="false" outlineLevel="0" collapsed="false">
      <c r="A1003" s="21"/>
      <c r="B1003" s="22"/>
      <c r="C1003" s="22"/>
      <c r="D1003" s="23"/>
      <c r="E1003" s="24"/>
      <c r="F1003" s="22"/>
      <c r="G1003" s="19" t="n">
        <f aca="false">IF($D1003=0,0,$D1003*$E1003)</f>
        <v>0</v>
      </c>
      <c r="H1003" s="20" t="str">
        <f aca="false">IF($B1003="","",CONCATENATE("Pozisyon: ",$B1003,"/",$C1003," tutar ",TEXT($D1003,"#,##0.00")))</f>
        <v/>
      </c>
    </row>
    <row r="1004" customFormat="false" ht="15" hidden="false" customHeight="false" outlineLevel="0" collapsed="false">
      <c r="A1004" s="22"/>
      <c r="B1004" s="22"/>
      <c r="C1004" s="22"/>
      <c r="D1004" s="22"/>
      <c r="E1004" s="22"/>
      <c r="F1004" s="22"/>
      <c r="G1004" s="20" t="n">
        <f aca="false">IF($D1004=0,0,$D1004*$E1004)</f>
        <v>0</v>
      </c>
      <c r="H1004" s="20" t="str">
        <f aca="false">IF($B1004="","",CONCATENATE("Pozisyon: ",$B1004,"/",$C1004," tutar ",TEXT($D1004,"#,##0.00")))</f>
        <v/>
      </c>
    </row>
    <row r="1006" customFormat="false" ht="19.5" hidden="false" customHeight="true" outlineLevel="0" collapsed="false">
      <c r="A1006" s="25" t="s">
        <v>52</v>
      </c>
      <c r="B1006" s="25"/>
      <c r="C1006" s="25"/>
      <c r="D1006" s="25"/>
      <c r="E1006" s="25"/>
      <c r="F1006" s="25"/>
      <c r="G1006" s="25"/>
      <c r="H1006" s="25"/>
      <c r="I1006" s="25"/>
      <c r="J1006" s="25"/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  <c r="AA1006" s="25"/>
      <c r="AB1006" s="25"/>
      <c r="AC1006" s="25"/>
      <c r="AD1006" s="25"/>
      <c r="AE1006" s="25"/>
      <c r="AF1006" s="25"/>
      <c r="AG1006" s="25"/>
      <c r="AH1006" s="25"/>
      <c r="AI1006" s="25"/>
      <c r="AJ1006" s="25"/>
      <c r="AK1006" s="25"/>
      <c r="AL1006" s="25"/>
      <c r="AM1006" s="25"/>
      <c r="AN1006" s="25"/>
    </row>
  </sheetData>
  <sheetProtection sheet="true" password="cc3d" objects="true" scenarios="true" deleteColumns="false" deleteRows="false"/>
  <mergeCells count="2">
    <mergeCell ref="A1:AD1"/>
    <mergeCell ref="A1006:AN1006"/>
  </mergeCells>
  <conditionalFormatting sqref="A6:A1004">
    <cfRule type="cellIs" priority="2" operator="lessThan" aboveAverage="0" equalAverage="0" bottom="0" percent="0" rank="0" text="" dxfId="7">
      <formula>0</formula>
    </cfRule>
  </conditionalFormatting>
  <conditionalFormatting sqref="D6:D1004">
    <cfRule type="cellIs" priority="3" operator="lessThan" aboveAverage="0" equalAverage="0" bottom="0" percent="0" rank="0" text="" dxfId="7">
      <formula>0</formula>
    </cfRule>
  </conditionalFormatting>
  <conditionalFormatting sqref="E6:E1004">
    <cfRule type="cellIs" priority="4" operator="lessThan" aboveAverage="0" equalAverage="0" bottom="0" percent="0" rank="0" text="" dxfId="7">
      <formula>0</formula>
    </cfRule>
  </conditionalFormatting>
  <conditionalFormatting sqref="G6:G1004">
    <cfRule type="cellIs" priority="5" operator="lessThan" aboveAverage="0" equalAverage="0" bottom="0" percent="0" rank="0" text="" dxfId="7">
      <formula>0</formula>
    </cfRule>
    <cfRule type="cellIs" priority="6" operator="greaterThan" aboveAverage="0" equalAverage="0" bottom="0" percent="0" rank="0" text="" dxfId="8">
      <formula>0</formula>
    </cfRule>
  </conditionalFormatting>
  <dataValidations count="6">
    <dataValidation allowBlank="true" error="Listede olmayan cins giremezsiniz." errorStyle="stop" errorTitle="Geçersiz cins" operator="between" prompt="Listeden bir döviz cinsi seçin." promptTitle="Döviz Cinsi" showDropDown="false" showErrorMessage="true" showInputMessage="true" sqref="B6:B1004" type="list">
      <formula1>ListeDovizCinsleri</formula1>
      <formula2>0</formula2>
    </dataValidation>
    <dataValidation allowBlank="true" error="Sadece Varlık veya Borç kullanılır." errorStyle="stop" errorTitle="Geçersiz tür" operator="between" prompt="Varlık veya Borç seçin." promptTitle="İşlem Türü" showDropDown="false" showErrorMessage="true" showInputMessage="true" sqref="C6:C1004" type="list">
      <formula1>ListeIslemTurleri</formula1>
      <formula2>0</formula2>
    </dataValidation>
    <dataValidation allowBlank="true" error="Listede olmayan vade giremezsiniz." errorStyle="stop" errorTitle="Geçersiz vade" operator="between" prompt="Listeden vade dilimi seçin." promptTitle="Vade" showDropDown="false" showErrorMessage="true" showInputMessage="true" sqref="F6:F1004" type="list">
      <formula1>ListeVadeDilimleri</formula1>
      <formula2>0</formula2>
    </dataValidation>
    <dataValidation allowBlank="true" error="Tarih 01.01.2024 - 31.12.2027 aralığında olmalı." errorStyle="stop" errorTitle="Geçersiz tarih" operator="between" prompt="GG.AA.YYYY biçiminde tarih girin." promptTitle="Tarih" showDropDown="false" showErrorMessage="true" showInputMessage="true" sqref="A6:A1004" type="date">
      <formula1>01.01.2024</formula1>
      <formula2>31.12.2027</formula2>
    </dataValidation>
    <dataValidation allowBlank="true" error="0 ile 1.000.000.000 arasında olmalı." errorStyle="stop" errorTitle="Geçersiz tutar" operator="between" prompt="Pozitif döviz tutarı girin (tür Varlık/Borç olarak seçilir)." promptTitle="Tutar" showDropDown="false" showErrorMessage="true" showInputMessage="true" sqref="D6:D1004" type="decimal">
      <formula1>0</formula1>
      <formula2>1000000000</formula2>
    </dataValidation>
    <dataValidation allowBlank="true" error="0 ile 1.000.000 arasında olmalı." errorStyle="stop" errorTitle="Geçersiz kur" operator="between" prompt="İşlemin yapıldığı döviz kurunu TL cinsinden girin." promptTitle="İşlem Kuru" showDropDown="false" showErrorMessage="true" showInputMessage="true" sqref="E6:E1004" type="decimal">
      <formula1>0</formula1>
      <formula2>1000000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4"/>
    <col collapsed="false" customWidth="true" hidden="false" outlineLevel="0" max="5" min="5" style="0" width="12"/>
    <col collapsed="false" customWidth="true" hidden="false" outlineLevel="0" max="7" min="6" style="0" width="16"/>
    <col collapsed="false" customWidth="true" hidden="false" outlineLevel="0" max="9" min="8" style="0" width="18"/>
  </cols>
  <sheetData>
    <row r="1" customFormat="false" ht="25.5" hidden="false" customHeight="true" outlineLevel="0" collapsed="false">
      <c r="A1" s="1" t="s">
        <v>53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54</v>
      </c>
    </row>
    <row r="4" customFormat="false" ht="68.65" hidden="false" customHeight="false" outlineLevel="0" collapsed="false">
      <c r="A4" s="13" t="s">
        <v>55</v>
      </c>
    </row>
    <row r="5" customFormat="false" ht="30" hidden="false" customHeight="true" outlineLevel="0" collapsed="false">
      <c r="A5" s="14" t="s">
        <v>56</v>
      </c>
      <c r="B5" s="14" t="s">
        <v>57</v>
      </c>
      <c r="C5" s="14" t="s">
        <v>58</v>
      </c>
      <c r="D5" s="14" t="s">
        <v>59</v>
      </c>
      <c r="E5" s="14" t="s">
        <v>60</v>
      </c>
      <c r="F5" s="14" t="s">
        <v>61</v>
      </c>
      <c r="G5" s="14" t="s">
        <v>62</v>
      </c>
      <c r="H5" s="14" t="s">
        <v>63</v>
      </c>
      <c r="I5" s="14" t="s">
        <v>64</v>
      </c>
    </row>
    <row r="6" customFormat="false" ht="15" hidden="false" customHeight="false" outlineLevel="0" collapsed="false">
      <c r="A6" s="26" t="s">
        <v>42</v>
      </c>
      <c r="B6" s="27" t="n">
        <f aca="false">SUMIFS(tblDoviz[Tutar (Döviz)],tblDoviz[Döviz Cinsi],$A6,tblDoviz[İşlem Türü],"Varlık")</f>
        <v>75000</v>
      </c>
      <c r="C6" s="27" t="n">
        <f aca="false">SUMIFS(tblDoviz[Tutar (Döviz)],tblDoviz[Döviz Cinsi],$A6,tblDoviz[İşlem Türü],"Borç")</f>
        <v>35000</v>
      </c>
      <c r="D6" s="27" t="n">
        <f aca="false">B6-C6</f>
        <v>40000</v>
      </c>
      <c r="E6" s="28" t="n">
        <f aca="false">IF(COUNTIFS(tblDoviz[Döviz Cinsi],$A6)=0,0,AVERAGEIFS(tblDoviz[İşlem Kuru],tblDoviz[Döviz Cinsi],$A6))</f>
        <v>35.65</v>
      </c>
      <c r="F6" s="29" t="n">
        <f aca="false">B6*E6</f>
        <v>2673750</v>
      </c>
      <c r="G6" s="29" t="n">
        <f aca="false">C6*E6</f>
        <v>1247750</v>
      </c>
      <c r="H6" s="29" t="n">
        <f aca="false">F6-G6</f>
        <v>1426000</v>
      </c>
      <c r="I6" s="29" t="n">
        <f aca="false">IF(H6=0,0,ABS(H6)*DovizStresEsik)</f>
        <v>285200</v>
      </c>
    </row>
    <row r="7" customFormat="false" ht="15" hidden="false" customHeight="false" outlineLevel="0" collapsed="false">
      <c r="A7" s="26" t="s">
        <v>45</v>
      </c>
      <c r="B7" s="27" t="n">
        <f aca="false">SUMIFS(tblDoviz[Tutar (Döviz)],tblDoviz[Döviz Cinsi],$A7,tblDoviz[İşlem Türü],"Varlık")</f>
        <v>25000</v>
      </c>
      <c r="C7" s="27" t="n">
        <f aca="false">SUMIFS(tblDoviz[Tutar (Döviz)],tblDoviz[Döviz Cinsi],$A7,tblDoviz[İşlem Türü],"Borç")</f>
        <v>42000</v>
      </c>
      <c r="D7" s="27" t="n">
        <f aca="false">B7-C7</f>
        <v>-17000</v>
      </c>
      <c r="E7" s="28" t="n">
        <f aca="false">IF(COUNTIFS(tblDoviz[Döviz Cinsi],$A7)=0,0,AVERAGEIFS(tblDoviz[İşlem Kuru],tblDoviz[Döviz Cinsi],$A7))</f>
        <v>38.875</v>
      </c>
      <c r="F7" s="29" t="n">
        <f aca="false">B7*E7</f>
        <v>971875</v>
      </c>
      <c r="G7" s="29" t="n">
        <f aca="false">C7*E7</f>
        <v>1632750</v>
      </c>
      <c r="H7" s="29" t="n">
        <f aca="false">F7-G7</f>
        <v>-660875</v>
      </c>
      <c r="I7" s="29" t="n">
        <f aca="false">IF(H7=0,0,ABS(H7)*DovizStresEsik)</f>
        <v>132175</v>
      </c>
    </row>
    <row r="8" customFormat="false" ht="15" hidden="false" customHeight="false" outlineLevel="0" collapsed="false">
      <c r="A8" s="26" t="s">
        <v>48</v>
      </c>
      <c r="B8" s="27" t="n">
        <f aca="false">SUMIFS(tblDoviz[Tutar (Döviz)],tblDoviz[Döviz Cinsi],$A8,tblDoviz[İşlem Türü],"Varlık")</f>
        <v>0</v>
      </c>
      <c r="C8" s="27" t="n">
        <f aca="false">SUMIFS(tblDoviz[Tutar (Döviz)],tblDoviz[Döviz Cinsi],$A8,tblDoviz[İşlem Türü],"Borç")</f>
        <v>10000</v>
      </c>
      <c r="D8" s="27" t="n">
        <f aca="false">B8-C8</f>
        <v>-10000</v>
      </c>
      <c r="E8" s="28" t="n">
        <f aca="false">IF(COUNTIFS(tblDoviz[Döviz Cinsi],$A8)=0,0,AVERAGEIFS(tblDoviz[İşlem Kuru],tblDoviz[Döviz Cinsi],$A8))</f>
        <v>44</v>
      </c>
      <c r="F8" s="29" t="n">
        <f aca="false">B8*E8</f>
        <v>0</v>
      </c>
      <c r="G8" s="29" t="n">
        <f aca="false">C8*E8</f>
        <v>440000</v>
      </c>
      <c r="H8" s="29" t="n">
        <f aca="false">F8-G8</f>
        <v>-440000</v>
      </c>
      <c r="I8" s="29" t="n">
        <f aca="false">IF(H8=0,0,ABS(H8)*DovizStresEsik)</f>
        <v>88000</v>
      </c>
    </row>
    <row r="9" customFormat="false" ht="15" hidden="false" customHeight="false" outlineLevel="0" collapsed="false">
      <c r="A9" s="26" t="s">
        <v>50</v>
      </c>
      <c r="B9" s="27" t="n">
        <f aca="false">SUMIFS(tblDoviz[Tutar (Döviz)],tblDoviz[Döviz Cinsi],$A9,tblDoviz[İşlem Türü],"Varlık")</f>
        <v>8000</v>
      </c>
      <c r="C9" s="27" t="n">
        <f aca="false">SUMIFS(tblDoviz[Tutar (Döviz)],tblDoviz[Döviz Cinsi],$A9,tblDoviz[İşlem Türü],"Borç")</f>
        <v>0</v>
      </c>
      <c r="D9" s="27" t="n">
        <f aca="false">B9-C9</f>
        <v>8000</v>
      </c>
      <c r="E9" s="28" t="n">
        <f aca="false">IF(COUNTIFS(tblDoviz[Döviz Cinsi],$A9)=0,0,AVERAGEIFS(tblDoviz[İşlem Kuru],tblDoviz[Döviz Cinsi],$A9))</f>
        <v>39</v>
      </c>
      <c r="F9" s="29" t="n">
        <f aca="false">B9*E9</f>
        <v>312000</v>
      </c>
      <c r="G9" s="29" t="n">
        <f aca="false">C9*E9</f>
        <v>0</v>
      </c>
      <c r="H9" s="29" t="n">
        <f aca="false">F9-G9</f>
        <v>312000</v>
      </c>
      <c r="I9" s="29" t="n">
        <f aca="false">IF(H9=0,0,ABS(H9)*DovizStresEsik)</f>
        <v>62400</v>
      </c>
    </row>
    <row r="10" customFormat="false" ht="15" hidden="false" customHeight="false" outlineLevel="0" collapsed="false">
      <c r="A10" s="26" t="s">
        <v>65</v>
      </c>
      <c r="B10" s="27" t="n">
        <f aca="false">SUMIFS(tblDoviz[Tutar (Döviz)],tblDoviz[Döviz Cinsi],$A10,tblDoviz[İşlem Türü],"Varlık")</f>
        <v>0</v>
      </c>
      <c r="C10" s="27" t="n">
        <f aca="false">SUMIFS(tblDoviz[Tutar (Döviz)],tblDoviz[Döviz Cinsi],$A10,tblDoviz[İşlem Türü],"Borç")</f>
        <v>0</v>
      </c>
      <c r="D10" s="27" t="n">
        <f aca="false">B10-C10</f>
        <v>0</v>
      </c>
      <c r="E10" s="28" t="n">
        <f aca="false">IF(COUNTIFS(tblDoviz[Döviz Cinsi],$A10)=0,0,AVERAGEIFS(tblDoviz[İşlem Kuru],tblDoviz[Döviz Cinsi],$A10))</f>
        <v>0</v>
      </c>
      <c r="F10" s="29" t="n">
        <f aca="false">B10*E10</f>
        <v>0</v>
      </c>
      <c r="G10" s="29" t="n">
        <f aca="false">C10*E10</f>
        <v>0</v>
      </c>
      <c r="H10" s="29" t="n">
        <f aca="false">F10-G10</f>
        <v>0</v>
      </c>
      <c r="I10" s="29" t="n">
        <f aca="false">IF(H10=0,0,ABS(H10)*DovizStresEsik)</f>
        <v>0</v>
      </c>
    </row>
    <row r="11" customFormat="false" ht="15" hidden="false" customHeight="false" outlineLevel="0" collapsed="false">
      <c r="A11" s="30" t="s">
        <v>66</v>
      </c>
      <c r="B11" s="31" t="n">
        <f aca="false">SUM(B6:B10)</f>
        <v>108000</v>
      </c>
      <c r="C11" s="31" t="n">
        <f aca="false">SUM(C6:C10)</f>
        <v>87000</v>
      </c>
      <c r="D11" s="31" t="n">
        <f aca="false">SUM(D6:D10)</f>
        <v>21000</v>
      </c>
      <c r="E11" s="31" t="n">
        <f aca="false">SUM(E6:E10)</f>
        <v>157.525</v>
      </c>
      <c r="F11" s="32" t="n">
        <f aca="false">SUM(F6:F10)</f>
        <v>3957625</v>
      </c>
      <c r="G11" s="32" t="n">
        <f aca="false">SUM(G6:G10)</f>
        <v>3320500</v>
      </c>
      <c r="H11" s="32" t="n">
        <f aca="false">SUM(H6:H10)</f>
        <v>637125</v>
      </c>
      <c r="I11" s="32" t="n">
        <f aca="false">IF(H11=0,0,ABS(H11)*DovizStresEsik)</f>
        <v>127425</v>
      </c>
    </row>
    <row r="13" customFormat="false" ht="15" hidden="false" customHeight="false" outlineLevel="0" collapsed="false">
      <c r="A13" s="30" t="s">
        <v>67</v>
      </c>
      <c r="B13" s="32" t="n">
        <f aca="false">H11</f>
        <v>637125</v>
      </c>
    </row>
    <row r="14" customFormat="false" ht="15" hidden="false" customHeight="false" outlineLevel="0" collapsed="false">
      <c r="A14" s="30" t="s">
        <v>68</v>
      </c>
      <c r="B14" s="32" t="n">
        <f aca="false">ABS(H11)</f>
        <v>637125</v>
      </c>
    </row>
    <row r="15" customFormat="false" ht="15" hidden="false" customHeight="false" outlineLevel="0" collapsed="false">
      <c r="A15" s="30" t="s">
        <v>69</v>
      </c>
      <c r="B15" s="33" t="str">
        <f aca="false">IF(H11=0,"DENGELİ",IF(H11&gt;0,"FAZLA VARLIK","FAZLA BORÇ"))</f>
        <v>FAZLA VARLIK</v>
      </c>
    </row>
    <row r="16" customFormat="false" ht="15" hidden="false" customHeight="false" outlineLevel="0" collapsed="false">
      <c r="A16" s="30" t="s">
        <v>70</v>
      </c>
      <c r="B16" s="32" t="n">
        <f aca="false">I11</f>
        <v>127425</v>
      </c>
    </row>
    <row r="17" customFormat="false" ht="15" hidden="false" customHeight="false" outlineLevel="0" collapsed="false">
      <c r="A17" s="30" t="s">
        <v>71</v>
      </c>
      <c r="B17" s="33" t="str">
        <f aca="false">INDEX($A$6:$A$10,MATCH(MAX($I$6:$I$10),$I$6:$I$10,0))</f>
        <v>USD</v>
      </c>
    </row>
    <row r="19" customFormat="false" ht="19.5" hidden="false" customHeight="true" outlineLevel="0" collapsed="false">
      <c r="A19" s="25" t="s">
        <v>72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</row>
  </sheetData>
  <sheetProtection sheet="true" password="cc3d" objects="true" scenarios="true" deleteColumns="false" deleteRows="false"/>
  <mergeCells count="2">
    <mergeCell ref="A1:AD1"/>
    <mergeCell ref="A19:AN19"/>
  </mergeCells>
  <conditionalFormatting sqref="B6:B11">
    <cfRule type="cellIs" priority="2" operator="lessThan" aboveAverage="0" equalAverage="0" bottom="0" percent="0" rank="0" text="" dxfId="7">
      <formula>0</formula>
    </cfRule>
  </conditionalFormatting>
  <conditionalFormatting sqref="C6:C11">
    <cfRule type="cellIs" priority="3" operator="lessThan" aboveAverage="0" equalAverage="0" bottom="0" percent="0" rank="0" text="" dxfId="7">
      <formula>0</formula>
    </cfRule>
  </conditionalFormatting>
  <conditionalFormatting sqref="D6:D11">
    <cfRule type="cellIs" priority="4" operator="lessThan" aboveAverage="0" equalAverage="0" bottom="0" percent="0" rank="0" text="" dxfId="7">
      <formula>0</formula>
    </cfRule>
    <cfRule type="cellIs" priority="5" operator="lessThan" aboveAverage="0" equalAverage="0" bottom="0" percent="0" rank="0" text="" dxfId="9">
      <formula>0</formula>
    </cfRule>
    <cfRule type="cellIs" priority="6" operator="greaterThan" aboveAverage="0" equalAverage="0" bottom="0" percent="0" rank="0" text="" dxfId="8">
      <formula>0</formula>
    </cfRule>
  </conditionalFormatting>
  <conditionalFormatting sqref="F6:F11">
    <cfRule type="cellIs" priority="7" operator="lessThan" aboveAverage="0" equalAverage="0" bottom="0" percent="0" rank="0" text="" dxfId="7">
      <formula>0</formula>
    </cfRule>
  </conditionalFormatting>
  <conditionalFormatting sqref="G6:G11">
    <cfRule type="cellIs" priority="8" operator="lessThan" aboveAverage="0" equalAverage="0" bottom="0" percent="0" rank="0" text="" dxfId="7">
      <formula>0</formula>
    </cfRule>
  </conditionalFormatting>
  <conditionalFormatting sqref="H6:H11">
    <cfRule type="cellIs" priority="9" operator="lessThan" aboveAverage="0" equalAverage="0" bottom="0" percent="0" rank="0" text="" dxfId="7">
      <formula>0</formula>
    </cfRule>
  </conditionalFormatting>
  <conditionalFormatting sqref="I6:I11">
    <cfRule type="cellIs" priority="10" operator="lessThan" aboveAverage="0" equalAverage="0" bottom="0" percent="0" rank="0" text="" dxfId="7">
      <formula>0</formula>
    </cfRule>
    <cfRule type="cellIs" priority="11" operator="greaterThan" aboveAverage="0" equalAverage="0" bottom="0" percent="0" rank="0" text="" dxfId="10">
      <formula>400000</formula>
    </cfRule>
    <cfRule type="cellIs" priority="12" operator="greaterThan" aboveAverage="0" equalAverage="0" bottom="0" percent="0" rank="0" text="" dxfId="7">
      <formula>1000000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52"/>
    <col collapsed="false" customWidth="true" hidden="false" outlineLevel="0" max="4" min="4" style="0" width="72"/>
  </cols>
  <sheetData>
    <row r="1" customFormat="false" ht="25.5" hidden="false" customHeight="true" outlineLevel="0" collapsed="false">
      <c r="A1" s="1" t="s">
        <v>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5" hidden="false" customHeight="false" outlineLevel="0" collapsed="false">
      <c r="A3" s="34" t="s">
        <v>74</v>
      </c>
      <c r="B3" s="34"/>
      <c r="C3" s="34"/>
      <c r="D3" s="34"/>
    </row>
    <row r="5" customFormat="false" ht="30" hidden="false" customHeight="true" outlineLevel="0" collapsed="false">
      <c r="A5" s="14" t="s">
        <v>75</v>
      </c>
      <c r="B5" s="14" t="s">
        <v>76</v>
      </c>
      <c r="C5" s="14" t="s">
        <v>77</v>
      </c>
      <c r="D5" s="14" t="s">
        <v>78</v>
      </c>
    </row>
    <row r="6" customFormat="false" ht="30" hidden="false" customHeight="true" outlineLevel="0" collapsed="false">
      <c r="A6" s="35" t="s">
        <v>79</v>
      </c>
      <c r="B6" s="36" t="s">
        <v>80</v>
      </c>
      <c r="C6" s="37" t="n">
        <f aca="false">IFERROR(IF(SUM(tblDoviz[Tutar (Döviz)])=0,0,SUMIFS(tblDoviz[Tutar (Döviz)],tblDoviz[Vade],"0-30 Gün")/SUM(tblDoviz[Tutar (Döviz)])),0)</f>
        <v>0.553846153846154</v>
      </c>
      <c r="D6" s="38" t="str">
        <f aca="false">_xlfn.TEXTJOIN("; ",TRUE(),"Kısa vadeli (0-30 gün) pozisyon payı ",TEXT(C6,"0.0%")," — pay yüksekse kur riski hızla realize olur")</f>
        <v>Kısa vadeli (0-30 gün) pozisyon payı ; 55%;  — pay yüksekse kur riski hızla realize olur</v>
      </c>
    </row>
    <row r="7" customFormat="false" ht="30" hidden="false" customHeight="true" outlineLevel="0" collapsed="false">
      <c r="A7" s="35" t="s">
        <v>81</v>
      </c>
      <c r="B7" s="36" t="s">
        <v>82</v>
      </c>
      <c r="C7" s="37" t="n">
        <f aca="false">IFERROR(AVERAGE(tblDoviz[İşlem Kuru]),0)</f>
        <v>38.11</v>
      </c>
      <c r="D7" s="38" t="str">
        <f aca="false">_xlfn.TEXTJOIN("; ",TRUE(),"Ortalama işlem kuru ",TEXT(C7,"0.0000")," TL — kur eğiliminin ortalama seviyesini gösterir")</f>
        <v>Ortalama işlem kuru ; 00.038;  TL — kur eğiliminin ortalama seviyesini gösterir</v>
      </c>
    </row>
    <row r="8" customFormat="false" ht="30" hidden="false" customHeight="true" outlineLevel="0" collapsed="false">
      <c r="A8" s="35" t="s">
        <v>83</v>
      </c>
      <c r="B8" s="36" t="s">
        <v>84</v>
      </c>
      <c r="C8" s="37" t="n">
        <f aca="false">IFERROR(stdev.p(tblDoviz[İşlem Kuru]),0)</f>
        <v>0</v>
      </c>
      <c r="D8" s="38" t="str">
        <f aca="false">_xlfn.TEXTJOIN("; ",TRUE(),"İşlem kurlarındaki standart sapma ",TEXT(C8,"0.0000")," — sapma yüksekse kur dalgalanması belirgindir")</f>
        <v>İşlem kurlarındaki standart sapma ; 00.000;  — sapma yüksekse kur dalgalanması belirgindir</v>
      </c>
    </row>
    <row r="9" customFormat="false" ht="30" hidden="false" customHeight="true" outlineLevel="0" collapsed="false">
      <c r="A9" s="35" t="s">
        <v>85</v>
      </c>
      <c r="B9" s="36" t="s">
        <v>86</v>
      </c>
      <c r="C9" s="37" t="n">
        <f aca="false">MAX(HESAP!I6:I10)</f>
        <v>285200</v>
      </c>
      <c r="D9" s="38" t="str">
        <f aca="false">_xlfn.TEXTJOIN("; ",TRUE(),"Kötümser şokta en yüksek etki ",TEXT(C9,"₺ #,##0")," TL — öncelik bu döviz cinsinin izlenmesinde")</f>
        <v>Kötümser şokta en yüksek etki ; ₺ 285200,000;  TL — öncelik bu döviz cinsinin izlenmesinde</v>
      </c>
    </row>
    <row r="10" customFormat="false" ht="30" hidden="false" customHeight="true" outlineLevel="0" collapsed="false">
      <c r="A10" s="35" t="s">
        <v>87</v>
      </c>
      <c r="B10" s="36" t="s">
        <v>88</v>
      </c>
      <c r="C10" s="37" t="n">
        <f aca="false">SENARYO_DUYARLILIK!C7-SENARYO_DUYARLILIK!C10</f>
        <v>-159282</v>
      </c>
      <c r="D10" s="38" t="str">
        <f aca="false">_xlfn.TEXTJOIN("; ",TRUE(),"İyimser ile kritik senaryo TL etkisi farkı ",TEXT(C10,"₺ #,##0")," TL — belirsizlik aralığını gösterir")</f>
        <v>İyimser ile kritik senaryo TL etkisi farkı ; -₺ 159282,000;  TL — belirsizlik aralığını gösterir</v>
      </c>
    </row>
    <row r="11" customFormat="false" ht="30" hidden="false" customHeight="true" outlineLevel="0" collapsed="false">
      <c r="A11" s="35" t="s">
        <v>89</v>
      </c>
      <c r="B11" s="36" t="s">
        <v>90</v>
      </c>
      <c r="C11" s="37" t="n">
        <f aca="false">IFERROR(SUMPRODUCT((HESAP!$H$6:$H$10/SUM(ABS(HESAP!$H$6:$H$10)))^2),0)</f>
        <v>0.342611165611486</v>
      </c>
      <c r="D11" s="38" t="str">
        <f aca="false">_xlfn.TEXTJOIN("; ",TRUE(),"Döviz yoğunlaşma endeksi ",TEXT(C11,"0.000")," — 1 e yaklaştıkça risk tek cinsten gelir")</f>
        <v>Döviz yoğunlaşma endeksi ; 0.000;  — 1 e yaklaştıkça risk tek cinsten gelir</v>
      </c>
    </row>
    <row r="12" customFormat="false" ht="30" hidden="false" customHeight="true" outlineLevel="0" collapsed="false">
      <c r="A12" s="35" t="s">
        <v>91</v>
      </c>
      <c r="B12" s="36" t="s">
        <v>92</v>
      </c>
      <c r="C12" s="39" t="n">
        <f aca="false">KONTROLLER!B19</f>
        <v>50</v>
      </c>
      <c r="D12" s="38" t="str">
        <f aca="false">_xlfn.TEXTJOIN("; ",TRUE(),"Veri kalite skoru ",TEXT(C12,"0")," puan — ",IF(C12&gt;=DovizKaliteIyi,"yüksek güven","veri girişi tamamlanmalı"))</f>
        <v>Veri kalite skoru ; 50;  puan — ; veri girişi tamamlanmalı</v>
      </c>
    </row>
    <row r="13" customFormat="false" ht="30" hidden="false" customHeight="true" outlineLevel="0" collapsed="false">
      <c r="A13" s="35" t="s">
        <v>93</v>
      </c>
      <c r="B13" s="36" t="s">
        <v>94</v>
      </c>
      <c r="C13" s="28" t="n">
        <f aca="false">PANO!B24</f>
        <v>0</v>
      </c>
      <c r="D13" s="38" t="str">
        <f aca="false">_xlfn.TEXTJOIN("; ",TRUE(),"Gelecek dönem kur tahmini ",TEXT(C13,"0.0000")," TL — güven bandı için alt/üst sınır PANO sayfasındadır")</f>
        <v>Gelecek dönem kur tahmini ; 00.000;  TL — güven bandı için alt/üst sınır PANO sayfasındadır</v>
      </c>
    </row>
    <row r="14" customFormat="false" ht="30" hidden="false" customHeight="true" outlineLevel="0" collapsed="false">
      <c r="A14" s="35" t="s">
        <v>95</v>
      </c>
      <c r="B14" s="36" t="s">
        <v>96</v>
      </c>
      <c r="C14" s="37" t="n">
        <f aca="false">IFERROR(_xlfn.PERCENTILE.INC(tblDoviz[Tutar (Döviz)],DovizP90Oran),0)</f>
        <v>32000</v>
      </c>
      <c r="D14" s="38" t="str">
        <f aca="false">_xlfn.TEXTJOIN("; ",TRUE(),"Pozisyon tutarlarının %90 ı ",TEXT(C14,"#,##0.00")," altında gerçekleşir — üst sınır nakit planı için kullanılabilir")</f>
        <v>Pozisyon tutarlarının %90 ı ; 32.000,00;  altında gerçekleşir — üst sınır nakit planı için kullanılabilir</v>
      </c>
    </row>
  </sheetData>
  <sheetProtection sheet="true" password="cc3d" objects="true" scenarios="true" deleteColumns="false" deleteRows="false"/>
  <mergeCells count="2">
    <mergeCell ref="A1:AD1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55"/>
  </cols>
  <sheetData>
    <row r="1" customFormat="false" ht="25.5" hidden="false" customHeight="true" outlineLevel="0" collapsed="false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98</v>
      </c>
    </row>
    <row r="4" customFormat="false" ht="28.35" hidden="false" customHeight="false" outlineLevel="0" collapsed="false">
      <c r="A4" s="13" t="s">
        <v>99</v>
      </c>
    </row>
    <row r="6" customFormat="false" ht="15" hidden="false" customHeight="false" outlineLevel="0" collapsed="false">
      <c r="A6" s="6" t="s">
        <v>100</v>
      </c>
      <c r="B6" s="37" t="str">
        <f aca="false">IF(COUNTBLANK(tblDoviz[Döviz Cinsi])=0,"TEMİZ","BOŞ VAR")</f>
        <v>BOŞ VAR</v>
      </c>
    </row>
    <row r="7" customFormat="false" ht="15" hidden="false" customHeight="false" outlineLevel="0" collapsed="false">
      <c r="A7" s="6" t="s">
        <v>101</v>
      </c>
      <c r="B7" s="37" t="str">
        <f aca="false">IF(COUNTBLANK(tblDoviz[Tutar (Döviz)])=0,"TEMİZ","BOŞ VAR")</f>
        <v>BOŞ VAR</v>
      </c>
    </row>
    <row r="8" customFormat="false" ht="15" hidden="false" customHeight="false" outlineLevel="0" collapsed="false">
      <c r="A8" s="6" t="s">
        <v>102</v>
      </c>
      <c r="B8" s="37" t="str">
        <f aca="false">IF(COUNTIF(tblDoviz[Tutar (Döviz)],"&lt;0")=0,"TEMİZ","NEGATİF VAR")</f>
        <v>TEMİZ</v>
      </c>
    </row>
    <row r="9" customFormat="false" ht="15" hidden="false" customHeight="false" outlineLevel="0" collapsed="false">
      <c r="A9" s="6" t="s">
        <v>103</v>
      </c>
      <c r="B9" s="37" t="str">
        <f aca="false">IF(COUNTIF(tblDoviz[İşlem Kuru],"&lt;0")=0,"TEMİZ","NEGATİF VAR")</f>
        <v>TEMİZ</v>
      </c>
    </row>
    <row r="10" customFormat="false" ht="15" hidden="false" customHeight="false" outlineLevel="0" collapsed="false">
      <c r="A10" s="6" t="s">
        <v>104</v>
      </c>
      <c r="B10" s="37" t="str">
        <f aca="false">IF(COUNTBLANK(tblDoviz[Vade])=0,"TEMİZ","BOŞ VAR")</f>
        <v>BOŞ VAR</v>
      </c>
    </row>
    <row r="11" customFormat="false" ht="15" hidden="false" customHeight="false" outlineLevel="0" collapsed="false">
      <c r="A11" s="6" t="s">
        <v>105</v>
      </c>
      <c r="B11" s="37" t="str">
        <f aca="false">IF(ABS(HESAP!B13)&gt;DovizAcikEsik,"AŞIYOR","NORMAL")</f>
        <v>NORMAL</v>
      </c>
    </row>
    <row r="12" customFormat="false" ht="15" hidden="false" customHeight="false" outlineLevel="0" collapsed="false">
      <c r="A12" s="6" t="s">
        <v>106</v>
      </c>
      <c r="B12" s="37" t="str">
        <f aca="false">IF(HESAP!B16&gt;DovizStresEtkiEsik,"AŞIYOR","NORMAL")</f>
        <v>NORMAL</v>
      </c>
    </row>
    <row r="13" customFormat="false" ht="15" hidden="false" customHeight="false" outlineLevel="0" collapsed="false">
      <c r="A13" s="6" t="s">
        <v>107</v>
      </c>
      <c r="B13" s="37" t="str">
        <f aca="false">IF(ANALITIK_MOTOR!C8&gt;DovizKurSapmaEsik,"YÜKSEK","NORMAL")</f>
        <v>NORMAL</v>
      </c>
    </row>
    <row r="15" customFormat="false" ht="15" hidden="false" customHeight="false" outlineLevel="0" collapsed="false">
      <c r="A15" s="4" t="s">
        <v>108</v>
      </c>
    </row>
    <row r="16" customFormat="false" ht="28.35" hidden="false" customHeight="false" outlineLevel="0" collapsed="false">
      <c r="A16" s="13" t="s">
        <v>109</v>
      </c>
    </row>
    <row r="17" customFormat="false" ht="15" hidden="false" customHeight="false" outlineLevel="0" collapsed="false">
      <c r="A17" s="6" t="s">
        <v>110</v>
      </c>
      <c r="B17" s="39" t="n">
        <f aca="false">COUNTA(tblDoviz[Döviz Cinsi])*COUNTA(tblDoviz[#Headers])</f>
        <v>80</v>
      </c>
    </row>
    <row r="18" customFormat="false" ht="15" hidden="false" customHeight="false" outlineLevel="0" collapsed="false">
      <c r="A18" s="6" t="s">
        <v>111</v>
      </c>
      <c r="B18" s="39" t="n">
        <f aca="false">COUNTA(tblDoviz[Döviz Cinsi])+COUNTA(tblDoviz[Tutar (Döviz)])+COUNTA(tblDoviz[İşlem Kuru])+COUNTA(tblDoviz[Vade])</f>
        <v>40</v>
      </c>
    </row>
    <row r="19" customFormat="false" ht="15" hidden="false" customHeight="false" outlineLevel="0" collapsed="false">
      <c r="A19" s="26" t="s">
        <v>112</v>
      </c>
      <c r="B19" s="40" t="n">
        <f aca="false">ROUND(IF(DovizToplamGiris=0,0,DovizDoluGiris/DovizToplamGiris*100),0)</f>
        <v>50</v>
      </c>
    </row>
    <row r="20" customFormat="false" ht="15" hidden="false" customHeight="false" outlineLevel="0" collapsed="false">
      <c r="A20" s="6" t="s">
        <v>113</v>
      </c>
      <c r="B20" s="37" t="str">
        <f aca="false">IF(B19&gt;=DovizKaliteIyi,"YÜKSEK",IF(B19&gt;=DovizKaliteOrta,"ORTA","DÜŞÜK"))</f>
        <v>DÜŞÜK</v>
      </c>
    </row>
    <row r="22" customFormat="false" ht="19.5" hidden="false" customHeight="true" outlineLevel="0" collapsed="false">
      <c r="A22" s="25" t="s">
        <v>114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</row>
  </sheetData>
  <sheetProtection sheet="true" password="cc3d" objects="true" scenarios="true" deleteColumns="false" deleteRows="false"/>
  <mergeCells count="2">
    <mergeCell ref="A1:AD1"/>
    <mergeCell ref="A22:AN22"/>
  </mergeCells>
  <conditionalFormatting sqref="B6:B13">
    <cfRule type="cellIs" priority="2" operator="equal" aboveAverage="0" equalAverage="0" bottom="0" percent="0" rank="0" text="" dxfId="9">
      <formula>"BOŞ VAR"</formula>
    </cfRule>
    <cfRule type="cellIs" priority="3" operator="equal" aboveAverage="0" equalAverage="0" bottom="0" percent="0" rank="0" text="" dxfId="9">
      <formula>"NEGATİF VAR"</formula>
    </cfRule>
    <cfRule type="cellIs" priority="4" operator="equal" aboveAverage="0" equalAverage="0" bottom="0" percent="0" rank="0" text="" dxfId="9">
      <formula>"AŞIYOR"</formula>
    </cfRule>
    <cfRule type="cellIs" priority="5" operator="equal" aboveAverage="0" equalAverage="0" bottom="0" percent="0" rank="0" text="" dxfId="9">
      <formula>"YÜKSEK"</formula>
    </cfRule>
    <cfRule type="cellIs" priority="6" operator="equal" aboveAverage="0" equalAverage="0" bottom="0" percent="0" rank="0" text="" dxfId="8">
      <formula>"TEMİZ"</formula>
    </cfRule>
    <cfRule type="cellIs" priority="7" operator="equal" aboveAverage="0" equalAverage="0" bottom="0" percent="0" rank="0" text="" dxfId="8">
      <formula>"NORMAL"</formula>
    </cfRule>
  </conditionalFormatting>
  <conditionalFormatting sqref="B19">
    <cfRule type="cellIs" priority="8" operator="lessThan" aboveAverage="0" equalAverage="0" bottom="0" percent="0" rank="0" text="" dxfId="7">
      <formula>70</formula>
    </cfRule>
    <cfRule type="cellIs" priority="9" operator="between" aboveAverage="0" equalAverage="0" bottom="0" percent="0" rank="0" text="" dxfId="10">
      <formula>70</formula>
      <formula>90</formula>
    </cfRule>
    <cfRule type="cellIs" priority="10" operator="greaterThanOrEqual" aboveAverage="0" equalAverage="0" bottom="0" percent="0" rank="0" text="" dxfId="8">
      <formula>90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60"/>
  </cols>
  <sheetData>
    <row r="1" customFormat="false" ht="25.5" hidden="false" customHeight="true" outlineLevel="0" collapsed="false">
      <c r="A1" s="1" t="s">
        <v>115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116</v>
      </c>
    </row>
    <row r="4" customFormat="false" ht="28.35" hidden="false" customHeight="false" outlineLevel="0" collapsed="false">
      <c r="A4" s="13" t="s">
        <v>117</v>
      </c>
    </row>
    <row r="6" customFormat="false" ht="15" hidden="false" customHeight="false" outlineLevel="0" collapsed="false">
      <c r="A6" s="6" t="s">
        <v>67</v>
      </c>
      <c r="B6" s="32" t="n">
        <f aca="false">HESAP!B13</f>
        <v>637125</v>
      </c>
    </row>
    <row r="7" customFormat="false" ht="15" hidden="false" customHeight="false" outlineLevel="0" collapsed="false">
      <c r="A7" s="6" t="s">
        <v>118</v>
      </c>
      <c r="B7" s="29" t="n">
        <f aca="false">HESAP!B16</f>
        <v>127425</v>
      </c>
    </row>
    <row r="8" customFormat="false" ht="15" hidden="false" customHeight="false" outlineLevel="0" collapsed="false">
      <c r="A8" s="6" t="s">
        <v>119</v>
      </c>
      <c r="B8" s="28" t="n">
        <f aca="false">ANALITIK_MOTOR!C8</f>
        <v>0</v>
      </c>
    </row>
    <row r="9" customFormat="false" ht="15" hidden="false" customHeight="false" outlineLevel="0" collapsed="false">
      <c r="A9" s="6" t="s">
        <v>120</v>
      </c>
      <c r="B9" s="37" t="str">
        <f aca="false">HESAP!B15</f>
        <v>FAZLA VARLIK</v>
      </c>
    </row>
    <row r="11" customFormat="false" ht="21.6" hidden="false" customHeight="false" outlineLevel="0" collapsed="false">
      <c r="A11" s="41" t="s">
        <v>121</v>
      </c>
      <c r="B11" s="42" t="str">
        <f aca="false">IF(COUNTA(tblDoviz[Döviz Cinsi])=0,"VERİ YOK",IF(COUNTIF(tblDoviz[Tutar (Döviz)],"&lt;0")&gt;0,"DURDUR",IF(ABS(HESAP!B13)&gt;DovizAcikEsik,"DURDUR",IF(SUM(tblDoviz[TL Değer (₺)])&gt;DovizHacimEsik,"İNCELE",IF(HESAP!B16&gt;DovizStresEtkiEsik,"İNCELE","UYGUN")))))</f>
        <v>UYGUN</v>
      </c>
    </row>
    <row r="12" customFormat="false" ht="15" hidden="false" customHeight="false" outlineLevel="0" collapsed="false">
      <c r="A12" s="26" t="s">
        <v>122</v>
      </c>
      <c r="B12" s="43" t="str">
        <f aca="false">IF(COUNTIF(tblDoviz[Tutar (Döviz)],"&lt;0")&gt;0,"Negatif tutar girişi tespit edildi; veriler mutlaka düzeltilmeli.",IF(ABS(HESAP!B13)&gt;DovizAcikEsik,"Açık pozisyon eşiğin üzerinde; pozisyon küçültülmeli veya hedge planı yapılmalı.",IF(SUM(tblDoviz[TL Değer (₺)])&gt;DovizHacimEsik,"Toplam işlem hacmi eşiğin üzerinde; pozisyon yoğunluğu incelenmeli.",IF(HESAP!B16&gt;DovizStresEtkiEsik,"Stres etkisi eşiğin üzerinde; kur korumalı mevduat veya forward değerlendirilmeli.","Karar kapısı uygun: açık pozisyon ve stres etkisi hedef aralıkta."))))</f>
        <v>Karar kapısı uygun: açık pozisyon ve stres etkisi hedef aralıkta.</v>
      </c>
      <c r="C12" s="43"/>
      <c r="D12" s="43"/>
      <c r="E12" s="43"/>
      <c r="F12" s="43"/>
      <c r="G12" s="43"/>
      <c r="H12" s="43"/>
      <c r="I12" s="43"/>
      <c r="J12" s="43"/>
    </row>
    <row r="14" customFormat="false" ht="15" hidden="false" customHeight="false" outlineLevel="0" collapsed="false">
      <c r="A14" s="4" t="s">
        <v>123</v>
      </c>
    </row>
    <row r="15" customFormat="false" ht="15" hidden="false" customHeight="false" outlineLevel="0" collapsed="false">
      <c r="A15" s="6" t="s">
        <v>124</v>
      </c>
      <c r="B15" s="43" t="str">
        <f aca="false">DovizAksiyon1_ACIKLAMA</f>
        <v>Açık pozisyon eşiği aşılıyorsa pozisyonu küçültün; döviz borcunu TL gelirle dengeleyin.</v>
      </c>
      <c r="C15" s="43"/>
      <c r="D15" s="43"/>
      <c r="E15" s="43"/>
      <c r="F15" s="43"/>
      <c r="G15" s="43"/>
      <c r="H15" s="43"/>
      <c r="I15" s="43"/>
      <c r="J15" s="43"/>
    </row>
    <row r="16" customFormat="false" ht="15" hidden="false" customHeight="false" outlineLevel="0" collapsed="false">
      <c r="A16" s="6" t="s">
        <v>125</v>
      </c>
      <c r="B16" s="43" t="str">
        <f aca="false">DovizAksiyon2_ACIKLAMA</f>
        <v>Stres etkisi yüksekse kur korumalı mevduat veya forward sözleşmesi değerlendirin.</v>
      </c>
      <c r="C16" s="43"/>
      <c r="D16" s="43"/>
      <c r="E16" s="43"/>
      <c r="F16" s="43"/>
      <c r="G16" s="43"/>
      <c r="H16" s="43"/>
      <c r="I16" s="43"/>
      <c r="J16" s="43"/>
    </row>
    <row r="17" customFormat="false" ht="15" hidden="false" customHeight="false" outlineLevel="0" collapsed="false">
      <c r="A17" s="6" t="s">
        <v>126</v>
      </c>
      <c r="B17" s="43" t="str">
        <f aca="false">DovizAksiyon3_ACIKLAMA</f>
        <v>Kur sapması yüksekse döviz alacaklarınızı hızlandırın ve ithalat planınızı gözden geçirin.</v>
      </c>
      <c r="C17" s="43"/>
      <c r="D17" s="43"/>
      <c r="E17" s="43"/>
      <c r="F17" s="43"/>
      <c r="G17" s="43"/>
      <c r="H17" s="43"/>
      <c r="I17" s="43"/>
      <c r="J17" s="43"/>
    </row>
    <row r="19" customFormat="false" ht="19.5" hidden="false" customHeight="true" outlineLevel="0" collapsed="false">
      <c r="A19" s="25" t="s">
        <v>127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</row>
  </sheetData>
  <sheetProtection sheet="true" password="cc3d" objects="true" scenarios="true" deleteColumns="false" deleteRows="false"/>
  <mergeCells count="6">
    <mergeCell ref="A1:AD1"/>
    <mergeCell ref="B12:J12"/>
    <mergeCell ref="B15:J15"/>
    <mergeCell ref="B16:J16"/>
    <mergeCell ref="B17:J17"/>
    <mergeCell ref="A19:AN19"/>
  </mergeCells>
  <conditionalFormatting sqref="B11">
    <cfRule type="cellIs" priority="2" operator="equal" aboveAverage="0" equalAverage="0" bottom="0" percent="0" rank="0" text="" dxfId="11">
      <formula>"UYGUN"</formula>
    </cfRule>
    <cfRule type="cellIs" priority="3" operator="equal" aboveAverage="0" equalAverage="0" bottom="0" percent="0" rank="0" text="" dxfId="12">
      <formula>"İNCELE"</formula>
    </cfRule>
    <cfRule type="cellIs" priority="4" operator="equal" aboveAverage="0" equalAverage="0" bottom="0" percent="0" rank="0" text="" dxfId="9">
      <formula>"DURDUR"</formula>
    </cfRule>
  </conditionalFormatting>
  <conditionalFormatting sqref="B6">
    <cfRule type="cellIs" priority="5" operator="lessThan" aboveAverage="0" equalAverage="0" bottom="0" percent="0" rank="0" text="" dxfId="7">
      <formula>0</formula>
    </cfRule>
  </conditionalFormatting>
  <conditionalFormatting sqref="B7">
    <cfRule type="cellIs" priority="6" operator="greaterThan" aboveAverage="0" equalAverage="0" bottom="0" percent="0" rank="0" text="" dxfId="10">
      <formula>400000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N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6" min="2" style="0" width="22"/>
  </cols>
  <sheetData>
    <row r="1" customFormat="false" ht="25.5" hidden="false" customHeight="true" outlineLevel="0" collapsed="false">
      <c r="A1" s="1" t="s">
        <v>128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7.35" hidden="false" customHeight="false" outlineLevel="0" collapsed="false">
      <c r="A3" s="41" t="s">
        <v>129</v>
      </c>
      <c r="B3" s="44" t="s">
        <v>130</v>
      </c>
      <c r="C3" s="44" t="s">
        <v>131</v>
      </c>
      <c r="D3" s="44" t="s">
        <v>67</v>
      </c>
      <c r="E3" s="44" t="s">
        <v>132</v>
      </c>
      <c r="F3" s="44" t="s">
        <v>60</v>
      </c>
      <c r="G3" s="44" t="s">
        <v>112</v>
      </c>
    </row>
    <row r="4" customFormat="false" ht="15" hidden="false" customHeight="false" outlineLevel="0" collapsed="false">
      <c r="B4" s="45" t="n">
        <f aca="false">HESAP!F11</f>
        <v>3957625</v>
      </c>
      <c r="C4" s="45" t="n">
        <f aca="false">HESAP!G11</f>
        <v>3320500</v>
      </c>
      <c r="D4" s="45" t="n">
        <f aca="false">HESAP!H11</f>
        <v>637125</v>
      </c>
      <c r="E4" s="45" t="n">
        <f aca="false">HESAP!I11</f>
        <v>127425</v>
      </c>
      <c r="F4" s="46" t="n">
        <f aca="false">ANALITIK_MOTOR!C7</f>
        <v>38.11</v>
      </c>
      <c r="G4" s="47" t="n">
        <f aca="false">KONTROLLER!B19</f>
        <v>50</v>
      </c>
    </row>
    <row r="6" customFormat="false" ht="18.65" hidden="false" customHeight="false" outlineLevel="0" collapsed="false">
      <c r="A6" s="48" t="s">
        <v>133</v>
      </c>
      <c r="B6" s="49" t="str">
        <f aca="false">KARAR!B11</f>
        <v>UYGUN</v>
      </c>
      <c r="D6" s="48" t="s">
        <v>134</v>
      </c>
      <c r="E6" s="49" t="str">
        <f aca="false">HESAP!B17</f>
        <v>USD</v>
      </c>
    </row>
    <row r="10" customFormat="false" ht="15" hidden="false" customHeight="false" outlineLevel="0" collapsed="false">
      <c r="A10" s="30" t="s">
        <v>135</v>
      </c>
      <c r="D10" s="30" t="s">
        <v>136</v>
      </c>
    </row>
    <row r="11" customFormat="false" ht="15" hidden="false" customHeight="false" outlineLevel="0" collapsed="false">
      <c r="A11" s="50" t="s">
        <v>42</v>
      </c>
      <c r="B11" s="29" t="n">
        <f aca="false">HESAP!H11</f>
        <v>637125</v>
      </c>
      <c r="C11" s="29" t="n">
        <f aca="false">HESAP!I11</f>
        <v>127425</v>
      </c>
      <c r="D11" s="50" t="s">
        <v>137</v>
      </c>
      <c r="E11" s="27" t="n">
        <f aca="false">IFERROR(INDEX(tblDoviz[Tutar (Döviz)],AYARLAR!$B$28),0)</f>
        <v>0</v>
      </c>
      <c r="F11" s="29" t="n">
        <f aca="false">HESAP!I11</f>
        <v>127425</v>
      </c>
    </row>
    <row r="12" customFormat="false" ht="15" hidden="false" customHeight="false" outlineLevel="0" collapsed="false">
      <c r="A12" s="50" t="s">
        <v>45</v>
      </c>
      <c r="B12" s="29" t="n">
        <f aca="false">HESAP!H12</f>
        <v>0</v>
      </c>
      <c r="C12" s="29" t="n">
        <f aca="false">HESAP!I12</f>
        <v>0</v>
      </c>
      <c r="D12" s="50" t="s">
        <v>138</v>
      </c>
      <c r="E12" s="27" t="n">
        <f aca="false">IFERROR(INDEX(tblDoviz[Tutar (Döviz)],AYARLAR!$B$29),0)</f>
        <v>50000</v>
      </c>
      <c r="F12" s="29" t="n">
        <f aca="false">HESAP!I12</f>
        <v>0</v>
      </c>
    </row>
    <row r="13" customFormat="false" ht="15" hidden="false" customHeight="false" outlineLevel="0" collapsed="false">
      <c r="A13" s="50" t="s">
        <v>48</v>
      </c>
      <c r="B13" s="29" t="n">
        <f aca="false">HESAP!H13</f>
        <v>0</v>
      </c>
      <c r="C13" s="29" t="n">
        <f aca="false">HESAP!I13</f>
        <v>0</v>
      </c>
      <c r="D13" s="50" t="s">
        <v>139</v>
      </c>
      <c r="E13" s="27" t="n">
        <f aca="false">IFERROR(INDEX(tblDoviz[Tutar (Döviz)],AYARLAR!$B$30),0)</f>
        <v>30000</v>
      </c>
      <c r="F13" s="29" t="n">
        <f aca="false">HESAP!I13</f>
        <v>0</v>
      </c>
    </row>
    <row r="14" customFormat="false" ht="15" hidden="false" customHeight="false" outlineLevel="0" collapsed="false">
      <c r="A14" s="50" t="s">
        <v>50</v>
      </c>
      <c r="B14" s="29" t="n">
        <f aca="false">HESAP!H14</f>
        <v>0</v>
      </c>
      <c r="C14" s="29" t="n">
        <f aca="false">HESAP!I14</f>
        <v>0</v>
      </c>
      <c r="D14" s="50" t="s">
        <v>140</v>
      </c>
      <c r="E14" s="27" t="n">
        <f aca="false">IFERROR(INDEX(tblDoviz[Tutar (Döviz)],AYARLAR!$B$31),0)</f>
        <v>20000</v>
      </c>
      <c r="F14" s="29" t="n">
        <f aca="false">HESAP!I14</f>
        <v>0</v>
      </c>
    </row>
    <row r="15" customFormat="false" ht="15" hidden="false" customHeight="false" outlineLevel="0" collapsed="false">
      <c r="A15" s="50" t="s">
        <v>65</v>
      </c>
      <c r="B15" s="29" t="n">
        <f aca="false">HESAP!H15</f>
        <v>0</v>
      </c>
      <c r="C15" s="29" t="n">
        <f aca="false">HESAP!I15</f>
        <v>0</v>
      </c>
      <c r="D15" s="50" t="s">
        <v>141</v>
      </c>
      <c r="E15" s="27" t="n">
        <f aca="false">IFERROR(INDEX(tblDoviz[Tutar (Döviz)],AYARLAR!$B$32),0)</f>
        <v>15000</v>
      </c>
      <c r="F15" s="29" t="n">
        <f aca="false">HESAP!I15</f>
        <v>0</v>
      </c>
    </row>
    <row r="16" customFormat="false" ht="15" hidden="false" customHeight="false" outlineLevel="0" collapsed="false">
      <c r="D16" s="50" t="s">
        <v>142</v>
      </c>
      <c r="E16" s="27" t="n">
        <f aca="false">IFERROR(INDEX(tblDoviz[Tutar (Döviz)],AYARLAR!$B$33),0)</f>
        <v>10000</v>
      </c>
    </row>
    <row r="17" customFormat="false" ht="15" hidden="false" customHeight="false" outlineLevel="0" collapsed="false">
      <c r="D17" s="50" t="s">
        <v>143</v>
      </c>
      <c r="E17" s="27" t="n">
        <f aca="false">IFERROR(INDEX(tblDoviz[Tutar (Döviz)],AYARLAR!$B$34),0)</f>
        <v>25000</v>
      </c>
    </row>
    <row r="18" customFormat="false" ht="15" hidden="false" customHeight="false" outlineLevel="0" collapsed="false">
      <c r="D18" s="50" t="s">
        <v>144</v>
      </c>
      <c r="E18" s="27" t="n">
        <f aca="false">IFERROR(INDEX(tblDoviz[Tutar (Döviz)],AYARLAR!$B$35),0)</f>
        <v>12000</v>
      </c>
    </row>
    <row r="19" customFormat="false" ht="15" hidden="false" customHeight="false" outlineLevel="0" collapsed="false">
      <c r="D19" s="50" t="s">
        <v>145</v>
      </c>
      <c r="E19" s="27" t="n">
        <f aca="false">IFERROR(INDEX(tblDoviz[Tutar (Döviz)],AYARLAR!$B$36),0)</f>
        <v>8000</v>
      </c>
    </row>
    <row r="20" customFormat="false" ht="15" hidden="false" customHeight="false" outlineLevel="0" collapsed="false">
      <c r="D20" s="50" t="s">
        <v>146</v>
      </c>
      <c r="E20" s="27" t="n">
        <f aca="false">IFERROR(INDEX(tblDoviz[Tutar (Döviz)],AYARLAR!$B$37),0)</f>
        <v>15000</v>
      </c>
    </row>
    <row r="21" customFormat="false" ht="15" hidden="false" customHeight="false" outlineLevel="0" collapsed="false">
      <c r="D21" s="50" t="s">
        <v>147</v>
      </c>
      <c r="E21" s="27" t="n">
        <f aca="false">IFERROR(INDEX(tblDoviz[Tutar (Döviz)],AYARLAR!$B$38),0)</f>
        <v>10000</v>
      </c>
    </row>
    <row r="22" customFormat="false" ht="15" hidden="false" customHeight="false" outlineLevel="0" collapsed="false">
      <c r="D22" s="50" t="s">
        <v>148</v>
      </c>
      <c r="E22" s="27" t="n">
        <f aca="false">IFERROR(INDEX(tblDoviz[Tutar (Döviz)],AYARLAR!$B$39),0)</f>
        <v>0</v>
      </c>
    </row>
    <row r="24" customFormat="false" ht="15" hidden="false" customHeight="false" outlineLevel="0" collapsed="false">
      <c r="A24" s="30" t="s">
        <v>149</v>
      </c>
      <c r="B24" s="28" t="n">
        <f aca="false">ROUND(IFERROR(forecast.lınear(DovizPanelSatir12,tblDoviz[İşlem Kuru],ROW(tblDoviz[İşlem Kuru])-ROW(tblDoviz[[#Headers],[İşlem Kuru]])),0),4)</f>
        <v>0</v>
      </c>
    </row>
    <row r="25" customFormat="false" ht="15" hidden="false" customHeight="false" outlineLevel="0" collapsed="false">
      <c r="A25" s="6" t="s">
        <v>150</v>
      </c>
      <c r="B25" s="28" t="n">
        <f aca="false">ROUND(IFERROR(AVERAGE(tblDoviz[İşlem Kuru]),0),4)</f>
        <v>38.11</v>
      </c>
    </row>
    <row r="26" customFormat="false" ht="15" hidden="false" customHeight="false" outlineLevel="0" collapsed="false">
      <c r="A26" s="6" t="s">
        <v>151</v>
      </c>
      <c r="B26" s="28" t="n">
        <f aca="false">ROUND(IFERROR(stdev.p(INDEX(tblDoviz[İşlem Kuru],DovizPanelSatir1):INDEX(tblDoviz[İşlem Kuru],DovizPanelSatir12)),0),4)</f>
        <v>0</v>
      </c>
    </row>
    <row r="27" customFormat="false" ht="15" hidden="false" customHeight="false" outlineLevel="0" collapsed="false">
      <c r="A27" s="6" t="s">
        <v>152</v>
      </c>
      <c r="B27" s="28" t="n">
        <f aca="false">B25-B26*DovizTahminCarpan</f>
        <v>38.11</v>
      </c>
    </row>
    <row r="28" customFormat="false" ht="15" hidden="false" customHeight="false" outlineLevel="0" collapsed="false">
      <c r="A28" s="6" t="s">
        <v>153</v>
      </c>
      <c r="B28" s="28" t="n">
        <f aca="false">B25+B26*DovizTahminCarpan</f>
        <v>38.11</v>
      </c>
    </row>
    <row r="29" customFormat="false" ht="15" hidden="false" customHeight="false" outlineLevel="0" collapsed="false">
      <c r="C29" s="30" t="s">
        <v>154</v>
      </c>
    </row>
    <row r="30" customFormat="false" ht="15" hidden="false" customHeight="false" outlineLevel="0" collapsed="false">
      <c r="C30" s="29" t="n">
        <f aca="false">SENARYO_DUYARLILIK!C7</f>
        <v>31856</v>
      </c>
      <c r="D30" s="50" t="s">
        <v>155</v>
      </c>
    </row>
    <row r="31" customFormat="false" ht="15" hidden="false" customHeight="false" outlineLevel="0" collapsed="false">
      <c r="C31" s="29" t="n">
        <f aca="false">SENARYO_DUYARLILIK!C8</f>
        <v>0</v>
      </c>
      <c r="D31" s="50" t="s">
        <v>156</v>
      </c>
    </row>
    <row r="32" customFormat="false" ht="15" hidden="false" customHeight="false" outlineLevel="0" collapsed="false">
      <c r="C32" s="29" t="n">
        <f aca="false">SENARYO_DUYARLILIK!C9</f>
        <v>63713</v>
      </c>
      <c r="D32" s="50" t="s">
        <v>157</v>
      </c>
    </row>
    <row r="33" customFormat="false" ht="15" hidden="false" customHeight="false" outlineLevel="0" collapsed="false">
      <c r="C33" s="29" t="n">
        <f aca="false">SENARYO_DUYARLILIK!C10</f>
        <v>191138</v>
      </c>
      <c r="D33" s="50" t="s">
        <v>158</v>
      </c>
    </row>
    <row r="56" customFormat="false" ht="19.5" hidden="false" customHeight="true" outlineLevel="0" collapsed="false">
      <c r="A56" s="25" t="s">
        <v>159</v>
      </c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</row>
  </sheetData>
  <sheetProtection sheet="true" password="cc3d" objects="true" scenarios="true" deleteColumns="false" deleteRows="false"/>
  <mergeCells count="2">
    <mergeCell ref="A1:AD1"/>
    <mergeCell ref="A56:AN56"/>
  </mergeCells>
  <conditionalFormatting sqref="B4">
    <cfRule type="cellIs" priority="2" operator="lessThan" aboveAverage="0" equalAverage="0" bottom="0" percent="0" rank="0" text="" dxfId="7">
      <formula>0</formula>
    </cfRule>
    <cfRule type="cellIs" priority="3" operator="greaterThan" aboveAverage="0" equalAverage="0" bottom="0" percent="0" rank="0" text="" dxfId="7">
      <formula>2000000</formula>
    </cfRule>
  </conditionalFormatting>
  <conditionalFormatting sqref="C4">
    <cfRule type="cellIs" priority="4" operator="lessThan" aboveAverage="0" equalAverage="0" bottom="0" percent="0" rank="0" text="" dxfId="7">
      <formula>0</formula>
    </cfRule>
  </conditionalFormatting>
  <conditionalFormatting sqref="D4">
    <cfRule type="cellIs" priority="5" operator="lessThan" aboveAverage="0" equalAverage="0" bottom="0" percent="0" rank="0" text="" dxfId="7">
      <formula>0</formula>
    </cfRule>
  </conditionalFormatting>
  <conditionalFormatting sqref="E4">
    <cfRule type="cellIs" priority="6" operator="lessThan" aboveAverage="0" equalAverage="0" bottom="0" percent="0" rank="0" text="" dxfId="7">
      <formula>0</formula>
    </cfRule>
    <cfRule type="cellIs" priority="7" operator="greaterThan" aboveAverage="0" equalAverage="0" bottom="0" percent="0" rank="0" text="" dxfId="10">
      <formula>400000</formula>
    </cfRule>
  </conditionalFormatting>
  <conditionalFormatting sqref="B6">
    <cfRule type="cellIs" priority="8" operator="equal" aboveAverage="0" equalAverage="0" bottom="0" percent="0" rank="0" text="" dxfId="11">
      <formula>"UYGUN"</formula>
    </cfRule>
    <cfRule type="cellIs" priority="9" operator="equal" aboveAverage="0" equalAverage="0" bottom="0" percent="0" rank="0" text="" dxfId="10">
      <formula>"İNCELE"</formula>
    </cfRule>
    <cfRule type="cellIs" priority="10" operator="equal" aboveAverage="0" equalAverage="0" bottom="0" percent="0" rank="0" text="" dxfId="9">
      <formula>"DURDUR"</formula>
    </cfRule>
  </conditionalFormatting>
  <conditionalFormatting sqref="B11:B15">
    <cfRule type="cellIs" priority="11" operator="lessThan" aboveAverage="0" equalAverage="0" bottom="0" percent="0" rank="0" text="" dxfId="7">
      <formula>0</formula>
    </cfRule>
    <cfRule type="cellIs" priority="12" operator="greaterThan" aboveAverage="0" equalAverage="0" bottom="0" percent="0" rank="0" text="" dxfId="8">
      <formula>0</formula>
    </cfRule>
  </conditionalFormatting>
  <conditionalFormatting sqref="F11:F15">
    <cfRule type="cellIs" priority="13" operator="greaterThan" aboveAverage="0" equalAverage="0" bottom="0" percent="0" rank="0" text="" dxfId="10">
      <formula>400000</formula>
    </cfRule>
  </conditionalFormatting>
  <conditionalFormatting sqref="E11:E22">
    <cfRule type="cellIs" priority="14" operator="lessThan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&amp;LDöviz Açık Pozisyonu ve Kur Riski Stres Testi&amp;CExcelArşiv&amp;RSayfa &amp;P /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18"/>
  </cols>
  <sheetData>
    <row r="1" customFormat="false" ht="25.5" hidden="false" customHeight="true" outlineLevel="0" collapsed="false">
      <c r="A1" s="1" t="s">
        <v>160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161</v>
      </c>
    </row>
    <row r="4" customFormat="false" ht="41.75" hidden="false" customHeight="false" outlineLevel="0" collapsed="false">
      <c r="A4" s="13" t="s">
        <v>162</v>
      </c>
    </row>
    <row r="6" customFormat="false" ht="15" hidden="false" customHeight="false" outlineLevel="0" collapsed="false">
      <c r="A6" s="51" t="s">
        <v>163</v>
      </c>
      <c r="B6" s="51" t="s">
        <v>164</v>
      </c>
      <c r="C6" s="51" t="s">
        <v>165</v>
      </c>
      <c r="D6" s="51" t="s">
        <v>166</v>
      </c>
    </row>
    <row r="7" customFormat="false" ht="15" hidden="false" customHeight="false" outlineLevel="0" collapsed="false">
      <c r="A7" s="26" t="s">
        <v>167</v>
      </c>
      <c r="B7" s="52" t="n">
        <f aca="false">IF(SUM(tblDoviz[Tutar (Döviz)])=0,0,DovizIyiSenaryo)</f>
        <v>0.05</v>
      </c>
      <c r="C7" s="29" t="n">
        <f aca="false">ROUND(ABS(HESAP!B13)*DovizIyiSenaryo,0)</f>
        <v>31856</v>
      </c>
      <c r="D7" s="52" t="n">
        <f aca="false">IF(HESAP!B13=0,0,ABS(C7/HESAP!B13))</f>
        <v>0.049999607612321</v>
      </c>
    </row>
    <row r="8" customFormat="false" ht="15" hidden="false" customHeight="false" outlineLevel="0" collapsed="false">
      <c r="A8" s="26" t="s">
        <v>168</v>
      </c>
      <c r="B8" s="52" t="n">
        <f aca="false">IF(SUM(tblDoviz[Tutar (Döviz)])=0,0,DovizBazSenaryo)</f>
        <v>0</v>
      </c>
      <c r="C8" s="29" t="n">
        <f aca="false">ROUND(ABS(HESAP!B13)*DovizBazSenaryo,0)</f>
        <v>0</v>
      </c>
      <c r="D8" s="52" t="n">
        <f aca="false">IF(HESAP!B13=0,0,ABS(C8/HESAP!B13))</f>
        <v>0</v>
      </c>
    </row>
    <row r="9" customFormat="false" ht="15" hidden="false" customHeight="false" outlineLevel="0" collapsed="false">
      <c r="A9" s="26" t="s">
        <v>169</v>
      </c>
      <c r="B9" s="52" t="n">
        <f aca="false">IF(SUM(tblDoviz[Tutar (Döviz)])=0,0,DovizKotuSenaryo)</f>
        <v>0.1</v>
      </c>
      <c r="C9" s="29" t="n">
        <f aca="false">ROUND(ABS(HESAP!B13)*DovizKotuSenaryo,0)</f>
        <v>63713</v>
      </c>
      <c r="D9" s="52" t="n">
        <f aca="false">IF(HESAP!B13=0,0,ABS(C9/HESAP!B13))</f>
        <v>0.100000784775358</v>
      </c>
    </row>
    <row r="10" customFormat="false" ht="15" hidden="false" customHeight="false" outlineLevel="0" collapsed="false">
      <c r="A10" s="26" t="s">
        <v>170</v>
      </c>
      <c r="B10" s="52" t="n">
        <f aca="false">IF(SUM(tblDoviz[Tutar (Döviz)])=0,0,DovizKritikSenaryo)</f>
        <v>0.3</v>
      </c>
      <c r="C10" s="29" t="n">
        <f aca="false">ROUND(ABS(HESAP!B13)*DovizKritikSenaryo,0)</f>
        <v>191138</v>
      </c>
      <c r="D10" s="52" t="n">
        <f aca="false">IF(HESAP!B13=0,0,ABS(C10/HESAP!B13))</f>
        <v>0.300000784775358</v>
      </c>
    </row>
    <row r="12" customFormat="false" ht="15" hidden="false" customHeight="false" outlineLevel="0" collapsed="false">
      <c r="A12" s="4" t="s">
        <v>171</v>
      </c>
    </row>
    <row r="13" customFormat="false" ht="15" hidden="false" customHeight="false" outlineLevel="0" collapsed="false">
      <c r="A13" s="6" t="s">
        <v>172</v>
      </c>
      <c r="B13" s="29" t="n">
        <f aca="false">ROUND(ABS(HESAP!B13)*DovizTornadoKur,0)</f>
        <v>6371</v>
      </c>
    </row>
    <row r="14" customFormat="false" ht="15" hidden="false" customHeight="false" outlineLevel="0" collapsed="false">
      <c r="A14" s="6" t="s">
        <v>173</v>
      </c>
      <c r="B14" s="29" t="n">
        <f aca="false">ROUND(ABS(HESAP!B13)*DovizTornadoPozisyon,0)</f>
        <v>6371</v>
      </c>
    </row>
    <row r="16" customFormat="false" ht="15" hidden="false" customHeight="false" outlineLevel="0" collapsed="false">
      <c r="A16" s="30" t="s">
        <v>174</v>
      </c>
      <c r="B16" s="33" t="str">
        <f aca="false">IF(B13&gt;=B14,"Kur Şoku","Pozisyon")</f>
        <v>Kur Şoku</v>
      </c>
    </row>
    <row r="18" customFormat="false" ht="19.5" hidden="false" customHeight="true" outlineLevel="0" collapsed="false">
      <c r="A18" s="25" t="s">
        <v>175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</row>
  </sheetData>
  <sheetProtection sheet="true" password="cc3d" objects="true" scenarios="true" deleteColumns="false" deleteRows="false"/>
  <mergeCells count="2">
    <mergeCell ref="A1:AD1"/>
    <mergeCell ref="A18:AN18"/>
  </mergeCells>
  <conditionalFormatting sqref="C7:C10">
    <cfRule type="cellIs" priority="2" operator="lessThan" aboveAverage="0" equalAverage="0" bottom="0" percent="0" rank="0" text="" dxfId="7">
      <formula>0</formula>
    </cfRule>
  </conditionalFormatting>
  <conditionalFormatting sqref="B7:B10">
    <cfRule type="cellIs" priority="3" operator="greaterThan" aboveAverage="0" equalAverage="0" bottom="0" percent="0" rank="0" text="" dxfId="7">
      <formula>0.2</formula>
    </cfRule>
  </conditionalFormatting>
  <conditionalFormatting sqref="B13:B14">
    <cfRule type="cellIs" priority="4" operator="lessThan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N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40"/>
  </cols>
  <sheetData>
    <row r="1" customFormat="false" ht="25.5" hidden="false" customHeight="true" outlineLevel="0" collapsed="false">
      <c r="A1" s="53" t="s">
        <v>176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</row>
    <row r="2" customFormat="false" ht="15" hidden="false" customHeight="false" outlineLevel="0" collapsed="false">
      <c r="A2" s="54" t="str">
        <f aca="false">_xlfn.CONCAT("Rapor Tarihi: ",TEXT(RaporTarihi,"dd.mm.yyyy")," | Hazırlayan: ",RaporHazirlayan," | Sürüm: ",DosyaSurumu)</f>
        <v>Rapor Tarihi: 08.08.2026 | Hazırlayan: Finans Direktörü | Sürüm: 1.0.0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</row>
    <row r="4" customFormat="false" ht="17.35" hidden="false" customHeight="false" outlineLevel="0" collapsed="false">
      <c r="A4" s="4" t="s">
        <v>133</v>
      </c>
      <c r="B4" s="42" t="str">
        <f aca="false">KARAR!B11</f>
        <v>UYGUN</v>
      </c>
    </row>
    <row r="6" customFormat="false" ht="15" hidden="false" customHeight="false" outlineLevel="0" collapsed="false">
      <c r="A6" s="6" t="s">
        <v>67</v>
      </c>
      <c r="B6" s="29" t="n">
        <f aca="false">HESAP!B13</f>
        <v>637125</v>
      </c>
    </row>
    <row r="7" customFormat="false" ht="15" hidden="false" customHeight="false" outlineLevel="0" collapsed="false">
      <c r="A7" s="6" t="s">
        <v>68</v>
      </c>
      <c r="B7" s="29" t="n">
        <f aca="false">HESAP!B14</f>
        <v>637125</v>
      </c>
    </row>
    <row r="8" customFormat="false" ht="15" hidden="false" customHeight="false" outlineLevel="0" collapsed="false">
      <c r="A8" s="6" t="s">
        <v>120</v>
      </c>
      <c r="B8" s="37" t="str">
        <f aca="false">HESAP!B15</f>
        <v>FAZLA VARLIK</v>
      </c>
    </row>
    <row r="9" customFormat="false" ht="15" hidden="false" customHeight="false" outlineLevel="0" collapsed="false">
      <c r="A9" s="6" t="s">
        <v>132</v>
      </c>
      <c r="B9" s="29" t="n">
        <f aca="false">HESAP!B16</f>
        <v>127425</v>
      </c>
    </row>
    <row r="10" customFormat="false" ht="15" hidden="false" customHeight="false" outlineLevel="0" collapsed="false">
      <c r="A10" s="6" t="s">
        <v>82</v>
      </c>
      <c r="B10" s="28" t="n">
        <f aca="false">ANALITIK_MOTOR!C7</f>
        <v>38.11</v>
      </c>
    </row>
    <row r="11" customFormat="false" ht="15" hidden="false" customHeight="false" outlineLevel="0" collapsed="false">
      <c r="A11" s="6" t="s">
        <v>119</v>
      </c>
      <c r="B11" s="28" t="n">
        <f aca="false">ANALITIK_MOTOR!C8</f>
        <v>0</v>
      </c>
    </row>
    <row r="12" customFormat="false" ht="15" hidden="false" customHeight="false" outlineLevel="0" collapsed="false">
      <c r="A12" s="6" t="s">
        <v>71</v>
      </c>
      <c r="B12" s="37" t="str">
        <f aca="false">HESAP!B17</f>
        <v>USD</v>
      </c>
    </row>
    <row r="13" customFormat="false" ht="15" hidden="false" customHeight="false" outlineLevel="0" collapsed="false">
      <c r="A13" s="6" t="s">
        <v>90</v>
      </c>
      <c r="B13" s="55" t="n">
        <f aca="false">ANALITIK_MOTOR!C11</f>
        <v>0.342611165611486</v>
      </c>
    </row>
    <row r="14" customFormat="false" ht="15" hidden="false" customHeight="false" outlineLevel="0" collapsed="false">
      <c r="A14" s="6" t="s">
        <v>112</v>
      </c>
      <c r="B14" s="39" t="n">
        <f aca="false">KONTROLLER!B19</f>
        <v>50</v>
      </c>
    </row>
    <row r="16" customFormat="false" ht="15" hidden="false" customHeight="false" outlineLevel="0" collapsed="false">
      <c r="A16" s="48" t="s">
        <v>177</v>
      </c>
    </row>
    <row r="17" customFormat="false" ht="15" hidden="false" customHeight="true" outlineLevel="0" collapsed="false">
      <c r="A17" s="5" t="s">
        <v>178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customFormat="false" ht="15" hidden="false" customHeight="true" outlineLevel="0" collapsed="false">
      <c r="A18" s="5" t="s">
        <v>179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customFormat="false" ht="15" hidden="false" customHeight="true" outlineLevel="0" collapsed="false">
      <c r="A19" s="5" t="s">
        <v>180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customFormat="false" ht="15" hidden="false" customHeight="true" outlineLevel="0" collapsed="false">
      <c r="A20" s="5" t="s">
        <v>181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customFormat="false" ht="15" hidden="false" customHeight="true" outlineLevel="0" collapsed="false">
      <c r="A21" s="5" t="s">
        <v>182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3" customFormat="false" ht="15" hidden="false" customHeight="false" outlineLevel="0" collapsed="false">
      <c r="A23" s="48" t="s">
        <v>123</v>
      </c>
    </row>
    <row r="24" customFormat="false" ht="15" hidden="false" customHeight="false" outlineLevel="0" collapsed="false">
      <c r="A24" s="5" t="str">
        <f aca="false">DovizAksiyon1_ACIKLAMA</f>
        <v>Açık pozisyon eşiği aşılıyorsa pozisyonu küçültün; döviz borcunu TL gelirle dengeleyin.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customFormat="false" ht="15" hidden="false" customHeight="false" outlineLevel="0" collapsed="false">
      <c r="A25" s="5" t="str">
        <f aca="false">DovizAksiyon2_ACIKLAMA</f>
        <v>Stres etkisi yüksekse kur korumalı mevduat veya forward sözleşmesi değerlendirin.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customFormat="false" ht="15" hidden="false" customHeight="false" outlineLevel="0" collapsed="false">
      <c r="A26" s="5" t="str">
        <f aca="false">DovizAksiyon3_ACIKLAMA</f>
        <v>Kur sapması yüksekse döviz alacaklarınızı hızlandırın ve ithalat planınızı gözden geçirin.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8" customFormat="false" ht="15" hidden="false" customHeight="false" outlineLevel="0" collapsed="false">
      <c r="A28" s="56" t="s">
        <v>183</v>
      </c>
    </row>
  </sheetData>
  <sheetProtection sheet="true" password="cc3d" objects="true" scenarios="true" deleteColumns="false" deleteRows="false"/>
  <mergeCells count="10">
    <mergeCell ref="A1:AN1"/>
    <mergeCell ref="A2:L2"/>
    <mergeCell ref="A17:L17"/>
    <mergeCell ref="A18:L18"/>
    <mergeCell ref="A19:L19"/>
    <mergeCell ref="A20:L20"/>
    <mergeCell ref="A21:L21"/>
    <mergeCell ref="A24:L24"/>
    <mergeCell ref="A25:L25"/>
    <mergeCell ref="A26:L26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&amp;LDöviz Açık Pozisyonu ve Kur Riski Stres Testi&amp;CExcelArşiv&amp;RSayfa &amp;P /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22"/>
  </cols>
  <sheetData>
    <row r="1" customFormat="false" ht="25.5" hidden="false" customHeight="true" outlineLevel="0" collapsed="false">
      <c r="A1" s="1" t="s">
        <v>184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5" hidden="false" customHeight="false" outlineLevel="0" collapsed="false">
      <c r="A3" s="4" t="s">
        <v>185</v>
      </c>
    </row>
    <row r="4" customFormat="false" ht="108.95" hidden="false" customHeight="false" outlineLevel="0" collapsed="false">
      <c r="A4" s="13" t="s">
        <v>186</v>
      </c>
    </row>
    <row r="5" customFormat="false" ht="30" hidden="false" customHeight="true" outlineLevel="0" collapsed="false">
      <c r="A5" s="14" t="s">
        <v>34</v>
      </c>
      <c r="B5" s="14" t="s">
        <v>35</v>
      </c>
      <c r="C5" s="14" t="s">
        <v>36</v>
      </c>
      <c r="D5" s="14" t="s">
        <v>37</v>
      </c>
      <c r="E5" s="14" t="s">
        <v>38</v>
      </c>
      <c r="F5" s="14" t="s">
        <v>39</v>
      </c>
      <c r="G5" s="14" t="s">
        <v>40</v>
      </c>
      <c r="H5" s="14" t="s">
        <v>187</v>
      </c>
    </row>
    <row r="6" customFormat="false" ht="15" hidden="false" customHeight="false" outlineLevel="0" collapsed="false">
      <c r="A6" s="57" t="s">
        <v>188</v>
      </c>
      <c r="B6" s="58" t="s">
        <v>42</v>
      </c>
      <c r="C6" s="58" t="s">
        <v>43</v>
      </c>
      <c r="D6" s="59" t="n">
        <v>50000</v>
      </c>
      <c r="E6" s="60" t="n">
        <v>34.5</v>
      </c>
      <c r="F6" s="58" t="s">
        <v>44</v>
      </c>
      <c r="G6" s="61" t="n">
        <f aca="false">IF($D6=0,0,$D6*$E6)</f>
        <v>1725000</v>
      </c>
      <c r="H6" s="20" t="str">
        <f aca="false">IF($B6="","",CONCATENATE("Örnek kayıt: ",$B6))</f>
        <v>Örnek kayıt: USD</v>
      </c>
    </row>
    <row r="7" customFormat="false" ht="15" hidden="false" customHeight="false" outlineLevel="0" collapsed="false">
      <c r="A7" s="57" t="s">
        <v>189</v>
      </c>
      <c r="B7" s="58" t="s">
        <v>45</v>
      </c>
      <c r="C7" s="58" t="s">
        <v>46</v>
      </c>
      <c r="D7" s="59" t="n">
        <v>30000</v>
      </c>
      <c r="E7" s="60" t="n">
        <v>37.8</v>
      </c>
      <c r="F7" s="58" t="s">
        <v>47</v>
      </c>
      <c r="G7" s="61" t="n">
        <f aca="false">IF($D7=0,0,$D7*$E7)</f>
        <v>1134000</v>
      </c>
      <c r="H7" s="20" t="str">
        <f aca="false">IF($B7="","",CONCATENATE("Örnek kayıt: ",$B7))</f>
        <v>Örnek kayıt: EUR</v>
      </c>
    </row>
    <row r="8" customFormat="false" ht="15" hidden="false" customHeight="false" outlineLevel="0" collapsed="false">
      <c r="A8" s="57" t="s">
        <v>190</v>
      </c>
      <c r="B8" s="58" t="s">
        <v>42</v>
      </c>
      <c r="C8" s="58" t="s">
        <v>46</v>
      </c>
      <c r="D8" s="59" t="n">
        <v>20000</v>
      </c>
      <c r="E8" s="60" t="n">
        <v>35.1</v>
      </c>
      <c r="F8" s="58" t="s">
        <v>47</v>
      </c>
      <c r="G8" s="61" t="n">
        <f aca="false">IF($D8=0,0,$D8*$E8)</f>
        <v>702000</v>
      </c>
      <c r="H8" s="20" t="str">
        <f aca="false">IF($B8="","",CONCATENATE("Örnek kayıt: ",$B8))</f>
        <v>Örnek kayıt: USD</v>
      </c>
    </row>
    <row r="9" customFormat="false" ht="15" hidden="false" customHeight="false" outlineLevel="0" collapsed="false">
      <c r="A9" s="57" t="s">
        <v>191</v>
      </c>
      <c r="B9" s="58" t="s">
        <v>45</v>
      </c>
      <c r="C9" s="58" t="s">
        <v>43</v>
      </c>
      <c r="D9" s="59" t="n">
        <v>15000</v>
      </c>
      <c r="E9" s="60" t="n">
        <v>38.2</v>
      </c>
      <c r="F9" s="58" t="s">
        <v>44</v>
      </c>
      <c r="G9" s="61" t="n">
        <f aca="false">IF($D9=0,0,$D9*$E9)</f>
        <v>573000</v>
      </c>
      <c r="H9" s="20" t="str">
        <f aca="false">IF($B9="","",CONCATENATE("Örnek kayıt: ",$B9))</f>
        <v>Örnek kayıt: EUR</v>
      </c>
    </row>
    <row r="10" customFormat="false" ht="15" hidden="false" customHeight="false" outlineLevel="0" collapsed="false">
      <c r="A10" s="57" t="s">
        <v>192</v>
      </c>
      <c r="B10" s="58" t="s">
        <v>48</v>
      </c>
      <c r="C10" s="58" t="s">
        <v>46</v>
      </c>
      <c r="D10" s="59" t="n">
        <v>10000</v>
      </c>
      <c r="E10" s="60" t="n">
        <v>44</v>
      </c>
      <c r="F10" s="58" t="s">
        <v>49</v>
      </c>
      <c r="G10" s="61" t="n">
        <f aca="false">IF($D10=0,0,$D10*$E10)</f>
        <v>440000</v>
      </c>
      <c r="H10" s="20" t="str">
        <f aca="false">IF($B10="","",CONCATENATE("Örnek kayıt: ",$B10))</f>
        <v>Örnek kayıt: GBP</v>
      </c>
    </row>
    <row r="11" customFormat="false" ht="15" hidden="false" customHeight="false" outlineLevel="0" collapsed="false">
      <c r="A11" s="57" t="s">
        <v>193</v>
      </c>
      <c r="B11" s="58" t="s">
        <v>42</v>
      </c>
      <c r="C11" s="58" t="s">
        <v>43</v>
      </c>
      <c r="D11" s="59" t="n">
        <v>25000</v>
      </c>
      <c r="E11" s="60" t="n">
        <v>36</v>
      </c>
      <c r="F11" s="58" t="s">
        <v>44</v>
      </c>
      <c r="G11" s="61" t="n">
        <f aca="false">IF($D11=0,0,$D11*$E11)</f>
        <v>900000</v>
      </c>
      <c r="H11" s="20" t="str">
        <f aca="false">IF($B11="","",CONCATENATE("Örnek kayıt: ",$B11))</f>
        <v>Örnek kayıt: USD</v>
      </c>
    </row>
    <row r="12" customFormat="false" ht="15" hidden="false" customHeight="false" outlineLevel="0" collapsed="false">
      <c r="G12" s="20" t="n">
        <f aca="false">IF($D12=0,0,$D12*$E12)</f>
        <v>0</v>
      </c>
      <c r="H12" s="20" t="str">
        <f aca="false">IF($B12="","",CONCATENATE("Örnek kayıt: ",$B12))</f>
        <v/>
      </c>
    </row>
    <row r="13" customFormat="false" ht="15" hidden="false" customHeight="false" outlineLevel="0" collapsed="false">
      <c r="G13" s="20" t="n">
        <f aca="false">IF($D13=0,0,$D13*$E13)</f>
        <v>0</v>
      </c>
      <c r="H13" s="20" t="str">
        <f aca="false">IF($B13="","",CONCATENATE("Örnek kayıt: ",$B13))</f>
        <v/>
      </c>
    </row>
    <row r="14" customFormat="false" ht="15" hidden="false" customHeight="false" outlineLevel="0" collapsed="false">
      <c r="G14" s="20" t="n">
        <f aca="false">IF($D14=0,0,$D14*$E14)</f>
        <v>0</v>
      </c>
      <c r="H14" s="20" t="str">
        <f aca="false">IF($B14="","",CONCATENATE("Örnek kayıt: ",$B14))</f>
        <v/>
      </c>
    </row>
    <row r="15" customFormat="false" ht="15" hidden="false" customHeight="false" outlineLevel="0" collapsed="false">
      <c r="G15" s="20" t="n">
        <f aca="false">IF($D15=0,0,$D15*$E15)</f>
        <v>0</v>
      </c>
      <c r="H15" s="20" t="str">
        <f aca="false">IF($B15="","",CONCATENATE("Örnek kayıt: ",$B15))</f>
        <v/>
      </c>
    </row>
    <row r="16" customFormat="false" ht="15" hidden="false" customHeight="false" outlineLevel="0" collapsed="false">
      <c r="G16" s="20" t="n">
        <f aca="false">IF($D16=0,0,$D16*$E16)</f>
        <v>0</v>
      </c>
      <c r="H16" s="20" t="str">
        <f aca="false">IF($B16="","",CONCATENATE("Örnek kayıt: ",$B16))</f>
        <v/>
      </c>
    </row>
    <row r="17" customFormat="false" ht="15" hidden="false" customHeight="false" outlineLevel="0" collapsed="false">
      <c r="G17" s="20" t="n">
        <f aca="false">IF($D17=0,0,$D17*$E17)</f>
        <v>0</v>
      </c>
      <c r="H17" s="20" t="str">
        <f aca="false">IF($B17="","",CONCATENATE("Örnek kayıt: ",$B17))</f>
        <v/>
      </c>
    </row>
    <row r="18" customFormat="false" ht="15" hidden="false" customHeight="false" outlineLevel="0" collapsed="false">
      <c r="G18" s="20" t="n">
        <f aca="false">IF($D18=0,0,$D18*$E18)</f>
        <v>0</v>
      </c>
      <c r="H18" s="20" t="str">
        <f aca="false">IF($B18="","",CONCATENATE("Örnek kayıt: ",$B18))</f>
        <v/>
      </c>
    </row>
    <row r="19" customFormat="false" ht="15" hidden="false" customHeight="false" outlineLevel="0" collapsed="false">
      <c r="G19" s="20" t="n">
        <f aca="false">IF($D19=0,0,$D19*$E19)</f>
        <v>0</v>
      </c>
      <c r="H19" s="20" t="str">
        <f aca="false">IF($B19="","",CONCATENATE("Örnek kayıt: ",$B19))</f>
        <v/>
      </c>
    </row>
    <row r="20" customFormat="false" ht="15" hidden="false" customHeight="false" outlineLevel="0" collapsed="false">
      <c r="G20" s="20" t="n">
        <f aca="false">IF($D20=0,0,$D20*$E20)</f>
        <v>0</v>
      </c>
      <c r="H20" s="20" t="str">
        <f aca="false">IF($B20="","",CONCATENATE("Örnek kayıt: ",$B20))</f>
        <v/>
      </c>
    </row>
    <row r="21" customFormat="false" ht="15" hidden="false" customHeight="false" outlineLevel="0" collapsed="false">
      <c r="G21" s="20" t="n">
        <f aca="false">IF($D21=0,0,$D21*$E21)</f>
        <v>0</v>
      </c>
      <c r="H21" s="20" t="str">
        <f aca="false">IF($B21="","",CONCATENATE("Örnek kayıt: ",$B21))</f>
        <v/>
      </c>
    </row>
    <row r="22" customFormat="false" ht="15" hidden="false" customHeight="false" outlineLevel="0" collapsed="false">
      <c r="G22" s="20" t="n">
        <f aca="false">IF($D22=0,0,$D22*$E22)</f>
        <v>0</v>
      </c>
      <c r="H22" s="20" t="str">
        <f aca="false">IF($B22="","",CONCATENATE("Örnek kayıt: ",$B22))</f>
        <v/>
      </c>
    </row>
    <row r="23" customFormat="false" ht="15" hidden="false" customHeight="false" outlineLevel="0" collapsed="false">
      <c r="G23" s="20" t="n">
        <f aca="false">IF($D23=0,0,$D23*$E23)</f>
        <v>0</v>
      </c>
      <c r="H23" s="20" t="str">
        <f aca="false">IF($B23="","",CONCATENATE("Örnek kayıt: ",$B23))</f>
        <v/>
      </c>
    </row>
    <row r="24" customFormat="false" ht="15" hidden="false" customHeight="false" outlineLevel="0" collapsed="false">
      <c r="G24" s="20" t="n">
        <f aca="false">IF($D24=0,0,$D24*$E24)</f>
        <v>0</v>
      </c>
      <c r="H24" s="20" t="str">
        <f aca="false">IF($B24="","",CONCATENATE("Örnek kayıt: ",$B24))</f>
        <v/>
      </c>
    </row>
    <row r="25" customFormat="false" ht="15" hidden="false" customHeight="false" outlineLevel="0" collapsed="false">
      <c r="G25" s="20" t="n">
        <f aca="false">IF($D25=0,0,$D25*$E25)</f>
        <v>0</v>
      </c>
      <c r="H25" s="20" t="str">
        <f aca="false">IF($B25="","",CONCATENATE("Örnek kayıt: ",$B25))</f>
        <v/>
      </c>
    </row>
    <row r="26" customFormat="false" ht="15" hidden="false" customHeight="false" outlineLevel="0" collapsed="false">
      <c r="G26" s="20" t="n">
        <f aca="false">IF($D26=0,0,$D26*$E26)</f>
        <v>0</v>
      </c>
      <c r="H26" s="20" t="str">
        <f aca="false">IF($B26="","",CONCATENATE("Örnek kayıt: ",$B26))</f>
        <v/>
      </c>
    </row>
    <row r="27" customFormat="false" ht="15" hidden="false" customHeight="false" outlineLevel="0" collapsed="false">
      <c r="G27" s="20" t="n">
        <f aca="false">IF($D27=0,0,$D27*$E27)</f>
        <v>0</v>
      </c>
      <c r="H27" s="20" t="str">
        <f aca="false">IF($B27="","",CONCATENATE("Örnek kayıt: ",$B27))</f>
        <v/>
      </c>
    </row>
    <row r="28" customFormat="false" ht="15" hidden="false" customHeight="false" outlineLevel="0" collapsed="false">
      <c r="G28" s="20" t="n">
        <f aca="false">IF($D28=0,0,$D28*$E28)</f>
        <v>0</v>
      </c>
      <c r="H28" s="20" t="str">
        <f aca="false">IF($B28="","",CONCATENATE("Örnek kayıt: ",$B28))</f>
        <v/>
      </c>
    </row>
    <row r="29" customFormat="false" ht="15" hidden="false" customHeight="false" outlineLevel="0" collapsed="false">
      <c r="G29" s="20" t="n">
        <f aca="false">IF($D29=0,0,$D29*$E29)</f>
        <v>0</v>
      </c>
      <c r="H29" s="20" t="str">
        <f aca="false">IF($B29="","",CONCATENATE("Örnek kayıt: ",$B29))</f>
        <v/>
      </c>
    </row>
    <row r="30" customFormat="false" ht="15" hidden="false" customHeight="false" outlineLevel="0" collapsed="false">
      <c r="G30" s="20" t="n">
        <f aca="false">IF($D30=0,0,$D30*$E30)</f>
        <v>0</v>
      </c>
      <c r="H30" s="20" t="str">
        <f aca="false">IF($B30="","",CONCATENATE("Örnek kayıt: ",$B30))</f>
        <v/>
      </c>
    </row>
    <row r="31" customFormat="false" ht="15" hidden="false" customHeight="false" outlineLevel="0" collapsed="false">
      <c r="G31" s="20" t="n">
        <f aca="false">IF($D31=0,0,$D31*$E31)</f>
        <v>0</v>
      </c>
      <c r="H31" s="20" t="str">
        <f aca="false">IF($B31="","",CONCATENATE("Örnek kayıt: ",$B31))</f>
        <v/>
      </c>
    </row>
    <row r="32" customFormat="false" ht="15" hidden="false" customHeight="false" outlineLevel="0" collapsed="false">
      <c r="G32" s="20" t="n">
        <f aca="false">IF($D32=0,0,$D32*$E32)</f>
        <v>0</v>
      </c>
      <c r="H32" s="20" t="str">
        <f aca="false">IF($B32="","",CONCATENATE("Örnek kayıt: ",$B32))</f>
        <v/>
      </c>
    </row>
    <row r="33" customFormat="false" ht="15" hidden="false" customHeight="false" outlineLevel="0" collapsed="false">
      <c r="G33" s="20" t="n">
        <f aca="false">IF($D33=0,0,$D33*$E33)</f>
        <v>0</v>
      </c>
      <c r="H33" s="20" t="str">
        <f aca="false">IF($B33="","",CONCATENATE("Örnek kayıt: ",$B33))</f>
        <v/>
      </c>
    </row>
    <row r="34" customFormat="false" ht="15" hidden="false" customHeight="false" outlineLevel="0" collapsed="false">
      <c r="G34" s="20" t="n">
        <f aca="false">IF($D34=0,0,$D34*$E34)</f>
        <v>0</v>
      </c>
      <c r="H34" s="20" t="str">
        <f aca="false">IF($B34="","",CONCATENATE("Örnek kayıt: ",$B34))</f>
        <v/>
      </c>
    </row>
    <row r="35" customFormat="false" ht="15" hidden="false" customHeight="false" outlineLevel="0" collapsed="false">
      <c r="G35" s="20" t="n">
        <f aca="false">IF($D35=0,0,$D35*$E35)</f>
        <v>0</v>
      </c>
      <c r="H35" s="20" t="str">
        <f aca="false">IF($B35="","",CONCATENATE("Örnek kayıt: ",$B35))</f>
        <v/>
      </c>
    </row>
    <row r="36" customFormat="false" ht="15" hidden="false" customHeight="false" outlineLevel="0" collapsed="false">
      <c r="G36" s="20" t="n">
        <f aca="false">IF($D36=0,0,$D36*$E36)</f>
        <v>0</v>
      </c>
      <c r="H36" s="20" t="str">
        <f aca="false">IF($B36="","",CONCATENATE("Örnek kayıt: ",$B36))</f>
        <v/>
      </c>
    </row>
    <row r="37" customFormat="false" ht="15" hidden="false" customHeight="false" outlineLevel="0" collapsed="false">
      <c r="G37" s="20" t="n">
        <f aca="false">IF($D37=0,0,$D37*$E37)</f>
        <v>0</v>
      </c>
      <c r="H37" s="20" t="str">
        <f aca="false">IF($B37="","",CONCATENATE("Örnek kayıt: ",$B37))</f>
        <v/>
      </c>
    </row>
    <row r="38" customFormat="false" ht="15" hidden="false" customHeight="false" outlineLevel="0" collapsed="false">
      <c r="G38" s="20" t="n">
        <f aca="false">IF($D38=0,0,$D38*$E38)</f>
        <v>0</v>
      </c>
      <c r="H38" s="20" t="str">
        <f aca="false">IF($B38="","",CONCATENATE("Örnek kayıt: ",$B38))</f>
        <v/>
      </c>
    </row>
    <row r="39" customFormat="false" ht="15" hidden="false" customHeight="false" outlineLevel="0" collapsed="false">
      <c r="G39" s="20" t="n">
        <f aca="false">IF($D39=0,0,$D39*$E39)</f>
        <v>0</v>
      </c>
      <c r="H39" s="20" t="str">
        <f aca="false">IF($B39="","",CONCATENATE("Örnek kayıt: ",$B39))</f>
        <v/>
      </c>
    </row>
    <row r="40" customFormat="false" ht="15" hidden="false" customHeight="false" outlineLevel="0" collapsed="false">
      <c r="G40" s="20" t="n">
        <f aca="false">IF($D40=0,0,$D40*$E40)</f>
        <v>0</v>
      </c>
      <c r="H40" s="20" t="str">
        <f aca="false">IF($B40="","",CONCATENATE("Örnek kayıt: ",$B40))</f>
        <v/>
      </c>
    </row>
    <row r="41" customFormat="false" ht="15" hidden="false" customHeight="false" outlineLevel="0" collapsed="false">
      <c r="G41" s="20" t="n">
        <f aca="false">IF($D41=0,0,$D41*$E41)</f>
        <v>0</v>
      </c>
      <c r="H41" s="20" t="str">
        <f aca="false">IF($B41="","",CONCATENATE("Örnek kayıt: ",$B41))</f>
        <v/>
      </c>
    </row>
    <row r="42" customFormat="false" ht="15" hidden="false" customHeight="false" outlineLevel="0" collapsed="false">
      <c r="G42" s="20" t="n">
        <f aca="false">IF($D42=0,0,$D42*$E42)</f>
        <v>0</v>
      </c>
      <c r="H42" s="20" t="str">
        <f aca="false">IF($B42="","",CONCATENATE("Örnek kayıt: ",$B42))</f>
        <v/>
      </c>
    </row>
    <row r="43" customFormat="false" ht="15" hidden="false" customHeight="false" outlineLevel="0" collapsed="false">
      <c r="G43" s="20" t="n">
        <f aca="false">IF($D43=0,0,$D43*$E43)</f>
        <v>0</v>
      </c>
      <c r="H43" s="20" t="str">
        <f aca="false">IF($B43="","",CONCATENATE("Örnek kayıt: ",$B43))</f>
        <v/>
      </c>
    </row>
    <row r="44" customFormat="false" ht="15" hidden="false" customHeight="false" outlineLevel="0" collapsed="false">
      <c r="G44" s="20" t="n">
        <f aca="false">IF($D44=0,0,$D44*$E44)</f>
        <v>0</v>
      </c>
      <c r="H44" s="20" t="str">
        <f aca="false">IF($B44="","",CONCATENATE("Örnek kayıt: ",$B44))</f>
        <v/>
      </c>
    </row>
    <row r="45" customFormat="false" ht="15" hidden="false" customHeight="false" outlineLevel="0" collapsed="false">
      <c r="G45" s="20" t="n">
        <f aca="false">IF($D45=0,0,$D45*$E45)</f>
        <v>0</v>
      </c>
      <c r="H45" s="20" t="str">
        <f aca="false">IF($B45="","",CONCATENATE("Örnek kayıt: ",$B45))</f>
        <v/>
      </c>
    </row>
    <row r="46" customFormat="false" ht="15" hidden="false" customHeight="false" outlineLevel="0" collapsed="false">
      <c r="G46" s="20" t="n">
        <f aca="false">IF($D46=0,0,$D46*$E46)</f>
        <v>0</v>
      </c>
      <c r="H46" s="20" t="str">
        <f aca="false">IF($B46="","",CONCATENATE("Örnek kayıt: ",$B46))</f>
        <v/>
      </c>
    </row>
    <row r="47" customFormat="false" ht="15" hidden="false" customHeight="false" outlineLevel="0" collapsed="false">
      <c r="G47" s="20" t="n">
        <f aca="false">IF($D47=0,0,$D47*$E47)</f>
        <v>0</v>
      </c>
      <c r="H47" s="20" t="str">
        <f aca="false">IF($B47="","",CONCATENATE("Örnek kayıt: ",$B47))</f>
        <v/>
      </c>
    </row>
    <row r="48" customFormat="false" ht="15" hidden="false" customHeight="false" outlineLevel="0" collapsed="false">
      <c r="G48" s="20" t="n">
        <f aca="false">IF($D48=0,0,$D48*$E48)</f>
        <v>0</v>
      </c>
      <c r="H48" s="20" t="str">
        <f aca="false">IF($B48="","",CONCATENATE("Örnek kayıt: ",$B48))</f>
        <v/>
      </c>
    </row>
    <row r="49" customFormat="false" ht="15" hidden="false" customHeight="false" outlineLevel="0" collapsed="false">
      <c r="G49" s="20" t="n">
        <f aca="false">IF($D49=0,0,$D49*$E49)</f>
        <v>0</v>
      </c>
      <c r="H49" s="20" t="str">
        <f aca="false">IF($B49="","",CONCATENATE("Örnek kayıt: ",$B49))</f>
        <v/>
      </c>
    </row>
    <row r="50" customFormat="false" ht="15" hidden="false" customHeight="false" outlineLevel="0" collapsed="false">
      <c r="G50" s="20" t="n">
        <f aca="false">IF($D50=0,0,$D50*$E50)</f>
        <v>0</v>
      </c>
      <c r="H50" s="20" t="str">
        <f aca="false">IF($B50="","",CONCATENATE("Örnek kayıt: ",$B50))</f>
        <v/>
      </c>
    </row>
    <row r="51" customFormat="false" ht="15" hidden="false" customHeight="false" outlineLevel="0" collapsed="false">
      <c r="G51" s="20" t="n">
        <f aca="false">IF($D51=0,0,$D51*$E51)</f>
        <v>0</v>
      </c>
      <c r="H51" s="20" t="str">
        <f aca="false">IF($B51="","",CONCATENATE("Örnek kayıt: ",$B51))</f>
        <v/>
      </c>
    </row>
    <row r="52" customFormat="false" ht="15" hidden="false" customHeight="false" outlineLevel="0" collapsed="false">
      <c r="G52" s="20" t="n">
        <f aca="false">IF($D52=0,0,$D52*$E52)</f>
        <v>0</v>
      </c>
      <c r="H52" s="20" t="str">
        <f aca="false">IF($B52="","",CONCATENATE("Örnek kayıt: ",$B52))</f>
        <v/>
      </c>
    </row>
    <row r="53" customFormat="false" ht="15" hidden="false" customHeight="false" outlineLevel="0" collapsed="false">
      <c r="G53" s="20" t="n">
        <f aca="false">IF($D53=0,0,$D53*$E53)</f>
        <v>0</v>
      </c>
      <c r="H53" s="20" t="str">
        <f aca="false">IF($B53="","",CONCATENATE("Örnek kayıt: ",$B53))</f>
        <v/>
      </c>
    </row>
    <row r="54" customFormat="false" ht="15" hidden="false" customHeight="false" outlineLevel="0" collapsed="false">
      <c r="G54" s="20" t="n">
        <f aca="false">IF($D54=0,0,$D54*$E54)</f>
        <v>0</v>
      </c>
      <c r="H54" s="20" t="str">
        <f aca="false">IF($B54="","",CONCATENATE("Örnek kayıt: ",$B54))</f>
        <v/>
      </c>
    </row>
    <row r="55" customFormat="false" ht="15" hidden="false" customHeight="false" outlineLevel="0" collapsed="false">
      <c r="G55" s="20" t="n">
        <f aca="false">IF($D55=0,0,$D55*$E55)</f>
        <v>0</v>
      </c>
      <c r="H55" s="20" t="str">
        <f aca="false">IF($B55="","",CONCATENATE("Örnek kayıt: ",$B55))</f>
        <v/>
      </c>
    </row>
    <row r="56" customFormat="false" ht="15" hidden="false" customHeight="false" outlineLevel="0" collapsed="false">
      <c r="G56" s="20" t="n">
        <f aca="false">IF($D56=0,0,$D56*$E56)</f>
        <v>0</v>
      </c>
      <c r="H56" s="20" t="str">
        <f aca="false">IF($B56="","",CONCATENATE("Örnek kayıt: ",$B56))</f>
        <v/>
      </c>
    </row>
    <row r="57" customFormat="false" ht="15" hidden="false" customHeight="false" outlineLevel="0" collapsed="false">
      <c r="G57" s="20" t="n">
        <f aca="false">IF($D57=0,0,$D57*$E57)</f>
        <v>0</v>
      </c>
      <c r="H57" s="20" t="str">
        <f aca="false">IF($B57="","",CONCATENATE("Örnek kayıt: ",$B57))</f>
        <v/>
      </c>
    </row>
    <row r="58" customFormat="false" ht="15" hidden="false" customHeight="false" outlineLevel="0" collapsed="false">
      <c r="G58" s="20" t="n">
        <f aca="false">IF($D58=0,0,$D58*$E58)</f>
        <v>0</v>
      </c>
      <c r="H58" s="20" t="str">
        <f aca="false">IF($B58="","",CONCATENATE("Örnek kayıt: ",$B58))</f>
        <v/>
      </c>
    </row>
    <row r="59" customFormat="false" ht="15" hidden="false" customHeight="false" outlineLevel="0" collapsed="false">
      <c r="G59" s="20" t="n">
        <f aca="false">IF($D59=0,0,$D59*$E59)</f>
        <v>0</v>
      </c>
      <c r="H59" s="20" t="str">
        <f aca="false">IF($B59="","",CONCATENATE("Örnek kayıt: ",$B59))</f>
        <v/>
      </c>
    </row>
    <row r="60" customFormat="false" ht="15" hidden="false" customHeight="false" outlineLevel="0" collapsed="false">
      <c r="G60" s="20" t="n">
        <f aca="false">IF($D60=0,0,$D60*$E60)</f>
        <v>0</v>
      </c>
      <c r="H60" s="20" t="str">
        <f aca="false">IF($B60="","",CONCATENATE("Örnek kayıt: ",$B60))</f>
        <v/>
      </c>
    </row>
    <row r="61" customFormat="false" ht="15" hidden="false" customHeight="false" outlineLevel="0" collapsed="false">
      <c r="G61" s="20" t="n">
        <f aca="false">IF($D61=0,0,$D61*$E61)</f>
        <v>0</v>
      </c>
      <c r="H61" s="20" t="str">
        <f aca="false">IF($B61="","",CONCATENATE("Örnek kayıt: ",$B61))</f>
        <v/>
      </c>
    </row>
    <row r="62" customFormat="false" ht="15" hidden="false" customHeight="false" outlineLevel="0" collapsed="false">
      <c r="G62" s="20" t="n">
        <f aca="false">IF($D62=0,0,$D62*$E62)</f>
        <v>0</v>
      </c>
      <c r="H62" s="20" t="str">
        <f aca="false">IF($B62="","",CONCATENATE("Örnek kayıt: ",$B62))</f>
        <v/>
      </c>
    </row>
    <row r="63" customFormat="false" ht="15" hidden="false" customHeight="false" outlineLevel="0" collapsed="false">
      <c r="G63" s="20" t="n">
        <f aca="false">IF($D63=0,0,$D63*$E63)</f>
        <v>0</v>
      </c>
      <c r="H63" s="20" t="str">
        <f aca="false">IF($B63="","",CONCATENATE("Örnek kayıt: ",$B63))</f>
        <v/>
      </c>
    </row>
    <row r="64" customFormat="false" ht="15" hidden="false" customHeight="false" outlineLevel="0" collapsed="false">
      <c r="G64" s="20" t="n">
        <f aca="false">IF($D64=0,0,$D64*$E64)</f>
        <v>0</v>
      </c>
      <c r="H64" s="20" t="str">
        <f aca="false">IF($B64="","",CONCATENATE("Örnek kayıt: ",$B64))</f>
        <v/>
      </c>
    </row>
    <row r="65" customFormat="false" ht="15" hidden="false" customHeight="false" outlineLevel="0" collapsed="false">
      <c r="G65" s="20" t="n">
        <f aca="false">IF($D65=0,0,$D65*$E65)</f>
        <v>0</v>
      </c>
      <c r="H65" s="20" t="str">
        <f aca="false">IF($B65="","",CONCATENATE("Örnek kayıt: ",$B65))</f>
        <v/>
      </c>
    </row>
    <row r="66" customFormat="false" ht="15" hidden="false" customHeight="false" outlineLevel="0" collapsed="false">
      <c r="G66" s="20" t="n">
        <f aca="false">IF($D66=0,0,$D66*$E66)</f>
        <v>0</v>
      </c>
      <c r="H66" s="20" t="str">
        <f aca="false">IF($B66="","",CONCATENATE("Örnek kayıt: ",$B66))</f>
        <v/>
      </c>
    </row>
    <row r="67" customFormat="false" ht="15" hidden="false" customHeight="false" outlineLevel="0" collapsed="false">
      <c r="G67" s="20" t="n">
        <f aca="false">IF($D67=0,0,$D67*$E67)</f>
        <v>0</v>
      </c>
      <c r="H67" s="20" t="str">
        <f aca="false">IF($B67="","",CONCATENATE("Örnek kayıt: ",$B67))</f>
        <v/>
      </c>
    </row>
    <row r="68" customFormat="false" ht="15" hidden="false" customHeight="false" outlineLevel="0" collapsed="false">
      <c r="G68" s="20" t="n">
        <f aca="false">IF($D68=0,0,$D68*$E68)</f>
        <v>0</v>
      </c>
      <c r="H68" s="20" t="str">
        <f aca="false">IF($B68="","",CONCATENATE("Örnek kayıt: ",$B68))</f>
        <v/>
      </c>
    </row>
    <row r="69" customFormat="false" ht="15" hidden="false" customHeight="false" outlineLevel="0" collapsed="false">
      <c r="G69" s="20" t="n">
        <f aca="false">IF($D69=0,0,$D69*$E69)</f>
        <v>0</v>
      </c>
      <c r="H69" s="20" t="str">
        <f aca="false">IF($B69="","",CONCATENATE("Örnek kayıt: ",$B69))</f>
        <v/>
      </c>
    </row>
    <row r="70" customFormat="false" ht="15" hidden="false" customHeight="false" outlineLevel="0" collapsed="false">
      <c r="G70" s="20" t="n">
        <f aca="false">IF($D70=0,0,$D70*$E70)</f>
        <v>0</v>
      </c>
      <c r="H70" s="20" t="str">
        <f aca="false">IF($B70="","",CONCATENATE("Örnek kayıt: ",$B70))</f>
        <v/>
      </c>
    </row>
    <row r="71" customFormat="false" ht="15" hidden="false" customHeight="false" outlineLevel="0" collapsed="false">
      <c r="G71" s="20" t="n">
        <f aca="false">IF($D71=0,0,$D71*$E71)</f>
        <v>0</v>
      </c>
      <c r="H71" s="20" t="str">
        <f aca="false">IF($B71="","",CONCATENATE("Örnek kayıt: ",$B71))</f>
        <v/>
      </c>
    </row>
    <row r="72" customFormat="false" ht="15" hidden="false" customHeight="false" outlineLevel="0" collapsed="false">
      <c r="G72" s="20" t="n">
        <f aca="false">IF($D72=0,0,$D72*$E72)</f>
        <v>0</v>
      </c>
      <c r="H72" s="20" t="str">
        <f aca="false">IF($B72="","",CONCATENATE("Örnek kayıt: ",$B72))</f>
        <v/>
      </c>
    </row>
    <row r="73" customFormat="false" ht="15" hidden="false" customHeight="false" outlineLevel="0" collapsed="false">
      <c r="G73" s="20" t="n">
        <f aca="false">IF($D73=0,0,$D73*$E73)</f>
        <v>0</v>
      </c>
      <c r="H73" s="20" t="str">
        <f aca="false">IF($B73="","",CONCATENATE("Örnek kayıt: ",$B73))</f>
        <v/>
      </c>
    </row>
    <row r="74" customFormat="false" ht="15" hidden="false" customHeight="false" outlineLevel="0" collapsed="false">
      <c r="G74" s="20" t="n">
        <f aca="false">IF($D74=0,0,$D74*$E74)</f>
        <v>0</v>
      </c>
      <c r="H74" s="20" t="str">
        <f aca="false">IF($B74="","",CONCATENATE("Örnek kayıt: ",$B74))</f>
        <v/>
      </c>
    </row>
    <row r="75" customFormat="false" ht="15" hidden="false" customHeight="false" outlineLevel="0" collapsed="false">
      <c r="G75" s="20" t="n">
        <f aca="false">IF($D75=0,0,$D75*$E75)</f>
        <v>0</v>
      </c>
      <c r="H75" s="20" t="str">
        <f aca="false">IF($B75="","",CONCATENATE("Örnek kayıt: ",$B75))</f>
        <v/>
      </c>
    </row>
    <row r="76" customFormat="false" ht="15" hidden="false" customHeight="false" outlineLevel="0" collapsed="false">
      <c r="G76" s="20" t="n">
        <f aca="false">IF($D76=0,0,$D76*$E76)</f>
        <v>0</v>
      </c>
      <c r="H76" s="20" t="str">
        <f aca="false">IF($B76="","",CONCATENATE("Örnek kayıt: ",$B76))</f>
        <v/>
      </c>
    </row>
    <row r="77" customFormat="false" ht="15" hidden="false" customHeight="false" outlineLevel="0" collapsed="false">
      <c r="G77" s="20" t="n">
        <f aca="false">IF($D77=0,0,$D77*$E77)</f>
        <v>0</v>
      </c>
      <c r="H77" s="20" t="str">
        <f aca="false">IF($B77="","",CONCATENATE("Örnek kayıt: ",$B77))</f>
        <v/>
      </c>
    </row>
    <row r="78" customFormat="false" ht="15" hidden="false" customHeight="false" outlineLevel="0" collapsed="false">
      <c r="G78" s="20" t="n">
        <f aca="false">IF($D78=0,0,$D78*$E78)</f>
        <v>0</v>
      </c>
      <c r="H78" s="20" t="str">
        <f aca="false">IF($B78="","",CONCATENATE("Örnek kayıt: ",$B78))</f>
        <v/>
      </c>
    </row>
    <row r="79" customFormat="false" ht="15" hidden="false" customHeight="false" outlineLevel="0" collapsed="false">
      <c r="G79" s="20" t="n">
        <f aca="false">IF($D79=0,0,$D79*$E79)</f>
        <v>0</v>
      </c>
      <c r="H79" s="20" t="str">
        <f aca="false">IF($B79="","",CONCATENATE("Örnek kayıt: ",$B79))</f>
        <v/>
      </c>
    </row>
    <row r="80" customFormat="false" ht="15" hidden="false" customHeight="false" outlineLevel="0" collapsed="false">
      <c r="G80" s="20" t="n">
        <f aca="false">IF($D80=0,0,$D80*$E80)</f>
        <v>0</v>
      </c>
      <c r="H80" s="20" t="str">
        <f aca="false">IF($B80="","",CONCATENATE("Örnek kayıt: ",$B80))</f>
        <v/>
      </c>
    </row>
    <row r="81" customFormat="false" ht="15" hidden="false" customHeight="false" outlineLevel="0" collapsed="false">
      <c r="G81" s="20" t="n">
        <f aca="false">IF($D81=0,0,$D81*$E81)</f>
        <v>0</v>
      </c>
      <c r="H81" s="20" t="str">
        <f aca="false">IF($B81="","",CONCATENATE("Örnek kayıt: ",$B81))</f>
        <v/>
      </c>
    </row>
    <row r="82" customFormat="false" ht="15" hidden="false" customHeight="false" outlineLevel="0" collapsed="false">
      <c r="G82" s="20" t="n">
        <f aca="false">IF($D82=0,0,$D82*$E82)</f>
        <v>0</v>
      </c>
      <c r="H82" s="20" t="str">
        <f aca="false">IF($B82="","",CONCATENATE("Örnek kayıt: ",$B82))</f>
        <v/>
      </c>
    </row>
    <row r="83" customFormat="false" ht="15" hidden="false" customHeight="false" outlineLevel="0" collapsed="false">
      <c r="G83" s="20" t="n">
        <f aca="false">IF($D83=0,0,$D83*$E83)</f>
        <v>0</v>
      </c>
      <c r="H83" s="20" t="str">
        <f aca="false">IF($B83="","",CONCATENATE("Örnek kayıt: ",$B83))</f>
        <v/>
      </c>
    </row>
    <row r="84" customFormat="false" ht="15" hidden="false" customHeight="false" outlineLevel="0" collapsed="false">
      <c r="G84" s="20" t="n">
        <f aca="false">IF($D84=0,0,$D84*$E84)</f>
        <v>0</v>
      </c>
      <c r="H84" s="20" t="str">
        <f aca="false">IF($B84="","",CONCATENATE("Örnek kayıt: ",$B84))</f>
        <v/>
      </c>
    </row>
    <row r="85" customFormat="false" ht="15" hidden="false" customHeight="false" outlineLevel="0" collapsed="false">
      <c r="G85" s="20" t="n">
        <f aca="false">IF($D85=0,0,$D85*$E85)</f>
        <v>0</v>
      </c>
      <c r="H85" s="20" t="str">
        <f aca="false">IF($B85="","",CONCATENATE("Örnek kayıt: ",$B85))</f>
        <v/>
      </c>
    </row>
    <row r="86" customFormat="false" ht="15" hidden="false" customHeight="false" outlineLevel="0" collapsed="false">
      <c r="G86" s="20" t="n">
        <f aca="false">IF($D86=0,0,$D86*$E86)</f>
        <v>0</v>
      </c>
      <c r="H86" s="20" t="str">
        <f aca="false">IF($B86="","",CONCATENATE("Örnek kayıt: ",$B86))</f>
        <v/>
      </c>
    </row>
    <row r="87" customFormat="false" ht="15" hidden="false" customHeight="false" outlineLevel="0" collapsed="false">
      <c r="G87" s="20" t="n">
        <f aca="false">IF($D87=0,0,$D87*$E87)</f>
        <v>0</v>
      </c>
      <c r="H87" s="20" t="str">
        <f aca="false">IF($B87="","",CONCATENATE("Örnek kayıt: ",$B87))</f>
        <v/>
      </c>
    </row>
    <row r="88" customFormat="false" ht="15" hidden="false" customHeight="false" outlineLevel="0" collapsed="false">
      <c r="G88" s="20" t="n">
        <f aca="false">IF($D88=0,0,$D88*$E88)</f>
        <v>0</v>
      </c>
      <c r="H88" s="20" t="str">
        <f aca="false">IF($B88="","",CONCATENATE("Örnek kayıt: ",$B88))</f>
        <v/>
      </c>
    </row>
    <row r="89" customFormat="false" ht="15" hidden="false" customHeight="false" outlineLevel="0" collapsed="false">
      <c r="G89" s="20" t="n">
        <f aca="false">IF($D89=0,0,$D89*$E89)</f>
        <v>0</v>
      </c>
      <c r="H89" s="20" t="str">
        <f aca="false">IF($B89="","",CONCATENATE("Örnek kayıt: ",$B89))</f>
        <v/>
      </c>
    </row>
    <row r="90" customFormat="false" ht="15" hidden="false" customHeight="false" outlineLevel="0" collapsed="false">
      <c r="G90" s="20" t="n">
        <f aca="false">IF($D90=0,0,$D90*$E90)</f>
        <v>0</v>
      </c>
      <c r="H90" s="20" t="str">
        <f aca="false">IF($B90="","",CONCATENATE("Örnek kayıt: ",$B90))</f>
        <v/>
      </c>
    </row>
    <row r="91" customFormat="false" ht="15" hidden="false" customHeight="false" outlineLevel="0" collapsed="false">
      <c r="G91" s="20" t="n">
        <f aca="false">IF($D91=0,0,$D91*$E91)</f>
        <v>0</v>
      </c>
      <c r="H91" s="20" t="str">
        <f aca="false">IF($B91="","",CONCATENATE("Örnek kayıt: ",$B91))</f>
        <v/>
      </c>
    </row>
    <row r="92" customFormat="false" ht="15" hidden="false" customHeight="false" outlineLevel="0" collapsed="false">
      <c r="G92" s="20" t="n">
        <f aca="false">IF($D92=0,0,$D92*$E92)</f>
        <v>0</v>
      </c>
      <c r="H92" s="20" t="str">
        <f aca="false">IF($B92="","",CONCATENATE("Örnek kayıt: ",$B92))</f>
        <v/>
      </c>
    </row>
    <row r="93" customFormat="false" ht="15" hidden="false" customHeight="false" outlineLevel="0" collapsed="false">
      <c r="G93" s="20" t="n">
        <f aca="false">IF($D93=0,0,$D93*$E93)</f>
        <v>0</v>
      </c>
      <c r="H93" s="20" t="str">
        <f aca="false">IF($B93="","",CONCATENATE("Örnek kayıt: ",$B93))</f>
        <v/>
      </c>
    </row>
    <row r="94" customFormat="false" ht="15" hidden="false" customHeight="false" outlineLevel="0" collapsed="false">
      <c r="G94" s="20" t="n">
        <f aca="false">IF($D94=0,0,$D94*$E94)</f>
        <v>0</v>
      </c>
      <c r="H94" s="20" t="str">
        <f aca="false">IF($B94="","",CONCATENATE("Örnek kayıt: ",$B94))</f>
        <v/>
      </c>
    </row>
    <row r="95" customFormat="false" ht="15" hidden="false" customHeight="false" outlineLevel="0" collapsed="false">
      <c r="G95" s="20" t="n">
        <f aca="false">IF($D95=0,0,$D95*$E95)</f>
        <v>0</v>
      </c>
      <c r="H95" s="20" t="str">
        <f aca="false">IF($B95="","",CONCATENATE("Örnek kayıt: ",$B95))</f>
        <v/>
      </c>
    </row>
    <row r="96" customFormat="false" ht="15" hidden="false" customHeight="false" outlineLevel="0" collapsed="false">
      <c r="G96" s="20" t="n">
        <f aca="false">IF($D96=0,0,$D96*$E96)</f>
        <v>0</v>
      </c>
      <c r="H96" s="20" t="str">
        <f aca="false">IF($B96="","",CONCATENATE("Örnek kayıt: ",$B96))</f>
        <v/>
      </c>
    </row>
    <row r="97" customFormat="false" ht="15" hidden="false" customHeight="false" outlineLevel="0" collapsed="false">
      <c r="G97" s="20" t="n">
        <f aca="false">IF($D97=0,0,$D97*$E97)</f>
        <v>0</v>
      </c>
      <c r="H97" s="20" t="str">
        <f aca="false">IF($B97="","",CONCATENATE("Örnek kayıt: ",$B97))</f>
        <v/>
      </c>
    </row>
    <row r="98" customFormat="false" ht="15" hidden="false" customHeight="false" outlineLevel="0" collapsed="false">
      <c r="G98" s="20" t="n">
        <f aca="false">IF($D98=0,0,$D98*$E98)</f>
        <v>0</v>
      </c>
      <c r="H98" s="20" t="str">
        <f aca="false">IF($B98="","",CONCATENATE("Örnek kayıt: ",$B98))</f>
        <v/>
      </c>
    </row>
    <row r="99" customFormat="false" ht="15" hidden="false" customHeight="false" outlineLevel="0" collapsed="false">
      <c r="G99" s="20" t="n">
        <f aca="false">IF($D99=0,0,$D99*$E99)</f>
        <v>0</v>
      </c>
      <c r="H99" s="20" t="str">
        <f aca="false">IF($B99="","",CONCATENATE("Örnek kayıt: ",$B99))</f>
        <v/>
      </c>
    </row>
    <row r="100" customFormat="false" ht="15" hidden="false" customHeight="false" outlineLevel="0" collapsed="false">
      <c r="G100" s="20" t="n">
        <f aca="false">IF($D100=0,0,$D100*$E100)</f>
        <v>0</v>
      </c>
      <c r="H100" s="20" t="str">
        <f aca="false">IF($B100="","",CONCATENATE("Örnek kayıt: ",$B100))</f>
        <v/>
      </c>
    </row>
    <row r="101" customFormat="false" ht="15" hidden="false" customHeight="false" outlineLevel="0" collapsed="false">
      <c r="G101" s="20" t="n">
        <f aca="false">IF($D101=0,0,$D101*$E101)</f>
        <v>0</v>
      </c>
      <c r="H101" s="20" t="str">
        <f aca="false">IF($B101="","",CONCATENATE("Örnek kayıt: ",$B101))</f>
        <v/>
      </c>
    </row>
    <row r="102" customFormat="false" ht="15" hidden="false" customHeight="false" outlineLevel="0" collapsed="false">
      <c r="G102" s="20" t="n">
        <f aca="false">IF($D102=0,0,$D102*$E102)</f>
        <v>0</v>
      </c>
      <c r="H102" s="20" t="str">
        <f aca="false">IF($B102="","",CONCATENATE("Örnek kayıt: ",$B102))</f>
        <v/>
      </c>
    </row>
    <row r="103" customFormat="false" ht="15" hidden="false" customHeight="false" outlineLevel="0" collapsed="false">
      <c r="G103" s="20" t="n">
        <f aca="false">IF($D103=0,0,$D103*$E103)</f>
        <v>0</v>
      </c>
      <c r="H103" s="20" t="str">
        <f aca="false">IF($B103="","",CONCATENATE("Örnek kayıt: ",$B103))</f>
        <v/>
      </c>
    </row>
    <row r="104" customFormat="false" ht="15" hidden="false" customHeight="false" outlineLevel="0" collapsed="false">
      <c r="G104" s="20" t="n">
        <f aca="false">IF($D104=0,0,$D104*$E104)</f>
        <v>0</v>
      </c>
      <c r="H104" s="20" t="str">
        <f aca="false">IF($B104="","",CONCATENATE("Örnek kayıt: ",$B104))</f>
        <v/>
      </c>
    </row>
    <row r="105" customFormat="false" ht="15" hidden="false" customHeight="false" outlineLevel="0" collapsed="false">
      <c r="G105" s="20" t="n">
        <f aca="false">IF($D105=0,0,$D105*$E105)</f>
        <v>0</v>
      </c>
      <c r="H105" s="20" t="str">
        <f aca="false">IF($B105="","",CONCATENATE("Örnek kayıt: ",$B105))</f>
        <v/>
      </c>
    </row>
    <row r="106" customFormat="false" ht="15" hidden="false" customHeight="false" outlineLevel="0" collapsed="false">
      <c r="G106" s="20" t="n">
        <f aca="false">IF($D106=0,0,$D106*$E106)</f>
        <v>0</v>
      </c>
      <c r="H106" s="20" t="str">
        <f aca="false">IF($B106="","",CONCATENATE("Örnek kayıt: ",$B106))</f>
        <v/>
      </c>
    </row>
    <row r="107" customFormat="false" ht="15" hidden="false" customHeight="false" outlineLevel="0" collapsed="false">
      <c r="G107" s="20" t="n">
        <f aca="false">IF($D107=0,0,$D107*$E107)</f>
        <v>0</v>
      </c>
      <c r="H107" s="20" t="str">
        <f aca="false">IF($B107="","",CONCATENATE("Örnek kayıt: ",$B107))</f>
        <v/>
      </c>
    </row>
    <row r="108" customFormat="false" ht="15" hidden="false" customHeight="false" outlineLevel="0" collapsed="false">
      <c r="G108" s="20" t="n">
        <f aca="false">IF($D108=0,0,$D108*$E108)</f>
        <v>0</v>
      </c>
      <c r="H108" s="20" t="str">
        <f aca="false">IF($B108="","",CONCATENATE("Örnek kayıt: ",$B108))</f>
        <v/>
      </c>
    </row>
    <row r="109" customFormat="false" ht="15" hidden="false" customHeight="false" outlineLevel="0" collapsed="false">
      <c r="G109" s="20" t="n">
        <f aca="false">IF($D109=0,0,$D109*$E109)</f>
        <v>0</v>
      </c>
      <c r="H109" s="20" t="str">
        <f aca="false">IF($B109="","",CONCATENATE("Örnek kayıt: ",$B109))</f>
        <v/>
      </c>
    </row>
    <row r="110" customFormat="false" ht="15" hidden="false" customHeight="false" outlineLevel="0" collapsed="false">
      <c r="G110" s="20" t="n">
        <f aca="false">IF($D110=0,0,$D110*$E110)</f>
        <v>0</v>
      </c>
      <c r="H110" s="20" t="str">
        <f aca="false">IF($B110="","",CONCATENATE("Örnek kayıt: ",$B110))</f>
        <v/>
      </c>
    </row>
    <row r="111" customFormat="false" ht="15" hidden="false" customHeight="false" outlineLevel="0" collapsed="false">
      <c r="G111" s="20" t="n">
        <f aca="false">IF($D111=0,0,$D111*$E111)</f>
        <v>0</v>
      </c>
      <c r="H111" s="20" t="str">
        <f aca="false">IF($B111="","",CONCATENATE("Örnek kayıt: ",$B111))</f>
        <v/>
      </c>
    </row>
    <row r="112" customFormat="false" ht="15" hidden="false" customHeight="false" outlineLevel="0" collapsed="false">
      <c r="G112" s="20" t="n">
        <f aca="false">IF($D112=0,0,$D112*$E112)</f>
        <v>0</v>
      </c>
      <c r="H112" s="20" t="str">
        <f aca="false">IF($B112="","",CONCATENATE("Örnek kayıt: ",$B112))</f>
        <v/>
      </c>
    </row>
    <row r="113" customFormat="false" ht="15" hidden="false" customHeight="false" outlineLevel="0" collapsed="false">
      <c r="G113" s="20" t="n">
        <f aca="false">IF($D113=0,0,$D113*$E113)</f>
        <v>0</v>
      </c>
      <c r="H113" s="20" t="str">
        <f aca="false">IF($B113="","",CONCATENATE("Örnek kayıt: ",$B113))</f>
        <v/>
      </c>
    </row>
    <row r="114" customFormat="false" ht="15" hidden="false" customHeight="false" outlineLevel="0" collapsed="false">
      <c r="G114" s="20" t="n">
        <f aca="false">IF($D114=0,0,$D114*$E114)</f>
        <v>0</v>
      </c>
      <c r="H114" s="20" t="str">
        <f aca="false">IF($B114="","",CONCATENATE("Örnek kayıt: ",$B114))</f>
        <v/>
      </c>
    </row>
    <row r="115" customFormat="false" ht="15" hidden="false" customHeight="false" outlineLevel="0" collapsed="false">
      <c r="G115" s="20" t="n">
        <f aca="false">IF($D115=0,0,$D115*$E115)</f>
        <v>0</v>
      </c>
      <c r="H115" s="20" t="str">
        <f aca="false">IF($B115="","",CONCATENATE("Örnek kayıt: ",$B115))</f>
        <v/>
      </c>
    </row>
    <row r="116" customFormat="false" ht="15" hidden="false" customHeight="false" outlineLevel="0" collapsed="false">
      <c r="G116" s="20" t="n">
        <f aca="false">IF($D116=0,0,$D116*$E116)</f>
        <v>0</v>
      </c>
      <c r="H116" s="20" t="str">
        <f aca="false">IF($B116="","",CONCATENATE("Örnek kayıt: ",$B116))</f>
        <v/>
      </c>
    </row>
    <row r="117" customFormat="false" ht="15" hidden="false" customHeight="false" outlineLevel="0" collapsed="false">
      <c r="G117" s="20" t="n">
        <f aca="false">IF($D117=0,0,$D117*$E117)</f>
        <v>0</v>
      </c>
      <c r="H117" s="20" t="str">
        <f aca="false">IF($B117="","",CONCATENATE("Örnek kayıt: ",$B117))</f>
        <v/>
      </c>
    </row>
    <row r="118" customFormat="false" ht="15" hidden="false" customHeight="false" outlineLevel="0" collapsed="false">
      <c r="G118" s="20" t="n">
        <f aca="false">IF($D118=0,0,$D118*$E118)</f>
        <v>0</v>
      </c>
      <c r="H118" s="20" t="str">
        <f aca="false">IF($B118="","",CONCATENATE("Örnek kayıt: ",$B118))</f>
        <v/>
      </c>
    </row>
    <row r="119" customFormat="false" ht="15" hidden="false" customHeight="false" outlineLevel="0" collapsed="false">
      <c r="G119" s="20" t="n">
        <f aca="false">IF($D119=0,0,$D119*$E119)</f>
        <v>0</v>
      </c>
      <c r="H119" s="20" t="str">
        <f aca="false">IF($B119="","",CONCATENATE("Örnek kayıt: ",$B119))</f>
        <v/>
      </c>
    </row>
    <row r="120" customFormat="false" ht="15" hidden="false" customHeight="false" outlineLevel="0" collapsed="false">
      <c r="G120" s="20" t="n">
        <f aca="false">IF($D120=0,0,$D120*$E120)</f>
        <v>0</v>
      </c>
      <c r="H120" s="20" t="str">
        <f aca="false">IF($B120="","",CONCATENATE("Örnek kayıt: ",$B120))</f>
        <v/>
      </c>
    </row>
    <row r="121" customFormat="false" ht="15" hidden="false" customHeight="false" outlineLevel="0" collapsed="false">
      <c r="G121" s="20" t="n">
        <f aca="false">IF($D121=0,0,$D121*$E121)</f>
        <v>0</v>
      </c>
      <c r="H121" s="20" t="str">
        <f aca="false">IF($B121="","",CONCATENATE("Örnek kayıt: ",$B121))</f>
        <v/>
      </c>
    </row>
    <row r="122" customFormat="false" ht="15" hidden="false" customHeight="false" outlineLevel="0" collapsed="false">
      <c r="G122" s="20" t="n">
        <f aca="false">IF($D122=0,0,$D122*$E122)</f>
        <v>0</v>
      </c>
      <c r="H122" s="20" t="str">
        <f aca="false">IF($B122="","",CONCATENATE("Örnek kayıt: ",$B122))</f>
        <v/>
      </c>
    </row>
    <row r="123" customFormat="false" ht="15" hidden="false" customHeight="false" outlineLevel="0" collapsed="false">
      <c r="G123" s="20" t="n">
        <f aca="false">IF($D123=0,0,$D123*$E123)</f>
        <v>0</v>
      </c>
      <c r="H123" s="20" t="str">
        <f aca="false">IF($B123="","",CONCATENATE("Örnek kayıt: ",$B123))</f>
        <v/>
      </c>
    </row>
    <row r="124" customFormat="false" ht="15" hidden="false" customHeight="false" outlineLevel="0" collapsed="false">
      <c r="G124" s="20" t="n">
        <f aca="false">IF($D124=0,0,$D124*$E124)</f>
        <v>0</v>
      </c>
      <c r="H124" s="20" t="str">
        <f aca="false">IF($B124="","",CONCATENATE("Örnek kayıt: ",$B124))</f>
        <v/>
      </c>
    </row>
    <row r="125" customFormat="false" ht="15" hidden="false" customHeight="false" outlineLevel="0" collapsed="false">
      <c r="G125" s="20" t="n">
        <f aca="false">IF($D125=0,0,$D125*$E125)</f>
        <v>0</v>
      </c>
      <c r="H125" s="20" t="str">
        <f aca="false">IF($B125="","",CONCATENATE("Örnek kayıt: ",$B125))</f>
        <v/>
      </c>
    </row>
    <row r="126" customFormat="false" ht="15" hidden="false" customHeight="false" outlineLevel="0" collapsed="false">
      <c r="G126" s="20" t="n">
        <f aca="false">IF($D126=0,0,$D126*$E126)</f>
        <v>0</v>
      </c>
      <c r="H126" s="20" t="str">
        <f aca="false">IF($B126="","",CONCATENATE("Örnek kayıt: ",$B126))</f>
        <v/>
      </c>
    </row>
    <row r="127" customFormat="false" ht="15" hidden="false" customHeight="false" outlineLevel="0" collapsed="false">
      <c r="G127" s="20" t="n">
        <f aca="false">IF($D127=0,0,$D127*$E127)</f>
        <v>0</v>
      </c>
      <c r="H127" s="20" t="str">
        <f aca="false">IF($B127="","",CONCATENATE("Örnek kayıt: ",$B127))</f>
        <v/>
      </c>
    </row>
    <row r="128" customFormat="false" ht="15" hidden="false" customHeight="false" outlineLevel="0" collapsed="false">
      <c r="G128" s="20" t="n">
        <f aca="false">IF($D128=0,0,$D128*$E128)</f>
        <v>0</v>
      </c>
      <c r="H128" s="20" t="str">
        <f aca="false">IF($B128="","",CONCATENATE("Örnek kayıt: ",$B128))</f>
        <v/>
      </c>
    </row>
    <row r="129" customFormat="false" ht="15" hidden="false" customHeight="false" outlineLevel="0" collapsed="false">
      <c r="G129" s="20" t="n">
        <f aca="false">IF($D129=0,0,$D129*$E129)</f>
        <v>0</v>
      </c>
      <c r="H129" s="20" t="str">
        <f aca="false">IF($B129="","",CONCATENATE("Örnek kayıt: ",$B129))</f>
        <v/>
      </c>
    </row>
    <row r="130" customFormat="false" ht="15" hidden="false" customHeight="false" outlineLevel="0" collapsed="false">
      <c r="G130" s="20" t="n">
        <f aca="false">IF($D130=0,0,$D130*$E130)</f>
        <v>0</v>
      </c>
      <c r="H130" s="20" t="str">
        <f aca="false">IF($B130="","",CONCATENATE("Örnek kayıt: ",$B130))</f>
        <v/>
      </c>
    </row>
    <row r="131" customFormat="false" ht="15" hidden="false" customHeight="false" outlineLevel="0" collapsed="false">
      <c r="G131" s="20" t="n">
        <f aca="false">IF($D131=0,0,$D131*$E131)</f>
        <v>0</v>
      </c>
      <c r="H131" s="20" t="str">
        <f aca="false">IF($B131="","",CONCATENATE("Örnek kayıt: ",$B131))</f>
        <v/>
      </c>
    </row>
    <row r="132" customFormat="false" ht="15" hidden="false" customHeight="false" outlineLevel="0" collapsed="false">
      <c r="G132" s="20" t="n">
        <f aca="false">IF($D132=0,0,$D132*$E132)</f>
        <v>0</v>
      </c>
      <c r="H132" s="20" t="str">
        <f aca="false">IF($B132="","",CONCATENATE("Örnek kayıt: ",$B132))</f>
        <v/>
      </c>
    </row>
    <row r="133" customFormat="false" ht="15" hidden="false" customHeight="false" outlineLevel="0" collapsed="false">
      <c r="G133" s="20" t="n">
        <f aca="false">IF($D133=0,0,$D133*$E133)</f>
        <v>0</v>
      </c>
      <c r="H133" s="20" t="str">
        <f aca="false">IF($B133="","",CONCATENATE("Örnek kayıt: ",$B133))</f>
        <v/>
      </c>
    </row>
    <row r="134" customFormat="false" ht="15" hidden="false" customHeight="false" outlineLevel="0" collapsed="false">
      <c r="G134" s="20" t="n">
        <f aca="false">IF($D134=0,0,$D134*$E134)</f>
        <v>0</v>
      </c>
      <c r="H134" s="20" t="str">
        <f aca="false">IF($B134="","",CONCATENATE("Örnek kayıt: ",$B134))</f>
        <v/>
      </c>
    </row>
    <row r="135" customFormat="false" ht="15" hidden="false" customHeight="false" outlineLevel="0" collapsed="false">
      <c r="G135" s="20" t="n">
        <f aca="false">IF($D135=0,0,$D135*$E135)</f>
        <v>0</v>
      </c>
      <c r="H135" s="20" t="str">
        <f aca="false">IF($B135="","",CONCATENATE("Örnek kayıt: ",$B135))</f>
        <v/>
      </c>
    </row>
    <row r="136" customFormat="false" ht="15" hidden="false" customHeight="false" outlineLevel="0" collapsed="false">
      <c r="G136" s="20" t="n">
        <f aca="false">IF($D136=0,0,$D136*$E136)</f>
        <v>0</v>
      </c>
      <c r="H136" s="20" t="str">
        <f aca="false">IF($B136="","",CONCATENATE("Örnek kayıt: ",$B136))</f>
        <v/>
      </c>
    </row>
    <row r="137" customFormat="false" ht="15" hidden="false" customHeight="false" outlineLevel="0" collapsed="false">
      <c r="G137" s="20" t="n">
        <f aca="false">IF($D137=0,0,$D137*$E137)</f>
        <v>0</v>
      </c>
      <c r="H137" s="20" t="str">
        <f aca="false">IF($B137="","",CONCATENATE("Örnek kayıt: ",$B137))</f>
        <v/>
      </c>
    </row>
    <row r="138" customFormat="false" ht="15" hidden="false" customHeight="false" outlineLevel="0" collapsed="false">
      <c r="G138" s="20" t="n">
        <f aca="false">IF($D138=0,0,$D138*$E138)</f>
        <v>0</v>
      </c>
      <c r="H138" s="20" t="str">
        <f aca="false">IF($B138="","",CONCATENATE("Örnek kayıt: ",$B138))</f>
        <v/>
      </c>
    </row>
    <row r="139" customFormat="false" ht="15" hidden="false" customHeight="false" outlineLevel="0" collapsed="false">
      <c r="G139" s="20" t="n">
        <f aca="false">IF($D139=0,0,$D139*$E139)</f>
        <v>0</v>
      </c>
      <c r="H139" s="20" t="str">
        <f aca="false">IF($B139="","",CONCATENATE("Örnek kayıt: ",$B139))</f>
        <v/>
      </c>
    </row>
    <row r="140" customFormat="false" ht="15" hidden="false" customHeight="false" outlineLevel="0" collapsed="false">
      <c r="G140" s="20" t="n">
        <f aca="false">IF($D140=0,0,$D140*$E140)</f>
        <v>0</v>
      </c>
      <c r="H140" s="20" t="str">
        <f aca="false">IF($B140="","",CONCATENATE("Örnek kayıt: ",$B140))</f>
        <v/>
      </c>
    </row>
    <row r="141" customFormat="false" ht="15" hidden="false" customHeight="false" outlineLevel="0" collapsed="false">
      <c r="G141" s="20" t="n">
        <f aca="false">IF($D141=0,0,$D141*$E141)</f>
        <v>0</v>
      </c>
      <c r="H141" s="20" t="str">
        <f aca="false">IF($B141="","",CONCATENATE("Örnek kayıt: ",$B141))</f>
        <v/>
      </c>
    </row>
    <row r="142" customFormat="false" ht="15" hidden="false" customHeight="false" outlineLevel="0" collapsed="false">
      <c r="G142" s="20" t="n">
        <f aca="false">IF($D142=0,0,$D142*$E142)</f>
        <v>0</v>
      </c>
      <c r="H142" s="20" t="str">
        <f aca="false">IF($B142="","",CONCATENATE("Örnek kayıt: ",$B142))</f>
        <v/>
      </c>
    </row>
    <row r="143" customFormat="false" ht="15" hidden="false" customHeight="false" outlineLevel="0" collapsed="false">
      <c r="G143" s="20" t="n">
        <f aca="false">IF($D143=0,0,$D143*$E143)</f>
        <v>0</v>
      </c>
      <c r="H143" s="20" t="str">
        <f aca="false">IF($B143="","",CONCATENATE("Örnek kayıt: ",$B143))</f>
        <v/>
      </c>
    </row>
    <row r="144" customFormat="false" ht="15" hidden="false" customHeight="false" outlineLevel="0" collapsed="false">
      <c r="G144" s="20" t="n">
        <f aca="false">IF($D144=0,0,$D144*$E144)</f>
        <v>0</v>
      </c>
      <c r="H144" s="20" t="str">
        <f aca="false">IF($B144="","",CONCATENATE("Örnek kayıt: ",$B144))</f>
        <v/>
      </c>
    </row>
    <row r="145" customFormat="false" ht="15" hidden="false" customHeight="false" outlineLevel="0" collapsed="false">
      <c r="G145" s="20" t="n">
        <f aca="false">IF($D145=0,0,$D145*$E145)</f>
        <v>0</v>
      </c>
      <c r="H145" s="20" t="str">
        <f aca="false">IF($B145="","",CONCATENATE("Örnek kayıt: ",$B145))</f>
        <v/>
      </c>
    </row>
    <row r="146" customFormat="false" ht="15" hidden="false" customHeight="false" outlineLevel="0" collapsed="false">
      <c r="G146" s="20" t="n">
        <f aca="false">IF($D146=0,0,$D146*$E146)</f>
        <v>0</v>
      </c>
      <c r="H146" s="20" t="str">
        <f aca="false">IF($B146="","",CONCATENATE("Örnek kayıt: ",$B146))</f>
        <v/>
      </c>
    </row>
    <row r="147" customFormat="false" ht="15" hidden="false" customHeight="false" outlineLevel="0" collapsed="false">
      <c r="G147" s="20" t="n">
        <f aca="false">IF($D147=0,0,$D147*$E147)</f>
        <v>0</v>
      </c>
      <c r="H147" s="20" t="str">
        <f aca="false">IF($B147="","",CONCATENATE("Örnek kayıt: ",$B147))</f>
        <v/>
      </c>
    </row>
    <row r="148" customFormat="false" ht="15" hidden="false" customHeight="false" outlineLevel="0" collapsed="false">
      <c r="G148" s="20" t="n">
        <f aca="false">IF($D148=0,0,$D148*$E148)</f>
        <v>0</v>
      </c>
      <c r="H148" s="20" t="str">
        <f aca="false">IF($B148="","",CONCATENATE("Örnek kayıt: ",$B148))</f>
        <v/>
      </c>
    </row>
    <row r="149" customFormat="false" ht="15" hidden="false" customHeight="false" outlineLevel="0" collapsed="false">
      <c r="G149" s="20" t="n">
        <f aca="false">IF($D149=0,0,$D149*$E149)</f>
        <v>0</v>
      </c>
      <c r="H149" s="20" t="str">
        <f aca="false">IF($B149="","",CONCATENATE("Örnek kayıt: ",$B149))</f>
        <v/>
      </c>
    </row>
    <row r="150" customFormat="false" ht="15" hidden="false" customHeight="false" outlineLevel="0" collapsed="false">
      <c r="G150" s="20" t="n">
        <f aca="false">IF($D150=0,0,$D150*$E150)</f>
        <v>0</v>
      </c>
      <c r="H150" s="20" t="str">
        <f aca="false">IF($B150="","",CONCATENATE("Örnek kayıt: ",$B150))</f>
        <v/>
      </c>
    </row>
    <row r="151" customFormat="false" ht="15" hidden="false" customHeight="false" outlineLevel="0" collapsed="false">
      <c r="G151" s="20" t="n">
        <f aca="false">IF($D151=0,0,$D151*$E151)</f>
        <v>0</v>
      </c>
      <c r="H151" s="20" t="str">
        <f aca="false">IF($B151="","",CONCATENATE("Örnek kayıt: ",$B151))</f>
        <v/>
      </c>
    </row>
    <row r="152" customFormat="false" ht="15" hidden="false" customHeight="false" outlineLevel="0" collapsed="false">
      <c r="G152" s="20" t="n">
        <f aca="false">IF($D152=0,0,$D152*$E152)</f>
        <v>0</v>
      </c>
      <c r="H152" s="20" t="str">
        <f aca="false">IF($B152="","",CONCATENATE("Örnek kayıt: ",$B152))</f>
        <v/>
      </c>
    </row>
    <row r="153" customFormat="false" ht="15" hidden="false" customHeight="false" outlineLevel="0" collapsed="false">
      <c r="G153" s="20" t="n">
        <f aca="false">IF($D153=0,0,$D153*$E153)</f>
        <v>0</v>
      </c>
      <c r="H153" s="20" t="str">
        <f aca="false">IF($B153="","",CONCATENATE("Örnek kayıt: ",$B153))</f>
        <v/>
      </c>
    </row>
    <row r="154" customFormat="false" ht="15" hidden="false" customHeight="false" outlineLevel="0" collapsed="false">
      <c r="G154" s="20" t="n">
        <f aca="false">IF($D154=0,0,$D154*$E154)</f>
        <v>0</v>
      </c>
      <c r="H154" s="20" t="str">
        <f aca="false">IF($B154="","",CONCATENATE("Örnek kayıt: ",$B154))</f>
        <v/>
      </c>
    </row>
    <row r="155" customFormat="false" ht="15" hidden="false" customHeight="false" outlineLevel="0" collapsed="false">
      <c r="G155" s="20" t="n">
        <f aca="false">IF($D155=0,0,$D155*$E155)</f>
        <v>0</v>
      </c>
      <c r="H155" s="20" t="str">
        <f aca="false">IF($B155="","",CONCATENATE("Örnek kayıt: ",$B155))</f>
        <v/>
      </c>
    </row>
    <row r="156" customFormat="false" ht="15" hidden="false" customHeight="false" outlineLevel="0" collapsed="false">
      <c r="G156" s="20" t="n">
        <f aca="false">IF($D156=0,0,$D156*$E156)</f>
        <v>0</v>
      </c>
      <c r="H156" s="20" t="str">
        <f aca="false">IF($B156="","",CONCATENATE("Örnek kayıt: ",$B156))</f>
        <v/>
      </c>
    </row>
    <row r="157" customFormat="false" ht="15" hidden="false" customHeight="false" outlineLevel="0" collapsed="false">
      <c r="G157" s="20" t="n">
        <f aca="false">IF($D157=0,0,$D157*$E157)</f>
        <v>0</v>
      </c>
      <c r="H157" s="20" t="str">
        <f aca="false">IF($B157="","",CONCATENATE("Örnek kayıt: ",$B157))</f>
        <v/>
      </c>
    </row>
    <row r="158" customFormat="false" ht="15" hidden="false" customHeight="false" outlineLevel="0" collapsed="false">
      <c r="G158" s="20" t="n">
        <f aca="false">IF($D158=0,0,$D158*$E158)</f>
        <v>0</v>
      </c>
      <c r="H158" s="20" t="str">
        <f aca="false">IF($B158="","",CONCATENATE("Örnek kayıt: ",$B158))</f>
        <v/>
      </c>
    </row>
    <row r="159" customFormat="false" ht="15" hidden="false" customHeight="false" outlineLevel="0" collapsed="false">
      <c r="G159" s="20" t="n">
        <f aca="false">IF($D159=0,0,$D159*$E159)</f>
        <v>0</v>
      </c>
      <c r="H159" s="20" t="str">
        <f aca="false">IF($B159="","",CONCATENATE("Örnek kayıt: ",$B159))</f>
        <v/>
      </c>
    </row>
    <row r="160" customFormat="false" ht="15" hidden="false" customHeight="false" outlineLevel="0" collapsed="false">
      <c r="G160" s="20" t="n">
        <f aca="false">IF($D160=0,0,$D160*$E160)</f>
        <v>0</v>
      </c>
      <c r="H160" s="20" t="str">
        <f aca="false">IF($B160="","",CONCATENATE("Örnek kayıt: ",$B160))</f>
        <v/>
      </c>
    </row>
    <row r="161" customFormat="false" ht="15" hidden="false" customHeight="false" outlineLevel="0" collapsed="false">
      <c r="G161" s="20" t="n">
        <f aca="false">IF($D161=0,0,$D161*$E161)</f>
        <v>0</v>
      </c>
      <c r="H161" s="20" t="str">
        <f aca="false">IF($B161="","",CONCATENATE("Örnek kayıt: ",$B161))</f>
        <v/>
      </c>
    </row>
    <row r="162" customFormat="false" ht="15" hidden="false" customHeight="false" outlineLevel="0" collapsed="false">
      <c r="G162" s="20" t="n">
        <f aca="false">IF($D162=0,0,$D162*$E162)</f>
        <v>0</v>
      </c>
      <c r="H162" s="20" t="str">
        <f aca="false">IF($B162="","",CONCATENATE("Örnek kayıt: ",$B162))</f>
        <v/>
      </c>
    </row>
    <row r="163" customFormat="false" ht="15" hidden="false" customHeight="false" outlineLevel="0" collapsed="false">
      <c r="G163" s="20" t="n">
        <f aca="false">IF($D163=0,0,$D163*$E163)</f>
        <v>0</v>
      </c>
      <c r="H163" s="20" t="str">
        <f aca="false">IF($B163="","",CONCATENATE("Örnek kayıt: ",$B163))</f>
        <v/>
      </c>
    </row>
    <row r="164" customFormat="false" ht="15" hidden="false" customHeight="false" outlineLevel="0" collapsed="false">
      <c r="G164" s="20" t="n">
        <f aca="false">IF($D164=0,0,$D164*$E164)</f>
        <v>0</v>
      </c>
      <c r="H164" s="20" t="str">
        <f aca="false">IF($B164="","",CONCATENATE("Örnek kayıt: ",$B164))</f>
        <v/>
      </c>
    </row>
    <row r="165" customFormat="false" ht="15" hidden="false" customHeight="false" outlineLevel="0" collapsed="false">
      <c r="G165" s="20" t="n">
        <f aca="false">IF($D165=0,0,$D165*$E165)</f>
        <v>0</v>
      </c>
      <c r="H165" s="20" t="str">
        <f aca="false">IF($B165="","",CONCATENATE("Örnek kayıt: ",$B165))</f>
        <v/>
      </c>
    </row>
    <row r="166" customFormat="false" ht="15" hidden="false" customHeight="false" outlineLevel="0" collapsed="false">
      <c r="G166" s="20" t="n">
        <f aca="false">IF($D166=0,0,$D166*$E166)</f>
        <v>0</v>
      </c>
      <c r="H166" s="20" t="str">
        <f aca="false">IF($B166="","",CONCATENATE("Örnek kayıt: ",$B166))</f>
        <v/>
      </c>
    </row>
    <row r="167" customFormat="false" ht="15" hidden="false" customHeight="false" outlineLevel="0" collapsed="false">
      <c r="G167" s="20" t="n">
        <f aca="false">IF($D167=0,0,$D167*$E167)</f>
        <v>0</v>
      </c>
      <c r="H167" s="20" t="str">
        <f aca="false">IF($B167="","",CONCATENATE("Örnek kayıt: ",$B167))</f>
        <v/>
      </c>
    </row>
    <row r="168" customFormat="false" ht="15" hidden="false" customHeight="false" outlineLevel="0" collapsed="false">
      <c r="G168" s="20" t="n">
        <f aca="false">IF($D168=0,0,$D168*$E168)</f>
        <v>0</v>
      </c>
      <c r="H168" s="20" t="str">
        <f aca="false">IF($B168="","",CONCATENATE("Örnek kayıt: ",$B168))</f>
        <v/>
      </c>
    </row>
    <row r="169" customFormat="false" ht="15" hidden="false" customHeight="false" outlineLevel="0" collapsed="false">
      <c r="G169" s="20" t="n">
        <f aca="false">IF($D169=0,0,$D169*$E169)</f>
        <v>0</v>
      </c>
      <c r="H169" s="20" t="str">
        <f aca="false">IF($B169="","",CONCATENATE("Örnek kayıt: ",$B169))</f>
        <v/>
      </c>
    </row>
    <row r="170" customFormat="false" ht="15" hidden="false" customHeight="false" outlineLevel="0" collapsed="false">
      <c r="G170" s="20" t="n">
        <f aca="false">IF($D170=0,0,$D170*$E170)</f>
        <v>0</v>
      </c>
      <c r="H170" s="20" t="str">
        <f aca="false">IF($B170="","",CONCATENATE("Örnek kayıt: ",$B170))</f>
        <v/>
      </c>
    </row>
    <row r="171" customFormat="false" ht="15" hidden="false" customHeight="false" outlineLevel="0" collapsed="false">
      <c r="G171" s="20" t="n">
        <f aca="false">IF($D171=0,0,$D171*$E171)</f>
        <v>0</v>
      </c>
      <c r="H171" s="20" t="str">
        <f aca="false">IF($B171="","",CONCATENATE("Örnek kayıt: ",$B171))</f>
        <v/>
      </c>
    </row>
    <row r="172" customFormat="false" ht="15" hidden="false" customHeight="false" outlineLevel="0" collapsed="false">
      <c r="G172" s="20" t="n">
        <f aca="false">IF($D172=0,0,$D172*$E172)</f>
        <v>0</v>
      </c>
      <c r="H172" s="20" t="str">
        <f aca="false">IF($B172="","",CONCATENATE("Örnek kayıt: ",$B172))</f>
        <v/>
      </c>
    </row>
    <row r="173" customFormat="false" ht="15" hidden="false" customHeight="false" outlineLevel="0" collapsed="false">
      <c r="G173" s="20" t="n">
        <f aca="false">IF($D173=0,0,$D173*$E173)</f>
        <v>0</v>
      </c>
      <c r="H173" s="20" t="str">
        <f aca="false">IF($B173="","",CONCATENATE("Örnek kayıt: ",$B173))</f>
        <v/>
      </c>
    </row>
    <row r="174" customFormat="false" ht="15" hidden="false" customHeight="false" outlineLevel="0" collapsed="false">
      <c r="G174" s="20" t="n">
        <f aca="false">IF($D174=0,0,$D174*$E174)</f>
        <v>0</v>
      </c>
      <c r="H174" s="20" t="str">
        <f aca="false">IF($B174="","",CONCATENATE("Örnek kayıt: ",$B174))</f>
        <v/>
      </c>
    </row>
    <row r="175" customFormat="false" ht="15" hidden="false" customHeight="false" outlineLevel="0" collapsed="false">
      <c r="G175" s="20" t="n">
        <f aca="false">IF($D175=0,0,$D175*$E175)</f>
        <v>0</v>
      </c>
      <c r="H175" s="20" t="str">
        <f aca="false">IF($B175="","",CONCATENATE("Örnek kayıt: ",$B175))</f>
        <v/>
      </c>
    </row>
    <row r="176" customFormat="false" ht="15" hidden="false" customHeight="false" outlineLevel="0" collapsed="false">
      <c r="G176" s="20" t="n">
        <f aca="false">IF($D176=0,0,$D176*$E176)</f>
        <v>0</v>
      </c>
      <c r="H176" s="20" t="str">
        <f aca="false">IF($B176="","",CONCATENATE("Örnek kayıt: ",$B176))</f>
        <v/>
      </c>
    </row>
    <row r="177" customFormat="false" ht="15" hidden="false" customHeight="false" outlineLevel="0" collapsed="false">
      <c r="G177" s="20" t="n">
        <f aca="false">IF($D177=0,0,$D177*$E177)</f>
        <v>0</v>
      </c>
      <c r="H177" s="20" t="str">
        <f aca="false">IF($B177="","",CONCATENATE("Örnek kayıt: ",$B177))</f>
        <v/>
      </c>
    </row>
    <row r="178" customFormat="false" ht="15" hidden="false" customHeight="false" outlineLevel="0" collapsed="false">
      <c r="G178" s="20" t="n">
        <f aca="false">IF($D178=0,0,$D178*$E178)</f>
        <v>0</v>
      </c>
      <c r="H178" s="20" t="str">
        <f aca="false">IF($B178="","",CONCATENATE("Örnek kayıt: ",$B178))</f>
        <v/>
      </c>
    </row>
    <row r="179" customFormat="false" ht="15" hidden="false" customHeight="false" outlineLevel="0" collapsed="false">
      <c r="G179" s="20" t="n">
        <f aca="false">IF($D179=0,0,$D179*$E179)</f>
        <v>0</v>
      </c>
      <c r="H179" s="20" t="str">
        <f aca="false">IF($B179="","",CONCATENATE("Örnek kayıt: ",$B179))</f>
        <v/>
      </c>
    </row>
    <row r="180" customFormat="false" ht="15" hidden="false" customHeight="false" outlineLevel="0" collapsed="false">
      <c r="G180" s="20" t="n">
        <f aca="false">IF($D180=0,0,$D180*$E180)</f>
        <v>0</v>
      </c>
      <c r="H180" s="20" t="str">
        <f aca="false">IF($B180="","",CONCATENATE("Örnek kayıt: ",$B180))</f>
        <v/>
      </c>
    </row>
    <row r="181" customFormat="false" ht="15" hidden="false" customHeight="false" outlineLevel="0" collapsed="false">
      <c r="G181" s="20" t="n">
        <f aca="false">IF($D181=0,0,$D181*$E181)</f>
        <v>0</v>
      </c>
      <c r="H181" s="20" t="str">
        <f aca="false">IF($B181="","",CONCATENATE("Örnek kayıt: ",$B181))</f>
        <v/>
      </c>
    </row>
    <row r="182" customFormat="false" ht="15" hidden="false" customHeight="false" outlineLevel="0" collapsed="false">
      <c r="G182" s="20" t="n">
        <f aca="false">IF($D182=0,0,$D182*$E182)</f>
        <v>0</v>
      </c>
      <c r="H182" s="20" t="str">
        <f aca="false">IF($B182="","",CONCATENATE("Örnek kayıt: ",$B182))</f>
        <v/>
      </c>
    </row>
    <row r="183" customFormat="false" ht="15" hidden="false" customHeight="false" outlineLevel="0" collapsed="false">
      <c r="G183" s="20" t="n">
        <f aca="false">IF($D183=0,0,$D183*$E183)</f>
        <v>0</v>
      </c>
      <c r="H183" s="20" t="str">
        <f aca="false">IF($B183="","",CONCATENATE("Örnek kayıt: ",$B183))</f>
        <v/>
      </c>
    </row>
    <row r="184" customFormat="false" ht="15" hidden="false" customHeight="false" outlineLevel="0" collapsed="false">
      <c r="G184" s="20" t="n">
        <f aca="false">IF($D184=0,0,$D184*$E184)</f>
        <v>0</v>
      </c>
      <c r="H184" s="20" t="str">
        <f aca="false">IF($B184="","",CONCATENATE("Örnek kayıt: ",$B184))</f>
        <v/>
      </c>
    </row>
    <row r="185" customFormat="false" ht="15" hidden="false" customHeight="false" outlineLevel="0" collapsed="false">
      <c r="G185" s="20" t="n">
        <f aca="false">IF($D185=0,0,$D185*$E185)</f>
        <v>0</v>
      </c>
      <c r="H185" s="20" t="str">
        <f aca="false">IF($B185="","",CONCATENATE("Örnek kayıt: ",$B185))</f>
        <v/>
      </c>
    </row>
    <row r="186" customFormat="false" ht="15" hidden="false" customHeight="false" outlineLevel="0" collapsed="false">
      <c r="G186" s="20" t="n">
        <f aca="false">IF($D186=0,0,$D186*$E186)</f>
        <v>0</v>
      </c>
      <c r="H186" s="20" t="str">
        <f aca="false">IF($B186="","",CONCATENATE("Örnek kayıt: ",$B186))</f>
        <v/>
      </c>
    </row>
    <row r="187" customFormat="false" ht="15" hidden="false" customHeight="false" outlineLevel="0" collapsed="false">
      <c r="G187" s="20" t="n">
        <f aca="false">IF($D187=0,0,$D187*$E187)</f>
        <v>0</v>
      </c>
      <c r="H187" s="20" t="str">
        <f aca="false">IF($B187="","",CONCATENATE("Örnek kayıt: ",$B187))</f>
        <v/>
      </c>
    </row>
    <row r="188" customFormat="false" ht="15" hidden="false" customHeight="false" outlineLevel="0" collapsed="false">
      <c r="G188" s="20" t="n">
        <f aca="false">IF($D188=0,0,$D188*$E188)</f>
        <v>0</v>
      </c>
      <c r="H188" s="20" t="str">
        <f aca="false">IF($B188="","",CONCATENATE("Örnek kayıt: ",$B188))</f>
        <v/>
      </c>
    </row>
    <row r="189" customFormat="false" ht="15" hidden="false" customHeight="false" outlineLevel="0" collapsed="false">
      <c r="G189" s="20" t="n">
        <f aca="false">IF($D189=0,0,$D189*$E189)</f>
        <v>0</v>
      </c>
      <c r="H189" s="20" t="str">
        <f aca="false">IF($B189="","",CONCATENATE("Örnek kayıt: ",$B189))</f>
        <v/>
      </c>
    </row>
    <row r="190" customFormat="false" ht="15" hidden="false" customHeight="false" outlineLevel="0" collapsed="false">
      <c r="G190" s="20" t="n">
        <f aca="false">IF($D190=0,0,$D190*$E190)</f>
        <v>0</v>
      </c>
      <c r="H190" s="20" t="str">
        <f aca="false">IF($B190="","",CONCATENATE("Örnek kayıt: ",$B190))</f>
        <v/>
      </c>
    </row>
    <row r="191" customFormat="false" ht="15" hidden="false" customHeight="false" outlineLevel="0" collapsed="false">
      <c r="G191" s="20" t="n">
        <f aca="false">IF($D191=0,0,$D191*$E191)</f>
        <v>0</v>
      </c>
      <c r="H191" s="20" t="str">
        <f aca="false">IF($B191="","",CONCATENATE("Örnek kayıt: ",$B191))</f>
        <v/>
      </c>
    </row>
    <row r="192" customFormat="false" ht="15" hidden="false" customHeight="false" outlineLevel="0" collapsed="false">
      <c r="G192" s="20" t="n">
        <f aca="false">IF($D192=0,0,$D192*$E192)</f>
        <v>0</v>
      </c>
      <c r="H192" s="20" t="str">
        <f aca="false">IF($B192="","",CONCATENATE("Örnek kayıt: ",$B192))</f>
        <v/>
      </c>
    </row>
    <row r="193" customFormat="false" ht="15" hidden="false" customHeight="false" outlineLevel="0" collapsed="false">
      <c r="G193" s="20" t="n">
        <f aca="false">IF($D193=0,0,$D193*$E193)</f>
        <v>0</v>
      </c>
      <c r="H193" s="20" t="str">
        <f aca="false">IF($B193="","",CONCATENATE("Örnek kayıt: ",$B193))</f>
        <v/>
      </c>
    </row>
    <row r="194" customFormat="false" ht="15" hidden="false" customHeight="false" outlineLevel="0" collapsed="false">
      <c r="G194" s="20" t="n">
        <f aca="false">IF($D194=0,0,$D194*$E194)</f>
        <v>0</v>
      </c>
      <c r="H194" s="20" t="str">
        <f aca="false">IF($B194="","",CONCATENATE("Örnek kayıt: ",$B194))</f>
        <v/>
      </c>
    </row>
    <row r="195" customFormat="false" ht="15" hidden="false" customHeight="false" outlineLevel="0" collapsed="false">
      <c r="G195" s="20" t="n">
        <f aca="false">IF($D195=0,0,$D195*$E195)</f>
        <v>0</v>
      </c>
      <c r="H195" s="20" t="str">
        <f aca="false">IF($B195="","",CONCATENATE("Örnek kayıt: ",$B195))</f>
        <v/>
      </c>
    </row>
    <row r="196" customFormat="false" ht="15" hidden="false" customHeight="false" outlineLevel="0" collapsed="false">
      <c r="G196" s="20" t="n">
        <f aca="false">IF($D196=0,0,$D196*$E196)</f>
        <v>0</v>
      </c>
      <c r="H196" s="20" t="str">
        <f aca="false">IF($B196="","",CONCATENATE("Örnek kayıt: ",$B196))</f>
        <v/>
      </c>
    </row>
    <row r="197" customFormat="false" ht="15" hidden="false" customHeight="false" outlineLevel="0" collapsed="false">
      <c r="G197" s="20" t="n">
        <f aca="false">IF($D197=0,0,$D197*$E197)</f>
        <v>0</v>
      </c>
      <c r="H197" s="20" t="str">
        <f aca="false">IF($B197="","",CONCATENATE("Örnek kayıt: ",$B197))</f>
        <v/>
      </c>
    </row>
    <row r="198" customFormat="false" ht="15" hidden="false" customHeight="false" outlineLevel="0" collapsed="false">
      <c r="G198" s="20" t="n">
        <f aca="false">IF($D198=0,0,$D198*$E198)</f>
        <v>0</v>
      </c>
      <c r="H198" s="20" t="str">
        <f aca="false">IF($B198="","",CONCATENATE("Örnek kayıt: ",$B198))</f>
        <v/>
      </c>
    </row>
    <row r="199" customFormat="false" ht="15" hidden="false" customHeight="false" outlineLevel="0" collapsed="false">
      <c r="G199" s="20" t="n">
        <f aca="false">IF($D199=0,0,$D199*$E199)</f>
        <v>0</v>
      </c>
      <c r="H199" s="20" t="str">
        <f aca="false">IF($B199="","",CONCATENATE("Örnek kayıt: ",$B199))</f>
        <v/>
      </c>
    </row>
    <row r="200" customFormat="false" ht="15" hidden="false" customHeight="false" outlineLevel="0" collapsed="false">
      <c r="G200" s="20" t="n">
        <f aca="false">IF($D200=0,0,$D200*$E200)</f>
        <v>0</v>
      </c>
      <c r="H200" s="20" t="str">
        <f aca="false">IF($B200="","",CONCATENATE("Örnek kayıt: ",$B200))</f>
        <v/>
      </c>
    </row>
    <row r="201" customFormat="false" ht="15" hidden="false" customHeight="false" outlineLevel="0" collapsed="false">
      <c r="G201" s="20" t="n">
        <f aca="false">IF($D201=0,0,$D201*$E201)</f>
        <v>0</v>
      </c>
      <c r="H201" s="20" t="str">
        <f aca="false">IF($B201="","",CONCATENATE("Örnek kayıt: ",$B201))</f>
        <v/>
      </c>
    </row>
    <row r="202" customFormat="false" ht="15" hidden="false" customHeight="false" outlineLevel="0" collapsed="false">
      <c r="G202" s="20" t="n">
        <f aca="false">IF($D202=0,0,$D202*$E202)</f>
        <v>0</v>
      </c>
      <c r="H202" s="20" t="str">
        <f aca="false">IF($B202="","",CONCATENATE("Örnek kayıt: ",$B202))</f>
        <v/>
      </c>
    </row>
    <row r="203" customFormat="false" ht="15" hidden="false" customHeight="false" outlineLevel="0" collapsed="false">
      <c r="G203" s="20" t="n">
        <f aca="false">IF($D203=0,0,$D203*$E203)</f>
        <v>0</v>
      </c>
      <c r="H203" s="20" t="str">
        <f aca="false">IF($B203="","",CONCATENATE("Örnek kayıt: ",$B203))</f>
        <v/>
      </c>
    </row>
    <row r="204" customFormat="false" ht="15" hidden="false" customHeight="false" outlineLevel="0" collapsed="false">
      <c r="G204" s="20" t="n">
        <f aca="false">IF($D204=0,0,$D204*$E204)</f>
        <v>0</v>
      </c>
      <c r="H204" s="20" t="str">
        <f aca="false">IF($B204="","",CONCATENATE("Örnek kayıt: ",$B204))</f>
        <v/>
      </c>
    </row>
    <row r="205" customFormat="false" ht="15" hidden="false" customHeight="false" outlineLevel="0" collapsed="false">
      <c r="G205" s="20" t="n">
        <f aca="false">IF($D205=0,0,$D205*$E205)</f>
        <v>0</v>
      </c>
      <c r="H205" s="20" t="str">
        <f aca="false">IF($B205="","",CONCATENATE("Örnek kayıt: ",$B205))</f>
        <v/>
      </c>
    </row>
    <row r="206" customFormat="false" ht="15" hidden="false" customHeight="false" outlineLevel="0" collapsed="false">
      <c r="G206" s="20" t="n">
        <f aca="false">IF($D206=0,0,$D206*$E206)</f>
        <v>0</v>
      </c>
      <c r="H206" s="20" t="str">
        <f aca="false">IF($B206="","",CONCATENATE("Örnek kayıt: ",$B206))</f>
        <v/>
      </c>
    </row>
    <row r="207" customFormat="false" ht="15" hidden="false" customHeight="false" outlineLevel="0" collapsed="false">
      <c r="G207" s="20" t="n">
        <f aca="false">IF($D207=0,0,$D207*$E207)</f>
        <v>0</v>
      </c>
      <c r="H207" s="20" t="str">
        <f aca="false">IF($B207="","",CONCATENATE("Örnek kayıt: ",$B207))</f>
        <v/>
      </c>
    </row>
    <row r="208" customFormat="false" ht="15" hidden="false" customHeight="false" outlineLevel="0" collapsed="false">
      <c r="G208" s="20" t="n">
        <f aca="false">IF($D208=0,0,$D208*$E208)</f>
        <v>0</v>
      </c>
      <c r="H208" s="20" t="str">
        <f aca="false">IF($B208="","",CONCATENATE("Örnek kayıt: ",$B208))</f>
        <v/>
      </c>
    </row>
    <row r="209" customFormat="false" ht="15" hidden="false" customHeight="false" outlineLevel="0" collapsed="false">
      <c r="G209" s="20" t="n">
        <f aca="false">IF($D209=0,0,$D209*$E209)</f>
        <v>0</v>
      </c>
      <c r="H209" s="20" t="str">
        <f aca="false">IF($B209="","",CONCATENATE("Örnek kayıt: ",$B209))</f>
        <v/>
      </c>
    </row>
    <row r="210" customFormat="false" ht="15" hidden="false" customHeight="false" outlineLevel="0" collapsed="false">
      <c r="G210" s="20" t="n">
        <f aca="false">IF($D210=0,0,$D210*$E210)</f>
        <v>0</v>
      </c>
      <c r="H210" s="20" t="str">
        <f aca="false">IF($B210="","",CONCATENATE("Örnek kayıt: ",$B210))</f>
        <v/>
      </c>
    </row>
    <row r="211" customFormat="false" ht="15" hidden="false" customHeight="false" outlineLevel="0" collapsed="false">
      <c r="G211" s="20" t="n">
        <f aca="false">IF($D211=0,0,$D211*$E211)</f>
        <v>0</v>
      </c>
      <c r="H211" s="20" t="str">
        <f aca="false">IF($B211="","",CONCATENATE("Örnek kayıt: ",$B211))</f>
        <v/>
      </c>
    </row>
    <row r="212" customFormat="false" ht="15" hidden="false" customHeight="false" outlineLevel="0" collapsed="false">
      <c r="G212" s="20" t="n">
        <f aca="false">IF($D212=0,0,$D212*$E212)</f>
        <v>0</v>
      </c>
      <c r="H212" s="20" t="str">
        <f aca="false">IF($B212="","",CONCATENATE("Örnek kayıt: ",$B212))</f>
        <v/>
      </c>
    </row>
    <row r="213" customFormat="false" ht="15" hidden="false" customHeight="false" outlineLevel="0" collapsed="false">
      <c r="G213" s="20" t="n">
        <f aca="false">IF($D213=0,0,$D213*$E213)</f>
        <v>0</v>
      </c>
      <c r="H213" s="20" t="str">
        <f aca="false">IF($B213="","",CONCATENATE("Örnek kayıt: ",$B213))</f>
        <v/>
      </c>
    </row>
    <row r="214" customFormat="false" ht="15" hidden="false" customHeight="false" outlineLevel="0" collapsed="false">
      <c r="G214" s="20" t="n">
        <f aca="false">IF($D214=0,0,$D214*$E214)</f>
        <v>0</v>
      </c>
      <c r="H214" s="20" t="str">
        <f aca="false">IF($B214="","",CONCATENATE("Örnek kayıt: ",$B214))</f>
        <v/>
      </c>
    </row>
    <row r="215" customFormat="false" ht="15" hidden="false" customHeight="false" outlineLevel="0" collapsed="false">
      <c r="G215" s="20" t="n">
        <f aca="false">IF($D215=0,0,$D215*$E215)</f>
        <v>0</v>
      </c>
      <c r="H215" s="20" t="str">
        <f aca="false">IF($B215="","",CONCATENATE("Örnek kayıt: ",$B215))</f>
        <v/>
      </c>
    </row>
    <row r="216" customFormat="false" ht="15" hidden="false" customHeight="false" outlineLevel="0" collapsed="false">
      <c r="G216" s="20" t="n">
        <f aca="false">IF($D216=0,0,$D216*$E216)</f>
        <v>0</v>
      </c>
      <c r="H216" s="20" t="str">
        <f aca="false">IF($B216="","",CONCATENATE("Örnek kayıt: ",$B216))</f>
        <v/>
      </c>
    </row>
    <row r="217" customFormat="false" ht="15" hidden="false" customHeight="false" outlineLevel="0" collapsed="false">
      <c r="G217" s="20" t="n">
        <f aca="false">IF($D217=0,0,$D217*$E217)</f>
        <v>0</v>
      </c>
      <c r="H217" s="20" t="str">
        <f aca="false">IF($B217="","",CONCATENATE("Örnek kayıt: ",$B217))</f>
        <v/>
      </c>
    </row>
    <row r="218" customFormat="false" ht="15" hidden="false" customHeight="false" outlineLevel="0" collapsed="false">
      <c r="G218" s="20" t="n">
        <f aca="false">IF($D218=0,0,$D218*$E218)</f>
        <v>0</v>
      </c>
      <c r="H218" s="20" t="str">
        <f aca="false">IF($B218="","",CONCATENATE("Örnek kayıt: ",$B218))</f>
        <v/>
      </c>
    </row>
    <row r="219" customFormat="false" ht="15" hidden="false" customHeight="false" outlineLevel="0" collapsed="false">
      <c r="G219" s="20" t="n">
        <f aca="false">IF($D219=0,0,$D219*$E219)</f>
        <v>0</v>
      </c>
      <c r="H219" s="20" t="str">
        <f aca="false">IF($B219="","",CONCATENATE("Örnek kayıt: ",$B219))</f>
        <v/>
      </c>
    </row>
    <row r="220" customFormat="false" ht="15" hidden="false" customHeight="false" outlineLevel="0" collapsed="false">
      <c r="G220" s="20" t="n">
        <f aca="false">IF($D220=0,0,$D220*$E220)</f>
        <v>0</v>
      </c>
      <c r="H220" s="20" t="str">
        <f aca="false">IF($B220="","",CONCATENATE("Örnek kayıt: ",$B220))</f>
        <v/>
      </c>
    </row>
    <row r="221" customFormat="false" ht="15" hidden="false" customHeight="false" outlineLevel="0" collapsed="false">
      <c r="G221" s="20" t="n">
        <f aca="false">IF($D221=0,0,$D221*$E221)</f>
        <v>0</v>
      </c>
      <c r="H221" s="20" t="str">
        <f aca="false">IF($B221="","",CONCATENATE("Örnek kayıt: ",$B221))</f>
        <v/>
      </c>
    </row>
    <row r="222" customFormat="false" ht="15" hidden="false" customHeight="false" outlineLevel="0" collapsed="false">
      <c r="G222" s="20" t="n">
        <f aca="false">IF($D222=0,0,$D222*$E222)</f>
        <v>0</v>
      </c>
      <c r="H222" s="20" t="str">
        <f aca="false">IF($B222="","",CONCATENATE("Örnek kayıt: ",$B222))</f>
        <v/>
      </c>
    </row>
    <row r="223" customFormat="false" ht="15" hidden="false" customHeight="false" outlineLevel="0" collapsed="false">
      <c r="G223" s="20" t="n">
        <f aca="false">IF($D223=0,0,$D223*$E223)</f>
        <v>0</v>
      </c>
      <c r="H223" s="20" t="str">
        <f aca="false">IF($B223="","",CONCATENATE("Örnek kayıt: ",$B223))</f>
        <v/>
      </c>
    </row>
    <row r="224" customFormat="false" ht="15" hidden="false" customHeight="false" outlineLevel="0" collapsed="false">
      <c r="G224" s="20" t="n">
        <f aca="false">IF($D224=0,0,$D224*$E224)</f>
        <v>0</v>
      </c>
      <c r="H224" s="20" t="str">
        <f aca="false">IF($B224="","",CONCATENATE("Örnek kayıt: ",$B224))</f>
        <v/>
      </c>
    </row>
    <row r="225" customFormat="false" ht="15" hidden="false" customHeight="false" outlineLevel="0" collapsed="false">
      <c r="G225" s="20" t="n">
        <f aca="false">IF($D225=0,0,$D225*$E225)</f>
        <v>0</v>
      </c>
      <c r="H225" s="20" t="str">
        <f aca="false">IF($B225="","",CONCATENATE("Örnek kayıt: ",$B225))</f>
        <v/>
      </c>
    </row>
    <row r="226" customFormat="false" ht="15" hidden="false" customHeight="false" outlineLevel="0" collapsed="false">
      <c r="G226" s="20" t="n">
        <f aca="false">IF($D226=0,0,$D226*$E226)</f>
        <v>0</v>
      </c>
      <c r="H226" s="20" t="str">
        <f aca="false">IF($B226="","",CONCATENATE("Örnek kayıt: ",$B226))</f>
        <v/>
      </c>
    </row>
    <row r="227" customFormat="false" ht="15" hidden="false" customHeight="false" outlineLevel="0" collapsed="false">
      <c r="G227" s="20" t="n">
        <f aca="false">IF($D227=0,0,$D227*$E227)</f>
        <v>0</v>
      </c>
      <c r="H227" s="20" t="str">
        <f aca="false">IF($B227="","",CONCATENATE("Örnek kayıt: ",$B227))</f>
        <v/>
      </c>
    </row>
    <row r="228" customFormat="false" ht="15" hidden="false" customHeight="false" outlineLevel="0" collapsed="false">
      <c r="G228" s="20" t="n">
        <f aca="false">IF($D228=0,0,$D228*$E228)</f>
        <v>0</v>
      </c>
      <c r="H228" s="20" t="str">
        <f aca="false">IF($B228="","",CONCATENATE("Örnek kayıt: ",$B228))</f>
        <v/>
      </c>
    </row>
    <row r="229" customFormat="false" ht="15" hidden="false" customHeight="false" outlineLevel="0" collapsed="false">
      <c r="G229" s="20" t="n">
        <f aca="false">IF($D229=0,0,$D229*$E229)</f>
        <v>0</v>
      </c>
      <c r="H229" s="20" t="str">
        <f aca="false">IF($B229="","",CONCATENATE("Örnek kayıt: ",$B229))</f>
        <v/>
      </c>
    </row>
    <row r="230" customFormat="false" ht="15" hidden="false" customHeight="false" outlineLevel="0" collapsed="false">
      <c r="G230" s="20" t="n">
        <f aca="false">IF($D230=0,0,$D230*$E230)</f>
        <v>0</v>
      </c>
      <c r="H230" s="20" t="str">
        <f aca="false">IF($B230="","",CONCATENATE("Örnek kayıt: ",$B230))</f>
        <v/>
      </c>
    </row>
    <row r="231" customFormat="false" ht="15" hidden="false" customHeight="false" outlineLevel="0" collapsed="false">
      <c r="G231" s="20" t="n">
        <f aca="false">IF($D231=0,0,$D231*$E231)</f>
        <v>0</v>
      </c>
      <c r="H231" s="20" t="str">
        <f aca="false">IF($B231="","",CONCATENATE("Örnek kayıt: ",$B231))</f>
        <v/>
      </c>
    </row>
    <row r="232" customFormat="false" ht="15" hidden="false" customHeight="false" outlineLevel="0" collapsed="false">
      <c r="G232" s="20" t="n">
        <f aca="false">IF($D232=0,0,$D232*$E232)</f>
        <v>0</v>
      </c>
      <c r="H232" s="20" t="str">
        <f aca="false">IF($B232="","",CONCATENATE("Örnek kayıt: ",$B232))</f>
        <v/>
      </c>
    </row>
    <row r="233" customFormat="false" ht="15" hidden="false" customHeight="false" outlineLevel="0" collapsed="false">
      <c r="G233" s="20" t="n">
        <f aca="false">IF($D233=0,0,$D233*$E233)</f>
        <v>0</v>
      </c>
      <c r="H233" s="20" t="str">
        <f aca="false">IF($B233="","",CONCATENATE("Örnek kayıt: ",$B233))</f>
        <v/>
      </c>
    </row>
    <row r="234" customFormat="false" ht="15" hidden="false" customHeight="false" outlineLevel="0" collapsed="false">
      <c r="G234" s="20" t="n">
        <f aca="false">IF($D234=0,0,$D234*$E234)</f>
        <v>0</v>
      </c>
      <c r="H234" s="20" t="str">
        <f aca="false">IF($B234="","",CONCATENATE("Örnek kayıt: ",$B234))</f>
        <v/>
      </c>
    </row>
    <row r="235" customFormat="false" ht="15" hidden="false" customHeight="false" outlineLevel="0" collapsed="false">
      <c r="G235" s="20" t="n">
        <f aca="false">IF($D235=0,0,$D235*$E235)</f>
        <v>0</v>
      </c>
      <c r="H235" s="20" t="str">
        <f aca="false">IF($B235="","",CONCATENATE("Örnek kayıt: ",$B235))</f>
        <v/>
      </c>
    </row>
    <row r="236" customFormat="false" ht="15" hidden="false" customHeight="false" outlineLevel="0" collapsed="false">
      <c r="G236" s="20" t="n">
        <f aca="false">IF($D236=0,0,$D236*$E236)</f>
        <v>0</v>
      </c>
      <c r="H236" s="20" t="str">
        <f aca="false">IF($B236="","",CONCATENATE("Örnek kayıt: ",$B236))</f>
        <v/>
      </c>
    </row>
    <row r="237" customFormat="false" ht="15" hidden="false" customHeight="false" outlineLevel="0" collapsed="false">
      <c r="G237" s="20" t="n">
        <f aca="false">IF($D237=0,0,$D237*$E237)</f>
        <v>0</v>
      </c>
      <c r="H237" s="20" t="str">
        <f aca="false">IF($B237="","",CONCATENATE("Örnek kayıt: ",$B237))</f>
        <v/>
      </c>
    </row>
    <row r="238" customFormat="false" ht="15" hidden="false" customHeight="false" outlineLevel="0" collapsed="false">
      <c r="G238" s="20" t="n">
        <f aca="false">IF($D238=0,0,$D238*$E238)</f>
        <v>0</v>
      </c>
      <c r="H238" s="20" t="str">
        <f aca="false">IF($B238="","",CONCATENATE("Örnek kayıt: ",$B238))</f>
        <v/>
      </c>
    </row>
    <row r="239" customFormat="false" ht="15" hidden="false" customHeight="false" outlineLevel="0" collapsed="false">
      <c r="G239" s="20" t="n">
        <f aca="false">IF($D239=0,0,$D239*$E239)</f>
        <v>0</v>
      </c>
      <c r="H239" s="20" t="str">
        <f aca="false">IF($B239="","",CONCATENATE("Örnek kayıt: ",$B239))</f>
        <v/>
      </c>
    </row>
    <row r="240" customFormat="false" ht="15" hidden="false" customHeight="false" outlineLevel="0" collapsed="false">
      <c r="G240" s="20" t="n">
        <f aca="false">IF($D240=0,0,$D240*$E240)</f>
        <v>0</v>
      </c>
      <c r="H240" s="20" t="str">
        <f aca="false">IF($B240="","",CONCATENATE("Örnek kayıt: ",$B240))</f>
        <v/>
      </c>
    </row>
    <row r="241" customFormat="false" ht="15" hidden="false" customHeight="false" outlineLevel="0" collapsed="false">
      <c r="G241" s="20" t="n">
        <f aca="false">IF($D241=0,0,$D241*$E241)</f>
        <v>0</v>
      </c>
      <c r="H241" s="20" t="str">
        <f aca="false">IF($B241="","",CONCATENATE("Örnek kayıt: ",$B241))</f>
        <v/>
      </c>
    </row>
    <row r="242" customFormat="false" ht="15" hidden="false" customHeight="false" outlineLevel="0" collapsed="false">
      <c r="G242" s="20" t="n">
        <f aca="false">IF($D242=0,0,$D242*$E242)</f>
        <v>0</v>
      </c>
      <c r="H242" s="20" t="str">
        <f aca="false">IF($B242="","",CONCATENATE("Örnek kayıt: ",$B242))</f>
        <v/>
      </c>
    </row>
    <row r="243" customFormat="false" ht="15" hidden="false" customHeight="false" outlineLevel="0" collapsed="false">
      <c r="G243" s="20" t="n">
        <f aca="false">IF($D243=0,0,$D243*$E243)</f>
        <v>0</v>
      </c>
      <c r="H243" s="20" t="str">
        <f aca="false">IF($B243="","",CONCATENATE("Örnek kayıt: ",$B243))</f>
        <v/>
      </c>
    </row>
    <row r="244" customFormat="false" ht="15" hidden="false" customHeight="false" outlineLevel="0" collapsed="false">
      <c r="G244" s="20" t="n">
        <f aca="false">IF($D244=0,0,$D244*$E244)</f>
        <v>0</v>
      </c>
      <c r="H244" s="20" t="str">
        <f aca="false">IF($B244="","",CONCATENATE("Örnek kayıt: ",$B244))</f>
        <v/>
      </c>
    </row>
    <row r="245" customFormat="false" ht="15" hidden="false" customHeight="false" outlineLevel="0" collapsed="false">
      <c r="G245" s="20" t="n">
        <f aca="false">IF($D245=0,0,$D245*$E245)</f>
        <v>0</v>
      </c>
      <c r="H245" s="20" t="str">
        <f aca="false">IF($B245="","",CONCATENATE("Örnek kayıt: ",$B245))</f>
        <v/>
      </c>
    </row>
    <row r="246" customFormat="false" ht="15" hidden="false" customHeight="false" outlineLevel="0" collapsed="false">
      <c r="G246" s="20" t="n">
        <f aca="false">IF($D246=0,0,$D246*$E246)</f>
        <v>0</v>
      </c>
      <c r="H246" s="20" t="str">
        <f aca="false">IF($B246="","",CONCATENATE("Örnek kayıt: ",$B246))</f>
        <v/>
      </c>
    </row>
    <row r="247" customFormat="false" ht="15" hidden="false" customHeight="false" outlineLevel="0" collapsed="false">
      <c r="G247" s="20" t="n">
        <f aca="false">IF($D247=0,0,$D247*$E247)</f>
        <v>0</v>
      </c>
      <c r="H247" s="20" t="str">
        <f aca="false">IF($B247="","",CONCATENATE("Örnek kayıt: ",$B247))</f>
        <v/>
      </c>
    </row>
    <row r="248" customFormat="false" ht="15" hidden="false" customHeight="false" outlineLevel="0" collapsed="false">
      <c r="G248" s="20" t="n">
        <f aca="false">IF($D248=0,0,$D248*$E248)</f>
        <v>0</v>
      </c>
      <c r="H248" s="20" t="str">
        <f aca="false">IF($B248="","",CONCATENATE("Örnek kayıt: ",$B248))</f>
        <v/>
      </c>
    </row>
    <row r="249" customFormat="false" ht="15" hidden="false" customHeight="false" outlineLevel="0" collapsed="false">
      <c r="G249" s="20" t="n">
        <f aca="false">IF($D249=0,0,$D249*$E249)</f>
        <v>0</v>
      </c>
      <c r="H249" s="20" t="str">
        <f aca="false">IF($B249="","",CONCATENATE("Örnek kayıt: ",$B249))</f>
        <v/>
      </c>
    </row>
    <row r="250" customFormat="false" ht="15" hidden="false" customHeight="false" outlineLevel="0" collapsed="false">
      <c r="G250" s="20" t="n">
        <f aca="false">IF($D250=0,0,$D250*$E250)</f>
        <v>0</v>
      </c>
      <c r="H250" s="20" t="str">
        <f aca="false">IF($B250="","",CONCATENATE("Örnek kayıt: ",$B250))</f>
        <v/>
      </c>
    </row>
    <row r="251" customFormat="false" ht="15" hidden="false" customHeight="false" outlineLevel="0" collapsed="false">
      <c r="G251" s="20" t="n">
        <f aca="false">IF($D251=0,0,$D251*$E251)</f>
        <v>0</v>
      </c>
      <c r="H251" s="20" t="str">
        <f aca="false">IF($B251="","",CONCATENATE("Örnek kayıt: ",$B251))</f>
        <v/>
      </c>
    </row>
    <row r="252" customFormat="false" ht="15" hidden="false" customHeight="false" outlineLevel="0" collapsed="false">
      <c r="G252" s="20" t="n">
        <f aca="false">IF($D252=0,0,$D252*$E252)</f>
        <v>0</v>
      </c>
      <c r="H252" s="20" t="str">
        <f aca="false">IF($B252="","",CONCATENATE("Örnek kayıt: ",$B252))</f>
        <v/>
      </c>
    </row>
    <row r="253" customFormat="false" ht="15" hidden="false" customHeight="false" outlineLevel="0" collapsed="false">
      <c r="G253" s="20" t="n">
        <f aca="false">IF($D253=0,0,$D253*$E253)</f>
        <v>0</v>
      </c>
      <c r="H253" s="20" t="str">
        <f aca="false">IF($B253="","",CONCATENATE("Örnek kayıt: ",$B253))</f>
        <v/>
      </c>
    </row>
    <row r="254" customFormat="false" ht="15" hidden="false" customHeight="false" outlineLevel="0" collapsed="false">
      <c r="G254" s="20" t="n">
        <f aca="false">IF($D254=0,0,$D254*$E254)</f>
        <v>0</v>
      </c>
      <c r="H254" s="20" t="str">
        <f aca="false">IF($B254="","",CONCATENATE("Örnek kayıt: ",$B254))</f>
        <v/>
      </c>
    </row>
    <row r="255" customFormat="false" ht="15" hidden="false" customHeight="false" outlineLevel="0" collapsed="false">
      <c r="G255" s="20" t="n">
        <f aca="false">IF($D255=0,0,$D255*$E255)</f>
        <v>0</v>
      </c>
      <c r="H255" s="20" t="str">
        <f aca="false">IF($B255="","",CONCATENATE("Örnek kayıt: ",$B255))</f>
        <v/>
      </c>
    </row>
    <row r="256" customFormat="false" ht="15" hidden="false" customHeight="false" outlineLevel="0" collapsed="false">
      <c r="G256" s="20" t="n">
        <f aca="false">IF($D256=0,0,$D256*$E256)</f>
        <v>0</v>
      </c>
      <c r="H256" s="20" t="str">
        <f aca="false">IF($B256="","",CONCATENATE("Örnek kayıt: ",$B256))</f>
        <v/>
      </c>
    </row>
    <row r="257" customFormat="false" ht="15" hidden="false" customHeight="false" outlineLevel="0" collapsed="false">
      <c r="G257" s="20" t="n">
        <f aca="false">IF($D257=0,0,$D257*$E257)</f>
        <v>0</v>
      </c>
      <c r="H257" s="20" t="str">
        <f aca="false">IF($B257="","",CONCATENATE("Örnek kayıt: ",$B257))</f>
        <v/>
      </c>
    </row>
    <row r="258" customFormat="false" ht="15" hidden="false" customHeight="false" outlineLevel="0" collapsed="false">
      <c r="G258" s="20" t="n">
        <f aca="false">IF($D258=0,0,$D258*$E258)</f>
        <v>0</v>
      </c>
      <c r="H258" s="20" t="str">
        <f aca="false">IF($B258="","",CONCATENATE("Örnek kayıt: ",$B258))</f>
        <v/>
      </c>
    </row>
    <row r="259" customFormat="false" ht="15" hidden="false" customHeight="false" outlineLevel="0" collapsed="false">
      <c r="G259" s="20" t="n">
        <f aca="false">IF($D259=0,0,$D259*$E259)</f>
        <v>0</v>
      </c>
      <c r="H259" s="20" t="str">
        <f aca="false">IF($B259="","",CONCATENATE("Örnek kayıt: ",$B259))</f>
        <v/>
      </c>
    </row>
    <row r="260" customFormat="false" ht="15" hidden="false" customHeight="false" outlineLevel="0" collapsed="false">
      <c r="G260" s="20" t="n">
        <f aca="false">IF($D260=0,0,$D260*$E260)</f>
        <v>0</v>
      </c>
      <c r="H260" s="20" t="str">
        <f aca="false">IF($B260="","",CONCATENATE("Örnek kayıt: ",$B260))</f>
        <v/>
      </c>
    </row>
    <row r="261" customFormat="false" ht="15" hidden="false" customHeight="false" outlineLevel="0" collapsed="false">
      <c r="G261" s="20" t="n">
        <f aca="false">IF($D261=0,0,$D261*$E261)</f>
        <v>0</v>
      </c>
      <c r="H261" s="20" t="str">
        <f aca="false">IF($B261="","",CONCATENATE("Örnek kayıt: ",$B261))</f>
        <v/>
      </c>
    </row>
    <row r="262" customFormat="false" ht="15" hidden="false" customHeight="false" outlineLevel="0" collapsed="false">
      <c r="G262" s="20" t="n">
        <f aca="false">IF($D262=0,0,$D262*$E262)</f>
        <v>0</v>
      </c>
      <c r="H262" s="20" t="str">
        <f aca="false">IF($B262="","",CONCATENATE("Örnek kayıt: ",$B262))</f>
        <v/>
      </c>
    </row>
    <row r="263" customFormat="false" ht="15" hidden="false" customHeight="false" outlineLevel="0" collapsed="false">
      <c r="G263" s="20" t="n">
        <f aca="false">IF($D263=0,0,$D263*$E263)</f>
        <v>0</v>
      </c>
      <c r="H263" s="20" t="str">
        <f aca="false">IF($B263="","",CONCATENATE("Örnek kayıt: ",$B263))</f>
        <v/>
      </c>
    </row>
    <row r="264" customFormat="false" ht="15" hidden="false" customHeight="false" outlineLevel="0" collapsed="false">
      <c r="G264" s="20" t="n">
        <f aca="false">IF($D264=0,0,$D264*$E264)</f>
        <v>0</v>
      </c>
      <c r="H264" s="20" t="str">
        <f aca="false">IF($B264="","",CONCATENATE("Örnek kayıt: ",$B264))</f>
        <v/>
      </c>
    </row>
    <row r="265" customFormat="false" ht="15" hidden="false" customHeight="false" outlineLevel="0" collapsed="false">
      <c r="G265" s="20" t="n">
        <f aca="false">IF($D265=0,0,$D265*$E265)</f>
        <v>0</v>
      </c>
      <c r="H265" s="20" t="str">
        <f aca="false">IF($B265="","",CONCATENATE("Örnek kayıt: ",$B265))</f>
        <v/>
      </c>
    </row>
    <row r="266" customFormat="false" ht="15" hidden="false" customHeight="false" outlineLevel="0" collapsed="false">
      <c r="G266" s="20" t="n">
        <f aca="false">IF($D266=0,0,$D266*$E266)</f>
        <v>0</v>
      </c>
      <c r="H266" s="20" t="str">
        <f aca="false">IF($B266="","",CONCATENATE("Örnek kayıt: ",$B266))</f>
        <v/>
      </c>
    </row>
    <row r="267" customFormat="false" ht="15" hidden="false" customHeight="false" outlineLevel="0" collapsed="false">
      <c r="G267" s="20" t="n">
        <f aca="false">IF($D267=0,0,$D267*$E267)</f>
        <v>0</v>
      </c>
      <c r="H267" s="20" t="str">
        <f aca="false">IF($B267="","",CONCATENATE("Örnek kayıt: ",$B267))</f>
        <v/>
      </c>
    </row>
    <row r="268" customFormat="false" ht="15" hidden="false" customHeight="false" outlineLevel="0" collapsed="false">
      <c r="G268" s="20" t="n">
        <f aca="false">IF($D268=0,0,$D268*$E268)</f>
        <v>0</v>
      </c>
      <c r="H268" s="20" t="str">
        <f aca="false">IF($B268="","",CONCATENATE("Örnek kayıt: ",$B268))</f>
        <v/>
      </c>
    </row>
    <row r="269" customFormat="false" ht="15" hidden="false" customHeight="false" outlineLevel="0" collapsed="false">
      <c r="G269" s="20" t="n">
        <f aca="false">IF($D269=0,0,$D269*$E269)</f>
        <v>0</v>
      </c>
      <c r="H269" s="20" t="str">
        <f aca="false">IF($B269="","",CONCATENATE("Örnek kayıt: ",$B269))</f>
        <v/>
      </c>
    </row>
    <row r="270" customFormat="false" ht="15" hidden="false" customHeight="false" outlineLevel="0" collapsed="false">
      <c r="G270" s="20" t="n">
        <f aca="false">IF($D270=0,0,$D270*$E270)</f>
        <v>0</v>
      </c>
      <c r="H270" s="20" t="str">
        <f aca="false">IF($B270="","",CONCATENATE("Örnek kayıt: ",$B270))</f>
        <v/>
      </c>
    </row>
    <row r="271" customFormat="false" ht="15" hidden="false" customHeight="false" outlineLevel="0" collapsed="false">
      <c r="G271" s="20" t="n">
        <f aca="false">IF($D271=0,0,$D271*$E271)</f>
        <v>0</v>
      </c>
      <c r="H271" s="20" t="str">
        <f aca="false">IF($B271="","",CONCATENATE("Örnek kayıt: ",$B271))</f>
        <v/>
      </c>
    </row>
    <row r="272" customFormat="false" ht="15" hidden="false" customHeight="false" outlineLevel="0" collapsed="false">
      <c r="G272" s="20" t="n">
        <f aca="false">IF($D272=0,0,$D272*$E272)</f>
        <v>0</v>
      </c>
      <c r="H272" s="20" t="str">
        <f aca="false">IF($B272="","",CONCATENATE("Örnek kayıt: ",$B272))</f>
        <v/>
      </c>
    </row>
    <row r="273" customFormat="false" ht="15" hidden="false" customHeight="false" outlineLevel="0" collapsed="false">
      <c r="G273" s="20" t="n">
        <f aca="false">IF($D273=0,0,$D273*$E273)</f>
        <v>0</v>
      </c>
      <c r="H273" s="20" t="str">
        <f aca="false">IF($B273="","",CONCATENATE("Örnek kayıt: ",$B273))</f>
        <v/>
      </c>
    </row>
    <row r="274" customFormat="false" ht="15" hidden="false" customHeight="false" outlineLevel="0" collapsed="false">
      <c r="G274" s="20" t="n">
        <f aca="false">IF($D274=0,0,$D274*$E274)</f>
        <v>0</v>
      </c>
      <c r="H274" s="20" t="str">
        <f aca="false">IF($B274="","",CONCATENATE("Örnek kayıt: ",$B274))</f>
        <v/>
      </c>
    </row>
    <row r="275" customFormat="false" ht="15" hidden="false" customHeight="false" outlineLevel="0" collapsed="false">
      <c r="G275" s="20" t="n">
        <f aca="false">IF($D275=0,0,$D275*$E275)</f>
        <v>0</v>
      </c>
      <c r="H275" s="20" t="str">
        <f aca="false">IF($B275="","",CONCATENATE("Örnek kayıt: ",$B275))</f>
        <v/>
      </c>
    </row>
    <row r="276" customFormat="false" ht="15" hidden="false" customHeight="false" outlineLevel="0" collapsed="false">
      <c r="G276" s="20" t="n">
        <f aca="false">IF($D276=0,0,$D276*$E276)</f>
        <v>0</v>
      </c>
      <c r="H276" s="20" t="str">
        <f aca="false">IF($B276="","",CONCATENATE("Örnek kayıt: ",$B276))</f>
        <v/>
      </c>
    </row>
    <row r="277" customFormat="false" ht="15" hidden="false" customHeight="false" outlineLevel="0" collapsed="false">
      <c r="G277" s="20" t="n">
        <f aca="false">IF($D277=0,0,$D277*$E277)</f>
        <v>0</v>
      </c>
      <c r="H277" s="20" t="str">
        <f aca="false">IF($B277="","",CONCATENATE("Örnek kayıt: ",$B277))</f>
        <v/>
      </c>
    </row>
    <row r="278" customFormat="false" ht="15" hidden="false" customHeight="false" outlineLevel="0" collapsed="false">
      <c r="G278" s="20" t="n">
        <f aca="false">IF($D278=0,0,$D278*$E278)</f>
        <v>0</v>
      </c>
      <c r="H278" s="20" t="str">
        <f aca="false">IF($B278="","",CONCATENATE("Örnek kayıt: ",$B278))</f>
        <v/>
      </c>
    </row>
    <row r="279" customFormat="false" ht="15" hidden="false" customHeight="false" outlineLevel="0" collapsed="false">
      <c r="G279" s="20" t="n">
        <f aca="false">IF($D279=0,0,$D279*$E279)</f>
        <v>0</v>
      </c>
      <c r="H279" s="20" t="str">
        <f aca="false">IF($B279="","",CONCATENATE("Örnek kayıt: ",$B279))</f>
        <v/>
      </c>
    </row>
    <row r="280" customFormat="false" ht="15" hidden="false" customHeight="false" outlineLevel="0" collapsed="false">
      <c r="G280" s="20" t="n">
        <f aca="false">IF($D280=0,0,$D280*$E280)</f>
        <v>0</v>
      </c>
      <c r="H280" s="20" t="str">
        <f aca="false">IF($B280="","",CONCATENATE("Örnek kayıt: ",$B280))</f>
        <v/>
      </c>
    </row>
    <row r="281" customFormat="false" ht="15" hidden="false" customHeight="false" outlineLevel="0" collapsed="false">
      <c r="G281" s="20" t="n">
        <f aca="false">IF($D281=0,0,$D281*$E281)</f>
        <v>0</v>
      </c>
      <c r="H281" s="20" t="str">
        <f aca="false">IF($B281="","",CONCATENATE("Örnek kayıt: ",$B281))</f>
        <v/>
      </c>
    </row>
    <row r="282" customFormat="false" ht="15" hidden="false" customHeight="false" outlineLevel="0" collapsed="false">
      <c r="G282" s="20" t="n">
        <f aca="false">IF($D282=0,0,$D282*$E282)</f>
        <v>0</v>
      </c>
      <c r="H282" s="20" t="str">
        <f aca="false">IF($B282="","",CONCATENATE("Örnek kayıt: ",$B282))</f>
        <v/>
      </c>
    </row>
    <row r="283" customFormat="false" ht="15" hidden="false" customHeight="false" outlineLevel="0" collapsed="false">
      <c r="G283" s="20" t="n">
        <f aca="false">IF($D283=0,0,$D283*$E283)</f>
        <v>0</v>
      </c>
      <c r="H283" s="20" t="str">
        <f aca="false">IF($B283="","",CONCATENATE("Örnek kayıt: ",$B283))</f>
        <v/>
      </c>
    </row>
    <row r="284" customFormat="false" ht="15" hidden="false" customHeight="false" outlineLevel="0" collapsed="false">
      <c r="G284" s="20" t="n">
        <f aca="false">IF($D284=0,0,$D284*$E284)</f>
        <v>0</v>
      </c>
      <c r="H284" s="20" t="str">
        <f aca="false">IF($B284="","",CONCATENATE("Örnek kayıt: ",$B284))</f>
        <v/>
      </c>
    </row>
    <row r="285" customFormat="false" ht="15" hidden="false" customHeight="false" outlineLevel="0" collapsed="false">
      <c r="G285" s="20" t="n">
        <f aca="false">IF($D285=0,0,$D285*$E285)</f>
        <v>0</v>
      </c>
      <c r="H285" s="20" t="str">
        <f aca="false">IF($B285="","",CONCATENATE("Örnek kayıt: ",$B285))</f>
        <v/>
      </c>
    </row>
    <row r="286" customFormat="false" ht="15" hidden="false" customHeight="false" outlineLevel="0" collapsed="false">
      <c r="G286" s="20" t="n">
        <f aca="false">IF($D286=0,0,$D286*$E286)</f>
        <v>0</v>
      </c>
      <c r="H286" s="20" t="str">
        <f aca="false">IF($B286="","",CONCATENATE("Örnek kayıt: ",$B286))</f>
        <v/>
      </c>
    </row>
    <row r="287" customFormat="false" ht="15" hidden="false" customHeight="false" outlineLevel="0" collapsed="false">
      <c r="G287" s="20" t="n">
        <f aca="false">IF($D287=0,0,$D287*$E287)</f>
        <v>0</v>
      </c>
      <c r="H287" s="20" t="str">
        <f aca="false">IF($B287="","",CONCATENATE("Örnek kayıt: ",$B287))</f>
        <v/>
      </c>
    </row>
    <row r="288" customFormat="false" ht="15" hidden="false" customHeight="false" outlineLevel="0" collapsed="false">
      <c r="G288" s="20" t="n">
        <f aca="false">IF($D288=0,0,$D288*$E288)</f>
        <v>0</v>
      </c>
      <c r="H288" s="20" t="str">
        <f aca="false">IF($B288="","",CONCATENATE("Örnek kayıt: ",$B288))</f>
        <v/>
      </c>
    </row>
    <row r="289" customFormat="false" ht="15" hidden="false" customHeight="false" outlineLevel="0" collapsed="false">
      <c r="G289" s="20" t="n">
        <f aca="false">IF($D289=0,0,$D289*$E289)</f>
        <v>0</v>
      </c>
      <c r="H289" s="20" t="str">
        <f aca="false">IF($B289="","",CONCATENATE("Örnek kayıt: ",$B289))</f>
        <v/>
      </c>
    </row>
    <row r="290" customFormat="false" ht="15" hidden="false" customHeight="false" outlineLevel="0" collapsed="false">
      <c r="G290" s="20" t="n">
        <f aca="false">IF($D290=0,0,$D290*$E290)</f>
        <v>0</v>
      </c>
      <c r="H290" s="20" t="str">
        <f aca="false">IF($B290="","",CONCATENATE("Örnek kayıt: ",$B290))</f>
        <v/>
      </c>
    </row>
    <row r="291" customFormat="false" ht="15" hidden="false" customHeight="false" outlineLevel="0" collapsed="false">
      <c r="G291" s="20" t="n">
        <f aca="false">IF($D291=0,0,$D291*$E291)</f>
        <v>0</v>
      </c>
      <c r="H291" s="20" t="str">
        <f aca="false">IF($B291="","",CONCATENATE("Örnek kayıt: ",$B291))</f>
        <v/>
      </c>
    </row>
    <row r="292" customFormat="false" ht="15" hidden="false" customHeight="false" outlineLevel="0" collapsed="false">
      <c r="G292" s="20" t="n">
        <f aca="false">IF($D292=0,0,$D292*$E292)</f>
        <v>0</v>
      </c>
      <c r="H292" s="20" t="str">
        <f aca="false">IF($B292="","",CONCATENATE("Örnek kayıt: ",$B292))</f>
        <v/>
      </c>
    </row>
    <row r="293" customFormat="false" ht="15" hidden="false" customHeight="false" outlineLevel="0" collapsed="false">
      <c r="G293" s="20" t="n">
        <f aca="false">IF($D293=0,0,$D293*$E293)</f>
        <v>0</v>
      </c>
      <c r="H293" s="20" t="str">
        <f aca="false">IF($B293="","",CONCATENATE("Örnek kayıt: ",$B293))</f>
        <v/>
      </c>
    </row>
    <row r="294" customFormat="false" ht="15" hidden="false" customHeight="false" outlineLevel="0" collapsed="false">
      <c r="G294" s="20" t="n">
        <f aca="false">IF($D294=0,0,$D294*$E294)</f>
        <v>0</v>
      </c>
      <c r="H294" s="20" t="str">
        <f aca="false">IF($B294="","",CONCATENATE("Örnek kayıt: ",$B294))</f>
        <v/>
      </c>
    </row>
    <row r="295" customFormat="false" ht="15" hidden="false" customHeight="false" outlineLevel="0" collapsed="false">
      <c r="G295" s="20" t="n">
        <f aca="false">IF($D295=0,0,$D295*$E295)</f>
        <v>0</v>
      </c>
      <c r="H295" s="20" t="str">
        <f aca="false">IF($B295="","",CONCATENATE("Örnek kayıt: ",$B295))</f>
        <v/>
      </c>
    </row>
    <row r="296" customFormat="false" ht="15" hidden="false" customHeight="false" outlineLevel="0" collapsed="false">
      <c r="G296" s="20" t="n">
        <f aca="false">IF($D296=0,0,$D296*$E296)</f>
        <v>0</v>
      </c>
      <c r="H296" s="20" t="str">
        <f aca="false">IF($B296="","",CONCATENATE("Örnek kayıt: ",$B296))</f>
        <v/>
      </c>
    </row>
    <row r="297" customFormat="false" ht="15" hidden="false" customHeight="false" outlineLevel="0" collapsed="false">
      <c r="G297" s="20" t="n">
        <f aca="false">IF($D297=0,0,$D297*$E297)</f>
        <v>0</v>
      </c>
      <c r="H297" s="20" t="str">
        <f aca="false">IF($B297="","",CONCATENATE("Örnek kayıt: ",$B297))</f>
        <v/>
      </c>
    </row>
    <row r="298" customFormat="false" ht="15" hidden="false" customHeight="false" outlineLevel="0" collapsed="false">
      <c r="G298" s="20" t="n">
        <f aca="false">IF($D298=0,0,$D298*$E298)</f>
        <v>0</v>
      </c>
      <c r="H298" s="20" t="str">
        <f aca="false">IF($B298="","",CONCATENATE("Örnek kayıt: ",$B298))</f>
        <v/>
      </c>
    </row>
    <row r="299" customFormat="false" ht="15" hidden="false" customHeight="false" outlineLevel="0" collapsed="false">
      <c r="G299" s="20" t="n">
        <f aca="false">IF($D299=0,0,$D299*$E299)</f>
        <v>0</v>
      </c>
      <c r="H299" s="20" t="str">
        <f aca="false">IF($B299="","",CONCATENATE("Örnek kayıt: ",$B299))</f>
        <v/>
      </c>
    </row>
    <row r="300" customFormat="false" ht="15" hidden="false" customHeight="false" outlineLevel="0" collapsed="false">
      <c r="G300" s="20" t="n">
        <f aca="false">IF($D300=0,0,$D300*$E300)</f>
        <v>0</v>
      </c>
      <c r="H300" s="20" t="str">
        <f aca="false">IF($B300="","",CONCATENATE("Örnek kayıt: ",$B300))</f>
        <v/>
      </c>
    </row>
    <row r="301" customFormat="false" ht="15" hidden="false" customHeight="false" outlineLevel="0" collapsed="false">
      <c r="G301" s="20" t="n">
        <f aca="false">IF($D301=0,0,$D301*$E301)</f>
        <v>0</v>
      </c>
      <c r="H301" s="20" t="str">
        <f aca="false">IF($B301="","",CONCATENATE("Örnek kayıt: ",$B301))</f>
        <v/>
      </c>
    </row>
    <row r="302" customFormat="false" ht="15" hidden="false" customHeight="false" outlineLevel="0" collapsed="false">
      <c r="G302" s="20" t="n">
        <f aca="false">IF($D302=0,0,$D302*$E302)</f>
        <v>0</v>
      </c>
      <c r="H302" s="20" t="str">
        <f aca="false">IF($B302="","",CONCATENATE("Örnek kayıt: ",$B302))</f>
        <v/>
      </c>
    </row>
    <row r="303" customFormat="false" ht="15" hidden="false" customHeight="false" outlineLevel="0" collapsed="false">
      <c r="G303" s="20" t="n">
        <f aca="false">IF($D303=0,0,$D303*$E303)</f>
        <v>0</v>
      </c>
      <c r="H303" s="20" t="str">
        <f aca="false">IF($B303="","",CONCATENATE("Örnek kayıt: ",$B303))</f>
        <v/>
      </c>
    </row>
    <row r="304" customFormat="false" ht="15" hidden="false" customHeight="false" outlineLevel="0" collapsed="false">
      <c r="G304" s="20" t="n">
        <f aca="false">IF($D304=0,0,$D304*$E304)</f>
        <v>0</v>
      </c>
      <c r="H304" s="20" t="str">
        <f aca="false">IF($B304="","",CONCATENATE("Örnek kayıt: ",$B304))</f>
        <v/>
      </c>
    </row>
    <row r="305" customFormat="false" ht="15" hidden="false" customHeight="false" outlineLevel="0" collapsed="false">
      <c r="G305" s="20" t="n">
        <f aca="false">IF($D305=0,0,$D305*$E305)</f>
        <v>0</v>
      </c>
      <c r="H305" s="20" t="str">
        <f aca="false">IF($B305="","",CONCATENATE("Örnek kayıt: ",$B305))</f>
        <v/>
      </c>
    </row>
    <row r="306" customFormat="false" ht="15" hidden="false" customHeight="false" outlineLevel="0" collapsed="false">
      <c r="G306" s="20" t="n">
        <f aca="false">IF($D306=0,0,$D306*$E306)</f>
        <v>0</v>
      </c>
      <c r="H306" s="20" t="str">
        <f aca="false">IF($B306="","",CONCATENATE("Örnek kayıt: ",$B306))</f>
        <v/>
      </c>
    </row>
    <row r="307" customFormat="false" ht="15" hidden="false" customHeight="false" outlineLevel="0" collapsed="false">
      <c r="G307" s="20" t="n">
        <f aca="false">IF($D307=0,0,$D307*$E307)</f>
        <v>0</v>
      </c>
      <c r="H307" s="20" t="str">
        <f aca="false">IF($B307="","",CONCATENATE("Örnek kayıt: ",$B307))</f>
        <v/>
      </c>
    </row>
    <row r="308" customFormat="false" ht="15" hidden="false" customHeight="false" outlineLevel="0" collapsed="false">
      <c r="G308" s="20" t="n">
        <f aca="false">IF($D308=0,0,$D308*$E308)</f>
        <v>0</v>
      </c>
      <c r="H308" s="20" t="str">
        <f aca="false">IF($B308="","",CONCATENATE("Örnek kayıt: ",$B308))</f>
        <v/>
      </c>
    </row>
    <row r="309" customFormat="false" ht="15" hidden="false" customHeight="false" outlineLevel="0" collapsed="false">
      <c r="G309" s="20" t="n">
        <f aca="false">IF($D309=0,0,$D309*$E309)</f>
        <v>0</v>
      </c>
      <c r="H309" s="20" t="str">
        <f aca="false">IF($B309="","",CONCATENATE("Örnek kayıt: ",$B309))</f>
        <v/>
      </c>
    </row>
    <row r="310" customFormat="false" ht="15" hidden="false" customHeight="false" outlineLevel="0" collapsed="false">
      <c r="G310" s="20" t="n">
        <f aca="false">IF($D310=0,0,$D310*$E310)</f>
        <v>0</v>
      </c>
      <c r="H310" s="20" t="str">
        <f aca="false">IF($B310="","",CONCATENATE("Örnek kayıt: ",$B310))</f>
        <v/>
      </c>
    </row>
    <row r="311" customFormat="false" ht="15" hidden="false" customHeight="false" outlineLevel="0" collapsed="false">
      <c r="G311" s="20" t="n">
        <f aca="false">IF($D311=0,0,$D311*$E311)</f>
        <v>0</v>
      </c>
      <c r="H311" s="20" t="str">
        <f aca="false">IF($B311="","",CONCATENATE("Örnek kayıt: ",$B311))</f>
        <v/>
      </c>
    </row>
    <row r="312" customFormat="false" ht="15" hidden="false" customHeight="false" outlineLevel="0" collapsed="false">
      <c r="G312" s="20" t="n">
        <f aca="false">IF($D312=0,0,$D312*$E312)</f>
        <v>0</v>
      </c>
      <c r="H312" s="20" t="str">
        <f aca="false">IF($B312="","",CONCATENATE("Örnek kayıt: ",$B312))</f>
        <v/>
      </c>
    </row>
    <row r="313" customFormat="false" ht="15" hidden="false" customHeight="false" outlineLevel="0" collapsed="false">
      <c r="G313" s="20" t="n">
        <f aca="false">IF($D313=0,0,$D313*$E313)</f>
        <v>0</v>
      </c>
      <c r="H313" s="20" t="str">
        <f aca="false">IF($B313="","",CONCATENATE("Örnek kayıt: ",$B313))</f>
        <v/>
      </c>
    </row>
    <row r="314" customFormat="false" ht="15" hidden="false" customHeight="false" outlineLevel="0" collapsed="false">
      <c r="G314" s="20" t="n">
        <f aca="false">IF($D314=0,0,$D314*$E314)</f>
        <v>0</v>
      </c>
      <c r="H314" s="20" t="str">
        <f aca="false">IF($B314="","",CONCATENATE("Örnek kayıt: ",$B314))</f>
        <v/>
      </c>
    </row>
    <row r="315" customFormat="false" ht="15" hidden="false" customHeight="false" outlineLevel="0" collapsed="false">
      <c r="G315" s="20" t="n">
        <f aca="false">IF($D315=0,0,$D315*$E315)</f>
        <v>0</v>
      </c>
      <c r="H315" s="20" t="str">
        <f aca="false">IF($B315="","",CONCATENATE("Örnek kayıt: ",$B315))</f>
        <v/>
      </c>
    </row>
    <row r="316" customFormat="false" ht="15" hidden="false" customHeight="false" outlineLevel="0" collapsed="false">
      <c r="G316" s="20" t="n">
        <f aca="false">IF($D316=0,0,$D316*$E316)</f>
        <v>0</v>
      </c>
      <c r="H316" s="20" t="str">
        <f aca="false">IF($B316="","",CONCATENATE("Örnek kayıt: ",$B316))</f>
        <v/>
      </c>
    </row>
    <row r="317" customFormat="false" ht="15" hidden="false" customHeight="false" outlineLevel="0" collapsed="false">
      <c r="G317" s="20" t="n">
        <f aca="false">IF($D317=0,0,$D317*$E317)</f>
        <v>0</v>
      </c>
      <c r="H317" s="20" t="str">
        <f aca="false">IF($B317="","",CONCATENATE("Örnek kayıt: ",$B317))</f>
        <v/>
      </c>
    </row>
    <row r="318" customFormat="false" ht="15" hidden="false" customHeight="false" outlineLevel="0" collapsed="false">
      <c r="G318" s="20" t="n">
        <f aca="false">IF($D318=0,0,$D318*$E318)</f>
        <v>0</v>
      </c>
      <c r="H318" s="20" t="str">
        <f aca="false">IF($B318="","",CONCATENATE("Örnek kayıt: ",$B318))</f>
        <v/>
      </c>
    </row>
    <row r="319" customFormat="false" ht="15" hidden="false" customHeight="false" outlineLevel="0" collapsed="false">
      <c r="G319" s="20" t="n">
        <f aca="false">IF($D319=0,0,$D319*$E319)</f>
        <v>0</v>
      </c>
      <c r="H319" s="20" t="str">
        <f aca="false">IF($B319="","",CONCATENATE("Örnek kayıt: ",$B319))</f>
        <v/>
      </c>
    </row>
    <row r="320" customFormat="false" ht="15" hidden="false" customHeight="false" outlineLevel="0" collapsed="false">
      <c r="G320" s="20" t="n">
        <f aca="false">IF($D320=0,0,$D320*$E320)</f>
        <v>0</v>
      </c>
      <c r="H320" s="20" t="str">
        <f aca="false">IF($B320="","",CONCATENATE("Örnek kayıt: ",$B320))</f>
        <v/>
      </c>
    </row>
    <row r="321" customFormat="false" ht="15" hidden="false" customHeight="false" outlineLevel="0" collapsed="false">
      <c r="G321" s="20" t="n">
        <f aca="false">IF($D321=0,0,$D321*$E321)</f>
        <v>0</v>
      </c>
      <c r="H321" s="20" t="str">
        <f aca="false">IF($B321="","",CONCATENATE("Örnek kayıt: ",$B321))</f>
        <v/>
      </c>
    </row>
    <row r="322" customFormat="false" ht="15" hidden="false" customHeight="false" outlineLevel="0" collapsed="false">
      <c r="G322" s="20" t="n">
        <f aca="false">IF($D322=0,0,$D322*$E322)</f>
        <v>0</v>
      </c>
      <c r="H322" s="20" t="str">
        <f aca="false">IF($B322="","",CONCATENATE("Örnek kayıt: ",$B322))</f>
        <v/>
      </c>
    </row>
    <row r="323" customFormat="false" ht="15" hidden="false" customHeight="false" outlineLevel="0" collapsed="false">
      <c r="G323" s="20" t="n">
        <f aca="false">IF($D323=0,0,$D323*$E323)</f>
        <v>0</v>
      </c>
      <c r="H323" s="20" t="str">
        <f aca="false">IF($B323="","",CONCATENATE("Örnek kayıt: ",$B323))</f>
        <v/>
      </c>
    </row>
    <row r="324" customFormat="false" ht="15" hidden="false" customHeight="false" outlineLevel="0" collapsed="false">
      <c r="G324" s="20" t="n">
        <f aca="false">IF($D324=0,0,$D324*$E324)</f>
        <v>0</v>
      </c>
      <c r="H324" s="20" t="str">
        <f aca="false">IF($B324="","",CONCATENATE("Örnek kayıt: ",$B324))</f>
        <v/>
      </c>
    </row>
    <row r="325" customFormat="false" ht="15" hidden="false" customHeight="false" outlineLevel="0" collapsed="false">
      <c r="G325" s="20" t="n">
        <f aca="false">IF($D325=0,0,$D325*$E325)</f>
        <v>0</v>
      </c>
      <c r="H325" s="20" t="str">
        <f aca="false">IF($B325="","",CONCATENATE("Örnek kayıt: ",$B325))</f>
        <v/>
      </c>
    </row>
    <row r="326" customFormat="false" ht="15" hidden="false" customHeight="false" outlineLevel="0" collapsed="false">
      <c r="G326" s="20" t="n">
        <f aca="false">IF($D326=0,0,$D326*$E326)</f>
        <v>0</v>
      </c>
      <c r="H326" s="20" t="str">
        <f aca="false">IF($B326="","",CONCATENATE("Örnek kayıt: ",$B326))</f>
        <v/>
      </c>
    </row>
    <row r="327" customFormat="false" ht="15" hidden="false" customHeight="false" outlineLevel="0" collapsed="false">
      <c r="G327" s="20" t="n">
        <f aca="false">IF($D327=0,0,$D327*$E327)</f>
        <v>0</v>
      </c>
      <c r="H327" s="20" t="str">
        <f aca="false">IF($B327="","",CONCATENATE("Örnek kayıt: ",$B327))</f>
        <v/>
      </c>
    </row>
    <row r="328" customFormat="false" ht="15" hidden="false" customHeight="false" outlineLevel="0" collapsed="false">
      <c r="G328" s="20" t="n">
        <f aca="false">IF($D328=0,0,$D328*$E328)</f>
        <v>0</v>
      </c>
      <c r="H328" s="20" t="str">
        <f aca="false">IF($B328="","",CONCATENATE("Örnek kayıt: ",$B328))</f>
        <v/>
      </c>
    </row>
    <row r="329" customFormat="false" ht="15" hidden="false" customHeight="false" outlineLevel="0" collapsed="false">
      <c r="G329" s="20" t="n">
        <f aca="false">IF($D329=0,0,$D329*$E329)</f>
        <v>0</v>
      </c>
      <c r="H329" s="20" t="str">
        <f aca="false">IF($B329="","",CONCATENATE("Örnek kayıt: ",$B329))</f>
        <v/>
      </c>
    </row>
    <row r="330" customFormat="false" ht="15" hidden="false" customHeight="false" outlineLevel="0" collapsed="false">
      <c r="G330" s="20" t="n">
        <f aca="false">IF($D330=0,0,$D330*$E330)</f>
        <v>0</v>
      </c>
      <c r="H330" s="20" t="str">
        <f aca="false">IF($B330="","",CONCATENATE("Örnek kayıt: ",$B330))</f>
        <v/>
      </c>
    </row>
    <row r="331" customFormat="false" ht="15" hidden="false" customHeight="false" outlineLevel="0" collapsed="false">
      <c r="G331" s="20" t="n">
        <f aca="false">IF($D331=0,0,$D331*$E331)</f>
        <v>0</v>
      </c>
      <c r="H331" s="20" t="str">
        <f aca="false">IF($B331="","",CONCATENATE("Örnek kayıt: ",$B331))</f>
        <v/>
      </c>
    </row>
    <row r="332" customFormat="false" ht="15" hidden="false" customHeight="false" outlineLevel="0" collapsed="false">
      <c r="G332" s="20" t="n">
        <f aca="false">IF($D332=0,0,$D332*$E332)</f>
        <v>0</v>
      </c>
      <c r="H332" s="20" t="str">
        <f aca="false">IF($B332="","",CONCATENATE("Örnek kayıt: ",$B332))</f>
        <v/>
      </c>
    </row>
    <row r="333" customFormat="false" ht="15" hidden="false" customHeight="false" outlineLevel="0" collapsed="false">
      <c r="G333" s="20" t="n">
        <f aca="false">IF($D333=0,0,$D333*$E333)</f>
        <v>0</v>
      </c>
      <c r="H333" s="20" t="str">
        <f aca="false">IF($B333="","",CONCATENATE("Örnek kayıt: ",$B333))</f>
        <v/>
      </c>
    </row>
    <row r="334" customFormat="false" ht="15" hidden="false" customHeight="false" outlineLevel="0" collapsed="false">
      <c r="G334" s="20" t="n">
        <f aca="false">IF($D334=0,0,$D334*$E334)</f>
        <v>0</v>
      </c>
      <c r="H334" s="20" t="str">
        <f aca="false">IF($B334="","",CONCATENATE("Örnek kayıt: ",$B334))</f>
        <v/>
      </c>
    </row>
    <row r="335" customFormat="false" ht="15" hidden="false" customHeight="false" outlineLevel="0" collapsed="false">
      <c r="G335" s="20" t="n">
        <f aca="false">IF($D335=0,0,$D335*$E335)</f>
        <v>0</v>
      </c>
      <c r="H335" s="20" t="str">
        <f aca="false">IF($B335="","",CONCATENATE("Örnek kayıt: ",$B335))</f>
        <v/>
      </c>
    </row>
    <row r="336" customFormat="false" ht="15" hidden="false" customHeight="false" outlineLevel="0" collapsed="false">
      <c r="G336" s="20" t="n">
        <f aca="false">IF($D336=0,0,$D336*$E336)</f>
        <v>0</v>
      </c>
      <c r="H336" s="20" t="str">
        <f aca="false">IF($B336="","",CONCATENATE("Örnek kayıt: ",$B336))</f>
        <v/>
      </c>
    </row>
    <row r="337" customFormat="false" ht="15" hidden="false" customHeight="false" outlineLevel="0" collapsed="false">
      <c r="G337" s="20" t="n">
        <f aca="false">IF($D337=0,0,$D337*$E337)</f>
        <v>0</v>
      </c>
      <c r="H337" s="20" t="str">
        <f aca="false">IF($B337="","",CONCATENATE("Örnek kayıt: ",$B337))</f>
        <v/>
      </c>
    </row>
    <row r="338" customFormat="false" ht="15" hidden="false" customHeight="false" outlineLevel="0" collapsed="false">
      <c r="G338" s="20" t="n">
        <f aca="false">IF($D338=0,0,$D338*$E338)</f>
        <v>0</v>
      </c>
      <c r="H338" s="20" t="str">
        <f aca="false">IF($B338="","",CONCATENATE("Örnek kayıt: ",$B338))</f>
        <v/>
      </c>
    </row>
    <row r="339" customFormat="false" ht="15" hidden="false" customHeight="false" outlineLevel="0" collapsed="false">
      <c r="G339" s="20" t="n">
        <f aca="false">IF($D339=0,0,$D339*$E339)</f>
        <v>0</v>
      </c>
      <c r="H339" s="20" t="str">
        <f aca="false">IF($B339="","",CONCATENATE("Örnek kayıt: ",$B339))</f>
        <v/>
      </c>
    </row>
    <row r="340" customFormat="false" ht="15" hidden="false" customHeight="false" outlineLevel="0" collapsed="false">
      <c r="G340" s="20" t="n">
        <f aca="false">IF($D340=0,0,$D340*$E340)</f>
        <v>0</v>
      </c>
      <c r="H340" s="20" t="str">
        <f aca="false">IF($B340="","",CONCATENATE("Örnek kayıt: ",$B340))</f>
        <v/>
      </c>
    </row>
    <row r="341" customFormat="false" ht="15" hidden="false" customHeight="false" outlineLevel="0" collapsed="false">
      <c r="G341" s="20" t="n">
        <f aca="false">IF($D341=0,0,$D341*$E341)</f>
        <v>0</v>
      </c>
      <c r="H341" s="20" t="str">
        <f aca="false">IF($B341="","",CONCATENATE("Örnek kayıt: ",$B341))</f>
        <v/>
      </c>
    </row>
    <row r="342" customFormat="false" ht="15" hidden="false" customHeight="false" outlineLevel="0" collapsed="false">
      <c r="G342" s="20" t="n">
        <f aca="false">IF($D342=0,0,$D342*$E342)</f>
        <v>0</v>
      </c>
      <c r="H342" s="20" t="str">
        <f aca="false">IF($B342="","",CONCATENATE("Örnek kayıt: ",$B342))</f>
        <v/>
      </c>
    </row>
    <row r="343" customFormat="false" ht="15" hidden="false" customHeight="false" outlineLevel="0" collapsed="false">
      <c r="G343" s="20" t="n">
        <f aca="false">IF($D343=0,0,$D343*$E343)</f>
        <v>0</v>
      </c>
      <c r="H343" s="20" t="str">
        <f aca="false">IF($B343="","",CONCATENATE("Örnek kayıt: ",$B343))</f>
        <v/>
      </c>
    </row>
    <row r="344" customFormat="false" ht="15" hidden="false" customHeight="false" outlineLevel="0" collapsed="false">
      <c r="G344" s="20" t="n">
        <f aca="false">IF($D344=0,0,$D344*$E344)</f>
        <v>0</v>
      </c>
      <c r="H344" s="20" t="str">
        <f aca="false">IF($B344="","",CONCATENATE("Örnek kayıt: ",$B344))</f>
        <v/>
      </c>
    </row>
    <row r="345" customFormat="false" ht="15" hidden="false" customHeight="false" outlineLevel="0" collapsed="false">
      <c r="G345" s="20" t="n">
        <f aca="false">IF($D345=0,0,$D345*$E345)</f>
        <v>0</v>
      </c>
      <c r="H345" s="20" t="str">
        <f aca="false">IF($B345="","",CONCATENATE("Örnek kayıt: ",$B345))</f>
        <v/>
      </c>
    </row>
    <row r="346" customFormat="false" ht="15" hidden="false" customHeight="false" outlineLevel="0" collapsed="false">
      <c r="G346" s="20" t="n">
        <f aca="false">IF($D346=0,0,$D346*$E346)</f>
        <v>0</v>
      </c>
      <c r="H346" s="20" t="str">
        <f aca="false">IF($B346="","",CONCATENATE("Örnek kayıt: ",$B346))</f>
        <v/>
      </c>
    </row>
    <row r="347" customFormat="false" ht="15" hidden="false" customHeight="false" outlineLevel="0" collapsed="false">
      <c r="G347" s="20" t="n">
        <f aca="false">IF($D347=0,0,$D347*$E347)</f>
        <v>0</v>
      </c>
      <c r="H347" s="20" t="str">
        <f aca="false">IF($B347="","",CONCATENATE("Örnek kayıt: ",$B347))</f>
        <v/>
      </c>
    </row>
    <row r="348" customFormat="false" ht="15" hidden="false" customHeight="false" outlineLevel="0" collapsed="false">
      <c r="G348" s="20" t="n">
        <f aca="false">IF($D348=0,0,$D348*$E348)</f>
        <v>0</v>
      </c>
      <c r="H348" s="20" t="str">
        <f aca="false">IF($B348="","",CONCATENATE("Örnek kayıt: ",$B348))</f>
        <v/>
      </c>
    </row>
    <row r="349" customFormat="false" ht="15" hidden="false" customHeight="false" outlineLevel="0" collapsed="false">
      <c r="G349" s="20" t="n">
        <f aca="false">IF($D349=0,0,$D349*$E349)</f>
        <v>0</v>
      </c>
      <c r="H349" s="20" t="str">
        <f aca="false">IF($B349="","",CONCATENATE("Örnek kayıt: ",$B349))</f>
        <v/>
      </c>
    </row>
    <row r="350" customFormat="false" ht="15" hidden="false" customHeight="false" outlineLevel="0" collapsed="false">
      <c r="G350" s="20" t="n">
        <f aca="false">IF($D350=0,0,$D350*$E350)</f>
        <v>0</v>
      </c>
      <c r="H350" s="20" t="str">
        <f aca="false">IF($B350="","",CONCATENATE("Örnek kayıt: ",$B350))</f>
        <v/>
      </c>
    </row>
    <row r="351" customFormat="false" ht="15" hidden="false" customHeight="false" outlineLevel="0" collapsed="false">
      <c r="G351" s="20" t="n">
        <f aca="false">IF($D351=0,0,$D351*$E351)</f>
        <v>0</v>
      </c>
      <c r="H351" s="20" t="str">
        <f aca="false">IF($B351="","",CONCATENATE("Örnek kayıt: ",$B351))</f>
        <v/>
      </c>
    </row>
    <row r="352" customFormat="false" ht="15" hidden="false" customHeight="false" outlineLevel="0" collapsed="false">
      <c r="G352" s="20" t="n">
        <f aca="false">IF($D352=0,0,$D352*$E352)</f>
        <v>0</v>
      </c>
      <c r="H352" s="20" t="str">
        <f aca="false">IF($B352="","",CONCATENATE("Örnek kayıt: ",$B352))</f>
        <v/>
      </c>
    </row>
    <row r="353" customFormat="false" ht="15" hidden="false" customHeight="false" outlineLevel="0" collapsed="false">
      <c r="G353" s="20" t="n">
        <f aca="false">IF($D353=0,0,$D353*$E353)</f>
        <v>0</v>
      </c>
      <c r="H353" s="20" t="str">
        <f aca="false">IF($B353="","",CONCATENATE("Örnek kayıt: ",$B353))</f>
        <v/>
      </c>
    </row>
    <row r="354" customFormat="false" ht="15" hidden="false" customHeight="false" outlineLevel="0" collapsed="false">
      <c r="G354" s="20" t="n">
        <f aca="false">IF($D354=0,0,$D354*$E354)</f>
        <v>0</v>
      </c>
      <c r="H354" s="20" t="str">
        <f aca="false">IF($B354="","",CONCATENATE("Örnek kayıt: ",$B354))</f>
        <v/>
      </c>
    </row>
    <row r="355" customFormat="false" ht="15" hidden="false" customHeight="false" outlineLevel="0" collapsed="false">
      <c r="G355" s="20" t="n">
        <f aca="false">IF($D355=0,0,$D355*$E355)</f>
        <v>0</v>
      </c>
      <c r="H355" s="20" t="str">
        <f aca="false">IF($B355="","",CONCATENATE("Örnek kayıt: ",$B355))</f>
        <v/>
      </c>
    </row>
    <row r="356" customFormat="false" ht="15" hidden="false" customHeight="false" outlineLevel="0" collapsed="false">
      <c r="G356" s="20" t="n">
        <f aca="false">IF($D356=0,0,$D356*$E356)</f>
        <v>0</v>
      </c>
      <c r="H356" s="20" t="str">
        <f aca="false">IF($B356="","",CONCATENATE("Örnek kayıt: ",$B356))</f>
        <v/>
      </c>
    </row>
    <row r="357" customFormat="false" ht="15" hidden="false" customHeight="false" outlineLevel="0" collapsed="false">
      <c r="G357" s="20" t="n">
        <f aca="false">IF($D357=0,0,$D357*$E357)</f>
        <v>0</v>
      </c>
      <c r="H357" s="20" t="str">
        <f aca="false">IF($B357="","",CONCATENATE("Örnek kayıt: ",$B357))</f>
        <v/>
      </c>
    </row>
    <row r="358" customFormat="false" ht="15" hidden="false" customHeight="false" outlineLevel="0" collapsed="false">
      <c r="G358" s="20" t="n">
        <f aca="false">IF($D358=0,0,$D358*$E358)</f>
        <v>0</v>
      </c>
      <c r="H358" s="20" t="str">
        <f aca="false">IF($B358="","",CONCATENATE("Örnek kayıt: ",$B358))</f>
        <v/>
      </c>
    </row>
    <row r="359" customFormat="false" ht="15" hidden="false" customHeight="false" outlineLevel="0" collapsed="false">
      <c r="G359" s="20" t="n">
        <f aca="false">IF($D359=0,0,$D359*$E359)</f>
        <v>0</v>
      </c>
      <c r="H359" s="20" t="str">
        <f aca="false">IF($B359="","",CONCATENATE("Örnek kayıt: ",$B359))</f>
        <v/>
      </c>
    </row>
    <row r="360" customFormat="false" ht="15" hidden="false" customHeight="false" outlineLevel="0" collapsed="false">
      <c r="G360" s="20" t="n">
        <f aca="false">IF($D360=0,0,$D360*$E360)</f>
        <v>0</v>
      </c>
      <c r="H360" s="20" t="str">
        <f aca="false">IF($B360="","",CONCATENATE("Örnek kayıt: ",$B360))</f>
        <v/>
      </c>
    </row>
    <row r="361" customFormat="false" ht="15" hidden="false" customHeight="false" outlineLevel="0" collapsed="false">
      <c r="G361" s="20" t="n">
        <f aca="false">IF($D361=0,0,$D361*$E361)</f>
        <v>0</v>
      </c>
      <c r="H361" s="20" t="str">
        <f aca="false">IF($B361="","",CONCATENATE("Örnek kayıt: ",$B361))</f>
        <v/>
      </c>
    </row>
    <row r="362" customFormat="false" ht="15" hidden="false" customHeight="false" outlineLevel="0" collapsed="false">
      <c r="G362" s="20" t="n">
        <f aca="false">IF($D362=0,0,$D362*$E362)</f>
        <v>0</v>
      </c>
      <c r="H362" s="20" t="str">
        <f aca="false">IF($B362="","",CONCATENATE("Örnek kayıt: ",$B362))</f>
        <v/>
      </c>
    </row>
    <row r="363" customFormat="false" ht="15" hidden="false" customHeight="false" outlineLevel="0" collapsed="false">
      <c r="G363" s="20" t="n">
        <f aca="false">IF($D363=0,0,$D363*$E363)</f>
        <v>0</v>
      </c>
      <c r="H363" s="20" t="str">
        <f aca="false">IF($B363="","",CONCATENATE("Örnek kayıt: ",$B363))</f>
        <v/>
      </c>
    </row>
    <row r="364" customFormat="false" ht="15" hidden="false" customHeight="false" outlineLevel="0" collapsed="false">
      <c r="G364" s="20" t="n">
        <f aca="false">IF($D364=0,0,$D364*$E364)</f>
        <v>0</v>
      </c>
      <c r="H364" s="20" t="str">
        <f aca="false">IF($B364="","",CONCATENATE("Örnek kayıt: ",$B364))</f>
        <v/>
      </c>
    </row>
    <row r="365" customFormat="false" ht="15" hidden="false" customHeight="false" outlineLevel="0" collapsed="false">
      <c r="G365" s="20" t="n">
        <f aca="false">IF($D365=0,0,$D365*$E365)</f>
        <v>0</v>
      </c>
      <c r="H365" s="20" t="str">
        <f aca="false">IF($B365="","",CONCATENATE("Örnek kayıt: ",$B365))</f>
        <v/>
      </c>
    </row>
    <row r="366" customFormat="false" ht="15" hidden="false" customHeight="false" outlineLevel="0" collapsed="false">
      <c r="G366" s="20" t="n">
        <f aca="false">IF($D366=0,0,$D366*$E366)</f>
        <v>0</v>
      </c>
      <c r="H366" s="20" t="str">
        <f aca="false">IF($B366="","",CONCATENATE("Örnek kayıt: ",$B366))</f>
        <v/>
      </c>
    </row>
    <row r="367" customFormat="false" ht="15" hidden="false" customHeight="false" outlineLevel="0" collapsed="false">
      <c r="G367" s="20" t="n">
        <f aca="false">IF($D367=0,0,$D367*$E367)</f>
        <v>0</v>
      </c>
      <c r="H367" s="20" t="str">
        <f aca="false">IF($B367="","",CONCATENATE("Örnek kayıt: ",$B367))</f>
        <v/>
      </c>
    </row>
    <row r="368" customFormat="false" ht="15" hidden="false" customHeight="false" outlineLevel="0" collapsed="false">
      <c r="G368" s="20" t="n">
        <f aca="false">IF($D368=0,0,$D368*$E368)</f>
        <v>0</v>
      </c>
      <c r="H368" s="20" t="str">
        <f aca="false">IF($B368="","",CONCATENATE("Örnek kayıt: ",$B368))</f>
        <v/>
      </c>
    </row>
    <row r="369" customFormat="false" ht="15" hidden="false" customHeight="false" outlineLevel="0" collapsed="false">
      <c r="G369" s="20" t="n">
        <f aca="false">IF($D369=0,0,$D369*$E369)</f>
        <v>0</v>
      </c>
      <c r="H369" s="20" t="str">
        <f aca="false">IF($B369="","",CONCATENATE("Örnek kayıt: ",$B369))</f>
        <v/>
      </c>
    </row>
    <row r="370" customFormat="false" ht="15" hidden="false" customHeight="false" outlineLevel="0" collapsed="false">
      <c r="G370" s="20" t="n">
        <f aca="false">IF($D370=0,0,$D370*$E370)</f>
        <v>0</v>
      </c>
      <c r="H370" s="20" t="str">
        <f aca="false">IF($B370="","",CONCATENATE("Örnek kayıt: ",$B370))</f>
        <v/>
      </c>
    </row>
    <row r="371" customFormat="false" ht="15" hidden="false" customHeight="false" outlineLevel="0" collapsed="false">
      <c r="G371" s="20" t="n">
        <f aca="false">IF($D371=0,0,$D371*$E371)</f>
        <v>0</v>
      </c>
      <c r="H371" s="20" t="str">
        <f aca="false">IF($B371="","",CONCATENATE("Örnek kayıt: ",$B371))</f>
        <v/>
      </c>
    </row>
    <row r="372" customFormat="false" ht="15" hidden="false" customHeight="false" outlineLevel="0" collapsed="false">
      <c r="G372" s="20" t="n">
        <f aca="false">IF($D372=0,0,$D372*$E372)</f>
        <v>0</v>
      </c>
      <c r="H372" s="20" t="str">
        <f aca="false">IF($B372="","",CONCATENATE("Örnek kayıt: ",$B372))</f>
        <v/>
      </c>
    </row>
    <row r="373" customFormat="false" ht="15" hidden="false" customHeight="false" outlineLevel="0" collapsed="false">
      <c r="G373" s="20" t="n">
        <f aca="false">IF($D373=0,0,$D373*$E373)</f>
        <v>0</v>
      </c>
      <c r="H373" s="20" t="str">
        <f aca="false">IF($B373="","",CONCATENATE("Örnek kayıt: ",$B373))</f>
        <v/>
      </c>
    </row>
    <row r="374" customFormat="false" ht="15" hidden="false" customHeight="false" outlineLevel="0" collapsed="false">
      <c r="G374" s="20" t="n">
        <f aca="false">IF($D374=0,0,$D374*$E374)</f>
        <v>0</v>
      </c>
      <c r="H374" s="20" t="str">
        <f aca="false">IF($B374="","",CONCATENATE("Örnek kayıt: ",$B374))</f>
        <v/>
      </c>
    </row>
    <row r="375" customFormat="false" ht="15" hidden="false" customHeight="false" outlineLevel="0" collapsed="false">
      <c r="G375" s="20" t="n">
        <f aca="false">IF($D375=0,0,$D375*$E375)</f>
        <v>0</v>
      </c>
      <c r="H375" s="20" t="str">
        <f aca="false">IF($B375="","",CONCATENATE("Örnek kayıt: ",$B375))</f>
        <v/>
      </c>
    </row>
    <row r="376" customFormat="false" ht="15" hidden="false" customHeight="false" outlineLevel="0" collapsed="false">
      <c r="G376" s="20" t="n">
        <f aca="false">IF($D376=0,0,$D376*$E376)</f>
        <v>0</v>
      </c>
      <c r="H376" s="20" t="str">
        <f aca="false">IF($B376="","",CONCATENATE("Örnek kayıt: ",$B376))</f>
        <v/>
      </c>
    </row>
    <row r="377" customFormat="false" ht="15" hidden="false" customHeight="false" outlineLevel="0" collapsed="false">
      <c r="G377" s="20" t="n">
        <f aca="false">IF($D377=0,0,$D377*$E377)</f>
        <v>0</v>
      </c>
      <c r="H377" s="20" t="str">
        <f aca="false">IF($B377="","",CONCATENATE("Örnek kayıt: ",$B377))</f>
        <v/>
      </c>
    </row>
    <row r="378" customFormat="false" ht="15" hidden="false" customHeight="false" outlineLevel="0" collapsed="false">
      <c r="G378" s="20" t="n">
        <f aca="false">IF($D378=0,0,$D378*$E378)</f>
        <v>0</v>
      </c>
      <c r="H378" s="20" t="str">
        <f aca="false">IF($B378="","",CONCATENATE("Örnek kayıt: ",$B378))</f>
        <v/>
      </c>
    </row>
    <row r="379" customFormat="false" ht="15" hidden="false" customHeight="false" outlineLevel="0" collapsed="false">
      <c r="G379" s="20" t="n">
        <f aca="false">IF($D379=0,0,$D379*$E379)</f>
        <v>0</v>
      </c>
      <c r="H379" s="20" t="str">
        <f aca="false">IF($B379="","",CONCATENATE("Örnek kayıt: ",$B379))</f>
        <v/>
      </c>
    </row>
    <row r="380" customFormat="false" ht="15" hidden="false" customHeight="false" outlineLevel="0" collapsed="false">
      <c r="G380" s="20" t="n">
        <f aca="false">IF($D380=0,0,$D380*$E380)</f>
        <v>0</v>
      </c>
      <c r="H380" s="20" t="str">
        <f aca="false">IF($B380="","",CONCATENATE("Örnek kayıt: ",$B380))</f>
        <v/>
      </c>
    </row>
    <row r="381" customFormat="false" ht="15" hidden="false" customHeight="false" outlineLevel="0" collapsed="false">
      <c r="G381" s="20" t="n">
        <f aca="false">IF($D381=0,0,$D381*$E381)</f>
        <v>0</v>
      </c>
      <c r="H381" s="20" t="str">
        <f aca="false">IF($B381="","",CONCATENATE("Örnek kayıt: ",$B381))</f>
        <v/>
      </c>
    </row>
    <row r="382" customFormat="false" ht="15" hidden="false" customHeight="false" outlineLevel="0" collapsed="false">
      <c r="G382" s="20" t="n">
        <f aca="false">IF($D382=0,0,$D382*$E382)</f>
        <v>0</v>
      </c>
      <c r="H382" s="20" t="str">
        <f aca="false">IF($B382="","",CONCATENATE("Örnek kayıt: ",$B382))</f>
        <v/>
      </c>
    </row>
    <row r="383" customFormat="false" ht="15" hidden="false" customHeight="false" outlineLevel="0" collapsed="false">
      <c r="G383" s="20" t="n">
        <f aca="false">IF($D383=0,0,$D383*$E383)</f>
        <v>0</v>
      </c>
      <c r="H383" s="20" t="str">
        <f aca="false">IF($B383="","",CONCATENATE("Örnek kayıt: ",$B383))</f>
        <v/>
      </c>
    </row>
    <row r="384" customFormat="false" ht="15" hidden="false" customHeight="false" outlineLevel="0" collapsed="false">
      <c r="G384" s="20" t="n">
        <f aca="false">IF($D384=0,0,$D384*$E384)</f>
        <v>0</v>
      </c>
      <c r="H384" s="20" t="str">
        <f aca="false">IF($B384="","",CONCATENATE("Örnek kayıt: ",$B384))</f>
        <v/>
      </c>
    </row>
    <row r="385" customFormat="false" ht="15" hidden="false" customHeight="false" outlineLevel="0" collapsed="false">
      <c r="G385" s="20" t="n">
        <f aca="false">IF($D385=0,0,$D385*$E385)</f>
        <v>0</v>
      </c>
      <c r="H385" s="20" t="str">
        <f aca="false">IF($B385="","",CONCATENATE("Örnek kayıt: ",$B385))</f>
        <v/>
      </c>
    </row>
    <row r="386" customFormat="false" ht="15" hidden="false" customHeight="false" outlineLevel="0" collapsed="false">
      <c r="G386" s="20" t="n">
        <f aca="false">IF($D386=0,0,$D386*$E386)</f>
        <v>0</v>
      </c>
      <c r="H386" s="20" t="str">
        <f aca="false">IF($B386="","",CONCATENATE("Örnek kayıt: ",$B386))</f>
        <v/>
      </c>
    </row>
    <row r="387" customFormat="false" ht="15" hidden="false" customHeight="false" outlineLevel="0" collapsed="false">
      <c r="G387" s="20" t="n">
        <f aca="false">IF($D387=0,0,$D387*$E387)</f>
        <v>0</v>
      </c>
      <c r="H387" s="20" t="str">
        <f aca="false">IF($B387="","",CONCATENATE("Örnek kayıt: ",$B387))</f>
        <v/>
      </c>
    </row>
    <row r="388" customFormat="false" ht="15" hidden="false" customHeight="false" outlineLevel="0" collapsed="false">
      <c r="G388" s="20" t="n">
        <f aca="false">IF($D388=0,0,$D388*$E388)</f>
        <v>0</v>
      </c>
      <c r="H388" s="20" t="str">
        <f aca="false">IF($B388="","",CONCATENATE("Örnek kayıt: ",$B388))</f>
        <v/>
      </c>
    </row>
    <row r="389" customFormat="false" ht="15" hidden="false" customHeight="false" outlineLevel="0" collapsed="false">
      <c r="G389" s="20" t="n">
        <f aca="false">IF($D389=0,0,$D389*$E389)</f>
        <v>0</v>
      </c>
      <c r="H389" s="20" t="str">
        <f aca="false">IF($B389="","",CONCATENATE("Örnek kayıt: ",$B389))</f>
        <v/>
      </c>
    </row>
    <row r="390" customFormat="false" ht="15" hidden="false" customHeight="false" outlineLevel="0" collapsed="false">
      <c r="G390" s="20" t="n">
        <f aca="false">IF($D390=0,0,$D390*$E390)</f>
        <v>0</v>
      </c>
      <c r="H390" s="20" t="str">
        <f aca="false">IF($B390="","",CONCATENATE("Örnek kayıt: ",$B390))</f>
        <v/>
      </c>
    </row>
    <row r="391" customFormat="false" ht="15" hidden="false" customHeight="false" outlineLevel="0" collapsed="false">
      <c r="G391" s="20" t="n">
        <f aca="false">IF($D391=0,0,$D391*$E391)</f>
        <v>0</v>
      </c>
      <c r="H391" s="20" t="str">
        <f aca="false">IF($B391="","",CONCATENATE("Örnek kayıt: ",$B391))</f>
        <v/>
      </c>
    </row>
    <row r="392" customFormat="false" ht="15" hidden="false" customHeight="false" outlineLevel="0" collapsed="false">
      <c r="G392" s="20" t="n">
        <f aca="false">IF($D392=0,0,$D392*$E392)</f>
        <v>0</v>
      </c>
      <c r="H392" s="20" t="str">
        <f aca="false">IF($B392="","",CONCATENATE("Örnek kayıt: ",$B392))</f>
        <v/>
      </c>
    </row>
    <row r="393" customFormat="false" ht="15" hidden="false" customHeight="false" outlineLevel="0" collapsed="false">
      <c r="G393" s="20" t="n">
        <f aca="false">IF($D393=0,0,$D393*$E393)</f>
        <v>0</v>
      </c>
      <c r="H393" s="20" t="str">
        <f aca="false">IF($B393="","",CONCATENATE("Örnek kayıt: ",$B393))</f>
        <v/>
      </c>
    </row>
    <row r="394" customFormat="false" ht="15" hidden="false" customHeight="false" outlineLevel="0" collapsed="false">
      <c r="G394" s="20" t="n">
        <f aca="false">IF($D394=0,0,$D394*$E394)</f>
        <v>0</v>
      </c>
      <c r="H394" s="20" t="str">
        <f aca="false">IF($B394="","",CONCATENATE("Örnek kayıt: ",$B394))</f>
        <v/>
      </c>
    </row>
    <row r="395" customFormat="false" ht="15" hidden="false" customHeight="false" outlineLevel="0" collapsed="false">
      <c r="G395" s="20" t="n">
        <f aca="false">IF($D395=0,0,$D395*$E395)</f>
        <v>0</v>
      </c>
      <c r="H395" s="20" t="str">
        <f aca="false">IF($B395="","",CONCATENATE("Örnek kayıt: ",$B395))</f>
        <v/>
      </c>
    </row>
    <row r="396" customFormat="false" ht="15" hidden="false" customHeight="false" outlineLevel="0" collapsed="false">
      <c r="G396" s="20" t="n">
        <f aca="false">IF($D396=0,0,$D396*$E396)</f>
        <v>0</v>
      </c>
      <c r="H396" s="20" t="str">
        <f aca="false">IF($B396="","",CONCATENATE("Örnek kayıt: ",$B396))</f>
        <v/>
      </c>
    </row>
    <row r="397" customFormat="false" ht="15" hidden="false" customHeight="false" outlineLevel="0" collapsed="false">
      <c r="G397" s="20" t="n">
        <f aca="false">IF($D397=0,0,$D397*$E397)</f>
        <v>0</v>
      </c>
      <c r="H397" s="20" t="str">
        <f aca="false">IF($B397="","",CONCATENATE("Örnek kayıt: ",$B397))</f>
        <v/>
      </c>
    </row>
    <row r="398" customFormat="false" ht="15" hidden="false" customHeight="false" outlineLevel="0" collapsed="false">
      <c r="G398" s="20" t="n">
        <f aca="false">IF($D398=0,0,$D398*$E398)</f>
        <v>0</v>
      </c>
      <c r="H398" s="20" t="str">
        <f aca="false">IF($B398="","",CONCATENATE("Örnek kayıt: ",$B398))</f>
        <v/>
      </c>
    </row>
    <row r="399" customFormat="false" ht="15" hidden="false" customHeight="false" outlineLevel="0" collapsed="false">
      <c r="G399" s="20" t="n">
        <f aca="false">IF($D399=0,0,$D399*$E399)</f>
        <v>0</v>
      </c>
      <c r="H399" s="20" t="str">
        <f aca="false">IF($B399="","",CONCATENATE("Örnek kayıt: ",$B399))</f>
        <v/>
      </c>
    </row>
    <row r="400" customFormat="false" ht="15" hidden="false" customHeight="false" outlineLevel="0" collapsed="false">
      <c r="G400" s="20" t="n">
        <f aca="false">IF($D400=0,0,$D400*$E400)</f>
        <v>0</v>
      </c>
      <c r="H400" s="20" t="str">
        <f aca="false">IF($B400="","",CONCATENATE("Örnek kayıt: ",$B400))</f>
        <v/>
      </c>
    </row>
    <row r="401" customFormat="false" ht="15" hidden="false" customHeight="false" outlineLevel="0" collapsed="false">
      <c r="G401" s="20" t="n">
        <f aca="false">IF($D401=0,0,$D401*$E401)</f>
        <v>0</v>
      </c>
      <c r="H401" s="20" t="str">
        <f aca="false">IF($B401="","",CONCATENATE("Örnek kayıt: ",$B401))</f>
        <v/>
      </c>
    </row>
    <row r="402" customFormat="false" ht="15" hidden="false" customHeight="false" outlineLevel="0" collapsed="false">
      <c r="G402" s="20" t="n">
        <f aca="false">IF($D402=0,0,$D402*$E402)</f>
        <v>0</v>
      </c>
      <c r="H402" s="20" t="str">
        <f aca="false">IF($B402="","",CONCATENATE("Örnek kayıt: ",$B402))</f>
        <v/>
      </c>
    </row>
    <row r="403" customFormat="false" ht="15" hidden="false" customHeight="false" outlineLevel="0" collapsed="false">
      <c r="G403" s="20" t="n">
        <f aca="false">IF($D403=0,0,$D403*$E403)</f>
        <v>0</v>
      </c>
      <c r="H403" s="20" t="str">
        <f aca="false">IF($B403="","",CONCATENATE("Örnek kayıt: ",$B403))</f>
        <v/>
      </c>
    </row>
    <row r="404" customFormat="false" ht="15" hidden="false" customHeight="false" outlineLevel="0" collapsed="false">
      <c r="G404" s="20" t="n">
        <f aca="false">IF($D404=0,0,$D404*$E404)</f>
        <v>0</v>
      </c>
      <c r="H404" s="20" t="str">
        <f aca="false">IF($B404="","",CONCATENATE("Örnek kayıt: ",$B404))</f>
        <v/>
      </c>
    </row>
    <row r="405" customFormat="false" ht="15" hidden="false" customHeight="false" outlineLevel="0" collapsed="false">
      <c r="G405" s="20" t="n">
        <f aca="false">IF($D405=0,0,$D405*$E405)</f>
        <v>0</v>
      </c>
      <c r="H405" s="20" t="str">
        <f aca="false">IF($B405="","",CONCATENATE("Örnek kayıt: ",$B405))</f>
        <v/>
      </c>
    </row>
    <row r="406" customFormat="false" ht="15" hidden="false" customHeight="false" outlineLevel="0" collapsed="false">
      <c r="G406" s="20" t="n">
        <f aca="false">IF($D406=0,0,$D406*$E406)</f>
        <v>0</v>
      </c>
      <c r="H406" s="20" t="str">
        <f aca="false">IF($B406="","",CONCATENATE("Örnek kayıt: ",$B406))</f>
        <v/>
      </c>
    </row>
    <row r="407" customFormat="false" ht="15" hidden="false" customHeight="false" outlineLevel="0" collapsed="false">
      <c r="G407" s="20" t="n">
        <f aca="false">IF($D407=0,0,$D407*$E407)</f>
        <v>0</v>
      </c>
      <c r="H407" s="20" t="str">
        <f aca="false">IF($B407="","",CONCATENATE("Örnek kayıt: ",$B407))</f>
        <v/>
      </c>
    </row>
    <row r="408" customFormat="false" ht="15" hidden="false" customHeight="false" outlineLevel="0" collapsed="false">
      <c r="G408" s="20" t="n">
        <f aca="false">IF($D408=0,0,$D408*$E408)</f>
        <v>0</v>
      </c>
      <c r="H408" s="20" t="str">
        <f aca="false">IF($B408="","",CONCATENATE("Örnek kayıt: ",$B408))</f>
        <v/>
      </c>
    </row>
    <row r="409" customFormat="false" ht="15" hidden="false" customHeight="false" outlineLevel="0" collapsed="false">
      <c r="G409" s="20" t="n">
        <f aca="false">IF($D409=0,0,$D409*$E409)</f>
        <v>0</v>
      </c>
      <c r="H409" s="20" t="str">
        <f aca="false">IF($B409="","",CONCATENATE("Örnek kayıt: ",$B409))</f>
        <v/>
      </c>
    </row>
    <row r="410" customFormat="false" ht="15" hidden="false" customHeight="false" outlineLevel="0" collapsed="false">
      <c r="G410" s="20" t="n">
        <f aca="false">IF($D410=0,0,$D410*$E410)</f>
        <v>0</v>
      </c>
      <c r="H410" s="20" t="str">
        <f aca="false">IF($B410="","",CONCATENATE("Örnek kayıt: ",$B410))</f>
        <v/>
      </c>
    </row>
    <row r="411" customFormat="false" ht="15" hidden="false" customHeight="false" outlineLevel="0" collapsed="false">
      <c r="G411" s="20" t="n">
        <f aca="false">IF($D411=0,0,$D411*$E411)</f>
        <v>0</v>
      </c>
      <c r="H411" s="20" t="str">
        <f aca="false">IF($B411="","",CONCATENATE("Örnek kayıt: ",$B411))</f>
        <v/>
      </c>
    </row>
    <row r="412" customFormat="false" ht="15" hidden="false" customHeight="false" outlineLevel="0" collapsed="false">
      <c r="G412" s="20" t="n">
        <f aca="false">IF($D412=0,0,$D412*$E412)</f>
        <v>0</v>
      </c>
      <c r="H412" s="20" t="str">
        <f aca="false">IF($B412="","",CONCATENATE("Örnek kayıt: ",$B412))</f>
        <v/>
      </c>
    </row>
    <row r="413" customFormat="false" ht="15" hidden="false" customHeight="false" outlineLevel="0" collapsed="false">
      <c r="G413" s="20" t="n">
        <f aca="false">IF($D413=0,0,$D413*$E413)</f>
        <v>0</v>
      </c>
      <c r="H413" s="20" t="str">
        <f aca="false">IF($B413="","",CONCATENATE("Örnek kayıt: ",$B413))</f>
        <v/>
      </c>
    </row>
    <row r="414" customFormat="false" ht="15" hidden="false" customHeight="false" outlineLevel="0" collapsed="false">
      <c r="G414" s="20" t="n">
        <f aca="false">IF($D414=0,0,$D414*$E414)</f>
        <v>0</v>
      </c>
      <c r="H414" s="20" t="str">
        <f aca="false">IF($B414="","",CONCATENATE("Örnek kayıt: ",$B414))</f>
        <v/>
      </c>
    </row>
    <row r="415" customFormat="false" ht="15" hidden="false" customHeight="false" outlineLevel="0" collapsed="false">
      <c r="G415" s="20" t="n">
        <f aca="false">IF($D415=0,0,$D415*$E415)</f>
        <v>0</v>
      </c>
      <c r="H415" s="20" t="str">
        <f aca="false">IF($B415="","",CONCATENATE("Örnek kayıt: ",$B415))</f>
        <v/>
      </c>
    </row>
    <row r="416" customFormat="false" ht="15" hidden="false" customHeight="false" outlineLevel="0" collapsed="false">
      <c r="G416" s="20" t="n">
        <f aca="false">IF($D416=0,0,$D416*$E416)</f>
        <v>0</v>
      </c>
      <c r="H416" s="20" t="str">
        <f aca="false">IF($B416="","",CONCATENATE("Örnek kayıt: ",$B416))</f>
        <v/>
      </c>
    </row>
    <row r="417" customFormat="false" ht="15" hidden="false" customHeight="false" outlineLevel="0" collapsed="false">
      <c r="G417" s="20" t="n">
        <f aca="false">IF($D417=0,0,$D417*$E417)</f>
        <v>0</v>
      </c>
      <c r="H417" s="20" t="str">
        <f aca="false">IF($B417="","",CONCATENATE("Örnek kayıt: ",$B417))</f>
        <v/>
      </c>
    </row>
    <row r="418" customFormat="false" ht="15" hidden="false" customHeight="false" outlineLevel="0" collapsed="false">
      <c r="G418" s="20" t="n">
        <f aca="false">IF($D418=0,0,$D418*$E418)</f>
        <v>0</v>
      </c>
      <c r="H418" s="20" t="str">
        <f aca="false">IF($B418="","",CONCATENATE("Örnek kayıt: ",$B418))</f>
        <v/>
      </c>
    </row>
    <row r="419" customFormat="false" ht="15" hidden="false" customHeight="false" outlineLevel="0" collapsed="false">
      <c r="G419" s="20" t="n">
        <f aca="false">IF($D419=0,0,$D419*$E419)</f>
        <v>0</v>
      </c>
      <c r="H419" s="20" t="str">
        <f aca="false">IF($B419="","",CONCATENATE("Örnek kayıt: ",$B419))</f>
        <v/>
      </c>
    </row>
    <row r="420" customFormat="false" ht="15" hidden="false" customHeight="false" outlineLevel="0" collapsed="false">
      <c r="G420" s="20" t="n">
        <f aca="false">IF($D420=0,0,$D420*$E420)</f>
        <v>0</v>
      </c>
      <c r="H420" s="20" t="str">
        <f aca="false">IF($B420="","",CONCATENATE("Örnek kayıt: ",$B420))</f>
        <v/>
      </c>
    </row>
    <row r="421" customFormat="false" ht="15" hidden="false" customHeight="false" outlineLevel="0" collapsed="false">
      <c r="G421" s="20" t="n">
        <f aca="false">IF($D421=0,0,$D421*$E421)</f>
        <v>0</v>
      </c>
      <c r="H421" s="20" t="str">
        <f aca="false">IF($B421="","",CONCATENATE("Örnek kayıt: ",$B421))</f>
        <v/>
      </c>
    </row>
    <row r="422" customFormat="false" ht="15" hidden="false" customHeight="false" outlineLevel="0" collapsed="false">
      <c r="G422" s="20" t="n">
        <f aca="false">IF($D422=0,0,$D422*$E422)</f>
        <v>0</v>
      </c>
      <c r="H422" s="20" t="str">
        <f aca="false">IF($B422="","",CONCATENATE("Örnek kayıt: ",$B422))</f>
        <v/>
      </c>
    </row>
    <row r="423" customFormat="false" ht="15" hidden="false" customHeight="false" outlineLevel="0" collapsed="false">
      <c r="G423" s="20" t="n">
        <f aca="false">IF($D423=0,0,$D423*$E423)</f>
        <v>0</v>
      </c>
      <c r="H423" s="20" t="str">
        <f aca="false">IF($B423="","",CONCATENATE("Örnek kayıt: ",$B423))</f>
        <v/>
      </c>
    </row>
    <row r="424" customFormat="false" ht="15" hidden="false" customHeight="false" outlineLevel="0" collapsed="false">
      <c r="G424" s="20" t="n">
        <f aca="false">IF($D424=0,0,$D424*$E424)</f>
        <v>0</v>
      </c>
      <c r="H424" s="20" t="str">
        <f aca="false">IF($B424="","",CONCATENATE("Örnek kayıt: ",$B424))</f>
        <v/>
      </c>
    </row>
    <row r="425" customFormat="false" ht="15" hidden="false" customHeight="false" outlineLevel="0" collapsed="false">
      <c r="G425" s="20" t="n">
        <f aca="false">IF($D425=0,0,$D425*$E425)</f>
        <v>0</v>
      </c>
      <c r="H425" s="20" t="str">
        <f aca="false">IF($B425="","",CONCATENATE("Örnek kayıt: ",$B425))</f>
        <v/>
      </c>
    </row>
    <row r="426" customFormat="false" ht="15" hidden="false" customHeight="false" outlineLevel="0" collapsed="false">
      <c r="G426" s="20" t="n">
        <f aca="false">IF($D426=0,0,$D426*$E426)</f>
        <v>0</v>
      </c>
      <c r="H426" s="20" t="str">
        <f aca="false">IF($B426="","",CONCATENATE("Örnek kayıt: ",$B426))</f>
        <v/>
      </c>
    </row>
    <row r="427" customFormat="false" ht="15" hidden="false" customHeight="false" outlineLevel="0" collapsed="false">
      <c r="G427" s="20" t="n">
        <f aca="false">IF($D427=0,0,$D427*$E427)</f>
        <v>0</v>
      </c>
      <c r="H427" s="20" t="str">
        <f aca="false">IF($B427="","",CONCATENATE("Örnek kayıt: ",$B427))</f>
        <v/>
      </c>
    </row>
    <row r="428" customFormat="false" ht="15" hidden="false" customHeight="false" outlineLevel="0" collapsed="false">
      <c r="G428" s="20" t="n">
        <f aca="false">IF($D428=0,0,$D428*$E428)</f>
        <v>0</v>
      </c>
      <c r="H428" s="20" t="str">
        <f aca="false">IF($B428="","",CONCATENATE("Örnek kayıt: ",$B428))</f>
        <v/>
      </c>
    </row>
    <row r="429" customFormat="false" ht="15" hidden="false" customHeight="false" outlineLevel="0" collapsed="false">
      <c r="G429" s="20" t="n">
        <f aca="false">IF($D429=0,0,$D429*$E429)</f>
        <v>0</v>
      </c>
      <c r="H429" s="20" t="str">
        <f aca="false">IF($B429="","",CONCATENATE("Örnek kayıt: ",$B429))</f>
        <v/>
      </c>
    </row>
    <row r="430" customFormat="false" ht="15" hidden="false" customHeight="false" outlineLevel="0" collapsed="false">
      <c r="G430" s="20" t="n">
        <f aca="false">IF($D430=0,0,$D430*$E430)</f>
        <v>0</v>
      </c>
      <c r="H430" s="20" t="str">
        <f aca="false">IF($B430="","",CONCATENATE("Örnek kayıt: ",$B430))</f>
        <v/>
      </c>
    </row>
    <row r="431" customFormat="false" ht="15" hidden="false" customHeight="false" outlineLevel="0" collapsed="false">
      <c r="G431" s="20" t="n">
        <f aca="false">IF($D431=0,0,$D431*$E431)</f>
        <v>0</v>
      </c>
      <c r="H431" s="20" t="str">
        <f aca="false">IF($B431="","",CONCATENATE("Örnek kayıt: ",$B431))</f>
        <v/>
      </c>
    </row>
    <row r="432" customFormat="false" ht="15" hidden="false" customHeight="false" outlineLevel="0" collapsed="false">
      <c r="G432" s="20" t="n">
        <f aca="false">IF($D432=0,0,$D432*$E432)</f>
        <v>0</v>
      </c>
      <c r="H432" s="20" t="str">
        <f aca="false">IF($B432="","",CONCATENATE("Örnek kayıt: ",$B432))</f>
        <v/>
      </c>
    </row>
    <row r="433" customFormat="false" ht="15" hidden="false" customHeight="false" outlineLevel="0" collapsed="false">
      <c r="G433" s="20" t="n">
        <f aca="false">IF($D433=0,0,$D433*$E433)</f>
        <v>0</v>
      </c>
      <c r="H433" s="20" t="str">
        <f aca="false">IF($B433="","",CONCATENATE("Örnek kayıt: ",$B433))</f>
        <v/>
      </c>
    </row>
    <row r="434" customFormat="false" ht="15" hidden="false" customHeight="false" outlineLevel="0" collapsed="false">
      <c r="G434" s="20" t="n">
        <f aca="false">IF($D434=0,0,$D434*$E434)</f>
        <v>0</v>
      </c>
      <c r="H434" s="20" t="str">
        <f aca="false">IF($B434="","",CONCATENATE("Örnek kayıt: ",$B434))</f>
        <v/>
      </c>
    </row>
    <row r="435" customFormat="false" ht="15" hidden="false" customHeight="false" outlineLevel="0" collapsed="false">
      <c r="G435" s="20" t="n">
        <f aca="false">IF($D435=0,0,$D435*$E435)</f>
        <v>0</v>
      </c>
      <c r="H435" s="20" t="str">
        <f aca="false">IF($B435="","",CONCATENATE("Örnek kayıt: ",$B435))</f>
        <v/>
      </c>
    </row>
    <row r="436" customFormat="false" ht="15" hidden="false" customHeight="false" outlineLevel="0" collapsed="false">
      <c r="G436" s="20" t="n">
        <f aca="false">IF($D436=0,0,$D436*$E436)</f>
        <v>0</v>
      </c>
      <c r="H436" s="20" t="str">
        <f aca="false">IF($B436="","",CONCATENATE("Örnek kayıt: ",$B436))</f>
        <v/>
      </c>
    </row>
    <row r="437" customFormat="false" ht="15" hidden="false" customHeight="false" outlineLevel="0" collapsed="false">
      <c r="G437" s="20" t="n">
        <f aca="false">IF($D437=0,0,$D437*$E437)</f>
        <v>0</v>
      </c>
      <c r="H437" s="20" t="str">
        <f aca="false">IF($B437="","",CONCATENATE("Örnek kayıt: ",$B437))</f>
        <v/>
      </c>
    </row>
    <row r="438" customFormat="false" ht="15" hidden="false" customHeight="false" outlineLevel="0" collapsed="false">
      <c r="G438" s="20" t="n">
        <f aca="false">IF($D438=0,0,$D438*$E438)</f>
        <v>0</v>
      </c>
      <c r="H438" s="20" t="str">
        <f aca="false">IF($B438="","",CONCATENATE("Örnek kayıt: ",$B438))</f>
        <v/>
      </c>
    </row>
    <row r="439" customFormat="false" ht="15" hidden="false" customHeight="false" outlineLevel="0" collapsed="false">
      <c r="G439" s="20" t="n">
        <f aca="false">IF($D439=0,0,$D439*$E439)</f>
        <v>0</v>
      </c>
      <c r="H439" s="20" t="str">
        <f aca="false">IF($B439="","",CONCATENATE("Örnek kayıt: ",$B439))</f>
        <v/>
      </c>
    </row>
    <row r="440" customFormat="false" ht="15" hidden="false" customHeight="false" outlineLevel="0" collapsed="false">
      <c r="G440" s="20" t="n">
        <f aca="false">IF($D440=0,0,$D440*$E440)</f>
        <v>0</v>
      </c>
      <c r="H440" s="20" t="str">
        <f aca="false">IF($B440="","",CONCATENATE("Örnek kayıt: ",$B440))</f>
        <v/>
      </c>
    </row>
    <row r="441" customFormat="false" ht="15" hidden="false" customHeight="false" outlineLevel="0" collapsed="false">
      <c r="G441" s="20" t="n">
        <f aca="false">IF($D441=0,0,$D441*$E441)</f>
        <v>0</v>
      </c>
      <c r="H441" s="20" t="str">
        <f aca="false">IF($B441="","",CONCATENATE("Örnek kayıt: ",$B441))</f>
        <v/>
      </c>
    </row>
    <row r="442" customFormat="false" ht="15" hidden="false" customHeight="false" outlineLevel="0" collapsed="false">
      <c r="G442" s="20" t="n">
        <f aca="false">IF($D442=0,0,$D442*$E442)</f>
        <v>0</v>
      </c>
      <c r="H442" s="20" t="str">
        <f aca="false">IF($B442="","",CONCATENATE("Örnek kayıt: ",$B442))</f>
        <v/>
      </c>
    </row>
    <row r="443" customFormat="false" ht="15" hidden="false" customHeight="false" outlineLevel="0" collapsed="false">
      <c r="G443" s="20" t="n">
        <f aca="false">IF($D443=0,0,$D443*$E443)</f>
        <v>0</v>
      </c>
      <c r="H443" s="20" t="str">
        <f aca="false">IF($B443="","",CONCATENATE("Örnek kayıt: ",$B443))</f>
        <v/>
      </c>
    </row>
    <row r="444" customFormat="false" ht="15" hidden="false" customHeight="false" outlineLevel="0" collapsed="false">
      <c r="G444" s="20" t="n">
        <f aca="false">IF($D444=0,0,$D444*$E444)</f>
        <v>0</v>
      </c>
      <c r="H444" s="20" t="str">
        <f aca="false">IF($B444="","",CONCATENATE("Örnek kayıt: ",$B444))</f>
        <v/>
      </c>
    </row>
    <row r="445" customFormat="false" ht="15" hidden="false" customHeight="false" outlineLevel="0" collapsed="false">
      <c r="G445" s="20" t="n">
        <f aca="false">IF($D445=0,0,$D445*$E445)</f>
        <v>0</v>
      </c>
      <c r="H445" s="20" t="str">
        <f aca="false">IF($B445="","",CONCATENATE("Örnek kayıt: ",$B445))</f>
        <v/>
      </c>
    </row>
    <row r="446" customFormat="false" ht="15" hidden="false" customHeight="false" outlineLevel="0" collapsed="false">
      <c r="G446" s="20" t="n">
        <f aca="false">IF($D446=0,0,$D446*$E446)</f>
        <v>0</v>
      </c>
      <c r="H446" s="20" t="str">
        <f aca="false">IF($B446="","",CONCATENATE("Örnek kayıt: ",$B446))</f>
        <v/>
      </c>
    </row>
    <row r="447" customFormat="false" ht="15" hidden="false" customHeight="false" outlineLevel="0" collapsed="false">
      <c r="G447" s="20" t="n">
        <f aca="false">IF($D447=0,0,$D447*$E447)</f>
        <v>0</v>
      </c>
      <c r="H447" s="20" t="str">
        <f aca="false">IF($B447="","",CONCATENATE("Örnek kayıt: ",$B447))</f>
        <v/>
      </c>
    </row>
    <row r="448" customFormat="false" ht="15" hidden="false" customHeight="false" outlineLevel="0" collapsed="false">
      <c r="G448" s="20" t="n">
        <f aca="false">IF($D448=0,0,$D448*$E448)</f>
        <v>0</v>
      </c>
      <c r="H448" s="20" t="str">
        <f aca="false">IF($B448="","",CONCATENATE("Örnek kayıt: ",$B448))</f>
        <v/>
      </c>
    </row>
    <row r="449" customFormat="false" ht="15" hidden="false" customHeight="false" outlineLevel="0" collapsed="false">
      <c r="G449" s="20" t="n">
        <f aca="false">IF($D449=0,0,$D449*$E449)</f>
        <v>0</v>
      </c>
      <c r="H449" s="20" t="str">
        <f aca="false">IF($B449="","",CONCATENATE("Örnek kayıt: ",$B449))</f>
        <v/>
      </c>
    </row>
    <row r="450" customFormat="false" ht="15" hidden="false" customHeight="false" outlineLevel="0" collapsed="false">
      <c r="G450" s="20" t="n">
        <f aca="false">IF($D450=0,0,$D450*$E450)</f>
        <v>0</v>
      </c>
      <c r="H450" s="20" t="str">
        <f aca="false">IF($B450="","",CONCATENATE("Örnek kayıt: ",$B450))</f>
        <v/>
      </c>
    </row>
    <row r="451" customFormat="false" ht="15" hidden="false" customHeight="false" outlineLevel="0" collapsed="false">
      <c r="G451" s="20" t="n">
        <f aca="false">IF($D451=0,0,$D451*$E451)</f>
        <v>0</v>
      </c>
      <c r="H451" s="20" t="str">
        <f aca="false">IF($B451="","",CONCATENATE("Örnek kayıt: ",$B451))</f>
        <v/>
      </c>
    </row>
    <row r="452" customFormat="false" ht="15" hidden="false" customHeight="false" outlineLevel="0" collapsed="false">
      <c r="G452" s="20" t="n">
        <f aca="false">IF($D452=0,0,$D452*$E452)</f>
        <v>0</v>
      </c>
      <c r="H452" s="20" t="str">
        <f aca="false">IF($B452="","",CONCATENATE("Örnek kayıt: ",$B452))</f>
        <v/>
      </c>
    </row>
    <row r="453" customFormat="false" ht="15" hidden="false" customHeight="false" outlineLevel="0" collapsed="false">
      <c r="G453" s="20" t="n">
        <f aca="false">IF($D453=0,0,$D453*$E453)</f>
        <v>0</v>
      </c>
      <c r="H453" s="20" t="str">
        <f aca="false">IF($B453="","",CONCATENATE("Örnek kayıt: ",$B453))</f>
        <v/>
      </c>
    </row>
    <row r="454" customFormat="false" ht="15" hidden="false" customHeight="false" outlineLevel="0" collapsed="false">
      <c r="G454" s="20" t="n">
        <f aca="false">IF($D454=0,0,$D454*$E454)</f>
        <v>0</v>
      </c>
      <c r="H454" s="20" t="str">
        <f aca="false">IF($B454="","",CONCATENATE("Örnek kayıt: ",$B454))</f>
        <v/>
      </c>
    </row>
    <row r="455" customFormat="false" ht="15" hidden="false" customHeight="false" outlineLevel="0" collapsed="false">
      <c r="G455" s="20" t="n">
        <f aca="false">IF($D455=0,0,$D455*$E455)</f>
        <v>0</v>
      </c>
      <c r="H455" s="20" t="str">
        <f aca="false">IF($B455="","",CONCATENATE("Örnek kayıt: ",$B455))</f>
        <v/>
      </c>
    </row>
    <row r="456" customFormat="false" ht="15" hidden="false" customHeight="false" outlineLevel="0" collapsed="false">
      <c r="G456" s="20" t="n">
        <f aca="false">IF($D456=0,0,$D456*$E456)</f>
        <v>0</v>
      </c>
      <c r="H456" s="20" t="str">
        <f aca="false">IF($B456="","",CONCATENATE("Örnek kayıt: ",$B456))</f>
        <v/>
      </c>
    </row>
    <row r="457" customFormat="false" ht="15" hidden="false" customHeight="false" outlineLevel="0" collapsed="false">
      <c r="G457" s="20" t="n">
        <f aca="false">IF($D457=0,0,$D457*$E457)</f>
        <v>0</v>
      </c>
      <c r="H457" s="20" t="str">
        <f aca="false">IF($B457="","",CONCATENATE("Örnek kayıt: ",$B457))</f>
        <v/>
      </c>
    </row>
    <row r="458" customFormat="false" ht="15" hidden="false" customHeight="false" outlineLevel="0" collapsed="false">
      <c r="G458" s="20" t="n">
        <f aca="false">IF($D458=0,0,$D458*$E458)</f>
        <v>0</v>
      </c>
      <c r="H458" s="20" t="str">
        <f aca="false">IF($B458="","",CONCATENATE("Örnek kayıt: ",$B458))</f>
        <v/>
      </c>
    </row>
    <row r="459" customFormat="false" ht="15" hidden="false" customHeight="false" outlineLevel="0" collapsed="false">
      <c r="G459" s="20" t="n">
        <f aca="false">IF($D459=0,0,$D459*$E459)</f>
        <v>0</v>
      </c>
      <c r="H459" s="20" t="str">
        <f aca="false">IF($B459="","",CONCATENATE("Örnek kayıt: ",$B459))</f>
        <v/>
      </c>
    </row>
    <row r="460" customFormat="false" ht="15" hidden="false" customHeight="false" outlineLevel="0" collapsed="false">
      <c r="G460" s="20" t="n">
        <f aca="false">IF($D460=0,0,$D460*$E460)</f>
        <v>0</v>
      </c>
      <c r="H460" s="20" t="str">
        <f aca="false">IF($B460="","",CONCATENATE("Örnek kayıt: ",$B460))</f>
        <v/>
      </c>
    </row>
    <row r="461" customFormat="false" ht="15" hidden="false" customHeight="false" outlineLevel="0" collapsed="false">
      <c r="G461" s="20" t="n">
        <f aca="false">IF($D461=0,0,$D461*$E461)</f>
        <v>0</v>
      </c>
      <c r="H461" s="20" t="str">
        <f aca="false">IF($B461="","",CONCATENATE("Örnek kayıt: ",$B461))</f>
        <v/>
      </c>
    </row>
    <row r="462" customFormat="false" ht="15" hidden="false" customHeight="false" outlineLevel="0" collapsed="false">
      <c r="G462" s="20" t="n">
        <f aca="false">IF($D462=0,0,$D462*$E462)</f>
        <v>0</v>
      </c>
      <c r="H462" s="20" t="str">
        <f aca="false">IF($B462="","",CONCATENATE("Örnek kayıt: ",$B462))</f>
        <v/>
      </c>
    </row>
    <row r="463" customFormat="false" ht="15" hidden="false" customHeight="false" outlineLevel="0" collapsed="false">
      <c r="G463" s="20" t="n">
        <f aca="false">IF($D463=0,0,$D463*$E463)</f>
        <v>0</v>
      </c>
      <c r="H463" s="20" t="str">
        <f aca="false">IF($B463="","",CONCATENATE("Örnek kayıt: ",$B463))</f>
        <v/>
      </c>
    </row>
    <row r="464" customFormat="false" ht="15" hidden="false" customHeight="false" outlineLevel="0" collapsed="false">
      <c r="G464" s="20" t="n">
        <f aca="false">IF($D464=0,0,$D464*$E464)</f>
        <v>0</v>
      </c>
      <c r="H464" s="20" t="str">
        <f aca="false">IF($B464="","",CONCATENATE("Örnek kayıt: ",$B464))</f>
        <v/>
      </c>
    </row>
    <row r="465" customFormat="false" ht="15" hidden="false" customHeight="false" outlineLevel="0" collapsed="false">
      <c r="G465" s="20" t="n">
        <f aca="false">IF($D465=0,0,$D465*$E465)</f>
        <v>0</v>
      </c>
      <c r="H465" s="20" t="str">
        <f aca="false">IF($B465="","",CONCATENATE("Örnek kayıt: ",$B465))</f>
        <v/>
      </c>
    </row>
    <row r="466" customFormat="false" ht="15" hidden="false" customHeight="false" outlineLevel="0" collapsed="false">
      <c r="G466" s="20" t="n">
        <f aca="false">IF($D466=0,0,$D466*$E466)</f>
        <v>0</v>
      </c>
      <c r="H466" s="20" t="str">
        <f aca="false">IF($B466="","",CONCATENATE("Örnek kayıt: ",$B466))</f>
        <v/>
      </c>
    </row>
    <row r="467" customFormat="false" ht="15" hidden="false" customHeight="false" outlineLevel="0" collapsed="false">
      <c r="G467" s="20" t="n">
        <f aca="false">IF($D467=0,0,$D467*$E467)</f>
        <v>0</v>
      </c>
      <c r="H467" s="20" t="str">
        <f aca="false">IF($B467="","",CONCATENATE("Örnek kayıt: ",$B467))</f>
        <v/>
      </c>
    </row>
    <row r="468" customFormat="false" ht="15" hidden="false" customHeight="false" outlineLevel="0" collapsed="false">
      <c r="G468" s="20" t="n">
        <f aca="false">IF($D468=0,0,$D468*$E468)</f>
        <v>0</v>
      </c>
      <c r="H468" s="20" t="str">
        <f aca="false">IF($B468="","",CONCATENATE("Örnek kayıt: ",$B468))</f>
        <v/>
      </c>
    </row>
    <row r="469" customFormat="false" ht="15" hidden="false" customHeight="false" outlineLevel="0" collapsed="false">
      <c r="G469" s="20" t="n">
        <f aca="false">IF($D469=0,0,$D469*$E469)</f>
        <v>0</v>
      </c>
      <c r="H469" s="20" t="str">
        <f aca="false">IF($B469="","",CONCATENATE("Örnek kayıt: ",$B469))</f>
        <v/>
      </c>
    </row>
    <row r="470" customFormat="false" ht="15" hidden="false" customHeight="false" outlineLevel="0" collapsed="false">
      <c r="G470" s="20" t="n">
        <f aca="false">IF($D470=0,0,$D470*$E470)</f>
        <v>0</v>
      </c>
      <c r="H470" s="20" t="str">
        <f aca="false">IF($B470="","",CONCATENATE("Örnek kayıt: ",$B470))</f>
        <v/>
      </c>
    </row>
    <row r="471" customFormat="false" ht="15" hidden="false" customHeight="false" outlineLevel="0" collapsed="false">
      <c r="G471" s="20" t="n">
        <f aca="false">IF($D471=0,0,$D471*$E471)</f>
        <v>0</v>
      </c>
      <c r="H471" s="20" t="str">
        <f aca="false">IF($B471="","",CONCATENATE("Örnek kayıt: ",$B471))</f>
        <v/>
      </c>
    </row>
    <row r="472" customFormat="false" ht="15" hidden="false" customHeight="false" outlineLevel="0" collapsed="false">
      <c r="G472" s="20" t="n">
        <f aca="false">IF($D472=0,0,$D472*$E472)</f>
        <v>0</v>
      </c>
      <c r="H472" s="20" t="str">
        <f aca="false">IF($B472="","",CONCATENATE("Örnek kayıt: ",$B472))</f>
        <v/>
      </c>
    </row>
    <row r="473" customFormat="false" ht="15" hidden="false" customHeight="false" outlineLevel="0" collapsed="false">
      <c r="G473" s="20" t="n">
        <f aca="false">IF($D473=0,0,$D473*$E473)</f>
        <v>0</v>
      </c>
      <c r="H473" s="20" t="str">
        <f aca="false">IF($B473="","",CONCATENATE("Örnek kayıt: ",$B473))</f>
        <v/>
      </c>
    </row>
    <row r="474" customFormat="false" ht="15" hidden="false" customHeight="false" outlineLevel="0" collapsed="false">
      <c r="G474" s="20" t="n">
        <f aca="false">IF($D474=0,0,$D474*$E474)</f>
        <v>0</v>
      </c>
      <c r="H474" s="20" t="str">
        <f aca="false">IF($B474="","",CONCATENATE("Örnek kayıt: ",$B474))</f>
        <v/>
      </c>
    </row>
    <row r="475" customFormat="false" ht="15" hidden="false" customHeight="false" outlineLevel="0" collapsed="false">
      <c r="G475" s="20" t="n">
        <f aca="false">IF($D475=0,0,$D475*$E475)</f>
        <v>0</v>
      </c>
      <c r="H475" s="20" t="str">
        <f aca="false">IF($B475="","",CONCATENATE("Örnek kayıt: ",$B475))</f>
        <v/>
      </c>
    </row>
    <row r="476" customFormat="false" ht="15" hidden="false" customHeight="false" outlineLevel="0" collapsed="false">
      <c r="G476" s="20" t="n">
        <f aca="false">IF($D476=0,0,$D476*$E476)</f>
        <v>0</v>
      </c>
      <c r="H476" s="20" t="str">
        <f aca="false">IF($B476="","",CONCATENATE("Örnek kayıt: ",$B476))</f>
        <v/>
      </c>
    </row>
    <row r="477" customFormat="false" ht="15" hidden="false" customHeight="false" outlineLevel="0" collapsed="false">
      <c r="G477" s="20" t="n">
        <f aca="false">IF($D477=0,0,$D477*$E477)</f>
        <v>0</v>
      </c>
      <c r="H477" s="20" t="str">
        <f aca="false">IF($B477="","",CONCATENATE("Örnek kayıt: ",$B477))</f>
        <v/>
      </c>
    </row>
    <row r="478" customFormat="false" ht="15" hidden="false" customHeight="false" outlineLevel="0" collapsed="false">
      <c r="G478" s="20" t="n">
        <f aca="false">IF($D478=0,0,$D478*$E478)</f>
        <v>0</v>
      </c>
      <c r="H478" s="20" t="str">
        <f aca="false">IF($B478="","",CONCATENATE("Örnek kayıt: ",$B478))</f>
        <v/>
      </c>
    </row>
    <row r="479" customFormat="false" ht="15" hidden="false" customHeight="false" outlineLevel="0" collapsed="false">
      <c r="G479" s="20" t="n">
        <f aca="false">IF($D479=0,0,$D479*$E479)</f>
        <v>0</v>
      </c>
      <c r="H479" s="20" t="str">
        <f aca="false">IF($B479="","",CONCATENATE("Örnek kayıt: ",$B479))</f>
        <v/>
      </c>
    </row>
    <row r="480" customFormat="false" ht="15" hidden="false" customHeight="false" outlineLevel="0" collapsed="false">
      <c r="G480" s="20" t="n">
        <f aca="false">IF($D480=0,0,$D480*$E480)</f>
        <v>0</v>
      </c>
      <c r="H480" s="20" t="str">
        <f aca="false">IF($B480="","",CONCATENATE("Örnek kayıt: ",$B480))</f>
        <v/>
      </c>
    </row>
    <row r="481" customFormat="false" ht="15" hidden="false" customHeight="false" outlineLevel="0" collapsed="false">
      <c r="G481" s="20" t="n">
        <f aca="false">IF($D481=0,0,$D481*$E481)</f>
        <v>0</v>
      </c>
      <c r="H481" s="20" t="str">
        <f aca="false">IF($B481="","",CONCATENATE("Örnek kayıt: ",$B481))</f>
        <v/>
      </c>
    </row>
    <row r="482" customFormat="false" ht="15" hidden="false" customHeight="false" outlineLevel="0" collapsed="false">
      <c r="G482" s="20" t="n">
        <f aca="false">IF($D482=0,0,$D482*$E482)</f>
        <v>0</v>
      </c>
      <c r="H482" s="20" t="str">
        <f aca="false">IF($B482="","",CONCATENATE("Örnek kayıt: ",$B482))</f>
        <v/>
      </c>
    </row>
    <row r="483" customFormat="false" ht="15" hidden="false" customHeight="false" outlineLevel="0" collapsed="false">
      <c r="G483" s="20" t="n">
        <f aca="false">IF($D483=0,0,$D483*$E483)</f>
        <v>0</v>
      </c>
      <c r="H483" s="20" t="str">
        <f aca="false">IF($B483="","",CONCATENATE("Örnek kayıt: ",$B483))</f>
        <v/>
      </c>
    </row>
    <row r="484" customFormat="false" ht="15" hidden="false" customHeight="false" outlineLevel="0" collapsed="false">
      <c r="G484" s="20" t="n">
        <f aca="false">IF($D484=0,0,$D484*$E484)</f>
        <v>0</v>
      </c>
      <c r="H484" s="20" t="str">
        <f aca="false">IF($B484="","",CONCATENATE("Örnek kayıt: ",$B484))</f>
        <v/>
      </c>
    </row>
    <row r="485" customFormat="false" ht="15" hidden="false" customHeight="false" outlineLevel="0" collapsed="false">
      <c r="G485" s="20" t="n">
        <f aca="false">IF($D485=0,0,$D485*$E485)</f>
        <v>0</v>
      </c>
      <c r="H485" s="20" t="str">
        <f aca="false">IF($B485="","",CONCATENATE("Örnek kayıt: ",$B485))</f>
        <v/>
      </c>
    </row>
    <row r="486" customFormat="false" ht="15" hidden="false" customHeight="false" outlineLevel="0" collapsed="false">
      <c r="G486" s="20" t="n">
        <f aca="false">IF($D486=0,0,$D486*$E486)</f>
        <v>0</v>
      </c>
      <c r="H486" s="20" t="str">
        <f aca="false">IF($B486="","",CONCATENATE("Örnek kayıt: ",$B486))</f>
        <v/>
      </c>
    </row>
    <row r="487" customFormat="false" ht="15" hidden="false" customHeight="false" outlineLevel="0" collapsed="false">
      <c r="G487" s="20" t="n">
        <f aca="false">IF($D487=0,0,$D487*$E487)</f>
        <v>0</v>
      </c>
      <c r="H487" s="20" t="str">
        <f aca="false">IF($B487="","",CONCATENATE("Örnek kayıt: ",$B487))</f>
        <v/>
      </c>
    </row>
    <row r="488" customFormat="false" ht="15" hidden="false" customHeight="false" outlineLevel="0" collapsed="false">
      <c r="G488" s="20" t="n">
        <f aca="false">IF($D488=0,0,$D488*$E488)</f>
        <v>0</v>
      </c>
      <c r="H488" s="20" t="str">
        <f aca="false">IF($B488="","",CONCATENATE("Örnek kayıt: ",$B488))</f>
        <v/>
      </c>
    </row>
    <row r="489" customFormat="false" ht="15" hidden="false" customHeight="false" outlineLevel="0" collapsed="false">
      <c r="G489" s="20" t="n">
        <f aca="false">IF($D489=0,0,$D489*$E489)</f>
        <v>0</v>
      </c>
      <c r="H489" s="20" t="str">
        <f aca="false">IF($B489="","",CONCATENATE("Örnek kayıt: ",$B489))</f>
        <v/>
      </c>
    </row>
    <row r="490" customFormat="false" ht="15" hidden="false" customHeight="false" outlineLevel="0" collapsed="false">
      <c r="G490" s="20" t="n">
        <f aca="false">IF($D490=0,0,$D490*$E490)</f>
        <v>0</v>
      </c>
      <c r="H490" s="20" t="str">
        <f aca="false">IF($B490="","",CONCATENATE("Örnek kayıt: ",$B490))</f>
        <v/>
      </c>
    </row>
    <row r="491" customFormat="false" ht="15" hidden="false" customHeight="false" outlineLevel="0" collapsed="false">
      <c r="G491" s="20" t="n">
        <f aca="false">IF($D491=0,0,$D491*$E491)</f>
        <v>0</v>
      </c>
      <c r="H491" s="20" t="str">
        <f aca="false">IF($B491="","",CONCATENATE("Örnek kayıt: ",$B491))</f>
        <v/>
      </c>
    </row>
    <row r="492" customFormat="false" ht="15" hidden="false" customHeight="false" outlineLevel="0" collapsed="false">
      <c r="G492" s="20" t="n">
        <f aca="false">IF($D492=0,0,$D492*$E492)</f>
        <v>0</v>
      </c>
      <c r="H492" s="20" t="str">
        <f aca="false">IF($B492="","",CONCATENATE("Örnek kayıt: ",$B492))</f>
        <v/>
      </c>
    </row>
    <row r="493" customFormat="false" ht="15" hidden="false" customHeight="false" outlineLevel="0" collapsed="false">
      <c r="G493" s="20" t="n">
        <f aca="false">IF($D493=0,0,$D493*$E493)</f>
        <v>0</v>
      </c>
      <c r="H493" s="20" t="str">
        <f aca="false">IF($B493="","",CONCATENATE("Örnek kayıt: ",$B493))</f>
        <v/>
      </c>
    </row>
    <row r="494" customFormat="false" ht="15" hidden="false" customHeight="false" outlineLevel="0" collapsed="false">
      <c r="G494" s="20" t="n">
        <f aca="false">IF($D494=0,0,$D494*$E494)</f>
        <v>0</v>
      </c>
      <c r="H494" s="20" t="str">
        <f aca="false">IF($B494="","",CONCATENATE("Örnek kayıt: ",$B494))</f>
        <v/>
      </c>
    </row>
    <row r="495" customFormat="false" ht="15" hidden="false" customHeight="false" outlineLevel="0" collapsed="false">
      <c r="G495" s="20" t="n">
        <f aca="false">IF($D495=0,0,$D495*$E495)</f>
        <v>0</v>
      </c>
      <c r="H495" s="20" t="str">
        <f aca="false">IF($B495="","",CONCATENATE("Örnek kayıt: ",$B495))</f>
        <v/>
      </c>
    </row>
    <row r="496" customFormat="false" ht="15" hidden="false" customHeight="false" outlineLevel="0" collapsed="false">
      <c r="G496" s="20" t="n">
        <f aca="false">IF($D496=0,0,$D496*$E496)</f>
        <v>0</v>
      </c>
      <c r="H496" s="20" t="str">
        <f aca="false">IF($B496="","",CONCATENATE("Örnek kayıt: ",$B496))</f>
        <v/>
      </c>
    </row>
    <row r="497" customFormat="false" ht="15" hidden="false" customHeight="false" outlineLevel="0" collapsed="false">
      <c r="G497" s="20" t="n">
        <f aca="false">IF($D497=0,0,$D497*$E497)</f>
        <v>0</v>
      </c>
      <c r="H497" s="20" t="str">
        <f aca="false">IF($B497="","",CONCATENATE("Örnek kayıt: ",$B497))</f>
        <v/>
      </c>
    </row>
    <row r="498" customFormat="false" ht="15" hidden="false" customHeight="false" outlineLevel="0" collapsed="false">
      <c r="G498" s="20" t="n">
        <f aca="false">IF($D498=0,0,$D498*$E498)</f>
        <v>0</v>
      </c>
      <c r="H498" s="20" t="str">
        <f aca="false">IF($B498="","",CONCATENATE("Örnek kayıt: ",$B498))</f>
        <v/>
      </c>
    </row>
    <row r="499" customFormat="false" ht="15" hidden="false" customHeight="false" outlineLevel="0" collapsed="false">
      <c r="G499" s="20" t="n">
        <f aca="false">IF($D499=0,0,$D499*$E499)</f>
        <v>0</v>
      </c>
      <c r="H499" s="20" t="str">
        <f aca="false">IF($B499="","",CONCATENATE("Örnek kayıt: ",$B499))</f>
        <v/>
      </c>
    </row>
    <row r="500" customFormat="false" ht="15" hidden="false" customHeight="false" outlineLevel="0" collapsed="false">
      <c r="G500" s="20" t="n">
        <f aca="false">IF($D500=0,0,$D500*$E500)</f>
        <v>0</v>
      </c>
      <c r="H500" s="20" t="str">
        <f aca="false">IF($B500="","",CONCATENATE("Örnek kayıt: ",$B500))</f>
        <v/>
      </c>
    </row>
    <row r="501" customFormat="false" ht="15" hidden="false" customHeight="false" outlineLevel="0" collapsed="false">
      <c r="G501" s="20" t="n">
        <f aca="false">IF($D501=0,0,$D501*$E501)</f>
        <v>0</v>
      </c>
      <c r="H501" s="20" t="str">
        <f aca="false">IF($B501="","",CONCATENATE("Örnek kayıt: ",$B501))</f>
        <v/>
      </c>
    </row>
    <row r="502" customFormat="false" ht="15" hidden="false" customHeight="false" outlineLevel="0" collapsed="false">
      <c r="G502" s="20" t="n">
        <f aca="false">IF($D502=0,0,$D502*$E502)</f>
        <v>0</v>
      </c>
      <c r="H502" s="20" t="str">
        <f aca="false">IF($B502="","",CONCATENATE("Örnek kayıt: ",$B502))</f>
        <v/>
      </c>
    </row>
    <row r="503" customFormat="false" ht="15" hidden="false" customHeight="false" outlineLevel="0" collapsed="false">
      <c r="G503" s="20" t="n">
        <f aca="false">IF($D503=0,0,$D503*$E503)</f>
        <v>0</v>
      </c>
      <c r="H503" s="20" t="str">
        <f aca="false">IF($B503="","",CONCATENATE("Örnek kayıt: ",$B503))</f>
        <v/>
      </c>
    </row>
    <row r="504" customFormat="false" ht="15" hidden="false" customHeight="false" outlineLevel="0" collapsed="false">
      <c r="G504" s="20" t="n">
        <f aca="false">IF($D504=0,0,$D504*$E504)</f>
        <v>0</v>
      </c>
      <c r="H504" s="20" t="str">
        <f aca="false">IF($B504="","",CONCATENATE("Örnek kayıt: ",$B504))</f>
        <v/>
      </c>
    </row>
    <row r="505" customFormat="false" ht="15" hidden="false" customHeight="false" outlineLevel="0" collapsed="false">
      <c r="G505" s="20" t="n">
        <f aca="false">IF($D505=0,0,$D505*$E505)</f>
        <v>0</v>
      </c>
      <c r="H505" s="20" t="str">
        <f aca="false">IF($B505="","",CONCATENATE("Örnek kayıt: ",$B505))</f>
        <v/>
      </c>
    </row>
    <row r="506" customFormat="false" ht="15" hidden="false" customHeight="false" outlineLevel="0" collapsed="false">
      <c r="G506" s="20" t="n">
        <f aca="false">IF($D506=0,0,$D506*$E506)</f>
        <v>0</v>
      </c>
      <c r="H506" s="20" t="str">
        <f aca="false">IF($B506="","",CONCATENATE("Örnek kayıt: ",$B506))</f>
        <v/>
      </c>
    </row>
    <row r="507" customFormat="false" ht="15" hidden="false" customHeight="false" outlineLevel="0" collapsed="false">
      <c r="G507" s="20" t="n">
        <f aca="false">IF($D507=0,0,$D507*$E507)</f>
        <v>0</v>
      </c>
      <c r="H507" s="20" t="str">
        <f aca="false">IF($B507="","",CONCATENATE("Örnek kayıt: ",$B507))</f>
        <v/>
      </c>
    </row>
    <row r="508" customFormat="false" ht="15" hidden="false" customHeight="false" outlineLevel="0" collapsed="false">
      <c r="G508" s="20" t="n">
        <f aca="false">IF($D508=0,0,$D508*$E508)</f>
        <v>0</v>
      </c>
      <c r="H508" s="20" t="str">
        <f aca="false">IF($B508="","",CONCATENATE("Örnek kayıt: ",$B508))</f>
        <v/>
      </c>
    </row>
    <row r="509" customFormat="false" ht="15" hidden="false" customHeight="false" outlineLevel="0" collapsed="false">
      <c r="G509" s="20" t="n">
        <f aca="false">IF($D509=0,0,$D509*$E509)</f>
        <v>0</v>
      </c>
      <c r="H509" s="20" t="str">
        <f aca="false">IF($B509="","",CONCATENATE("Örnek kayıt: ",$B509))</f>
        <v/>
      </c>
    </row>
    <row r="510" customFormat="false" ht="15" hidden="false" customHeight="false" outlineLevel="0" collapsed="false">
      <c r="G510" s="20" t="n">
        <f aca="false">IF($D510=0,0,$D510*$E510)</f>
        <v>0</v>
      </c>
      <c r="H510" s="20" t="str">
        <f aca="false">IF($B510="","",CONCATENATE("Örnek kayıt: ",$B510))</f>
        <v/>
      </c>
    </row>
    <row r="511" customFormat="false" ht="15" hidden="false" customHeight="false" outlineLevel="0" collapsed="false">
      <c r="G511" s="20" t="n">
        <f aca="false">IF($D511=0,0,$D511*$E511)</f>
        <v>0</v>
      </c>
      <c r="H511" s="20" t="str">
        <f aca="false">IF($B511="","",CONCATENATE("Örnek kayıt: ",$B511))</f>
        <v/>
      </c>
    </row>
    <row r="512" customFormat="false" ht="15" hidden="false" customHeight="false" outlineLevel="0" collapsed="false">
      <c r="G512" s="20" t="n">
        <f aca="false">IF($D512=0,0,$D512*$E512)</f>
        <v>0</v>
      </c>
      <c r="H512" s="20" t="str">
        <f aca="false">IF($B512="","",CONCATENATE("Örnek kayıt: ",$B512))</f>
        <v/>
      </c>
    </row>
    <row r="513" customFormat="false" ht="15" hidden="false" customHeight="false" outlineLevel="0" collapsed="false">
      <c r="G513" s="20" t="n">
        <f aca="false">IF($D513=0,0,$D513*$E513)</f>
        <v>0</v>
      </c>
      <c r="H513" s="20" t="str">
        <f aca="false">IF($B513="","",CONCATENATE("Örnek kayıt: ",$B513))</f>
        <v/>
      </c>
    </row>
    <row r="514" customFormat="false" ht="15" hidden="false" customHeight="false" outlineLevel="0" collapsed="false">
      <c r="G514" s="20" t="n">
        <f aca="false">IF($D514=0,0,$D514*$E514)</f>
        <v>0</v>
      </c>
      <c r="H514" s="20" t="str">
        <f aca="false">IF($B514="","",CONCATENATE("Örnek kayıt: ",$B514))</f>
        <v/>
      </c>
    </row>
    <row r="515" customFormat="false" ht="15" hidden="false" customHeight="false" outlineLevel="0" collapsed="false">
      <c r="G515" s="20" t="n">
        <f aca="false">IF($D515=0,0,$D515*$E515)</f>
        <v>0</v>
      </c>
      <c r="H515" s="20" t="str">
        <f aca="false">IF($B515="","",CONCATENATE("Örnek kayıt: ",$B515))</f>
        <v/>
      </c>
    </row>
    <row r="516" customFormat="false" ht="15" hidden="false" customHeight="false" outlineLevel="0" collapsed="false">
      <c r="G516" s="20" t="n">
        <f aca="false">IF($D516=0,0,$D516*$E516)</f>
        <v>0</v>
      </c>
      <c r="H516" s="20" t="str">
        <f aca="false">IF($B516="","",CONCATENATE("Örnek kayıt: ",$B516))</f>
        <v/>
      </c>
    </row>
    <row r="517" customFormat="false" ht="15" hidden="false" customHeight="false" outlineLevel="0" collapsed="false">
      <c r="G517" s="20" t="n">
        <f aca="false">IF($D517=0,0,$D517*$E517)</f>
        <v>0</v>
      </c>
      <c r="H517" s="20" t="str">
        <f aca="false">IF($B517="","",CONCATENATE("Örnek kayıt: ",$B517))</f>
        <v/>
      </c>
    </row>
    <row r="518" customFormat="false" ht="15" hidden="false" customHeight="false" outlineLevel="0" collapsed="false">
      <c r="G518" s="20" t="n">
        <f aca="false">IF($D518=0,0,$D518*$E518)</f>
        <v>0</v>
      </c>
      <c r="H518" s="20" t="str">
        <f aca="false">IF($B518="","",CONCATENATE("Örnek kayıt: ",$B518))</f>
        <v/>
      </c>
    </row>
    <row r="519" customFormat="false" ht="15" hidden="false" customHeight="false" outlineLevel="0" collapsed="false">
      <c r="G519" s="20" t="n">
        <f aca="false">IF($D519=0,0,$D519*$E519)</f>
        <v>0</v>
      </c>
      <c r="H519" s="20" t="str">
        <f aca="false">IF($B519="","",CONCATENATE("Örnek kayıt: ",$B519))</f>
        <v/>
      </c>
    </row>
    <row r="520" customFormat="false" ht="15" hidden="false" customHeight="false" outlineLevel="0" collapsed="false">
      <c r="G520" s="20" t="n">
        <f aca="false">IF($D520=0,0,$D520*$E520)</f>
        <v>0</v>
      </c>
      <c r="H520" s="20" t="str">
        <f aca="false">IF($B520="","",CONCATENATE("Örnek kayıt: ",$B520))</f>
        <v/>
      </c>
    </row>
    <row r="521" customFormat="false" ht="15" hidden="false" customHeight="false" outlineLevel="0" collapsed="false">
      <c r="G521" s="20" t="n">
        <f aca="false">IF($D521=0,0,$D521*$E521)</f>
        <v>0</v>
      </c>
      <c r="H521" s="20" t="str">
        <f aca="false">IF($B521="","",CONCATENATE("Örnek kayıt: ",$B521))</f>
        <v/>
      </c>
    </row>
    <row r="522" customFormat="false" ht="15" hidden="false" customHeight="false" outlineLevel="0" collapsed="false">
      <c r="G522" s="20" t="n">
        <f aca="false">IF($D522=0,0,$D522*$E522)</f>
        <v>0</v>
      </c>
      <c r="H522" s="20" t="str">
        <f aca="false">IF($B522="","",CONCATENATE("Örnek kayıt: ",$B522))</f>
        <v/>
      </c>
    </row>
    <row r="523" customFormat="false" ht="15" hidden="false" customHeight="false" outlineLevel="0" collapsed="false">
      <c r="G523" s="20" t="n">
        <f aca="false">IF($D523=0,0,$D523*$E523)</f>
        <v>0</v>
      </c>
      <c r="H523" s="20" t="str">
        <f aca="false">IF($B523="","",CONCATENATE("Örnek kayıt: ",$B523))</f>
        <v/>
      </c>
    </row>
    <row r="524" customFormat="false" ht="15" hidden="false" customHeight="false" outlineLevel="0" collapsed="false">
      <c r="G524" s="20" t="n">
        <f aca="false">IF($D524=0,0,$D524*$E524)</f>
        <v>0</v>
      </c>
      <c r="H524" s="20" t="str">
        <f aca="false">IF($B524="","",CONCATENATE("Örnek kayıt: ",$B524))</f>
        <v/>
      </c>
    </row>
    <row r="525" customFormat="false" ht="15" hidden="false" customHeight="false" outlineLevel="0" collapsed="false">
      <c r="G525" s="20" t="n">
        <f aca="false">IF($D525=0,0,$D525*$E525)</f>
        <v>0</v>
      </c>
      <c r="H525" s="20" t="str">
        <f aca="false">IF($B525="","",CONCATENATE("Örnek kayıt: ",$B525))</f>
        <v/>
      </c>
    </row>
    <row r="526" customFormat="false" ht="15" hidden="false" customHeight="false" outlineLevel="0" collapsed="false">
      <c r="G526" s="20" t="n">
        <f aca="false">IF($D526=0,0,$D526*$E526)</f>
        <v>0</v>
      </c>
      <c r="H526" s="20" t="str">
        <f aca="false">IF($B526="","",CONCATENATE("Örnek kayıt: ",$B526))</f>
        <v/>
      </c>
    </row>
    <row r="527" customFormat="false" ht="15" hidden="false" customHeight="false" outlineLevel="0" collapsed="false">
      <c r="G527" s="20" t="n">
        <f aca="false">IF($D527=0,0,$D527*$E527)</f>
        <v>0</v>
      </c>
      <c r="H527" s="20" t="str">
        <f aca="false">IF($B527="","",CONCATENATE("Örnek kayıt: ",$B527))</f>
        <v/>
      </c>
    </row>
    <row r="528" customFormat="false" ht="15" hidden="false" customHeight="false" outlineLevel="0" collapsed="false">
      <c r="G528" s="20" t="n">
        <f aca="false">IF($D528=0,0,$D528*$E528)</f>
        <v>0</v>
      </c>
      <c r="H528" s="20" t="str">
        <f aca="false">IF($B528="","",CONCATENATE("Örnek kayıt: ",$B528))</f>
        <v/>
      </c>
    </row>
    <row r="529" customFormat="false" ht="15" hidden="false" customHeight="false" outlineLevel="0" collapsed="false">
      <c r="G529" s="20" t="n">
        <f aca="false">IF($D529=0,0,$D529*$E529)</f>
        <v>0</v>
      </c>
      <c r="H529" s="20" t="str">
        <f aca="false">IF($B529="","",CONCATENATE("Örnek kayıt: ",$B529))</f>
        <v/>
      </c>
    </row>
    <row r="530" customFormat="false" ht="15" hidden="false" customHeight="false" outlineLevel="0" collapsed="false">
      <c r="G530" s="20" t="n">
        <f aca="false">IF($D530=0,0,$D530*$E530)</f>
        <v>0</v>
      </c>
      <c r="H530" s="20" t="str">
        <f aca="false">IF($B530="","",CONCATENATE("Örnek kayıt: ",$B530))</f>
        <v/>
      </c>
    </row>
    <row r="531" customFormat="false" ht="15" hidden="false" customHeight="false" outlineLevel="0" collapsed="false">
      <c r="G531" s="20" t="n">
        <f aca="false">IF($D531=0,0,$D531*$E531)</f>
        <v>0</v>
      </c>
      <c r="H531" s="20" t="str">
        <f aca="false">IF($B531="","",CONCATENATE("Örnek kayıt: ",$B531))</f>
        <v/>
      </c>
    </row>
    <row r="532" customFormat="false" ht="15" hidden="false" customHeight="false" outlineLevel="0" collapsed="false">
      <c r="G532" s="20" t="n">
        <f aca="false">IF($D532=0,0,$D532*$E532)</f>
        <v>0</v>
      </c>
      <c r="H532" s="20" t="str">
        <f aca="false">IF($B532="","",CONCATENATE("Örnek kayıt: ",$B532))</f>
        <v/>
      </c>
    </row>
    <row r="533" customFormat="false" ht="15" hidden="false" customHeight="false" outlineLevel="0" collapsed="false">
      <c r="G533" s="20" t="n">
        <f aca="false">IF($D533=0,0,$D533*$E533)</f>
        <v>0</v>
      </c>
      <c r="H533" s="20" t="str">
        <f aca="false">IF($B533="","",CONCATENATE("Örnek kayıt: ",$B533))</f>
        <v/>
      </c>
    </row>
    <row r="534" customFormat="false" ht="15" hidden="false" customHeight="false" outlineLevel="0" collapsed="false">
      <c r="G534" s="20" t="n">
        <f aca="false">IF($D534=0,0,$D534*$E534)</f>
        <v>0</v>
      </c>
      <c r="H534" s="20" t="str">
        <f aca="false">IF($B534="","",CONCATENATE("Örnek kayıt: ",$B534))</f>
        <v/>
      </c>
    </row>
    <row r="535" customFormat="false" ht="15" hidden="false" customHeight="false" outlineLevel="0" collapsed="false">
      <c r="G535" s="20" t="n">
        <f aca="false">IF($D535=0,0,$D535*$E535)</f>
        <v>0</v>
      </c>
      <c r="H535" s="20" t="str">
        <f aca="false">IF($B535="","",CONCATENATE("Örnek kayıt: ",$B535))</f>
        <v/>
      </c>
    </row>
    <row r="536" customFormat="false" ht="15" hidden="false" customHeight="false" outlineLevel="0" collapsed="false">
      <c r="G536" s="20" t="n">
        <f aca="false">IF($D536=0,0,$D536*$E536)</f>
        <v>0</v>
      </c>
      <c r="H536" s="20" t="str">
        <f aca="false">IF($B536="","",CONCATENATE("Örnek kayıt: ",$B536))</f>
        <v/>
      </c>
    </row>
    <row r="537" customFormat="false" ht="15" hidden="false" customHeight="false" outlineLevel="0" collapsed="false">
      <c r="G537" s="20" t="n">
        <f aca="false">IF($D537=0,0,$D537*$E537)</f>
        <v>0</v>
      </c>
      <c r="H537" s="20" t="str">
        <f aca="false">IF($B537="","",CONCATENATE("Örnek kayıt: ",$B537))</f>
        <v/>
      </c>
    </row>
    <row r="538" customFormat="false" ht="15" hidden="false" customHeight="false" outlineLevel="0" collapsed="false">
      <c r="G538" s="20" t="n">
        <f aca="false">IF($D538=0,0,$D538*$E538)</f>
        <v>0</v>
      </c>
      <c r="H538" s="20" t="str">
        <f aca="false">IF($B538="","",CONCATENATE("Örnek kayıt: ",$B538))</f>
        <v/>
      </c>
    </row>
    <row r="539" customFormat="false" ht="15" hidden="false" customHeight="false" outlineLevel="0" collapsed="false">
      <c r="G539" s="20" t="n">
        <f aca="false">IF($D539=0,0,$D539*$E539)</f>
        <v>0</v>
      </c>
      <c r="H539" s="20" t="str">
        <f aca="false">IF($B539="","",CONCATENATE("Örnek kayıt: ",$B539))</f>
        <v/>
      </c>
    </row>
    <row r="540" customFormat="false" ht="15" hidden="false" customHeight="false" outlineLevel="0" collapsed="false">
      <c r="G540" s="20" t="n">
        <f aca="false">IF($D540=0,0,$D540*$E540)</f>
        <v>0</v>
      </c>
      <c r="H540" s="20" t="str">
        <f aca="false">IF($B540="","",CONCATENATE("Örnek kayıt: ",$B540))</f>
        <v/>
      </c>
    </row>
    <row r="541" customFormat="false" ht="15" hidden="false" customHeight="false" outlineLevel="0" collapsed="false">
      <c r="G541" s="20" t="n">
        <f aca="false">IF($D541=0,0,$D541*$E541)</f>
        <v>0</v>
      </c>
      <c r="H541" s="20" t="str">
        <f aca="false">IF($B541="","",CONCATENATE("Örnek kayıt: ",$B541))</f>
        <v/>
      </c>
    </row>
    <row r="542" customFormat="false" ht="15" hidden="false" customHeight="false" outlineLevel="0" collapsed="false">
      <c r="G542" s="20" t="n">
        <f aca="false">IF($D542=0,0,$D542*$E542)</f>
        <v>0</v>
      </c>
      <c r="H542" s="20" t="str">
        <f aca="false">IF($B542="","",CONCATENATE("Örnek kayıt: ",$B542))</f>
        <v/>
      </c>
    </row>
    <row r="543" customFormat="false" ht="15" hidden="false" customHeight="false" outlineLevel="0" collapsed="false">
      <c r="G543" s="20" t="n">
        <f aca="false">IF($D543=0,0,$D543*$E543)</f>
        <v>0</v>
      </c>
      <c r="H543" s="20" t="str">
        <f aca="false">IF($B543="","",CONCATENATE("Örnek kayıt: ",$B543))</f>
        <v/>
      </c>
    </row>
    <row r="544" customFormat="false" ht="15" hidden="false" customHeight="false" outlineLevel="0" collapsed="false">
      <c r="G544" s="20" t="n">
        <f aca="false">IF($D544=0,0,$D544*$E544)</f>
        <v>0</v>
      </c>
      <c r="H544" s="20" t="str">
        <f aca="false">IF($B544="","",CONCATENATE("Örnek kayıt: ",$B544))</f>
        <v/>
      </c>
    </row>
    <row r="545" customFormat="false" ht="15" hidden="false" customHeight="false" outlineLevel="0" collapsed="false">
      <c r="G545" s="20" t="n">
        <f aca="false">IF($D545=0,0,$D545*$E545)</f>
        <v>0</v>
      </c>
      <c r="H545" s="20" t="str">
        <f aca="false">IF($B545="","",CONCATENATE("Örnek kayıt: ",$B545))</f>
        <v/>
      </c>
    </row>
    <row r="546" customFormat="false" ht="15" hidden="false" customHeight="false" outlineLevel="0" collapsed="false">
      <c r="G546" s="20" t="n">
        <f aca="false">IF($D546=0,0,$D546*$E546)</f>
        <v>0</v>
      </c>
      <c r="H546" s="20" t="str">
        <f aca="false">IF($B546="","",CONCATENATE("Örnek kayıt: ",$B546))</f>
        <v/>
      </c>
    </row>
    <row r="547" customFormat="false" ht="15" hidden="false" customHeight="false" outlineLevel="0" collapsed="false">
      <c r="G547" s="20" t="n">
        <f aca="false">IF($D547=0,0,$D547*$E547)</f>
        <v>0</v>
      </c>
      <c r="H547" s="20" t="str">
        <f aca="false">IF($B547="","",CONCATENATE("Örnek kayıt: ",$B547))</f>
        <v/>
      </c>
    </row>
    <row r="548" customFormat="false" ht="15" hidden="false" customHeight="false" outlineLevel="0" collapsed="false">
      <c r="G548" s="20" t="n">
        <f aca="false">IF($D548=0,0,$D548*$E548)</f>
        <v>0</v>
      </c>
      <c r="H548" s="20" t="str">
        <f aca="false">IF($B548="","",CONCATENATE("Örnek kayıt: ",$B548))</f>
        <v/>
      </c>
    </row>
    <row r="549" customFormat="false" ht="15" hidden="false" customHeight="false" outlineLevel="0" collapsed="false">
      <c r="G549" s="20" t="n">
        <f aca="false">IF($D549=0,0,$D549*$E549)</f>
        <v>0</v>
      </c>
      <c r="H549" s="20" t="str">
        <f aca="false">IF($B549="","",CONCATENATE("Örnek kayıt: ",$B549))</f>
        <v/>
      </c>
    </row>
    <row r="550" customFormat="false" ht="15" hidden="false" customHeight="false" outlineLevel="0" collapsed="false">
      <c r="G550" s="20" t="n">
        <f aca="false">IF($D550=0,0,$D550*$E550)</f>
        <v>0</v>
      </c>
      <c r="H550" s="20" t="str">
        <f aca="false">IF($B550="","",CONCATENATE("Örnek kayıt: ",$B550))</f>
        <v/>
      </c>
    </row>
    <row r="551" customFormat="false" ht="15" hidden="false" customHeight="false" outlineLevel="0" collapsed="false">
      <c r="G551" s="20" t="n">
        <f aca="false">IF($D551=0,0,$D551*$E551)</f>
        <v>0</v>
      </c>
      <c r="H551" s="20" t="str">
        <f aca="false">IF($B551="","",CONCATENATE("Örnek kayıt: ",$B551))</f>
        <v/>
      </c>
    </row>
    <row r="552" customFormat="false" ht="15" hidden="false" customHeight="false" outlineLevel="0" collapsed="false">
      <c r="G552" s="20" t="n">
        <f aca="false">IF($D552=0,0,$D552*$E552)</f>
        <v>0</v>
      </c>
      <c r="H552" s="20" t="str">
        <f aca="false">IF($B552="","",CONCATENATE("Örnek kayıt: ",$B552))</f>
        <v/>
      </c>
    </row>
    <row r="553" customFormat="false" ht="15" hidden="false" customHeight="false" outlineLevel="0" collapsed="false">
      <c r="G553" s="20" t="n">
        <f aca="false">IF($D553=0,0,$D553*$E553)</f>
        <v>0</v>
      </c>
      <c r="H553" s="20" t="str">
        <f aca="false">IF($B553="","",CONCATENATE("Örnek kayıt: ",$B553))</f>
        <v/>
      </c>
    </row>
    <row r="554" customFormat="false" ht="15" hidden="false" customHeight="false" outlineLevel="0" collapsed="false">
      <c r="G554" s="20" t="n">
        <f aca="false">IF($D554=0,0,$D554*$E554)</f>
        <v>0</v>
      </c>
      <c r="H554" s="20" t="str">
        <f aca="false">IF($B554="","",CONCATENATE("Örnek kayıt: ",$B554))</f>
        <v/>
      </c>
    </row>
    <row r="555" customFormat="false" ht="15" hidden="false" customHeight="false" outlineLevel="0" collapsed="false">
      <c r="G555" s="20" t="n">
        <f aca="false">IF($D555=0,0,$D555*$E555)</f>
        <v>0</v>
      </c>
      <c r="H555" s="20" t="str">
        <f aca="false">IF($B555="","",CONCATENATE("Örnek kayıt: ",$B555))</f>
        <v/>
      </c>
    </row>
    <row r="556" customFormat="false" ht="15" hidden="false" customHeight="false" outlineLevel="0" collapsed="false">
      <c r="G556" s="20" t="n">
        <f aca="false">IF($D556=0,0,$D556*$E556)</f>
        <v>0</v>
      </c>
      <c r="H556" s="20" t="str">
        <f aca="false">IF($B556="","",CONCATENATE("Örnek kayıt: ",$B556))</f>
        <v/>
      </c>
    </row>
    <row r="557" customFormat="false" ht="15" hidden="false" customHeight="false" outlineLevel="0" collapsed="false">
      <c r="G557" s="20" t="n">
        <f aca="false">IF($D557=0,0,$D557*$E557)</f>
        <v>0</v>
      </c>
      <c r="H557" s="20" t="str">
        <f aca="false">IF($B557="","",CONCATENATE("Örnek kayıt: ",$B557))</f>
        <v/>
      </c>
    </row>
    <row r="558" customFormat="false" ht="15" hidden="false" customHeight="false" outlineLevel="0" collapsed="false">
      <c r="G558" s="20" t="n">
        <f aca="false">IF($D558=0,0,$D558*$E558)</f>
        <v>0</v>
      </c>
      <c r="H558" s="20" t="str">
        <f aca="false">IF($B558="","",CONCATENATE("Örnek kayıt: ",$B558))</f>
        <v/>
      </c>
    </row>
    <row r="559" customFormat="false" ht="15" hidden="false" customHeight="false" outlineLevel="0" collapsed="false">
      <c r="G559" s="20" t="n">
        <f aca="false">IF($D559=0,0,$D559*$E559)</f>
        <v>0</v>
      </c>
      <c r="H559" s="20" t="str">
        <f aca="false">IF($B559="","",CONCATENATE("Örnek kayıt: ",$B559))</f>
        <v/>
      </c>
    </row>
    <row r="560" customFormat="false" ht="15" hidden="false" customHeight="false" outlineLevel="0" collapsed="false">
      <c r="G560" s="20" t="n">
        <f aca="false">IF($D560=0,0,$D560*$E560)</f>
        <v>0</v>
      </c>
      <c r="H560" s="20" t="str">
        <f aca="false">IF($B560="","",CONCATENATE("Örnek kayıt: ",$B560))</f>
        <v/>
      </c>
    </row>
    <row r="561" customFormat="false" ht="15" hidden="false" customHeight="false" outlineLevel="0" collapsed="false">
      <c r="G561" s="20" t="n">
        <f aca="false">IF($D561=0,0,$D561*$E561)</f>
        <v>0</v>
      </c>
      <c r="H561" s="20" t="str">
        <f aca="false">IF($B561="","",CONCATENATE("Örnek kayıt: ",$B561))</f>
        <v/>
      </c>
    </row>
    <row r="562" customFormat="false" ht="15" hidden="false" customHeight="false" outlineLevel="0" collapsed="false">
      <c r="G562" s="20" t="n">
        <f aca="false">IF($D562=0,0,$D562*$E562)</f>
        <v>0</v>
      </c>
      <c r="H562" s="20" t="str">
        <f aca="false">IF($B562="","",CONCATENATE("Örnek kayıt: ",$B562))</f>
        <v/>
      </c>
    </row>
    <row r="563" customFormat="false" ht="15" hidden="false" customHeight="false" outlineLevel="0" collapsed="false">
      <c r="G563" s="20" t="n">
        <f aca="false">IF($D563=0,0,$D563*$E563)</f>
        <v>0</v>
      </c>
      <c r="H563" s="20" t="str">
        <f aca="false">IF($B563="","",CONCATENATE("Örnek kayıt: ",$B563))</f>
        <v/>
      </c>
    </row>
    <row r="564" customFormat="false" ht="15" hidden="false" customHeight="false" outlineLevel="0" collapsed="false">
      <c r="G564" s="20" t="n">
        <f aca="false">IF($D564=0,0,$D564*$E564)</f>
        <v>0</v>
      </c>
      <c r="H564" s="20" t="str">
        <f aca="false">IF($B564="","",CONCATENATE("Örnek kayıt: ",$B564))</f>
        <v/>
      </c>
    </row>
    <row r="565" customFormat="false" ht="15" hidden="false" customHeight="false" outlineLevel="0" collapsed="false">
      <c r="G565" s="20" t="n">
        <f aca="false">IF($D565=0,0,$D565*$E565)</f>
        <v>0</v>
      </c>
      <c r="H565" s="20" t="str">
        <f aca="false">IF($B565="","",CONCATENATE("Örnek kayıt: ",$B565))</f>
        <v/>
      </c>
    </row>
    <row r="566" customFormat="false" ht="15" hidden="false" customHeight="false" outlineLevel="0" collapsed="false">
      <c r="G566" s="20" t="n">
        <f aca="false">IF($D566=0,0,$D566*$E566)</f>
        <v>0</v>
      </c>
      <c r="H566" s="20" t="str">
        <f aca="false">IF($B566="","",CONCATENATE("Örnek kayıt: ",$B566))</f>
        <v/>
      </c>
    </row>
    <row r="567" customFormat="false" ht="15" hidden="false" customHeight="false" outlineLevel="0" collapsed="false">
      <c r="G567" s="20" t="n">
        <f aca="false">IF($D567=0,0,$D567*$E567)</f>
        <v>0</v>
      </c>
      <c r="H567" s="20" t="str">
        <f aca="false">IF($B567="","",CONCATENATE("Örnek kayıt: ",$B567))</f>
        <v/>
      </c>
    </row>
    <row r="568" customFormat="false" ht="15" hidden="false" customHeight="false" outlineLevel="0" collapsed="false">
      <c r="G568" s="20" t="n">
        <f aca="false">IF($D568=0,0,$D568*$E568)</f>
        <v>0</v>
      </c>
      <c r="H568" s="20" t="str">
        <f aca="false">IF($B568="","",CONCATENATE("Örnek kayıt: ",$B568))</f>
        <v/>
      </c>
    </row>
    <row r="569" customFormat="false" ht="15" hidden="false" customHeight="false" outlineLevel="0" collapsed="false">
      <c r="G569" s="20" t="n">
        <f aca="false">IF($D569=0,0,$D569*$E569)</f>
        <v>0</v>
      </c>
      <c r="H569" s="20" t="str">
        <f aca="false">IF($B569="","",CONCATENATE("Örnek kayıt: ",$B569))</f>
        <v/>
      </c>
    </row>
    <row r="570" customFormat="false" ht="15" hidden="false" customHeight="false" outlineLevel="0" collapsed="false">
      <c r="G570" s="20" t="n">
        <f aca="false">IF($D570=0,0,$D570*$E570)</f>
        <v>0</v>
      </c>
      <c r="H570" s="20" t="str">
        <f aca="false">IF($B570="","",CONCATENATE("Örnek kayıt: ",$B570))</f>
        <v/>
      </c>
    </row>
    <row r="571" customFormat="false" ht="15" hidden="false" customHeight="false" outlineLevel="0" collapsed="false">
      <c r="G571" s="20" t="n">
        <f aca="false">IF($D571=0,0,$D571*$E571)</f>
        <v>0</v>
      </c>
      <c r="H571" s="20" t="str">
        <f aca="false">IF($B571="","",CONCATENATE("Örnek kayıt: ",$B571))</f>
        <v/>
      </c>
    </row>
    <row r="572" customFormat="false" ht="15" hidden="false" customHeight="false" outlineLevel="0" collapsed="false">
      <c r="G572" s="20" t="n">
        <f aca="false">IF($D572=0,0,$D572*$E572)</f>
        <v>0</v>
      </c>
      <c r="H572" s="20" t="str">
        <f aca="false">IF($B572="","",CONCATENATE("Örnek kayıt: ",$B572))</f>
        <v/>
      </c>
    </row>
    <row r="573" customFormat="false" ht="15" hidden="false" customHeight="false" outlineLevel="0" collapsed="false">
      <c r="G573" s="20" t="n">
        <f aca="false">IF($D573=0,0,$D573*$E573)</f>
        <v>0</v>
      </c>
      <c r="H573" s="20" t="str">
        <f aca="false">IF($B573="","",CONCATENATE("Örnek kayıt: ",$B573))</f>
        <v/>
      </c>
    </row>
    <row r="574" customFormat="false" ht="15" hidden="false" customHeight="false" outlineLevel="0" collapsed="false">
      <c r="G574" s="20" t="n">
        <f aca="false">IF($D574=0,0,$D574*$E574)</f>
        <v>0</v>
      </c>
      <c r="H574" s="20" t="str">
        <f aca="false">IF($B574="","",CONCATENATE("Örnek kayıt: ",$B574))</f>
        <v/>
      </c>
    </row>
    <row r="575" customFormat="false" ht="15" hidden="false" customHeight="false" outlineLevel="0" collapsed="false">
      <c r="G575" s="20" t="n">
        <f aca="false">IF($D575=0,0,$D575*$E575)</f>
        <v>0</v>
      </c>
      <c r="H575" s="20" t="str">
        <f aca="false">IF($B575="","",CONCATENATE("Örnek kayıt: ",$B575))</f>
        <v/>
      </c>
    </row>
    <row r="576" customFormat="false" ht="15" hidden="false" customHeight="false" outlineLevel="0" collapsed="false">
      <c r="G576" s="20" t="n">
        <f aca="false">IF($D576=0,0,$D576*$E576)</f>
        <v>0</v>
      </c>
      <c r="H576" s="20" t="str">
        <f aca="false">IF($B576="","",CONCATENATE("Örnek kayıt: ",$B576))</f>
        <v/>
      </c>
    </row>
    <row r="577" customFormat="false" ht="15" hidden="false" customHeight="false" outlineLevel="0" collapsed="false">
      <c r="G577" s="20" t="n">
        <f aca="false">IF($D577=0,0,$D577*$E577)</f>
        <v>0</v>
      </c>
      <c r="H577" s="20" t="str">
        <f aca="false">IF($B577="","",CONCATENATE("Örnek kayıt: ",$B577))</f>
        <v/>
      </c>
    </row>
    <row r="578" customFormat="false" ht="15" hidden="false" customHeight="false" outlineLevel="0" collapsed="false">
      <c r="G578" s="20" t="n">
        <f aca="false">IF($D578=0,0,$D578*$E578)</f>
        <v>0</v>
      </c>
      <c r="H578" s="20" t="str">
        <f aca="false">IF($B578="","",CONCATENATE("Örnek kayıt: ",$B578))</f>
        <v/>
      </c>
    </row>
    <row r="579" customFormat="false" ht="15" hidden="false" customHeight="false" outlineLevel="0" collapsed="false">
      <c r="G579" s="20" t="n">
        <f aca="false">IF($D579=0,0,$D579*$E579)</f>
        <v>0</v>
      </c>
      <c r="H579" s="20" t="str">
        <f aca="false">IF($B579="","",CONCATENATE("Örnek kayıt: ",$B579))</f>
        <v/>
      </c>
    </row>
    <row r="580" customFormat="false" ht="15" hidden="false" customHeight="false" outlineLevel="0" collapsed="false">
      <c r="G580" s="20" t="n">
        <f aca="false">IF($D580=0,0,$D580*$E580)</f>
        <v>0</v>
      </c>
      <c r="H580" s="20" t="str">
        <f aca="false">IF($B580="","",CONCATENATE("Örnek kayıt: ",$B580))</f>
        <v/>
      </c>
    </row>
    <row r="581" customFormat="false" ht="15" hidden="false" customHeight="false" outlineLevel="0" collapsed="false">
      <c r="G581" s="20" t="n">
        <f aca="false">IF($D581=0,0,$D581*$E581)</f>
        <v>0</v>
      </c>
      <c r="H581" s="20" t="str">
        <f aca="false">IF($B581="","",CONCATENATE("Örnek kayıt: ",$B581))</f>
        <v/>
      </c>
    </row>
    <row r="582" customFormat="false" ht="15" hidden="false" customHeight="false" outlineLevel="0" collapsed="false">
      <c r="G582" s="20" t="n">
        <f aca="false">IF($D582=0,0,$D582*$E582)</f>
        <v>0</v>
      </c>
      <c r="H582" s="20" t="str">
        <f aca="false">IF($B582="","",CONCATENATE("Örnek kayıt: ",$B582))</f>
        <v/>
      </c>
    </row>
    <row r="583" customFormat="false" ht="15" hidden="false" customHeight="false" outlineLevel="0" collapsed="false">
      <c r="G583" s="20" t="n">
        <f aca="false">IF($D583=0,0,$D583*$E583)</f>
        <v>0</v>
      </c>
      <c r="H583" s="20" t="str">
        <f aca="false">IF($B583="","",CONCATENATE("Örnek kayıt: ",$B583))</f>
        <v/>
      </c>
    </row>
    <row r="584" customFormat="false" ht="15" hidden="false" customHeight="false" outlineLevel="0" collapsed="false">
      <c r="G584" s="20" t="n">
        <f aca="false">IF($D584=0,0,$D584*$E584)</f>
        <v>0</v>
      </c>
      <c r="H584" s="20" t="str">
        <f aca="false">IF($B584="","",CONCATENATE("Örnek kayıt: ",$B584))</f>
        <v/>
      </c>
    </row>
    <row r="585" customFormat="false" ht="15" hidden="false" customHeight="false" outlineLevel="0" collapsed="false">
      <c r="G585" s="20" t="n">
        <f aca="false">IF($D585=0,0,$D585*$E585)</f>
        <v>0</v>
      </c>
      <c r="H585" s="20" t="str">
        <f aca="false">IF($B585="","",CONCATENATE("Örnek kayıt: ",$B585))</f>
        <v/>
      </c>
    </row>
    <row r="586" customFormat="false" ht="15" hidden="false" customHeight="false" outlineLevel="0" collapsed="false">
      <c r="G586" s="20" t="n">
        <f aca="false">IF($D586=0,0,$D586*$E586)</f>
        <v>0</v>
      </c>
      <c r="H586" s="20" t="str">
        <f aca="false">IF($B586="","",CONCATENATE("Örnek kayıt: ",$B586))</f>
        <v/>
      </c>
    </row>
    <row r="587" customFormat="false" ht="15" hidden="false" customHeight="false" outlineLevel="0" collapsed="false">
      <c r="G587" s="20" t="n">
        <f aca="false">IF($D587=0,0,$D587*$E587)</f>
        <v>0</v>
      </c>
      <c r="H587" s="20" t="str">
        <f aca="false">IF($B587="","",CONCATENATE("Örnek kayıt: ",$B587))</f>
        <v/>
      </c>
    </row>
    <row r="588" customFormat="false" ht="15" hidden="false" customHeight="false" outlineLevel="0" collapsed="false">
      <c r="G588" s="20" t="n">
        <f aca="false">IF($D588=0,0,$D588*$E588)</f>
        <v>0</v>
      </c>
      <c r="H588" s="20" t="str">
        <f aca="false">IF($B588="","",CONCATENATE("Örnek kayıt: ",$B588))</f>
        <v/>
      </c>
    </row>
    <row r="589" customFormat="false" ht="15" hidden="false" customHeight="false" outlineLevel="0" collapsed="false">
      <c r="G589" s="20" t="n">
        <f aca="false">IF($D589=0,0,$D589*$E589)</f>
        <v>0</v>
      </c>
      <c r="H589" s="20" t="str">
        <f aca="false">IF($B589="","",CONCATENATE("Örnek kayıt: ",$B589))</f>
        <v/>
      </c>
    </row>
    <row r="590" customFormat="false" ht="15" hidden="false" customHeight="false" outlineLevel="0" collapsed="false">
      <c r="G590" s="20" t="n">
        <f aca="false">IF($D590=0,0,$D590*$E590)</f>
        <v>0</v>
      </c>
      <c r="H590" s="20" t="str">
        <f aca="false">IF($B590="","",CONCATENATE("Örnek kayıt: ",$B590))</f>
        <v/>
      </c>
    </row>
    <row r="591" customFormat="false" ht="15" hidden="false" customHeight="false" outlineLevel="0" collapsed="false">
      <c r="G591" s="20" t="n">
        <f aca="false">IF($D591=0,0,$D591*$E591)</f>
        <v>0</v>
      </c>
      <c r="H591" s="20" t="str">
        <f aca="false">IF($B591="","",CONCATENATE("Örnek kayıt: ",$B591))</f>
        <v/>
      </c>
    </row>
    <row r="592" customFormat="false" ht="15" hidden="false" customHeight="false" outlineLevel="0" collapsed="false">
      <c r="G592" s="20" t="n">
        <f aca="false">IF($D592=0,0,$D592*$E592)</f>
        <v>0</v>
      </c>
      <c r="H592" s="20" t="str">
        <f aca="false">IF($B592="","",CONCATENATE("Örnek kayıt: ",$B592))</f>
        <v/>
      </c>
    </row>
    <row r="593" customFormat="false" ht="15" hidden="false" customHeight="false" outlineLevel="0" collapsed="false">
      <c r="G593" s="20" t="n">
        <f aca="false">IF($D593=0,0,$D593*$E593)</f>
        <v>0</v>
      </c>
      <c r="H593" s="20" t="str">
        <f aca="false">IF($B593="","",CONCATENATE("Örnek kayıt: ",$B593))</f>
        <v/>
      </c>
    </row>
    <row r="594" customFormat="false" ht="15" hidden="false" customHeight="false" outlineLevel="0" collapsed="false">
      <c r="G594" s="20" t="n">
        <f aca="false">IF($D594=0,0,$D594*$E594)</f>
        <v>0</v>
      </c>
      <c r="H594" s="20" t="str">
        <f aca="false">IF($B594="","",CONCATENATE("Örnek kayıt: ",$B594))</f>
        <v/>
      </c>
    </row>
    <row r="595" customFormat="false" ht="15" hidden="false" customHeight="false" outlineLevel="0" collapsed="false">
      <c r="G595" s="20" t="n">
        <f aca="false">IF($D595=0,0,$D595*$E595)</f>
        <v>0</v>
      </c>
      <c r="H595" s="20" t="str">
        <f aca="false">IF($B595="","",CONCATENATE("Örnek kayıt: ",$B595))</f>
        <v/>
      </c>
    </row>
    <row r="596" customFormat="false" ht="15" hidden="false" customHeight="false" outlineLevel="0" collapsed="false">
      <c r="G596" s="20" t="n">
        <f aca="false">IF($D596=0,0,$D596*$E596)</f>
        <v>0</v>
      </c>
      <c r="H596" s="20" t="str">
        <f aca="false">IF($B596="","",CONCATENATE("Örnek kayıt: ",$B596))</f>
        <v/>
      </c>
    </row>
    <row r="597" customFormat="false" ht="15" hidden="false" customHeight="false" outlineLevel="0" collapsed="false">
      <c r="G597" s="20" t="n">
        <f aca="false">IF($D597=0,0,$D597*$E597)</f>
        <v>0</v>
      </c>
      <c r="H597" s="20" t="str">
        <f aca="false">IF($B597="","",CONCATENATE("Örnek kayıt: ",$B597))</f>
        <v/>
      </c>
    </row>
    <row r="598" customFormat="false" ht="15" hidden="false" customHeight="false" outlineLevel="0" collapsed="false">
      <c r="G598" s="20" t="n">
        <f aca="false">IF($D598=0,0,$D598*$E598)</f>
        <v>0</v>
      </c>
      <c r="H598" s="20" t="str">
        <f aca="false">IF($B598="","",CONCATENATE("Örnek kayıt: ",$B598))</f>
        <v/>
      </c>
    </row>
    <row r="599" customFormat="false" ht="15" hidden="false" customHeight="false" outlineLevel="0" collapsed="false">
      <c r="G599" s="20" t="n">
        <f aca="false">IF($D599=0,0,$D599*$E599)</f>
        <v>0</v>
      </c>
      <c r="H599" s="20" t="str">
        <f aca="false">IF($B599="","",CONCATENATE("Örnek kayıt: ",$B599))</f>
        <v/>
      </c>
    </row>
    <row r="600" customFormat="false" ht="15" hidden="false" customHeight="false" outlineLevel="0" collapsed="false">
      <c r="G600" s="20" t="n">
        <f aca="false">IF($D600=0,0,$D600*$E600)</f>
        <v>0</v>
      </c>
      <c r="H600" s="20" t="str">
        <f aca="false">IF($B600="","",CONCATENATE("Örnek kayıt: ",$B600))</f>
        <v/>
      </c>
    </row>
    <row r="601" customFormat="false" ht="15" hidden="false" customHeight="false" outlineLevel="0" collapsed="false">
      <c r="G601" s="20" t="n">
        <f aca="false">IF($D601=0,0,$D601*$E601)</f>
        <v>0</v>
      </c>
      <c r="H601" s="20" t="str">
        <f aca="false">IF($B601="","",CONCATENATE("Örnek kayıt: ",$B601))</f>
        <v/>
      </c>
    </row>
    <row r="602" customFormat="false" ht="15" hidden="false" customHeight="false" outlineLevel="0" collapsed="false">
      <c r="G602" s="20" t="n">
        <f aca="false">IF($D602=0,0,$D602*$E602)</f>
        <v>0</v>
      </c>
      <c r="H602" s="20" t="str">
        <f aca="false">IF($B602="","",CONCATENATE("Örnek kayıt: ",$B602))</f>
        <v/>
      </c>
    </row>
    <row r="603" customFormat="false" ht="15" hidden="false" customHeight="false" outlineLevel="0" collapsed="false">
      <c r="G603" s="20" t="n">
        <f aca="false">IF($D603=0,0,$D603*$E603)</f>
        <v>0</v>
      </c>
      <c r="H603" s="20" t="str">
        <f aca="false">IF($B603="","",CONCATENATE("Örnek kayıt: ",$B603))</f>
        <v/>
      </c>
    </row>
    <row r="604" customFormat="false" ht="15" hidden="false" customHeight="false" outlineLevel="0" collapsed="false">
      <c r="G604" s="20" t="n">
        <f aca="false">IF($D604=0,0,$D604*$E604)</f>
        <v>0</v>
      </c>
      <c r="H604" s="20" t="str">
        <f aca="false">IF($B604="","",CONCATENATE("Örnek kayıt: ",$B604))</f>
        <v/>
      </c>
    </row>
    <row r="605" customFormat="false" ht="15" hidden="false" customHeight="false" outlineLevel="0" collapsed="false">
      <c r="G605" s="20" t="n">
        <f aca="false">IF($D605=0,0,$D605*$E605)</f>
        <v>0</v>
      </c>
      <c r="H605" s="20" t="str">
        <f aca="false">IF($B605="","",CONCATENATE("Örnek kayıt: ",$B605))</f>
        <v/>
      </c>
    </row>
    <row r="606" customFormat="false" ht="15" hidden="false" customHeight="false" outlineLevel="0" collapsed="false">
      <c r="G606" s="20" t="n">
        <f aca="false">IF($D606=0,0,$D606*$E606)</f>
        <v>0</v>
      </c>
      <c r="H606" s="20" t="str">
        <f aca="false">IF($B606="","",CONCATENATE("Örnek kayıt: ",$B606))</f>
        <v/>
      </c>
    </row>
    <row r="607" customFormat="false" ht="15" hidden="false" customHeight="false" outlineLevel="0" collapsed="false">
      <c r="G607" s="20" t="n">
        <f aca="false">IF($D607=0,0,$D607*$E607)</f>
        <v>0</v>
      </c>
      <c r="H607" s="20" t="str">
        <f aca="false">IF($B607="","",CONCATENATE("Örnek kayıt: ",$B607))</f>
        <v/>
      </c>
    </row>
    <row r="608" customFormat="false" ht="15" hidden="false" customHeight="false" outlineLevel="0" collapsed="false">
      <c r="G608" s="20" t="n">
        <f aca="false">IF($D608=0,0,$D608*$E608)</f>
        <v>0</v>
      </c>
      <c r="H608" s="20" t="str">
        <f aca="false">IF($B608="","",CONCATENATE("Örnek kayıt: ",$B608))</f>
        <v/>
      </c>
    </row>
    <row r="609" customFormat="false" ht="15" hidden="false" customHeight="false" outlineLevel="0" collapsed="false">
      <c r="G609" s="20" t="n">
        <f aca="false">IF($D609=0,0,$D609*$E609)</f>
        <v>0</v>
      </c>
      <c r="H609" s="20" t="str">
        <f aca="false">IF($B609="","",CONCATENATE("Örnek kayıt: ",$B609))</f>
        <v/>
      </c>
    </row>
    <row r="610" customFormat="false" ht="15" hidden="false" customHeight="false" outlineLevel="0" collapsed="false">
      <c r="G610" s="20" t="n">
        <f aca="false">IF($D610=0,0,$D610*$E610)</f>
        <v>0</v>
      </c>
      <c r="H610" s="20" t="str">
        <f aca="false">IF($B610="","",CONCATENATE("Örnek kayıt: ",$B610))</f>
        <v/>
      </c>
    </row>
    <row r="611" customFormat="false" ht="15" hidden="false" customHeight="false" outlineLevel="0" collapsed="false">
      <c r="G611" s="20" t="n">
        <f aca="false">IF($D611=0,0,$D611*$E611)</f>
        <v>0</v>
      </c>
      <c r="H611" s="20" t="str">
        <f aca="false">IF($B611="","",CONCATENATE("Örnek kayıt: ",$B611))</f>
        <v/>
      </c>
    </row>
    <row r="612" customFormat="false" ht="15" hidden="false" customHeight="false" outlineLevel="0" collapsed="false">
      <c r="G612" s="20" t="n">
        <f aca="false">IF($D612=0,0,$D612*$E612)</f>
        <v>0</v>
      </c>
      <c r="H612" s="20" t="str">
        <f aca="false">IF($B612="","",CONCATENATE("Örnek kayıt: ",$B612))</f>
        <v/>
      </c>
    </row>
    <row r="613" customFormat="false" ht="15" hidden="false" customHeight="false" outlineLevel="0" collapsed="false">
      <c r="G613" s="20" t="n">
        <f aca="false">IF($D613=0,0,$D613*$E613)</f>
        <v>0</v>
      </c>
      <c r="H613" s="20" t="str">
        <f aca="false">IF($B613="","",CONCATENATE("Örnek kayıt: ",$B613))</f>
        <v/>
      </c>
    </row>
    <row r="614" customFormat="false" ht="15" hidden="false" customHeight="false" outlineLevel="0" collapsed="false">
      <c r="G614" s="20" t="n">
        <f aca="false">IF($D614=0,0,$D614*$E614)</f>
        <v>0</v>
      </c>
      <c r="H614" s="20" t="str">
        <f aca="false">IF($B614="","",CONCATENATE("Örnek kayıt: ",$B614))</f>
        <v/>
      </c>
    </row>
    <row r="615" customFormat="false" ht="15" hidden="false" customHeight="false" outlineLevel="0" collapsed="false">
      <c r="G615" s="20" t="n">
        <f aca="false">IF($D615=0,0,$D615*$E615)</f>
        <v>0</v>
      </c>
      <c r="H615" s="20" t="str">
        <f aca="false">IF($B615="","",CONCATENATE("Örnek kayıt: ",$B615))</f>
        <v/>
      </c>
    </row>
    <row r="616" customFormat="false" ht="15" hidden="false" customHeight="false" outlineLevel="0" collapsed="false">
      <c r="G616" s="20" t="n">
        <f aca="false">IF($D616=0,0,$D616*$E616)</f>
        <v>0</v>
      </c>
      <c r="H616" s="20" t="str">
        <f aca="false">IF($B616="","",CONCATENATE("Örnek kayıt: ",$B616))</f>
        <v/>
      </c>
    </row>
    <row r="617" customFormat="false" ht="15" hidden="false" customHeight="false" outlineLevel="0" collapsed="false">
      <c r="G617" s="20" t="n">
        <f aca="false">IF($D617=0,0,$D617*$E617)</f>
        <v>0</v>
      </c>
      <c r="H617" s="20" t="str">
        <f aca="false">IF($B617="","",CONCATENATE("Örnek kayıt: ",$B617))</f>
        <v/>
      </c>
    </row>
    <row r="618" customFormat="false" ht="15" hidden="false" customHeight="false" outlineLevel="0" collapsed="false">
      <c r="G618" s="20" t="n">
        <f aca="false">IF($D618=0,0,$D618*$E618)</f>
        <v>0</v>
      </c>
      <c r="H618" s="20" t="str">
        <f aca="false">IF($B618="","",CONCATENATE("Örnek kayıt: ",$B618))</f>
        <v/>
      </c>
    </row>
    <row r="619" customFormat="false" ht="15" hidden="false" customHeight="false" outlineLevel="0" collapsed="false">
      <c r="G619" s="20" t="n">
        <f aca="false">IF($D619=0,0,$D619*$E619)</f>
        <v>0</v>
      </c>
      <c r="H619" s="20" t="str">
        <f aca="false">IF($B619="","",CONCATENATE("Örnek kayıt: ",$B619))</f>
        <v/>
      </c>
    </row>
    <row r="620" customFormat="false" ht="15" hidden="false" customHeight="false" outlineLevel="0" collapsed="false">
      <c r="G620" s="20" t="n">
        <f aca="false">IF($D620=0,0,$D620*$E620)</f>
        <v>0</v>
      </c>
      <c r="H620" s="20" t="str">
        <f aca="false">IF($B620="","",CONCATENATE("Örnek kayıt: ",$B620))</f>
        <v/>
      </c>
    </row>
    <row r="621" customFormat="false" ht="15" hidden="false" customHeight="false" outlineLevel="0" collapsed="false">
      <c r="G621" s="20" t="n">
        <f aca="false">IF($D621=0,0,$D621*$E621)</f>
        <v>0</v>
      </c>
      <c r="H621" s="20" t="str">
        <f aca="false">IF($B621="","",CONCATENATE("Örnek kayıt: ",$B621))</f>
        <v/>
      </c>
    </row>
    <row r="622" customFormat="false" ht="15" hidden="false" customHeight="false" outlineLevel="0" collapsed="false">
      <c r="G622" s="20" t="n">
        <f aca="false">IF($D622=0,0,$D622*$E622)</f>
        <v>0</v>
      </c>
      <c r="H622" s="20" t="str">
        <f aca="false">IF($B622="","",CONCATENATE("Örnek kayıt: ",$B622))</f>
        <v/>
      </c>
    </row>
    <row r="623" customFormat="false" ht="15" hidden="false" customHeight="false" outlineLevel="0" collapsed="false">
      <c r="G623" s="20" t="n">
        <f aca="false">IF($D623=0,0,$D623*$E623)</f>
        <v>0</v>
      </c>
      <c r="H623" s="20" t="str">
        <f aca="false">IF($B623="","",CONCATENATE("Örnek kayıt: ",$B623))</f>
        <v/>
      </c>
    </row>
    <row r="624" customFormat="false" ht="15" hidden="false" customHeight="false" outlineLevel="0" collapsed="false">
      <c r="G624" s="20" t="n">
        <f aca="false">IF($D624=0,0,$D624*$E624)</f>
        <v>0</v>
      </c>
      <c r="H624" s="20" t="str">
        <f aca="false">IF($B624="","",CONCATENATE("Örnek kayıt: ",$B624))</f>
        <v/>
      </c>
    </row>
    <row r="625" customFormat="false" ht="15" hidden="false" customHeight="false" outlineLevel="0" collapsed="false">
      <c r="G625" s="20" t="n">
        <f aca="false">IF($D625=0,0,$D625*$E625)</f>
        <v>0</v>
      </c>
      <c r="H625" s="20" t="str">
        <f aca="false">IF($B625="","",CONCATENATE("Örnek kayıt: ",$B625))</f>
        <v/>
      </c>
    </row>
    <row r="626" customFormat="false" ht="15" hidden="false" customHeight="false" outlineLevel="0" collapsed="false">
      <c r="G626" s="20" t="n">
        <f aca="false">IF($D626=0,0,$D626*$E626)</f>
        <v>0</v>
      </c>
      <c r="H626" s="20" t="str">
        <f aca="false">IF($B626="","",CONCATENATE("Örnek kayıt: ",$B626))</f>
        <v/>
      </c>
    </row>
    <row r="627" customFormat="false" ht="15" hidden="false" customHeight="false" outlineLevel="0" collapsed="false">
      <c r="G627" s="20" t="n">
        <f aca="false">IF($D627=0,0,$D627*$E627)</f>
        <v>0</v>
      </c>
      <c r="H627" s="20" t="str">
        <f aca="false">IF($B627="","",CONCATENATE("Örnek kayıt: ",$B627))</f>
        <v/>
      </c>
    </row>
    <row r="628" customFormat="false" ht="15" hidden="false" customHeight="false" outlineLevel="0" collapsed="false">
      <c r="G628" s="20" t="n">
        <f aca="false">IF($D628=0,0,$D628*$E628)</f>
        <v>0</v>
      </c>
      <c r="H628" s="20" t="str">
        <f aca="false">IF($B628="","",CONCATENATE("Örnek kayıt: ",$B628))</f>
        <v/>
      </c>
    </row>
    <row r="629" customFormat="false" ht="15" hidden="false" customHeight="false" outlineLevel="0" collapsed="false">
      <c r="G629" s="20" t="n">
        <f aca="false">IF($D629=0,0,$D629*$E629)</f>
        <v>0</v>
      </c>
      <c r="H629" s="20" t="str">
        <f aca="false">IF($B629="","",CONCATENATE("Örnek kayıt: ",$B629))</f>
        <v/>
      </c>
    </row>
    <row r="630" customFormat="false" ht="15" hidden="false" customHeight="false" outlineLevel="0" collapsed="false">
      <c r="G630" s="20" t="n">
        <f aca="false">IF($D630=0,0,$D630*$E630)</f>
        <v>0</v>
      </c>
      <c r="H630" s="20" t="str">
        <f aca="false">IF($B630="","",CONCATENATE("Örnek kayıt: ",$B630))</f>
        <v/>
      </c>
    </row>
    <row r="631" customFormat="false" ht="15" hidden="false" customHeight="false" outlineLevel="0" collapsed="false">
      <c r="G631" s="20" t="n">
        <f aca="false">IF($D631=0,0,$D631*$E631)</f>
        <v>0</v>
      </c>
      <c r="H631" s="20" t="str">
        <f aca="false">IF($B631="","",CONCATENATE("Örnek kayıt: ",$B631))</f>
        <v/>
      </c>
    </row>
    <row r="632" customFormat="false" ht="15" hidden="false" customHeight="false" outlineLevel="0" collapsed="false">
      <c r="G632" s="20" t="n">
        <f aca="false">IF($D632=0,0,$D632*$E632)</f>
        <v>0</v>
      </c>
      <c r="H632" s="20" t="str">
        <f aca="false">IF($B632="","",CONCATENATE("Örnek kayıt: ",$B632))</f>
        <v/>
      </c>
    </row>
    <row r="633" customFormat="false" ht="15" hidden="false" customHeight="false" outlineLevel="0" collapsed="false">
      <c r="G633" s="20" t="n">
        <f aca="false">IF($D633=0,0,$D633*$E633)</f>
        <v>0</v>
      </c>
      <c r="H633" s="20" t="str">
        <f aca="false">IF($B633="","",CONCATENATE("Örnek kayıt: ",$B633))</f>
        <v/>
      </c>
    </row>
    <row r="634" customFormat="false" ht="15" hidden="false" customHeight="false" outlineLevel="0" collapsed="false">
      <c r="G634" s="20" t="n">
        <f aca="false">IF($D634=0,0,$D634*$E634)</f>
        <v>0</v>
      </c>
      <c r="H634" s="20" t="str">
        <f aca="false">IF($B634="","",CONCATENATE("Örnek kayıt: ",$B634))</f>
        <v/>
      </c>
    </row>
    <row r="635" customFormat="false" ht="15" hidden="false" customHeight="false" outlineLevel="0" collapsed="false">
      <c r="G635" s="20" t="n">
        <f aca="false">IF($D635=0,0,$D635*$E635)</f>
        <v>0</v>
      </c>
      <c r="H635" s="20" t="str">
        <f aca="false">IF($B635="","",CONCATENATE("Örnek kayıt: ",$B635))</f>
        <v/>
      </c>
    </row>
    <row r="636" customFormat="false" ht="15" hidden="false" customHeight="false" outlineLevel="0" collapsed="false">
      <c r="G636" s="20" t="n">
        <f aca="false">IF($D636=0,0,$D636*$E636)</f>
        <v>0</v>
      </c>
      <c r="H636" s="20" t="str">
        <f aca="false">IF($B636="","",CONCATENATE("Örnek kayıt: ",$B636))</f>
        <v/>
      </c>
    </row>
    <row r="637" customFormat="false" ht="15" hidden="false" customHeight="false" outlineLevel="0" collapsed="false">
      <c r="G637" s="20" t="n">
        <f aca="false">IF($D637=0,0,$D637*$E637)</f>
        <v>0</v>
      </c>
      <c r="H637" s="20" t="str">
        <f aca="false">IF($B637="","",CONCATENATE("Örnek kayıt: ",$B637))</f>
        <v/>
      </c>
    </row>
    <row r="638" customFormat="false" ht="15" hidden="false" customHeight="false" outlineLevel="0" collapsed="false">
      <c r="G638" s="20" t="n">
        <f aca="false">IF($D638=0,0,$D638*$E638)</f>
        <v>0</v>
      </c>
      <c r="H638" s="20" t="str">
        <f aca="false">IF($B638="","",CONCATENATE("Örnek kayıt: ",$B638))</f>
        <v/>
      </c>
    </row>
    <row r="639" customFormat="false" ht="15" hidden="false" customHeight="false" outlineLevel="0" collapsed="false">
      <c r="G639" s="20" t="n">
        <f aca="false">IF($D639=0,0,$D639*$E639)</f>
        <v>0</v>
      </c>
      <c r="H639" s="20" t="str">
        <f aca="false">IF($B639="","",CONCATENATE("Örnek kayıt: ",$B639))</f>
        <v/>
      </c>
    </row>
    <row r="640" customFormat="false" ht="15" hidden="false" customHeight="false" outlineLevel="0" collapsed="false">
      <c r="G640" s="20" t="n">
        <f aca="false">IF($D640=0,0,$D640*$E640)</f>
        <v>0</v>
      </c>
      <c r="H640" s="20" t="str">
        <f aca="false">IF($B640="","",CONCATENATE("Örnek kayıt: ",$B640))</f>
        <v/>
      </c>
    </row>
    <row r="641" customFormat="false" ht="15" hidden="false" customHeight="false" outlineLevel="0" collapsed="false">
      <c r="G641" s="20" t="n">
        <f aca="false">IF($D641=0,0,$D641*$E641)</f>
        <v>0</v>
      </c>
      <c r="H641" s="20" t="str">
        <f aca="false">IF($B641="","",CONCATENATE("Örnek kayıt: ",$B641))</f>
        <v/>
      </c>
    </row>
    <row r="642" customFormat="false" ht="15" hidden="false" customHeight="false" outlineLevel="0" collapsed="false">
      <c r="G642" s="20" t="n">
        <f aca="false">IF($D642=0,0,$D642*$E642)</f>
        <v>0</v>
      </c>
      <c r="H642" s="20" t="str">
        <f aca="false">IF($B642="","",CONCATENATE("Örnek kayıt: ",$B642))</f>
        <v/>
      </c>
    </row>
    <row r="643" customFormat="false" ht="15" hidden="false" customHeight="false" outlineLevel="0" collapsed="false">
      <c r="G643" s="20" t="n">
        <f aca="false">IF($D643=0,0,$D643*$E643)</f>
        <v>0</v>
      </c>
      <c r="H643" s="20" t="str">
        <f aca="false">IF($B643="","",CONCATENATE("Örnek kayıt: ",$B643))</f>
        <v/>
      </c>
    </row>
    <row r="644" customFormat="false" ht="15" hidden="false" customHeight="false" outlineLevel="0" collapsed="false">
      <c r="G644" s="20" t="n">
        <f aca="false">IF($D644=0,0,$D644*$E644)</f>
        <v>0</v>
      </c>
      <c r="H644" s="20" t="str">
        <f aca="false">IF($B644="","",CONCATENATE("Örnek kayıt: ",$B644))</f>
        <v/>
      </c>
    </row>
    <row r="645" customFormat="false" ht="15" hidden="false" customHeight="false" outlineLevel="0" collapsed="false">
      <c r="G645" s="20" t="n">
        <f aca="false">IF($D645=0,0,$D645*$E645)</f>
        <v>0</v>
      </c>
      <c r="H645" s="20" t="str">
        <f aca="false">IF($B645="","",CONCATENATE("Örnek kayıt: ",$B645))</f>
        <v/>
      </c>
    </row>
    <row r="646" customFormat="false" ht="15" hidden="false" customHeight="false" outlineLevel="0" collapsed="false">
      <c r="G646" s="20" t="n">
        <f aca="false">IF($D646=0,0,$D646*$E646)</f>
        <v>0</v>
      </c>
      <c r="H646" s="20" t="str">
        <f aca="false">IF($B646="","",CONCATENATE("Örnek kayıt: ",$B646))</f>
        <v/>
      </c>
    </row>
    <row r="647" customFormat="false" ht="15" hidden="false" customHeight="false" outlineLevel="0" collapsed="false">
      <c r="G647" s="20" t="n">
        <f aca="false">IF($D647=0,0,$D647*$E647)</f>
        <v>0</v>
      </c>
      <c r="H647" s="20" t="str">
        <f aca="false">IF($B647="","",CONCATENATE("Örnek kayıt: ",$B647))</f>
        <v/>
      </c>
    </row>
    <row r="648" customFormat="false" ht="15" hidden="false" customHeight="false" outlineLevel="0" collapsed="false">
      <c r="G648" s="20" t="n">
        <f aca="false">IF($D648=0,0,$D648*$E648)</f>
        <v>0</v>
      </c>
      <c r="H648" s="20" t="str">
        <f aca="false">IF($B648="","",CONCATENATE("Örnek kayıt: ",$B648))</f>
        <v/>
      </c>
    </row>
    <row r="649" customFormat="false" ht="15" hidden="false" customHeight="false" outlineLevel="0" collapsed="false">
      <c r="G649" s="20" t="n">
        <f aca="false">IF($D649=0,0,$D649*$E649)</f>
        <v>0</v>
      </c>
      <c r="H649" s="20" t="str">
        <f aca="false">IF($B649="","",CONCATENATE("Örnek kayıt: ",$B649))</f>
        <v/>
      </c>
    </row>
    <row r="650" customFormat="false" ht="15" hidden="false" customHeight="false" outlineLevel="0" collapsed="false">
      <c r="G650" s="20" t="n">
        <f aca="false">IF($D650=0,0,$D650*$E650)</f>
        <v>0</v>
      </c>
      <c r="H650" s="20" t="str">
        <f aca="false">IF($B650="","",CONCATENATE("Örnek kayıt: ",$B650))</f>
        <v/>
      </c>
    </row>
    <row r="651" customFormat="false" ht="15" hidden="false" customHeight="false" outlineLevel="0" collapsed="false">
      <c r="G651" s="20" t="n">
        <f aca="false">IF($D651=0,0,$D651*$E651)</f>
        <v>0</v>
      </c>
      <c r="H651" s="20" t="str">
        <f aca="false">IF($B651="","",CONCATENATE("Örnek kayıt: ",$B651))</f>
        <v/>
      </c>
    </row>
    <row r="652" customFormat="false" ht="15" hidden="false" customHeight="false" outlineLevel="0" collapsed="false">
      <c r="G652" s="20" t="n">
        <f aca="false">IF($D652=0,0,$D652*$E652)</f>
        <v>0</v>
      </c>
      <c r="H652" s="20" t="str">
        <f aca="false">IF($B652="","",CONCATENATE("Örnek kayıt: ",$B652))</f>
        <v/>
      </c>
    </row>
    <row r="653" customFormat="false" ht="15" hidden="false" customHeight="false" outlineLevel="0" collapsed="false">
      <c r="G653" s="20" t="n">
        <f aca="false">IF($D653=0,0,$D653*$E653)</f>
        <v>0</v>
      </c>
      <c r="H653" s="20" t="str">
        <f aca="false">IF($B653="","",CONCATENATE("Örnek kayıt: ",$B653))</f>
        <v/>
      </c>
    </row>
    <row r="654" customFormat="false" ht="15" hidden="false" customHeight="false" outlineLevel="0" collapsed="false">
      <c r="G654" s="20" t="n">
        <f aca="false">IF($D654=0,0,$D654*$E654)</f>
        <v>0</v>
      </c>
      <c r="H654" s="20" t="str">
        <f aca="false">IF($B654="","",CONCATENATE("Örnek kayıt: ",$B654))</f>
        <v/>
      </c>
    </row>
    <row r="655" customFormat="false" ht="15" hidden="false" customHeight="false" outlineLevel="0" collapsed="false">
      <c r="G655" s="20" t="n">
        <f aca="false">IF($D655=0,0,$D655*$E655)</f>
        <v>0</v>
      </c>
      <c r="H655" s="20" t="str">
        <f aca="false">IF($B655="","",CONCATENATE("Örnek kayıt: ",$B655))</f>
        <v/>
      </c>
    </row>
    <row r="656" customFormat="false" ht="15" hidden="false" customHeight="false" outlineLevel="0" collapsed="false">
      <c r="G656" s="20" t="n">
        <f aca="false">IF($D656=0,0,$D656*$E656)</f>
        <v>0</v>
      </c>
      <c r="H656" s="20" t="str">
        <f aca="false">IF($B656="","",CONCATENATE("Örnek kayıt: ",$B656))</f>
        <v/>
      </c>
    </row>
    <row r="657" customFormat="false" ht="15" hidden="false" customHeight="false" outlineLevel="0" collapsed="false">
      <c r="G657" s="20" t="n">
        <f aca="false">IF($D657=0,0,$D657*$E657)</f>
        <v>0</v>
      </c>
      <c r="H657" s="20" t="str">
        <f aca="false">IF($B657="","",CONCATENATE("Örnek kayıt: ",$B657))</f>
        <v/>
      </c>
    </row>
    <row r="658" customFormat="false" ht="15" hidden="false" customHeight="false" outlineLevel="0" collapsed="false">
      <c r="G658" s="20" t="n">
        <f aca="false">IF($D658=0,0,$D658*$E658)</f>
        <v>0</v>
      </c>
      <c r="H658" s="20" t="str">
        <f aca="false">IF($B658="","",CONCATENATE("Örnek kayıt: ",$B658))</f>
        <v/>
      </c>
    </row>
    <row r="659" customFormat="false" ht="15" hidden="false" customHeight="false" outlineLevel="0" collapsed="false">
      <c r="G659" s="20" t="n">
        <f aca="false">IF($D659=0,0,$D659*$E659)</f>
        <v>0</v>
      </c>
      <c r="H659" s="20" t="str">
        <f aca="false">IF($B659="","",CONCATENATE("Örnek kayıt: ",$B659))</f>
        <v/>
      </c>
    </row>
    <row r="660" customFormat="false" ht="15" hidden="false" customHeight="false" outlineLevel="0" collapsed="false">
      <c r="G660" s="20" t="n">
        <f aca="false">IF($D660=0,0,$D660*$E660)</f>
        <v>0</v>
      </c>
      <c r="H660" s="20" t="str">
        <f aca="false">IF($B660="","",CONCATENATE("Örnek kayıt: ",$B660))</f>
        <v/>
      </c>
    </row>
    <row r="661" customFormat="false" ht="15" hidden="false" customHeight="false" outlineLevel="0" collapsed="false">
      <c r="G661" s="20" t="n">
        <f aca="false">IF($D661=0,0,$D661*$E661)</f>
        <v>0</v>
      </c>
      <c r="H661" s="20" t="str">
        <f aca="false">IF($B661="","",CONCATENATE("Örnek kayıt: ",$B661))</f>
        <v/>
      </c>
    </row>
    <row r="662" customFormat="false" ht="15" hidden="false" customHeight="false" outlineLevel="0" collapsed="false">
      <c r="G662" s="20" t="n">
        <f aca="false">IF($D662=0,0,$D662*$E662)</f>
        <v>0</v>
      </c>
      <c r="H662" s="20" t="str">
        <f aca="false">IF($B662="","",CONCATENATE("Örnek kayıt: ",$B662))</f>
        <v/>
      </c>
    </row>
    <row r="663" customFormat="false" ht="15" hidden="false" customHeight="false" outlineLevel="0" collapsed="false">
      <c r="G663" s="20" t="n">
        <f aca="false">IF($D663=0,0,$D663*$E663)</f>
        <v>0</v>
      </c>
      <c r="H663" s="20" t="str">
        <f aca="false">IF($B663="","",CONCATENATE("Örnek kayıt: ",$B663))</f>
        <v/>
      </c>
    </row>
    <row r="664" customFormat="false" ht="15" hidden="false" customHeight="false" outlineLevel="0" collapsed="false">
      <c r="G664" s="20" t="n">
        <f aca="false">IF($D664=0,0,$D664*$E664)</f>
        <v>0</v>
      </c>
      <c r="H664" s="20" t="str">
        <f aca="false">IF($B664="","",CONCATENATE("Örnek kayıt: ",$B664))</f>
        <v/>
      </c>
    </row>
    <row r="665" customFormat="false" ht="15" hidden="false" customHeight="false" outlineLevel="0" collapsed="false">
      <c r="G665" s="20" t="n">
        <f aca="false">IF($D665=0,0,$D665*$E665)</f>
        <v>0</v>
      </c>
      <c r="H665" s="20" t="str">
        <f aca="false">IF($B665="","",CONCATENATE("Örnek kayıt: ",$B665))</f>
        <v/>
      </c>
    </row>
    <row r="666" customFormat="false" ht="15" hidden="false" customHeight="false" outlineLevel="0" collapsed="false">
      <c r="G666" s="20" t="n">
        <f aca="false">IF($D666=0,0,$D666*$E666)</f>
        <v>0</v>
      </c>
      <c r="H666" s="20" t="str">
        <f aca="false">IF($B666="","",CONCATENATE("Örnek kayıt: ",$B666))</f>
        <v/>
      </c>
    </row>
    <row r="667" customFormat="false" ht="15" hidden="false" customHeight="false" outlineLevel="0" collapsed="false">
      <c r="G667" s="20" t="n">
        <f aca="false">IF($D667=0,0,$D667*$E667)</f>
        <v>0</v>
      </c>
      <c r="H667" s="20" t="str">
        <f aca="false">IF($B667="","",CONCATENATE("Örnek kayıt: ",$B667))</f>
        <v/>
      </c>
    </row>
    <row r="668" customFormat="false" ht="15" hidden="false" customHeight="false" outlineLevel="0" collapsed="false">
      <c r="G668" s="20" t="n">
        <f aca="false">IF($D668=0,0,$D668*$E668)</f>
        <v>0</v>
      </c>
      <c r="H668" s="20" t="str">
        <f aca="false">IF($B668="","",CONCATENATE("Örnek kayıt: ",$B668))</f>
        <v/>
      </c>
    </row>
    <row r="669" customFormat="false" ht="15" hidden="false" customHeight="false" outlineLevel="0" collapsed="false">
      <c r="G669" s="20" t="n">
        <f aca="false">IF($D669=0,0,$D669*$E669)</f>
        <v>0</v>
      </c>
      <c r="H669" s="20" t="str">
        <f aca="false">IF($B669="","",CONCATENATE("Örnek kayıt: ",$B669))</f>
        <v/>
      </c>
    </row>
    <row r="670" customFormat="false" ht="15" hidden="false" customHeight="false" outlineLevel="0" collapsed="false">
      <c r="G670" s="20" t="n">
        <f aca="false">IF($D670=0,0,$D670*$E670)</f>
        <v>0</v>
      </c>
      <c r="H670" s="20" t="str">
        <f aca="false">IF($B670="","",CONCATENATE("Örnek kayıt: ",$B670))</f>
        <v/>
      </c>
    </row>
    <row r="671" customFormat="false" ht="15" hidden="false" customHeight="false" outlineLevel="0" collapsed="false">
      <c r="G671" s="20" t="n">
        <f aca="false">IF($D671=0,0,$D671*$E671)</f>
        <v>0</v>
      </c>
      <c r="H671" s="20" t="str">
        <f aca="false">IF($B671="","",CONCATENATE("Örnek kayıt: ",$B671))</f>
        <v/>
      </c>
    </row>
    <row r="672" customFormat="false" ht="15" hidden="false" customHeight="false" outlineLevel="0" collapsed="false">
      <c r="G672" s="20" t="n">
        <f aca="false">IF($D672=0,0,$D672*$E672)</f>
        <v>0</v>
      </c>
      <c r="H672" s="20" t="str">
        <f aca="false">IF($B672="","",CONCATENATE("Örnek kayıt: ",$B672))</f>
        <v/>
      </c>
    </row>
    <row r="673" customFormat="false" ht="15" hidden="false" customHeight="false" outlineLevel="0" collapsed="false">
      <c r="G673" s="20" t="n">
        <f aca="false">IF($D673=0,0,$D673*$E673)</f>
        <v>0</v>
      </c>
      <c r="H673" s="20" t="str">
        <f aca="false">IF($B673="","",CONCATENATE("Örnek kayıt: ",$B673))</f>
        <v/>
      </c>
    </row>
    <row r="674" customFormat="false" ht="15" hidden="false" customHeight="false" outlineLevel="0" collapsed="false">
      <c r="G674" s="20" t="n">
        <f aca="false">IF($D674=0,0,$D674*$E674)</f>
        <v>0</v>
      </c>
      <c r="H674" s="20" t="str">
        <f aca="false">IF($B674="","",CONCATENATE("Örnek kayıt: ",$B674))</f>
        <v/>
      </c>
    </row>
    <row r="675" customFormat="false" ht="15" hidden="false" customHeight="false" outlineLevel="0" collapsed="false">
      <c r="G675" s="20" t="n">
        <f aca="false">IF($D675=0,0,$D675*$E675)</f>
        <v>0</v>
      </c>
      <c r="H675" s="20" t="str">
        <f aca="false">IF($B675="","",CONCATENATE("Örnek kayıt: ",$B675))</f>
        <v/>
      </c>
    </row>
    <row r="676" customFormat="false" ht="15" hidden="false" customHeight="false" outlineLevel="0" collapsed="false">
      <c r="G676" s="20" t="n">
        <f aca="false">IF($D676=0,0,$D676*$E676)</f>
        <v>0</v>
      </c>
      <c r="H676" s="20" t="str">
        <f aca="false">IF($B676="","",CONCATENATE("Örnek kayıt: ",$B676))</f>
        <v/>
      </c>
    </row>
    <row r="677" customFormat="false" ht="15" hidden="false" customHeight="false" outlineLevel="0" collapsed="false">
      <c r="G677" s="20" t="n">
        <f aca="false">IF($D677=0,0,$D677*$E677)</f>
        <v>0</v>
      </c>
      <c r="H677" s="20" t="str">
        <f aca="false">IF($B677="","",CONCATENATE("Örnek kayıt: ",$B677))</f>
        <v/>
      </c>
    </row>
    <row r="678" customFormat="false" ht="15" hidden="false" customHeight="false" outlineLevel="0" collapsed="false">
      <c r="G678" s="20" t="n">
        <f aca="false">IF($D678=0,0,$D678*$E678)</f>
        <v>0</v>
      </c>
      <c r="H678" s="20" t="str">
        <f aca="false">IF($B678="","",CONCATENATE("Örnek kayıt: ",$B678))</f>
        <v/>
      </c>
    </row>
    <row r="679" customFormat="false" ht="15" hidden="false" customHeight="false" outlineLevel="0" collapsed="false">
      <c r="G679" s="20" t="n">
        <f aca="false">IF($D679=0,0,$D679*$E679)</f>
        <v>0</v>
      </c>
      <c r="H679" s="20" t="str">
        <f aca="false">IF($B679="","",CONCATENATE("Örnek kayıt: ",$B679))</f>
        <v/>
      </c>
    </row>
    <row r="680" customFormat="false" ht="15" hidden="false" customHeight="false" outlineLevel="0" collapsed="false">
      <c r="G680" s="20" t="n">
        <f aca="false">IF($D680=0,0,$D680*$E680)</f>
        <v>0</v>
      </c>
      <c r="H680" s="20" t="str">
        <f aca="false">IF($B680="","",CONCATENATE("Örnek kayıt: ",$B680))</f>
        <v/>
      </c>
    </row>
    <row r="681" customFormat="false" ht="15" hidden="false" customHeight="false" outlineLevel="0" collapsed="false">
      <c r="G681" s="20" t="n">
        <f aca="false">IF($D681=0,0,$D681*$E681)</f>
        <v>0</v>
      </c>
      <c r="H681" s="20" t="str">
        <f aca="false">IF($B681="","",CONCATENATE("Örnek kayıt: ",$B681))</f>
        <v/>
      </c>
    </row>
    <row r="682" customFormat="false" ht="15" hidden="false" customHeight="false" outlineLevel="0" collapsed="false">
      <c r="G682" s="20" t="n">
        <f aca="false">IF($D682=0,0,$D682*$E682)</f>
        <v>0</v>
      </c>
      <c r="H682" s="20" t="str">
        <f aca="false">IF($B682="","",CONCATENATE("Örnek kayıt: ",$B682))</f>
        <v/>
      </c>
    </row>
    <row r="683" customFormat="false" ht="15" hidden="false" customHeight="false" outlineLevel="0" collapsed="false">
      <c r="G683" s="20" t="n">
        <f aca="false">IF($D683=0,0,$D683*$E683)</f>
        <v>0</v>
      </c>
      <c r="H683" s="20" t="str">
        <f aca="false">IF($B683="","",CONCATENATE("Örnek kayıt: ",$B683))</f>
        <v/>
      </c>
    </row>
    <row r="684" customFormat="false" ht="15" hidden="false" customHeight="false" outlineLevel="0" collapsed="false">
      <c r="G684" s="20" t="n">
        <f aca="false">IF($D684=0,0,$D684*$E684)</f>
        <v>0</v>
      </c>
      <c r="H684" s="20" t="str">
        <f aca="false">IF($B684="","",CONCATENATE("Örnek kayıt: ",$B684))</f>
        <v/>
      </c>
    </row>
    <row r="685" customFormat="false" ht="15" hidden="false" customHeight="false" outlineLevel="0" collapsed="false">
      <c r="G685" s="20" t="n">
        <f aca="false">IF($D685=0,0,$D685*$E685)</f>
        <v>0</v>
      </c>
      <c r="H685" s="20" t="str">
        <f aca="false">IF($B685="","",CONCATENATE("Örnek kayıt: ",$B685))</f>
        <v/>
      </c>
    </row>
    <row r="686" customFormat="false" ht="15" hidden="false" customHeight="false" outlineLevel="0" collapsed="false">
      <c r="G686" s="20" t="n">
        <f aca="false">IF($D686=0,0,$D686*$E686)</f>
        <v>0</v>
      </c>
      <c r="H686" s="20" t="str">
        <f aca="false">IF($B686="","",CONCATENATE("Örnek kayıt: ",$B686))</f>
        <v/>
      </c>
    </row>
    <row r="687" customFormat="false" ht="15" hidden="false" customHeight="false" outlineLevel="0" collapsed="false">
      <c r="G687" s="20" t="n">
        <f aca="false">IF($D687=0,0,$D687*$E687)</f>
        <v>0</v>
      </c>
      <c r="H687" s="20" t="str">
        <f aca="false">IF($B687="","",CONCATENATE("Örnek kayıt: ",$B687))</f>
        <v/>
      </c>
    </row>
    <row r="688" customFormat="false" ht="15" hidden="false" customHeight="false" outlineLevel="0" collapsed="false">
      <c r="G688" s="20" t="n">
        <f aca="false">IF($D688=0,0,$D688*$E688)</f>
        <v>0</v>
      </c>
      <c r="H688" s="20" t="str">
        <f aca="false">IF($B688="","",CONCATENATE("Örnek kayıt: ",$B688))</f>
        <v/>
      </c>
    </row>
    <row r="689" customFormat="false" ht="15" hidden="false" customHeight="false" outlineLevel="0" collapsed="false">
      <c r="G689" s="20" t="n">
        <f aca="false">IF($D689=0,0,$D689*$E689)</f>
        <v>0</v>
      </c>
      <c r="H689" s="20" t="str">
        <f aca="false">IF($B689="","",CONCATENATE("Örnek kayıt: ",$B689))</f>
        <v/>
      </c>
    </row>
    <row r="690" customFormat="false" ht="15" hidden="false" customHeight="false" outlineLevel="0" collapsed="false">
      <c r="G690" s="20" t="n">
        <f aca="false">IF($D690=0,0,$D690*$E690)</f>
        <v>0</v>
      </c>
      <c r="H690" s="20" t="str">
        <f aca="false">IF($B690="","",CONCATENATE("Örnek kayıt: ",$B690))</f>
        <v/>
      </c>
    </row>
    <row r="691" customFormat="false" ht="15" hidden="false" customHeight="false" outlineLevel="0" collapsed="false">
      <c r="G691" s="20" t="n">
        <f aca="false">IF($D691=0,0,$D691*$E691)</f>
        <v>0</v>
      </c>
      <c r="H691" s="20" t="str">
        <f aca="false">IF($B691="","",CONCATENATE("Örnek kayıt: ",$B691))</f>
        <v/>
      </c>
    </row>
    <row r="692" customFormat="false" ht="15" hidden="false" customHeight="false" outlineLevel="0" collapsed="false">
      <c r="G692" s="20" t="n">
        <f aca="false">IF($D692=0,0,$D692*$E692)</f>
        <v>0</v>
      </c>
      <c r="H692" s="20" t="str">
        <f aca="false">IF($B692="","",CONCATENATE("Örnek kayıt: ",$B692))</f>
        <v/>
      </c>
    </row>
    <row r="693" customFormat="false" ht="15" hidden="false" customHeight="false" outlineLevel="0" collapsed="false">
      <c r="G693" s="20" t="n">
        <f aca="false">IF($D693=0,0,$D693*$E693)</f>
        <v>0</v>
      </c>
      <c r="H693" s="20" t="str">
        <f aca="false">IF($B693="","",CONCATENATE("Örnek kayıt: ",$B693))</f>
        <v/>
      </c>
    </row>
    <row r="694" customFormat="false" ht="15" hidden="false" customHeight="false" outlineLevel="0" collapsed="false">
      <c r="G694" s="20" t="n">
        <f aca="false">IF($D694=0,0,$D694*$E694)</f>
        <v>0</v>
      </c>
      <c r="H694" s="20" t="str">
        <f aca="false">IF($B694="","",CONCATENATE("Örnek kayıt: ",$B694))</f>
        <v/>
      </c>
    </row>
    <row r="695" customFormat="false" ht="15" hidden="false" customHeight="false" outlineLevel="0" collapsed="false">
      <c r="G695" s="20" t="n">
        <f aca="false">IF($D695=0,0,$D695*$E695)</f>
        <v>0</v>
      </c>
      <c r="H695" s="20" t="str">
        <f aca="false">IF($B695="","",CONCATENATE("Örnek kayıt: ",$B695))</f>
        <v/>
      </c>
    </row>
    <row r="696" customFormat="false" ht="15" hidden="false" customHeight="false" outlineLevel="0" collapsed="false">
      <c r="G696" s="20" t="n">
        <f aca="false">IF($D696=0,0,$D696*$E696)</f>
        <v>0</v>
      </c>
      <c r="H696" s="20" t="str">
        <f aca="false">IF($B696="","",CONCATENATE("Örnek kayıt: ",$B696))</f>
        <v/>
      </c>
    </row>
    <row r="697" customFormat="false" ht="15" hidden="false" customHeight="false" outlineLevel="0" collapsed="false">
      <c r="G697" s="20" t="n">
        <f aca="false">IF($D697=0,0,$D697*$E697)</f>
        <v>0</v>
      </c>
      <c r="H697" s="20" t="str">
        <f aca="false">IF($B697="","",CONCATENATE("Örnek kayıt: ",$B697))</f>
        <v/>
      </c>
    </row>
    <row r="698" customFormat="false" ht="15" hidden="false" customHeight="false" outlineLevel="0" collapsed="false">
      <c r="G698" s="20" t="n">
        <f aca="false">IF($D698=0,0,$D698*$E698)</f>
        <v>0</v>
      </c>
      <c r="H698" s="20" t="str">
        <f aca="false">IF($B698="","",CONCATENATE("Örnek kayıt: ",$B698))</f>
        <v/>
      </c>
    </row>
    <row r="699" customFormat="false" ht="15" hidden="false" customHeight="false" outlineLevel="0" collapsed="false">
      <c r="G699" s="20" t="n">
        <f aca="false">IF($D699=0,0,$D699*$E699)</f>
        <v>0</v>
      </c>
      <c r="H699" s="20" t="str">
        <f aca="false">IF($B699="","",CONCATENATE("Örnek kayıt: ",$B699))</f>
        <v/>
      </c>
    </row>
    <row r="700" customFormat="false" ht="15" hidden="false" customHeight="false" outlineLevel="0" collapsed="false">
      <c r="G700" s="20" t="n">
        <f aca="false">IF($D700=0,0,$D700*$E700)</f>
        <v>0</v>
      </c>
      <c r="H700" s="20" t="str">
        <f aca="false">IF($B700="","",CONCATENATE("Örnek kayıt: ",$B700))</f>
        <v/>
      </c>
    </row>
    <row r="701" customFormat="false" ht="15" hidden="false" customHeight="false" outlineLevel="0" collapsed="false">
      <c r="G701" s="20" t="n">
        <f aca="false">IF($D701=0,0,$D701*$E701)</f>
        <v>0</v>
      </c>
      <c r="H701" s="20" t="str">
        <f aca="false">IF($B701="","",CONCATENATE("Örnek kayıt: ",$B701))</f>
        <v/>
      </c>
    </row>
    <row r="702" customFormat="false" ht="15" hidden="false" customHeight="false" outlineLevel="0" collapsed="false">
      <c r="G702" s="20" t="n">
        <f aca="false">IF($D702=0,0,$D702*$E702)</f>
        <v>0</v>
      </c>
      <c r="H702" s="20" t="str">
        <f aca="false">IF($B702="","",CONCATENATE("Örnek kayıt: ",$B702))</f>
        <v/>
      </c>
    </row>
    <row r="703" customFormat="false" ht="15" hidden="false" customHeight="false" outlineLevel="0" collapsed="false">
      <c r="G703" s="20" t="n">
        <f aca="false">IF($D703=0,0,$D703*$E703)</f>
        <v>0</v>
      </c>
      <c r="H703" s="20" t="str">
        <f aca="false">IF($B703="","",CONCATENATE("Örnek kayıt: ",$B703))</f>
        <v/>
      </c>
    </row>
    <row r="704" customFormat="false" ht="15" hidden="false" customHeight="false" outlineLevel="0" collapsed="false">
      <c r="G704" s="20" t="n">
        <f aca="false">IF($D704=0,0,$D704*$E704)</f>
        <v>0</v>
      </c>
      <c r="H704" s="20" t="str">
        <f aca="false">IF($B704="","",CONCATENATE("Örnek kayıt: ",$B704))</f>
        <v/>
      </c>
    </row>
    <row r="705" customFormat="false" ht="15" hidden="false" customHeight="false" outlineLevel="0" collapsed="false">
      <c r="G705" s="20" t="n">
        <f aca="false">IF($D705=0,0,$D705*$E705)</f>
        <v>0</v>
      </c>
      <c r="H705" s="20" t="str">
        <f aca="false">IF($B705="","",CONCATENATE("Örnek kayıt: ",$B705))</f>
        <v/>
      </c>
    </row>
    <row r="706" customFormat="false" ht="15" hidden="false" customHeight="false" outlineLevel="0" collapsed="false">
      <c r="G706" s="20" t="n">
        <f aca="false">IF($D706=0,0,$D706*$E706)</f>
        <v>0</v>
      </c>
      <c r="H706" s="20" t="str">
        <f aca="false">IF($B706="","",CONCATENATE("Örnek kayıt: ",$B706))</f>
        <v/>
      </c>
    </row>
    <row r="707" customFormat="false" ht="15" hidden="false" customHeight="false" outlineLevel="0" collapsed="false">
      <c r="G707" s="20" t="n">
        <f aca="false">IF($D707=0,0,$D707*$E707)</f>
        <v>0</v>
      </c>
      <c r="H707" s="20" t="str">
        <f aca="false">IF($B707="","",CONCATENATE("Örnek kayıt: ",$B707))</f>
        <v/>
      </c>
    </row>
    <row r="708" customFormat="false" ht="15" hidden="false" customHeight="false" outlineLevel="0" collapsed="false">
      <c r="G708" s="20" t="n">
        <f aca="false">IF($D708=0,0,$D708*$E708)</f>
        <v>0</v>
      </c>
      <c r="H708" s="20" t="str">
        <f aca="false">IF($B708="","",CONCATENATE("Örnek kayıt: ",$B708))</f>
        <v/>
      </c>
    </row>
    <row r="709" customFormat="false" ht="15" hidden="false" customHeight="false" outlineLevel="0" collapsed="false">
      <c r="G709" s="20" t="n">
        <f aca="false">IF($D709=0,0,$D709*$E709)</f>
        <v>0</v>
      </c>
      <c r="H709" s="20" t="str">
        <f aca="false">IF($B709="","",CONCATENATE("Örnek kayıt: ",$B709))</f>
        <v/>
      </c>
    </row>
    <row r="710" customFormat="false" ht="15" hidden="false" customHeight="false" outlineLevel="0" collapsed="false">
      <c r="G710" s="20" t="n">
        <f aca="false">IF($D710=0,0,$D710*$E710)</f>
        <v>0</v>
      </c>
      <c r="H710" s="20" t="str">
        <f aca="false">IF($B710="","",CONCATENATE("Örnek kayıt: ",$B710))</f>
        <v/>
      </c>
    </row>
    <row r="711" customFormat="false" ht="15" hidden="false" customHeight="false" outlineLevel="0" collapsed="false">
      <c r="G711" s="20" t="n">
        <f aca="false">IF($D711=0,0,$D711*$E711)</f>
        <v>0</v>
      </c>
      <c r="H711" s="20" t="str">
        <f aca="false">IF($B711="","",CONCATENATE("Örnek kayıt: ",$B711))</f>
        <v/>
      </c>
    </row>
    <row r="712" customFormat="false" ht="15" hidden="false" customHeight="false" outlineLevel="0" collapsed="false">
      <c r="G712" s="20" t="n">
        <f aca="false">IF($D712=0,0,$D712*$E712)</f>
        <v>0</v>
      </c>
      <c r="H712" s="20" t="str">
        <f aca="false">IF($B712="","",CONCATENATE("Örnek kayıt: ",$B712))</f>
        <v/>
      </c>
    </row>
    <row r="713" customFormat="false" ht="15" hidden="false" customHeight="false" outlineLevel="0" collapsed="false">
      <c r="G713" s="20" t="n">
        <f aca="false">IF($D713=0,0,$D713*$E713)</f>
        <v>0</v>
      </c>
      <c r="H713" s="20" t="str">
        <f aca="false">IF($B713="","",CONCATENATE("Örnek kayıt: ",$B713))</f>
        <v/>
      </c>
    </row>
    <row r="714" customFormat="false" ht="15" hidden="false" customHeight="false" outlineLevel="0" collapsed="false">
      <c r="G714" s="20" t="n">
        <f aca="false">IF($D714=0,0,$D714*$E714)</f>
        <v>0</v>
      </c>
      <c r="H714" s="20" t="str">
        <f aca="false">IF($B714="","",CONCATENATE("Örnek kayıt: ",$B714))</f>
        <v/>
      </c>
    </row>
    <row r="715" customFormat="false" ht="15" hidden="false" customHeight="false" outlineLevel="0" collapsed="false">
      <c r="G715" s="20" t="n">
        <f aca="false">IF($D715=0,0,$D715*$E715)</f>
        <v>0</v>
      </c>
      <c r="H715" s="20" t="str">
        <f aca="false">IF($B715="","",CONCATENATE("Örnek kayıt: ",$B715))</f>
        <v/>
      </c>
    </row>
    <row r="716" customFormat="false" ht="15" hidden="false" customHeight="false" outlineLevel="0" collapsed="false">
      <c r="G716" s="20" t="n">
        <f aca="false">IF($D716=0,0,$D716*$E716)</f>
        <v>0</v>
      </c>
      <c r="H716" s="20" t="str">
        <f aca="false">IF($B716="","",CONCATENATE("Örnek kayıt: ",$B716))</f>
        <v/>
      </c>
    </row>
    <row r="717" customFormat="false" ht="15" hidden="false" customHeight="false" outlineLevel="0" collapsed="false">
      <c r="G717" s="20" t="n">
        <f aca="false">IF($D717=0,0,$D717*$E717)</f>
        <v>0</v>
      </c>
      <c r="H717" s="20" t="str">
        <f aca="false">IF($B717="","",CONCATENATE("Örnek kayıt: ",$B717))</f>
        <v/>
      </c>
    </row>
    <row r="718" customFormat="false" ht="15" hidden="false" customHeight="false" outlineLevel="0" collapsed="false">
      <c r="G718" s="20" t="n">
        <f aca="false">IF($D718=0,0,$D718*$E718)</f>
        <v>0</v>
      </c>
      <c r="H718" s="20" t="str">
        <f aca="false">IF($B718="","",CONCATENATE("Örnek kayıt: ",$B718))</f>
        <v/>
      </c>
    </row>
    <row r="719" customFormat="false" ht="15" hidden="false" customHeight="false" outlineLevel="0" collapsed="false">
      <c r="G719" s="20" t="n">
        <f aca="false">IF($D719=0,0,$D719*$E719)</f>
        <v>0</v>
      </c>
      <c r="H719" s="20" t="str">
        <f aca="false">IF($B719="","",CONCATENATE("Örnek kayıt: ",$B719))</f>
        <v/>
      </c>
    </row>
    <row r="720" customFormat="false" ht="15" hidden="false" customHeight="false" outlineLevel="0" collapsed="false">
      <c r="G720" s="20" t="n">
        <f aca="false">IF($D720=0,0,$D720*$E720)</f>
        <v>0</v>
      </c>
      <c r="H720" s="20" t="str">
        <f aca="false">IF($B720="","",CONCATENATE("Örnek kayıt: ",$B720))</f>
        <v/>
      </c>
    </row>
    <row r="721" customFormat="false" ht="15" hidden="false" customHeight="false" outlineLevel="0" collapsed="false">
      <c r="G721" s="20" t="n">
        <f aca="false">IF($D721=0,0,$D721*$E721)</f>
        <v>0</v>
      </c>
      <c r="H721" s="20" t="str">
        <f aca="false">IF($B721="","",CONCATENATE("Örnek kayıt: ",$B721))</f>
        <v/>
      </c>
    </row>
    <row r="722" customFormat="false" ht="15" hidden="false" customHeight="false" outlineLevel="0" collapsed="false">
      <c r="G722" s="20" t="n">
        <f aca="false">IF($D722=0,0,$D722*$E722)</f>
        <v>0</v>
      </c>
      <c r="H722" s="20" t="str">
        <f aca="false">IF($B722="","",CONCATENATE("Örnek kayıt: ",$B722))</f>
        <v/>
      </c>
    </row>
    <row r="723" customFormat="false" ht="15" hidden="false" customHeight="false" outlineLevel="0" collapsed="false">
      <c r="G723" s="20" t="n">
        <f aca="false">IF($D723=0,0,$D723*$E723)</f>
        <v>0</v>
      </c>
      <c r="H723" s="20" t="str">
        <f aca="false">IF($B723="","",CONCATENATE("Örnek kayıt: ",$B723))</f>
        <v/>
      </c>
    </row>
    <row r="724" customFormat="false" ht="15" hidden="false" customHeight="false" outlineLevel="0" collapsed="false">
      <c r="G724" s="20" t="n">
        <f aca="false">IF($D724=0,0,$D724*$E724)</f>
        <v>0</v>
      </c>
      <c r="H724" s="20" t="str">
        <f aca="false">IF($B724="","",CONCATENATE("Örnek kayıt: ",$B724))</f>
        <v/>
      </c>
    </row>
    <row r="725" customFormat="false" ht="15" hidden="false" customHeight="false" outlineLevel="0" collapsed="false">
      <c r="G725" s="20" t="n">
        <f aca="false">IF($D725=0,0,$D725*$E725)</f>
        <v>0</v>
      </c>
      <c r="H725" s="20" t="str">
        <f aca="false">IF($B725="","",CONCATENATE("Örnek kayıt: ",$B725))</f>
        <v/>
      </c>
    </row>
    <row r="726" customFormat="false" ht="15" hidden="false" customHeight="false" outlineLevel="0" collapsed="false">
      <c r="G726" s="20" t="n">
        <f aca="false">IF($D726=0,0,$D726*$E726)</f>
        <v>0</v>
      </c>
      <c r="H726" s="20" t="str">
        <f aca="false">IF($B726="","",CONCATENATE("Örnek kayıt: ",$B726))</f>
        <v/>
      </c>
    </row>
    <row r="727" customFormat="false" ht="15" hidden="false" customHeight="false" outlineLevel="0" collapsed="false">
      <c r="G727" s="20" t="n">
        <f aca="false">IF($D727=0,0,$D727*$E727)</f>
        <v>0</v>
      </c>
      <c r="H727" s="20" t="str">
        <f aca="false">IF($B727="","",CONCATENATE("Örnek kayıt: ",$B727))</f>
        <v/>
      </c>
    </row>
    <row r="728" customFormat="false" ht="15" hidden="false" customHeight="false" outlineLevel="0" collapsed="false">
      <c r="G728" s="20" t="n">
        <f aca="false">IF($D728=0,0,$D728*$E728)</f>
        <v>0</v>
      </c>
      <c r="H728" s="20" t="str">
        <f aca="false">IF($B728="","",CONCATENATE("Örnek kayıt: ",$B728))</f>
        <v/>
      </c>
    </row>
    <row r="729" customFormat="false" ht="15" hidden="false" customHeight="false" outlineLevel="0" collapsed="false">
      <c r="G729" s="20" t="n">
        <f aca="false">IF($D729=0,0,$D729*$E729)</f>
        <v>0</v>
      </c>
      <c r="H729" s="20" t="str">
        <f aca="false">IF($B729="","",CONCATENATE("Örnek kayıt: ",$B729))</f>
        <v/>
      </c>
    </row>
    <row r="730" customFormat="false" ht="15" hidden="false" customHeight="false" outlineLevel="0" collapsed="false">
      <c r="G730" s="20" t="n">
        <f aca="false">IF($D730=0,0,$D730*$E730)</f>
        <v>0</v>
      </c>
      <c r="H730" s="20" t="str">
        <f aca="false">IF($B730="","",CONCATENATE("Örnek kayıt: ",$B730))</f>
        <v/>
      </c>
    </row>
    <row r="731" customFormat="false" ht="15" hidden="false" customHeight="false" outlineLevel="0" collapsed="false">
      <c r="G731" s="20" t="n">
        <f aca="false">IF($D731=0,0,$D731*$E731)</f>
        <v>0</v>
      </c>
      <c r="H731" s="20" t="str">
        <f aca="false">IF($B731="","",CONCATENATE("Örnek kayıt: ",$B731))</f>
        <v/>
      </c>
    </row>
    <row r="732" customFormat="false" ht="15" hidden="false" customHeight="false" outlineLevel="0" collapsed="false">
      <c r="G732" s="20" t="n">
        <f aca="false">IF($D732=0,0,$D732*$E732)</f>
        <v>0</v>
      </c>
      <c r="H732" s="20" t="str">
        <f aca="false">IF($B732="","",CONCATENATE("Örnek kayıt: ",$B732))</f>
        <v/>
      </c>
    </row>
    <row r="733" customFormat="false" ht="15" hidden="false" customHeight="false" outlineLevel="0" collapsed="false">
      <c r="G733" s="20" t="n">
        <f aca="false">IF($D733=0,0,$D733*$E733)</f>
        <v>0</v>
      </c>
      <c r="H733" s="20" t="str">
        <f aca="false">IF($B733="","",CONCATENATE("Örnek kayıt: ",$B733))</f>
        <v/>
      </c>
    </row>
    <row r="734" customFormat="false" ht="15" hidden="false" customHeight="false" outlineLevel="0" collapsed="false">
      <c r="G734" s="20" t="n">
        <f aca="false">IF($D734=0,0,$D734*$E734)</f>
        <v>0</v>
      </c>
      <c r="H734" s="20" t="str">
        <f aca="false">IF($B734="","",CONCATENATE("Örnek kayıt: ",$B734))</f>
        <v/>
      </c>
    </row>
    <row r="735" customFormat="false" ht="15" hidden="false" customHeight="false" outlineLevel="0" collapsed="false">
      <c r="G735" s="20" t="n">
        <f aca="false">IF($D735=0,0,$D735*$E735)</f>
        <v>0</v>
      </c>
      <c r="H735" s="20" t="str">
        <f aca="false">IF($B735="","",CONCATENATE("Örnek kayıt: ",$B735))</f>
        <v/>
      </c>
    </row>
    <row r="736" customFormat="false" ht="15" hidden="false" customHeight="false" outlineLevel="0" collapsed="false">
      <c r="G736" s="20" t="n">
        <f aca="false">IF($D736=0,0,$D736*$E736)</f>
        <v>0</v>
      </c>
      <c r="H736" s="20" t="str">
        <f aca="false">IF($B736="","",CONCATENATE("Örnek kayıt: ",$B736))</f>
        <v/>
      </c>
    </row>
    <row r="737" customFormat="false" ht="15" hidden="false" customHeight="false" outlineLevel="0" collapsed="false">
      <c r="G737" s="20" t="n">
        <f aca="false">IF($D737=0,0,$D737*$E737)</f>
        <v>0</v>
      </c>
      <c r="H737" s="20" t="str">
        <f aca="false">IF($B737="","",CONCATENATE("Örnek kayıt: ",$B737))</f>
        <v/>
      </c>
    </row>
    <row r="738" customFormat="false" ht="15" hidden="false" customHeight="false" outlineLevel="0" collapsed="false">
      <c r="G738" s="20" t="n">
        <f aca="false">IF($D738=0,0,$D738*$E738)</f>
        <v>0</v>
      </c>
      <c r="H738" s="20" t="str">
        <f aca="false">IF($B738="","",CONCATENATE("Örnek kayıt: ",$B738))</f>
        <v/>
      </c>
    </row>
    <row r="739" customFormat="false" ht="15" hidden="false" customHeight="false" outlineLevel="0" collapsed="false">
      <c r="G739" s="20" t="n">
        <f aca="false">IF($D739=0,0,$D739*$E739)</f>
        <v>0</v>
      </c>
      <c r="H739" s="20" t="str">
        <f aca="false">IF($B739="","",CONCATENATE("Örnek kayıt: ",$B739))</f>
        <v/>
      </c>
    </row>
    <row r="740" customFormat="false" ht="15" hidden="false" customHeight="false" outlineLevel="0" collapsed="false">
      <c r="G740" s="20" t="n">
        <f aca="false">IF($D740=0,0,$D740*$E740)</f>
        <v>0</v>
      </c>
      <c r="H740" s="20" t="str">
        <f aca="false">IF($B740="","",CONCATENATE("Örnek kayıt: ",$B740))</f>
        <v/>
      </c>
    </row>
    <row r="741" customFormat="false" ht="15" hidden="false" customHeight="false" outlineLevel="0" collapsed="false">
      <c r="G741" s="20" t="n">
        <f aca="false">IF($D741=0,0,$D741*$E741)</f>
        <v>0</v>
      </c>
      <c r="H741" s="20" t="str">
        <f aca="false">IF($B741="","",CONCATENATE("Örnek kayıt: ",$B741))</f>
        <v/>
      </c>
    </row>
    <row r="742" customFormat="false" ht="15" hidden="false" customHeight="false" outlineLevel="0" collapsed="false">
      <c r="G742" s="20" t="n">
        <f aca="false">IF($D742=0,0,$D742*$E742)</f>
        <v>0</v>
      </c>
      <c r="H742" s="20" t="str">
        <f aca="false">IF($B742="","",CONCATENATE("Örnek kayıt: ",$B742))</f>
        <v/>
      </c>
    </row>
    <row r="743" customFormat="false" ht="15" hidden="false" customHeight="false" outlineLevel="0" collapsed="false">
      <c r="G743" s="20" t="n">
        <f aca="false">IF($D743=0,0,$D743*$E743)</f>
        <v>0</v>
      </c>
      <c r="H743" s="20" t="str">
        <f aca="false">IF($B743="","",CONCATENATE("Örnek kayıt: ",$B743))</f>
        <v/>
      </c>
    </row>
    <row r="744" customFormat="false" ht="15" hidden="false" customHeight="false" outlineLevel="0" collapsed="false">
      <c r="G744" s="20" t="n">
        <f aca="false">IF($D744=0,0,$D744*$E744)</f>
        <v>0</v>
      </c>
      <c r="H744" s="20" t="str">
        <f aca="false">IF($B744="","",CONCATENATE("Örnek kayıt: ",$B744))</f>
        <v/>
      </c>
    </row>
    <row r="745" customFormat="false" ht="15" hidden="false" customHeight="false" outlineLevel="0" collapsed="false">
      <c r="G745" s="20" t="n">
        <f aca="false">IF($D745=0,0,$D745*$E745)</f>
        <v>0</v>
      </c>
      <c r="H745" s="20" t="str">
        <f aca="false">IF($B745="","",CONCATENATE("Örnek kayıt: ",$B745))</f>
        <v/>
      </c>
    </row>
    <row r="746" customFormat="false" ht="15" hidden="false" customHeight="false" outlineLevel="0" collapsed="false">
      <c r="G746" s="20" t="n">
        <f aca="false">IF($D746=0,0,$D746*$E746)</f>
        <v>0</v>
      </c>
      <c r="H746" s="20" t="str">
        <f aca="false">IF($B746="","",CONCATENATE("Örnek kayıt: ",$B746))</f>
        <v/>
      </c>
    </row>
    <row r="747" customFormat="false" ht="15" hidden="false" customHeight="false" outlineLevel="0" collapsed="false">
      <c r="G747" s="20" t="n">
        <f aca="false">IF($D747=0,0,$D747*$E747)</f>
        <v>0</v>
      </c>
      <c r="H747" s="20" t="str">
        <f aca="false">IF($B747="","",CONCATENATE("Örnek kayıt: ",$B747))</f>
        <v/>
      </c>
    </row>
    <row r="748" customFormat="false" ht="15" hidden="false" customHeight="false" outlineLevel="0" collapsed="false">
      <c r="G748" s="20" t="n">
        <f aca="false">IF($D748=0,0,$D748*$E748)</f>
        <v>0</v>
      </c>
      <c r="H748" s="20" t="str">
        <f aca="false">IF($B748="","",CONCATENATE("Örnek kayıt: ",$B748))</f>
        <v/>
      </c>
    </row>
    <row r="749" customFormat="false" ht="15" hidden="false" customHeight="false" outlineLevel="0" collapsed="false">
      <c r="G749" s="20" t="n">
        <f aca="false">IF($D749=0,0,$D749*$E749)</f>
        <v>0</v>
      </c>
      <c r="H749" s="20" t="str">
        <f aca="false">IF($B749="","",CONCATENATE("Örnek kayıt: ",$B749))</f>
        <v/>
      </c>
    </row>
    <row r="750" customFormat="false" ht="15" hidden="false" customHeight="false" outlineLevel="0" collapsed="false">
      <c r="G750" s="20" t="n">
        <f aca="false">IF($D750=0,0,$D750*$E750)</f>
        <v>0</v>
      </c>
      <c r="H750" s="20" t="str">
        <f aca="false">IF($B750="","",CONCATENATE("Örnek kayıt: ",$B750))</f>
        <v/>
      </c>
    </row>
    <row r="751" customFormat="false" ht="15" hidden="false" customHeight="false" outlineLevel="0" collapsed="false">
      <c r="G751" s="20" t="n">
        <f aca="false">IF($D751=0,0,$D751*$E751)</f>
        <v>0</v>
      </c>
      <c r="H751" s="20" t="str">
        <f aca="false">IF($B751="","",CONCATENATE("Örnek kayıt: ",$B751))</f>
        <v/>
      </c>
    </row>
    <row r="752" customFormat="false" ht="15" hidden="false" customHeight="false" outlineLevel="0" collapsed="false">
      <c r="G752" s="20" t="n">
        <f aca="false">IF($D752=0,0,$D752*$E752)</f>
        <v>0</v>
      </c>
      <c r="H752" s="20" t="str">
        <f aca="false">IF($B752="","",CONCATENATE("Örnek kayıt: ",$B752))</f>
        <v/>
      </c>
    </row>
    <row r="753" customFormat="false" ht="15" hidden="false" customHeight="false" outlineLevel="0" collapsed="false">
      <c r="G753" s="20" t="n">
        <f aca="false">IF($D753=0,0,$D753*$E753)</f>
        <v>0</v>
      </c>
      <c r="H753" s="20" t="str">
        <f aca="false">IF($B753="","",CONCATENATE("Örnek kayıt: ",$B753))</f>
        <v/>
      </c>
    </row>
    <row r="754" customFormat="false" ht="15" hidden="false" customHeight="false" outlineLevel="0" collapsed="false">
      <c r="G754" s="20" t="n">
        <f aca="false">IF($D754=0,0,$D754*$E754)</f>
        <v>0</v>
      </c>
      <c r="H754" s="20" t="str">
        <f aca="false">IF($B754="","",CONCATENATE("Örnek kayıt: ",$B754))</f>
        <v/>
      </c>
    </row>
    <row r="755" customFormat="false" ht="15" hidden="false" customHeight="false" outlineLevel="0" collapsed="false">
      <c r="G755" s="20" t="n">
        <f aca="false">IF($D755=0,0,$D755*$E755)</f>
        <v>0</v>
      </c>
      <c r="H755" s="20" t="str">
        <f aca="false">IF($B755="","",CONCATENATE("Örnek kayıt: ",$B755))</f>
        <v/>
      </c>
    </row>
    <row r="756" customFormat="false" ht="15" hidden="false" customHeight="false" outlineLevel="0" collapsed="false">
      <c r="G756" s="20" t="n">
        <f aca="false">IF($D756=0,0,$D756*$E756)</f>
        <v>0</v>
      </c>
      <c r="H756" s="20" t="str">
        <f aca="false">IF($B756="","",CONCATENATE("Örnek kayıt: ",$B756))</f>
        <v/>
      </c>
    </row>
    <row r="757" customFormat="false" ht="15" hidden="false" customHeight="false" outlineLevel="0" collapsed="false">
      <c r="G757" s="20" t="n">
        <f aca="false">IF($D757=0,0,$D757*$E757)</f>
        <v>0</v>
      </c>
      <c r="H757" s="20" t="str">
        <f aca="false">IF($B757="","",CONCATENATE("Örnek kayıt: ",$B757))</f>
        <v/>
      </c>
    </row>
    <row r="758" customFormat="false" ht="15" hidden="false" customHeight="false" outlineLevel="0" collapsed="false">
      <c r="G758" s="20" t="n">
        <f aca="false">IF($D758=0,0,$D758*$E758)</f>
        <v>0</v>
      </c>
      <c r="H758" s="20" t="str">
        <f aca="false">IF($B758="","",CONCATENATE("Örnek kayıt: ",$B758))</f>
        <v/>
      </c>
    </row>
    <row r="759" customFormat="false" ht="15" hidden="false" customHeight="false" outlineLevel="0" collapsed="false">
      <c r="G759" s="20" t="n">
        <f aca="false">IF($D759=0,0,$D759*$E759)</f>
        <v>0</v>
      </c>
      <c r="H759" s="20" t="str">
        <f aca="false">IF($B759="","",CONCATENATE("Örnek kayıt: ",$B759))</f>
        <v/>
      </c>
    </row>
    <row r="760" customFormat="false" ht="15" hidden="false" customHeight="false" outlineLevel="0" collapsed="false">
      <c r="G760" s="20" t="n">
        <f aca="false">IF($D760=0,0,$D760*$E760)</f>
        <v>0</v>
      </c>
      <c r="H760" s="20" t="str">
        <f aca="false">IF($B760="","",CONCATENATE("Örnek kayıt: ",$B760))</f>
        <v/>
      </c>
    </row>
    <row r="761" customFormat="false" ht="15" hidden="false" customHeight="false" outlineLevel="0" collapsed="false">
      <c r="G761" s="20" t="n">
        <f aca="false">IF($D761=0,0,$D761*$E761)</f>
        <v>0</v>
      </c>
      <c r="H761" s="20" t="str">
        <f aca="false">IF($B761="","",CONCATENATE("Örnek kayıt: ",$B761))</f>
        <v/>
      </c>
    </row>
    <row r="762" customFormat="false" ht="15" hidden="false" customHeight="false" outlineLevel="0" collapsed="false">
      <c r="G762" s="20" t="n">
        <f aca="false">IF($D762=0,0,$D762*$E762)</f>
        <v>0</v>
      </c>
      <c r="H762" s="20" t="str">
        <f aca="false">IF($B762="","",CONCATENATE("Örnek kayıt: ",$B762))</f>
        <v/>
      </c>
    </row>
    <row r="763" customFormat="false" ht="15" hidden="false" customHeight="false" outlineLevel="0" collapsed="false">
      <c r="G763" s="20" t="n">
        <f aca="false">IF($D763=0,0,$D763*$E763)</f>
        <v>0</v>
      </c>
      <c r="H763" s="20" t="str">
        <f aca="false">IF($B763="","",CONCATENATE("Örnek kayıt: ",$B763))</f>
        <v/>
      </c>
    </row>
    <row r="764" customFormat="false" ht="15" hidden="false" customHeight="false" outlineLevel="0" collapsed="false">
      <c r="G764" s="20" t="n">
        <f aca="false">IF($D764=0,0,$D764*$E764)</f>
        <v>0</v>
      </c>
      <c r="H764" s="20" t="str">
        <f aca="false">IF($B764="","",CONCATENATE("Örnek kayıt: ",$B764))</f>
        <v/>
      </c>
    </row>
    <row r="765" customFormat="false" ht="15" hidden="false" customHeight="false" outlineLevel="0" collapsed="false">
      <c r="G765" s="20" t="n">
        <f aca="false">IF($D765=0,0,$D765*$E765)</f>
        <v>0</v>
      </c>
      <c r="H765" s="20" t="str">
        <f aca="false">IF($B765="","",CONCATENATE("Örnek kayıt: ",$B765))</f>
        <v/>
      </c>
    </row>
    <row r="766" customFormat="false" ht="15" hidden="false" customHeight="false" outlineLevel="0" collapsed="false">
      <c r="G766" s="20" t="n">
        <f aca="false">IF($D766=0,0,$D766*$E766)</f>
        <v>0</v>
      </c>
      <c r="H766" s="20" t="str">
        <f aca="false">IF($B766="","",CONCATENATE("Örnek kayıt: ",$B766))</f>
        <v/>
      </c>
    </row>
    <row r="767" customFormat="false" ht="15" hidden="false" customHeight="false" outlineLevel="0" collapsed="false">
      <c r="G767" s="20" t="n">
        <f aca="false">IF($D767=0,0,$D767*$E767)</f>
        <v>0</v>
      </c>
      <c r="H767" s="20" t="str">
        <f aca="false">IF($B767="","",CONCATENATE("Örnek kayıt: ",$B767))</f>
        <v/>
      </c>
    </row>
    <row r="768" customFormat="false" ht="15" hidden="false" customHeight="false" outlineLevel="0" collapsed="false">
      <c r="G768" s="20" t="n">
        <f aca="false">IF($D768=0,0,$D768*$E768)</f>
        <v>0</v>
      </c>
      <c r="H768" s="20" t="str">
        <f aca="false">IF($B768="","",CONCATENATE("Örnek kayıt: ",$B768))</f>
        <v/>
      </c>
    </row>
    <row r="769" customFormat="false" ht="15" hidden="false" customHeight="false" outlineLevel="0" collapsed="false">
      <c r="G769" s="20" t="n">
        <f aca="false">IF($D769=0,0,$D769*$E769)</f>
        <v>0</v>
      </c>
      <c r="H769" s="20" t="str">
        <f aca="false">IF($B769="","",CONCATENATE("Örnek kayıt: ",$B769))</f>
        <v/>
      </c>
    </row>
    <row r="770" customFormat="false" ht="15" hidden="false" customHeight="false" outlineLevel="0" collapsed="false">
      <c r="G770" s="20" t="n">
        <f aca="false">IF($D770=0,0,$D770*$E770)</f>
        <v>0</v>
      </c>
      <c r="H770" s="20" t="str">
        <f aca="false">IF($B770="","",CONCATENATE("Örnek kayıt: ",$B770))</f>
        <v/>
      </c>
    </row>
    <row r="771" customFormat="false" ht="15" hidden="false" customHeight="false" outlineLevel="0" collapsed="false">
      <c r="G771" s="20" t="n">
        <f aca="false">IF($D771=0,0,$D771*$E771)</f>
        <v>0</v>
      </c>
      <c r="H771" s="20" t="str">
        <f aca="false">IF($B771="","",CONCATENATE("Örnek kayıt: ",$B771))</f>
        <v/>
      </c>
    </row>
    <row r="772" customFormat="false" ht="15" hidden="false" customHeight="false" outlineLevel="0" collapsed="false">
      <c r="G772" s="20" t="n">
        <f aca="false">IF($D772=0,0,$D772*$E772)</f>
        <v>0</v>
      </c>
      <c r="H772" s="20" t="str">
        <f aca="false">IF($B772="","",CONCATENATE("Örnek kayıt: ",$B772))</f>
        <v/>
      </c>
    </row>
    <row r="773" customFormat="false" ht="15" hidden="false" customHeight="false" outlineLevel="0" collapsed="false">
      <c r="G773" s="20" t="n">
        <f aca="false">IF($D773=0,0,$D773*$E773)</f>
        <v>0</v>
      </c>
      <c r="H773" s="20" t="str">
        <f aca="false">IF($B773="","",CONCATENATE("Örnek kayıt: ",$B773))</f>
        <v/>
      </c>
    </row>
    <row r="774" customFormat="false" ht="15" hidden="false" customHeight="false" outlineLevel="0" collapsed="false">
      <c r="G774" s="20" t="n">
        <f aca="false">IF($D774=0,0,$D774*$E774)</f>
        <v>0</v>
      </c>
      <c r="H774" s="20" t="str">
        <f aca="false">IF($B774="","",CONCATENATE("Örnek kayıt: ",$B774))</f>
        <v/>
      </c>
    </row>
    <row r="775" customFormat="false" ht="15" hidden="false" customHeight="false" outlineLevel="0" collapsed="false">
      <c r="G775" s="20" t="n">
        <f aca="false">IF($D775=0,0,$D775*$E775)</f>
        <v>0</v>
      </c>
      <c r="H775" s="20" t="str">
        <f aca="false">IF($B775="","",CONCATENATE("Örnek kayıt: ",$B775))</f>
        <v/>
      </c>
    </row>
    <row r="776" customFormat="false" ht="15" hidden="false" customHeight="false" outlineLevel="0" collapsed="false">
      <c r="G776" s="20" t="n">
        <f aca="false">IF($D776=0,0,$D776*$E776)</f>
        <v>0</v>
      </c>
      <c r="H776" s="20" t="str">
        <f aca="false">IF($B776="","",CONCATENATE("Örnek kayıt: ",$B776))</f>
        <v/>
      </c>
    </row>
    <row r="777" customFormat="false" ht="15" hidden="false" customHeight="false" outlineLevel="0" collapsed="false">
      <c r="G777" s="20" t="n">
        <f aca="false">IF($D777=0,0,$D777*$E777)</f>
        <v>0</v>
      </c>
      <c r="H777" s="20" t="str">
        <f aca="false">IF($B777="","",CONCATENATE("Örnek kayıt: ",$B777))</f>
        <v/>
      </c>
    </row>
    <row r="778" customFormat="false" ht="15" hidden="false" customHeight="false" outlineLevel="0" collapsed="false">
      <c r="G778" s="20" t="n">
        <f aca="false">IF($D778=0,0,$D778*$E778)</f>
        <v>0</v>
      </c>
      <c r="H778" s="20" t="str">
        <f aca="false">IF($B778="","",CONCATENATE("Örnek kayıt: ",$B778))</f>
        <v/>
      </c>
    </row>
    <row r="779" customFormat="false" ht="15" hidden="false" customHeight="false" outlineLevel="0" collapsed="false">
      <c r="G779" s="20" t="n">
        <f aca="false">IF($D779=0,0,$D779*$E779)</f>
        <v>0</v>
      </c>
      <c r="H779" s="20" t="str">
        <f aca="false">IF($B779="","",CONCATENATE("Örnek kayıt: ",$B779))</f>
        <v/>
      </c>
    </row>
    <row r="780" customFormat="false" ht="15" hidden="false" customHeight="false" outlineLevel="0" collapsed="false">
      <c r="G780" s="20" t="n">
        <f aca="false">IF($D780=0,0,$D780*$E780)</f>
        <v>0</v>
      </c>
      <c r="H780" s="20" t="str">
        <f aca="false">IF($B780="","",CONCATENATE("Örnek kayıt: ",$B780))</f>
        <v/>
      </c>
    </row>
    <row r="781" customFormat="false" ht="15" hidden="false" customHeight="false" outlineLevel="0" collapsed="false">
      <c r="G781" s="20" t="n">
        <f aca="false">IF($D781=0,0,$D781*$E781)</f>
        <v>0</v>
      </c>
      <c r="H781" s="20" t="str">
        <f aca="false">IF($B781="","",CONCATENATE("Örnek kayıt: ",$B781))</f>
        <v/>
      </c>
    </row>
    <row r="782" customFormat="false" ht="15" hidden="false" customHeight="false" outlineLevel="0" collapsed="false">
      <c r="G782" s="20" t="n">
        <f aca="false">IF($D782=0,0,$D782*$E782)</f>
        <v>0</v>
      </c>
      <c r="H782" s="20" t="str">
        <f aca="false">IF($B782="","",CONCATENATE("Örnek kayıt: ",$B782))</f>
        <v/>
      </c>
    </row>
    <row r="783" customFormat="false" ht="15" hidden="false" customHeight="false" outlineLevel="0" collapsed="false">
      <c r="G783" s="20" t="n">
        <f aca="false">IF($D783=0,0,$D783*$E783)</f>
        <v>0</v>
      </c>
      <c r="H783" s="20" t="str">
        <f aca="false">IF($B783="","",CONCATENATE("Örnek kayıt: ",$B783))</f>
        <v/>
      </c>
    </row>
    <row r="784" customFormat="false" ht="15" hidden="false" customHeight="false" outlineLevel="0" collapsed="false">
      <c r="G784" s="20" t="n">
        <f aca="false">IF($D784=0,0,$D784*$E784)</f>
        <v>0</v>
      </c>
      <c r="H784" s="20" t="str">
        <f aca="false">IF($B784="","",CONCATENATE("Örnek kayıt: ",$B784))</f>
        <v/>
      </c>
    </row>
    <row r="785" customFormat="false" ht="15" hidden="false" customHeight="false" outlineLevel="0" collapsed="false">
      <c r="G785" s="20" t="n">
        <f aca="false">IF($D785=0,0,$D785*$E785)</f>
        <v>0</v>
      </c>
      <c r="H785" s="20" t="str">
        <f aca="false">IF($B785="","",CONCATENATE("Örnek kayıt: ",$B785))</f>
        <v/>
      </c>
    </row>
    <row r="786" customFormat="false" ht="15" hidden="false" customHeight="false" outlineLevel="0" collapsed="false">
      <c r="G786" s="20" t="n">
        <f aca="false">IF($D786=0,0,$D786*$E786)</f>
        <v>0</v>
      </c>
      <c r="H786" s="20" t="str">
        <f aca="false">IF($B786="","",CONCATENATE("Örnek kayıt: ",$B786))</f>
        <v/>
      </c>
    </row>
    <row r="787" customFormat="false" ht="15" hidden="false" customHeight="false" outlineLevel="0" collapsed="false">
      <c r="G787" s="20" t="n">
        <f aca="false">IF($D787=0,0,$D787*$E787)</f>
        <v>0</v>
      </c>
      <c r="H787" s="20" t="str">
        <f aca="false">IF($B787="","",CONCATENATE("Örnek kayıt: ",$B787))</f>
        <v/>
      </c>
    </row>
    <row r="788" customFormat="false" ht="15" hidden="false" customHeight="false" outlineLevel="0" collapsed="false">
      <c r="G788" s="20" t="n">
        <f aca="false">IF($D788=0,0,$D788*$E788)</f>
        <v>0</v>
      </c>
      <c r="H788" s="20" t="str">
        <f aca="false">IF($B788="","",CONCATENATE("Örnek kayıt: ",$B788))</f>
        <v/>
      </c>
    </row>
    <row r="789" customFormat="false" ht="15" hidden="false" customHeight="false" outlineLevel="0" collapsed="false">
      <c r="G789" s="20" t="n">
        <f aca="false">IF($D789=0,0,$D789*$E789)</f>
        <v>0</v>
      </c>
      <c r="H789" s="20" t="str">
        <f aca="false">IF($B789="","",CONCATENATE("Örnek kayıt: ",$B789))</f>
        <v/>
      </c>
    </row>
    <row r="790" customFormat="false" ht="15" hidden="false" customHeight="false" outlineLevel="0" collapsed="false">
      <c r="G790" s="20" t="n">
        <f aca="false">IF($D790=0,0,$D790*$E790)</f>
        <v>0</v>
      </c>
      <c r="H790" s="20" t="str">
        <f aca="false">IF($B790="","",CONCATENATE("Örnek kayıt: ",$B790))</f>
        <v/>
      </c>
    </row>
    <row r="791" customFormat="false" ht="15" hidden="false" customHeight="false" outlineLevel="0" collapsed="false">
      <c r="G791" s="20" t="n">
        <f aca="false">IF($D791=0,0,$D791*$E791)</f>
        <v>0</v>
      </c>
      <c r="H791" s="20" t="str">
        <f aca="false">IF($B791="","",CONCATENATE("Örnek kayıt: ",$B791))</f>
        <v/>
      </c>
    </row>
    <row r="792" customFormat="false" ht="15" hidden="false" customHeight="false" outlineLevel="0" collapsed="false">
      <c r="G792" s="20" t="n">
        <f aca="false">IF($D792=0,0,$D792*$E792)</f>
        <v>0</v>
      </c>
      <c r="H792" s="20" t="str">
        <f aca="false">IF($B792="","",CONCATENATE("Örnek kayıt: ",$B792))</f>
        <v/>
      </c>
    </row>
    <row r="793" customFormat="false" ht="15" hidden="false" customHeight="false" outlineLevel="0" collapsed="false">
      <c r="G793" s="20" t="n">
        <f aca="false">IF($D793=0,0,$D793*$E793)</f>
        <v>0</v>
      </c>
      <c r="H793" s="20" t="str">
        <f aca="false">IF($B793="","",CONCATENATE("Örnek kayıt: ",$B793))</f>
        <v/>
      </c>
    </row>
    <row r="794" customFormat="false" ht="15" hidden="false" customHeight="false" outlineLevel="0" collapsed="false">
      <c r="G794" s="20" t="n">
        <f aca="false">IF($D794=0,0,$D794*$E794)</f>
        <v>0</v>
      </c>
      <c r="H794" s="20" t="str">
        <f aca="false">IF($B794="","",CONCATENATE("Örnek kayıt: ",$B794))</f>
        <v/>
      </c>
    </row>
    <row r="795" customFormat="false" ht="15" hidden="false" customHeight="false" outlineLevel="0" collapsed="false">
      <c r="G795" s="20" t="n">
        <f aca="false">IF($D795=0,0,$D795*$E795)</f>
        <v>0</v>
      </c>
      <c r="H795" s="20" t="str">
        <f aca="false">IF($B795="","",CONCATENATE("Örnek kayıt: ",$B795))</f>
        <v/>
      </c>
    </row>
    <row r="796" customFormat="false" ht="15" hidden="false" customHeight="false" outlineLevel="0" collapsed="false">
      <c r="G796" s="20" t="n">
        <f aca="false">IF($D796=0,0,$D796*$E796)</f>
        <v>0</v>
      </c>
      <c r="H796" s="20" t="str">
        <f aca="false">IF($B796="","",CONCATENATE("Örnek kayıt: ",$B796))</f>
        <v/>
      </c>
    </row>
    <row r="797" customFormat="false" ht="15" hidden="false" customHeight="false" outlineLevel="0" collapsed="false">
      <c r="G797" s="20" t="n">
        <f aca="false">IF($D797=0,0,$D797*$E797)</f>
        <v>0</v>
      </c>
      <c r="H797" s="20" t="str">
        <f aca="false">IF($B797="","",CONCATENATE("Örnek kayıt: ",$B797))</f>
        <v/>
      </c>
    </row>
    <row r="798" customFormat="false" ht="15" hidden="false" customHeight="false" outlineLevel="0" collapsed="false">
      <c r="G798" s="20" t="n">
        <f aca="false">IF($D798=0,0,$D798*$E798)</f>
        <v>0</v>
      </c>
      <c r="H798" s="20" t="str">
        <f aca="false">IF($B798="","",CONCATENATE("Örnek kayıt: ",$B798))</f>
        <v/>
      </c>
    </row>
    <row r="799" customFormat="false" ht="15" hidden="false" customHeight="false" outlineLevel="0" collapsed="false">
      <c r="G799" s="20" t="n">
        <f aca="false">IF($D799=0,0,$D799*$E799)</f>
        <v>0</v>
      </c>
      <c r="H799" s="20" t="str">
        <f aca="false">IF($B799="","",CONCATENATE("Örnek kayıt: ",$B799))</f>
        <v/>
      </c>
    </row>
    <row r="800" customFormat="false" ht="15" hidden="false" customHeight="false" outlineLevel="0" collapsed="false">
      <c r="G800" s="20" t="n">
        <f aca="false">IF($D800=0,0,$D800*$E800)</f>
        <v>0</v>
      </c>
      <c r="H800" s="20" t="str">
        <f aca="false">IF($B800="","",CONCATENATE("Örnek kayıt: ",$B800))</f>
        <v/>
      </c>
    </row>
    <row r="801" customFormat="false" ht="15" hidden="false" customHeight="false" outlineLevel="0" collapsed="false">
      <c r="G801" s="20" t="n">
        <f aca="false">IF($D801=0,0,$D801*$E801)</f>
        <v>0</v>
      </c>
      <c r="H801" s="20" t="str">
        <f aca="false">IF($B801="","",CONCATENATE("Örnek kayıt: ",$B801))</f>
        <v/>
      </c>
    </row>
    <row r="802" customFormat="false" ht="15" hidden="false" customHeight="false" outlineLevel="0" collapsed="false">
      <c r="G802" s="20" t="n">
        <f aca="false">IF($D802=0,0,$D802*$E802)</f>
        <v>0</v>
      </c>
      <c r="H802" s="20" t="str">
        <f aca="false">IF($B802="","",CONCATENATE("Örnek kayıt: ",$B802))</f>
        <v/>
      </c>
    </row>
    <row r="803" customFormat="false" ht="15" hidden="false" customHeight="false" outlineLevel="0" collapsed="false">
      <c r="G803" s="20" t="n">
        <f aca="false">IF($D803=0,0,$D803*$E803)</f>
        <v>0</v>
      </c>
      <c r="H803" s="20" t="str">
        <f aca="false">IF($B803="","",CONCATENATE("Örnek kayıt: ",$B803))</f>
        <v/>
      </c>
    </row>
    <row r="804" customFormat="false" ht="15" hidden="false" customHeight="false" outlineLevel="0" collapsed="false">
      <c r="G804" s="20" t="n">
        <f aca="false">IF($D804=0,0,$D804*$E804)</f>
        <v>0</v>
      </c>
      <c r="H804" s="20" t="str">
        <f aca="false">IF($B804="","",CONCATENATE("Örnek kayıt: ",$B804))</f>
        <v/>
      </c>
    </row>
    <row r="805" customFormat="false" ht="15" hidden="false" customHeight="false" outlineLevel="0" collapsed="false">
      <c r="G805" s="20" t="n">
        <f aca="false">IF($D805=0,0,$D805*$E805)</f>
        <v>0</v>
      </c>
      <c r="H805" s="20" t="str">
        <f aca="false">IF($B805="","",CONCATENATE("Örnek kayıt: ",$B805))</f>
        <v/>
      </c>
    </row>
    <row r="806" customFormat="false" ht="15" hidden="false" customHeight="false" outlineLevel="0" collapsed="false">
      <c r="G806" s="20" t="n">
        <f aca="false">IF($D806=0,0,$D806*$E806)</f>
        <v>0</v>
      </c>
      <c r="H806" s="20" t="str">
        <f aca="false">IF($B806="","",CONCATENATE("Örnek kayıt: ",$B806))</f>
        <v/>
      </c>
    </row>
    <row r="807" customFormat="false" ht="15" hidden="false" customHeight="false" outlineLevel="0" collapsed="false">
      <c r="G807" s="20" t="n">
        <f aca="false">IF($D807=0,0,$D807*$E807)</f>
        <v>0</v>
      </c>
      <c r="H807" s="20" t="str">
        <f aca="false">IF($B807="","",CONCATENATE("Örnek kayıt: ",$B807))</f>
        <v/>
      </c>
    </row>
    <row r="808" customFormat="false" ht="15" hidden="false" customHeight="false" outlineLevel="0" collapsed="false">
      <c r="G808" s="20" t="n">
        <f aca="false">IF($D808=0,0,$D808*$E808)</f>
        <v>0</v>
      </c>
      <c r="H808" s="20" t="str">
        <f aca="false">IF($B808="","",CONCATENATE("Örnek kayıt: ",$B808))</f>
        <v/>
      </c>
    </row>
    <row r="809" customFormat="false" ht="15" hidden="false" customHeight="false" outlineLevel="0" collapsed="false">
      <c r="G809" s="20" t="n">
        <f aca="false">IF($D809=0,0,$D809*$E809)</f>
        <v>0</v>
      </c>
      <c r="H809" s="20" t="str">
        <f aca="false">IF($B809="","",CONCATENATE("Örnek kayıt: ",$B809))</f>
        <v/>
      </c>
    </row>
    <row r="810" customFormat="false" ht="15" hidden="false" customHeight="false" outlineLevel="0" collapsed="false">
      <c r="G810" s="20" t="n">
        <f aca="false">IF($D810=0,0,$D810*$E810)</f>
        <v>0</v>
      </c>
      <c r="H810" s="20" t="str">
        <f aca="false">IF($B810="","",CONCATENATE("Örnek kayıt: ",$B810))</f>
        <v/>
      </c>
    </row>
    <row r="811" customFormat="false" ht="15" hidden="false" customHeight="false" outlineLevel="0" collapsed="false">
      <c r="G811" s="20" t="n">
        <f aca="false">IF($D811=0,0,$D811*$E811)</f>
        <v>0</v>
      </c>
      <c r="H811" s="20" t="str">
        <f aca="false">IF($B811="","",CONCATENATE("Örnek kayıt: ",$B811))</f>
        <v/>
      </c>
    </row>
    <row r="812" customFormat="false" ht="15" hidden="false" customHeight="false" outlineLevel="0" collapsed="false">
      <c r="G812" s="20" t="n">
        <f aca="false">IF($D812=0,0,$D812*$E812)</f>
        <v>0</v>
      </c>
      <c r="H812" s="20" t="str">
        <f aca="false">IF($B812="","",CONCATENATE("Örnek kayıt: ",$B812))</f>
        <v/>
      </c>
    </row>
    <row r="813" customFormat="false" ht="15" hidden="false" customHeight="false" outlineLevel="0" collapsed="false">
      <c r="G813" s="20" t="n">
        <f aca="false">IF($D813=0,0,$D813*$E813)</f>
        <v>0</v>
      </c>
      <c r="H813" s="20" t="str">
        <f aca="false">IF($B813="","",CONCATENATE("Örnek kayıt: ",$B813))</f>
        <v/>
      </c>
    </row>
    <row r="814" customFormat="false" ht="15" hidden="false" customHeight="false" outlineLevel="0" collapsed="false">
      <c r="G814" s="20" t="n">
        <f aca="false">IF($D814=0,0,$D814*$E814)</f>
        <v>0</v>
      </c>
      <c r="H814" s="20" t="str">
        <f aca="false">IF($B814="","",CONCATENATE("Örnek kayıt: ",$B814))</f>
        <v/>
      </c>
    </row>
    <row r="815" customFormat="false" ht="15" hidden="false" customHeight="false" outlineLevel="0" collapsed="false">
      <c r="G815" s="20" t="n">
        <f aca="false">IF($D815=0,0,$D815*$E815)</f>
        <v>0</v>
      </c>
      <c r="H815" s="20" t="str">
        <f aca="false">IF($B815="","",CONCATENATE("Örnek kayıt: ",$B815))</f>
        <v/>
      </c>
    </row>
    <row r="816" customFormat="false" ht="15" hidden="false" customHeight="false" outlineLevel="0" collapsed="false">
      <c r="G816" s="20" t="n">
        <f aca="false">IF($D816=0,0,$D816*$E816)</f>
        <v>0</v>
      </c>
      <c r="H816" s="20" t="str">
        <f aca="false">IF($B816="","",CONCATENATE("Örnek kayıt: ",$B816))</f>
        <v/>
      </c>
    </row>
    <row r="817" customFormat="false" ht="15" hidden="false" customHeight="false" outlineLevel="0" collapsed="false">
      <c r="G817" s="20" t="n">
        <f aca="false">IF($D817=0,0,$D817*$E817)</f>
        <v>0</v>
      </c>
      <c r="H817" s="20" t="str">
        <f aca="false">IF($B817="","",CONCATENATE("Örnek kayıt: ",$B817))</f>
        <v/>
      </c>
    </row>
    <row r="818" customFormat="false" ht="15" hidden="false" customHeight="false" outlineLevel="0" collapsed="false">
      <c r="G818" s="20" t="n">
        <f aca="false">IF($D818=0,0,$D818*$E818)</f>
        <v>0</v>
      </c>
      <c r="H818" s="20" t="str">
        <f aca="false">IF($B818="","",CONCATENATE("Örnek kayıt: ",$B818))</f>
        <v/>
      </c>
    </row>
    <row r="819" customFormat="false" ht="15" hidden="false" customHeight="false" outlineLevel="0" collapsed="false">
      <c r="G819" s="20" t="n">
        <f aca="false">IF($D819=0,0,$D819*$E819)</f>
        <v>0</v>
      </c>
      <c r="H819" s="20" t="str">
        <f aca="false">IF($B819="","",CONCATENATE("Örnek kayıt: ",$B819))</f>
        <v/>
      </c>
    </row>
    <row r="820" customFormat="false" ht="15" hidden="false" customHeight="false" outlineLevel="0" collapsed="false">
      <c r="G820" s="20" t="n">
        <f aca="false">IF($D820=0,0,$D820*$E820)</f>
        <v>0</v>
      </c>
      <c r="H820" s="20" t="str">
        <f aca="false">IF($B820="","",CONCATENATE("Örnek kayıt: ",$B820))</f>
        <v/>
      </c>
    </row>
    <row r="821" customFormat="false" ht="15" hidden="false" customHeight="false" outlineLevel="0" collapsed="false">
      <c r="G821" s="20" t="n">
        <f aca="false">IF($D821=0,0,$D821*$E821)</f>
        <v>0</v>
      </c>
      <c r="H821" s="20" t="str">
        <f aca="false">IF($B821="","",CONCATENATE("Örnek kayıt: ",$B821))</f>
        <v/>
      </c>
    </row>
    <row r="822" customFormat="false" ht="15" hidden="false" customHeight="false" outlineLevel="0" collapsed="false">
      <c r="G822" s="20" t="n">
        <f aca="false">IF($D822=0,0,$D822*$E822)</f>
        <v>0</v>
      </c>
      <c r="H822" s="20" t="str">
        <f aca="false">IF($B822="","",CONCATENATE("Örnek kayıt: ",$B822))</f>
        <v/>
      </c>
    </row>
    <row r="823" customFormat="false" ht="15" hidden="false" customHeight="false" outlineLevel="0" collapsed="false">
      <c r="G823" s="20" t="n">
        <f aca="false">IF($D823=0,0,$D823*$E823)</f>
        <v>0</v>
      </c>
      <c r="H823" s="20" t="str">
        <f aca="false">IF($B823="","",CONCATENATE("Örnek kayıt: ",$B823))</f>
        <v/>
      </c>
    </row>
    <row r="824" customFormat="false" ht="15" hidden="false" customHeight="false" outlineLevel="0" collapsed="false">
      <c r="G824" s="20" t="n">
        <f aca="false">IF($D824=0,0,$D824*$E824)</f>
        <v>0</v>
      </c>
      <c r="H824" s="20" t="str">
        <f aca="false">IF($B824="","",CONCATENATE("Örnek kayıt: ",$B824))</f>
        <v/>
      </c>
    </row>
    <row r="825" customFormat="false" ht="15" hidden="false" customHeight="false" outlineLevel="0" collapsed="false">
      <c r="G825" s="20" t="n">
        <f aca="false">IF($D825=0,0,$D825*$E825)</f>
        <v>0</v>
      </c>
      <c r="H825" s="20" t="str">
        <f aca="false">IF($B825="","",CONCATENATE("Örnek kayıt: ",$B825))</f>
        <v/>
      </c>
    </row>
    <row r="826" customFormat="false" ht="15" hidden="false" customHeight="false" outlineLevel="0" collapsed="false">
      <c r="G826" s="20" t="n">
        <f aca="false">IF($D826=0,0,$D826*$E826)</f>
        <v>0</v>
      </c>
      <c r="H826" s="20" t="str">
        <f aca="false">IF($B826="","",CONCATENATE("Örnek kayıt: ",$B826))</f>
        <v/>
      </c>
    </row>
    <row r="827" customFormat="false" ht="15" hidden="false" customHeight="false" outlineLevel="0" collapsed="false">
      <c r="G827" s="20" t="n">
        <f aca="false">IF($D827=0,0,$D827*$E827)</f>
        <v>0</v>
      </c>
      <c r="H827" s="20" t="str">
        <f aca="false">IF($B827="","",CONCATENATE("Örnek kayıt: ",$B827))</f>
        <v/>
      </c>
    </row>
    <row r="828" customFormat="false" ht="15" hidden="false" customHeight="false" outlineLevel="0" collapsed="false">
      <c r="G828" s="20" t="n">
        <f aca="false">IF($D828=0,0,$D828*$E828)</f>
        <v>0</v>
      </c>
      <c r="H828" s="20" t="str">
        <f aca="false">IF($B828="","",CONCATENATE("Örnek kayıt: ",$B828))</f>
        <v/>
      </c>
    </row>
    <row r="829" customFormat="false" ht="15" hidden="false" customHeight="false" outlineLevel="0" collapsed="false">
      <c r="G829" s="20" t="n">
        <f aca="false">IF($D829=0,0,$D829*$E829)</f>
        <v>0</v>
      </c>
      <c r="H829" s="20" t="str">
        <f aca="false">IF($B829="","",CONCATENATE("Örnek kayıt: ",$B829))</f>
        <v/>
      </c>
    </row>
    <row r="830" customFormat="false" ht="15" hidden="false" customHeight="false" outlineLevel="0" collapsed="false">
      <c r="G830" s="20" t="n">
        <f aca="false">IF($D830=0,0,$D830*$E830)</f>
        <v>0</v>
      </c>
      <c r="H830" s="20" t="str">
        <f aca="false">IF($B830="","",CONCATENATE("Örnek kayıt: ",$B830))</f>
        <v/>
      </c>
    </row>
    <row r="831" customFormat="false" ht="15" hidden="false" customHeight="false" outlineLevel="0" collapsed="false">
      <c r="G831" s="20" t="n">
        <f aca="false">IF($D831=0,0,$D831*$E831)</f>
        <v>0</v>
      </c>
      <c r="H831" s="20" t="str">
        <f aca="false">IF($B831="","",CONCATENATE("Örnek kayıt: ",$B831))</f>
        <v/>
      </c>
    </row>
    <row r="832" customFormat="false" ht="15" hidden="false" customHeight="false" outlineLevel="0" collapsed="false">
      <c r="G832" s="20" t="n">
        <f aca="false">IF($D832=0,0,$D832*$E832)</f>
        <v>0</v>
      </c>
      <c r="H832" s="20" t="str">
        <f aca="false">IF($B832="","",CONCATENATE("Örnek kayıt: ",$B832))</f>
        <v/>
      </c>
    </row>
    <row r="833" customFormat="false" ht="15" hidden="false" customHeight="false" outlineLevel="0" collapsed="false">
      <c r="G833" s="20" t="n">
        <f aca="false">IF($D833=0,0,$D833*$E833)</f>
        <v>0</v>
      </c>
      <c r="H833" s="20" t="str">
        <f aca="false">IF($B833="","",CONCATENATE("Örnek kayıt: ",$B833))</f>
        <v/>
      </c>
    </row>
    <row r="834" customFormat="false" ht="15" hidden="false" customHeight="false" outlineLevel="0" collapsed="false">
      <c r="G834" s="20" t="n">
        <f aca="false">IF($D834=0,0,$D834*$E834)</f>
        <v>0</v>
      </c>
      <c r="H834" s="20" t="str">
        <f aca="false">IF($B834="","",CONCATENATE("Örnek kayıt: ",$B834))</f>
        <v/>
      </c>
    </row>
    <row r="835" customFormat="false" ht="15" hidden="false" customHeight="false" outlineLevel="0" collapsed="false">
      <c r="G835" s="20" t="n">
        <f aca="false">IF($D835=0,0,$D835*$E835)</f>
        <v>0</v>
      </c>
      <c r="H835" s="20" t="str">
        <f aca="false">IF($B835="","",CONCATENATE("Örnek kayıt: ",$B835))</f>
        <v/>
      </c>
    </row>
    <row r="836" customFormat="false" ht="15" hidden="false" customHeight="false" outlineLevel="0" collapsed="false">
      <c r="G836" s="20" t="n">
        <f aca="false">IF($D836=0,0,$D836*$E836)</f>
        <v>0</v>
      </c>
      <c r="H836" s="20" t="str">
        <f aca="false">IF($B836="","",CONCATENATE("Örnek kayıt: ",$B836))</f>
        <v/>
      </c>
    </row>
    <row r="837" customFormat="false" ht="15" hidden="false" customHeight="false" outlineLevel="0" collapsed="false">
      <c r="G837" s="20" t="n">
        <f aca="false">IF($D837=0,0,$D837*$E837)</f>
        <v>0</v>
      </c>
      <c r="H837" s="20" t="str">
        <f aca="false">IF($B837="","",CONCATENATE("Örnek kayıt: ",$B837))</f>
        <v/>
      </c>
    </row>
    <row r="838" customFormat="false" ht="15" hidden="false" customHeight="false" outlineLevel="0" collapsed="false">
      <c r="G838" s="20" t="n">
        <f aca="false">IF($D838=0,0,$D838*$E838)</f>
        <v>0</v>
      </c>
      <c r="H838" s="20" t="str">
        <f aca="false">IF($B838="","",CONCATENATE("Örnek kayıt: ",$B838))</f>
        <v/>
      </c>
    </row>
    <row r="839" customFormat="false" ht="15" hidden="false" customHeight="false" outlineLevel="0" collapsed="false">
      <c r="G839" s="20" t="n">
        <f aca="false">IF($D839=0,0,$D839*$E839)</f>
        <v>0</v>
      </c>
      <c r="H839" s="20" t="str">
        <f aca="false">IF($B839="","",CONCATENATE("Örnek kayıt: ",$B839))</f>
        <v/>
      </c>
    </row>
    <row r="840" customFormat="false" ht="15" hidden="false" customHeight="false" outlineLevel="0" collapsed="false">
      <c r="G840" s="20" t="n">
        <f aca="false">IF($D840=0,0,$D840*$E840)</f>
        <v>0</v>
      </c>
      <c r="H840" s="20" t="str">
        <f aca="false">IF($B840="","",CONCATENATE("Örnek kayıt: ",$B840))</f>
        <v/>
      </c>
    </row>
    <row r="841" customFormat="false" ht="15" hidden="false" customHeight="false" outlineLevel="0" collapsed="false">
      <c r="G841" s="20" t="n">
        <f aca="false">IF($D841=0,0,$D841*$E841)</f>
        <v>0</v>
      </c>
      <c r="H841" s="20" t="str">
        <f aca="false">IF($B841="","",CONCATENATE("Örnek kayıt: ",$B841))</f>
        <v/>
      </c>
    </row>
    <row r="842" customFormat="false" ht="15" hidden="false" customHeight="false" outlineLevel="0" collapsed="false">
      <c r="G842" s="20" t="n">
        <f aca="false">IF($D842=0,0,$D842*$E842)</f>
        <v>0</v>
      </c>
      <c r="H842" s="20" t="str">
        <f aca="false">IF($B842="","",CONCATENATE("Örnek kayıt: ",$B842))</f>
        <v/>
      </c>
    </row>
    <row r="843" customFormat="false" ht="15" hidden="false" customHeight="false" outlineLevel="0" collapsed="false">
      <c r="G843" s="20" t="n">
        <f aca="false">IF($D843=0,0,$D843*$E843)</f>
        <v>0</v>
      </c>
      <c r="H843" s="20" t="str">
        <f aca="false">IF($B843="","",CONCATENATE("Örnek kayıt: ",$B843))</f>
        <v/>
      </c>
    </row>
    <row r="844" customFormat="false" ht="15" hidden="false" customHeight="false" outlineLevel="0" collapsed="false">
      <c r="G844" s="20" t="n">
        <f aca="false">IF($D844=0,0,$D844*$E844)</f>
        <v>0</v>
      </c>
      <c r="H844" s="20" t="str">
        <f aca="false">IF($B844="","",CONCATENATE("Örnek kayıt: ",$B844))</f>
        <v/>
      </c>
    </row>
    <row r="845" customFormat="false" ht="15" hidden="false" customHeight="false" outlineLevel="0" collapsed="false">
      <c r="G845" s="20" t="n">
        <f aca="false">IF($D845=0,0,$D845*$E845)</f>
        <v>0</v>
      </c>
      <c r="H845" s="20" t="str">
        <f aca="false">IF($B845="","",CONCATENATE("Örnek kayıt: ",$B845))</f>
        <v/>
      </c>
    </row>
    <row r="846" customFormat="false" ht="15" hidden="false" customHeight="false" outlineLevel="0" collapsed="false">
      <c r="G846" s="20" t="n">
        <f aca="false">IF($D846=0,0,$D846*$E846)</f>
        <v>0</v>
      </c>
      <c r="H846" s="20" t="str">
        <f aca="false">IF($B846="","",CONCATENATE("Örnek kayıt: ",$B846))</f>
        <v/>
      </c>
    </row>
    <row r="847" customFormat="false" ht="15" hidden="false" customHeight="false" outlineLevel="0" collapsed="false">
      <c r="G847" s="20" t="n">
        <f aca="false">IF($D847=0,0,$D847*$E847)</f>
        <v>0</v>
      </c>
      <c r="H847" s="20" t="str">
        <f aca="false">IF($B847="","",CONCATENATE("Örnek kayıt: ",$B847))</f>
        <v/>
      </c>
    </row>
    <row r="848" customFormat="false" ht="15" hidden="false" customHeight="false" outlineLevel="0" collapsed="false">
      <c r="G848" s="20" t="n">
        <f aca="false">IF($D848=0,0,$D848*$E848)</f>
        <v>0</v>
      </c>
      <c r="H848" s="20" t="str">
        <f aca="false">IF($B848="","",CONCATENATE("Örnek kayıt: ",$B848))</f>
        <v/>
      </c>
    </row>
    <row r="849" customFormat="false" ht="15" hidden="false" customHeight="false" outlineLevel="0" collapsed="false">
      <c r="G849" s="20" t="n">
        <f aca="false">IF($D849=0,0,$D849*$E849)</f>
        <v>0</v>
      </c>
      <c r="H849" s="20" t="str">
        <f aca="false">IF($B849="","",CONCATENATE("Örnek kayıt: ",$B849))</f>
        <v/>
      </c>
    </row>
    <row r="850" customFormat="false" ht="15" hidden="false" customHeight="false" outlineLevel="0" collapsed="false">
      <c r="G850" s="20" t="n">
        <f aca="false">IF($D850=0,0,$D850*$E850)</f>
        <v>0</v>
      </c>
      <c r="H850" s="20" t="str">
        <f aca="false">IF($B850="","",CONCATENATE("Örnek kayıt: ",$B850))</f>
        <v/>
      </c>
    </row>
    <row r="851" customFormat="false" ht="15" hidden="false" customHeight="false" outlineLevel="0" collapsed="false">
      <c r="G851" s="20" t="n">
        <f aca="false">IF($D851=0,0,$D851*$E851)</f>
        <v>0</v>
      </c>
      <c r="H851" s="20" t="str">
        <f aca="false">IF($B851="","",CONCATENATE("Örnek kayıt: ",$B851))</f>
        <v/>
      </c>
    </row>
    <row r="852" customFormat="false" ht="15" hidden="false" customHeight="false" outlineLevel="0" collapsed="false">
      <c r="G852" s="20" t="n">
        <f aca="false">IF($D852=0,0,$D852*$E852)</f>
        <v>0</v>
      </c>
      <c r="H852" s="20" t="str">
        <f aca="false">IF($B852="","",CONCATENATE("Örnek kayıt: ",$B852))</f>
        <v/>
      </c>
    </row>
    <row r="853" customFormat="false" ht="15" hidden="false" customHeight="false" outlineLevel="0" collapsed="false">
      <c r="G853" s="20" t="n">
        <f aca="false">IF($D853=0,0,$D853*$E853)</f>
        <v>0</v>
      </c>
      <c r="H853" s="20" t="str">
        <f aca="false">IF($B853="","",CONCATENATE("Örnek kayıt: ",$B853))</f>
        <v/>
      </c>
    </row>
    <row r="854" customFormat="false" ht="15" hidden="false" customHeight="false" outlineLevel="0" collapsed="false">
      <c r="G854" s="20" t="n">
        <f aca="false">IF($D854=0,0,$D854*$E854)</f>
        <v>0</v>
      </c>
      <c r="H854" s="20" t="str">
        <f aca="false">IF($B854="","",CONCATENATE("Örnek kayıt: ",$B854))</f>
        <v/>
      </c>
    </row>
    <row r="855" customFormat="false" ht="15" hidden="false" customHeight="false" outlineLevel="0" collapsed="false">
      <c r="G855" s="20" t="n">
        <f aca="false">IF($D855=0,0,$D855*$E855)</f>
        <v>0</v>
      </c>
      <c r="H855" s="20" t="str">
        <f aca="false">IF($B855="","",CONCATENATE("Örnek kayıt: ",$B855))</f>
        <v/>
      </c>
    </row>
    <row r="856" customFormat="false" ht="15" hidden="false" customHeight="false" outlineLevel="0" collapsed="false">
      <c r="G856" s="20" t="n">
        <f aca="false">IF($D856=0,0,$D856*$E856)</f>
        <v>0</v>
      </c>
      <c r="H856" s="20" t="str">
        <f aca="false">IF($B856="","",CONCATENATE("Örnek kayıt: ",$B856))</f>
        <v/>
      </c>
    </row>
    <row r="857" customFormat="false" ht="15" hidden="false" customHeight="false" outlineLevel="0" collapsed="false">
      <c r="G857" s="20" t="n">
        <f aca="false">IF($D857=0,0,$D857*$E857)</f>
        <v>0</v>
      </c>
      <c r="H857" s="20" t="str">
        <f aca="false">IF($B857="","",CONCATENATE("Örnek kayıt: ",$B857))</f>
        <v/>
      </c>
    </row>
    <row r="858" customFormat="false" ht="15" hidden="false" customHeight="false" outlineLevel="0" collapsed="false">
      <c r="G858" s="20" t="n">
        <f aca="false">IF($D858=0,0,$D858*$E858)</f>
        <v>0</v>
      </c>
      <c r="H858" s="20" t="str">
        <f aca="false">IF($B858="","",CONCATENATE("Örnek kayıt: ",$B858))</f>
        <v/>
      </c>
    </row>
    <row r="859" customFormat="false" ht="15" hidden="false" customHeight="false" outlineLevel="0" collapsed="false">
      <c r="G859" s="20" t="n">
        <f aca="false">IF($D859=0,0,$D859*$E859)</f>
        <v>0</v>
      </c>
      <c r="H859" s="20" t="str">
        <f aca="false">IF($B859="","",CONCATENATE("Örnek kayıt: ",$B859))</f>
        <v/>
      </c>
    </row>
    <row r="860" customFormat="false" ht="15" hidden="false" customHeight="false" outlineLevel="0" collapsed="false">
      <c r="G860" s="20" t="n">
        <f aca="false">IF($D860=0,0,$D860*$E860)</f>
        <v>0</v>
      </c>
      <c r="H860" s="20" t="str">
        <f aca="false">IF($B860="","",CONCATENATE("Örnek kayıt: ",$B860))</f>
        <v/>
      </c>
    </row>
    <row r="861" customFormat="false" ht="15" hidden="false" customHeight="false" outlineLevel="0" collapsed="false">
      <c r="G861" s="20" t="n">
        <f aca="false">IF($D861=0,0,$D861*$E861)</f>
        <v>0</v>
      </c>
      <c r="H861" s="20" t="str">
        <f aca="false">IF($B861="","",CONCATENATE("Örnek kayıt: ",$B861))</f>
        <v/>
      </c>
    </row>
    <row r="862" customFormat="false" ht="15" hidden="false" customHeight="false" outlineLevel="0" collapsed="false">
      <c r="G862" s="20" t="n">
        <f aca="false">IF($D862=0,0,$D862*$E862)</f>
        <v>0</v>
      </c>
      <c r="H862" s="20" t="str">
        <f aca="false">IF($B862="","",CONCATENATE("Örnek kayıt: ",$B862))</f>
        <v/>
      </c>
    </row>
    <row r="863" customFormat="false" ht="15" hidden="false" customHeight="false" outlineLevel="0" collapsed="false">
      <c r="G863" s="20" t="n">
        <f aca="false">IF($D863=0,0,$D863*$E863)</f>
        <v>0</v>
      </c>
      <c r="H863" s="20" t="str">
        <f aca="false">IF($B863="","",CONCATENATE("Örnek kayıt: ",$B863))</f>
        <v/>
      </c>
    </row>
    <row r="864" customFormat="false" ht="15" hidden="false" customHeight="false" outlineLevel="0" collapsed="false">
      <c r="G864" s="20" t="n">
        <f aca="false">IF($D864=0,0,$D864*$E864)</f>
        <v>0</v>
      </c>
      <c r="H864" s="20" t="str">
        <f aca="false">IF($B864="","",CONCATENATE("Örnek kayıt: ",$B864))</f>
        <v/>
      </c>
    </row>
    <row r="865" customFormat="false" ht="15" hidden="false" customHeight="false" outlineLevel="0" collapsed="false">
      <c r="G865" s="20" t="n">
        <f aca="false">IF($D865=0,0,$D865*$E865)</f>
        <v>0</v>
      </c>
      <c r="H865" s="20" t="str">
        <f aca="false">IF($B865="","",CONCATENATE("Örnek kayıt: ",$B865))</f>
        <v/>
      </c>
    </row>
    <row r="866" customFormat="false" ht="15" hidden="false" customHeight="false" outlineLevel="0" collapsed="false">
      <c r="G866" s="20" t="n">
        <f aca="false">IF($D866=0,0,$D866*$E866)</f>
        <v>0</v>
      </c>
      <c r="H866" s="20" t="str">
        <f aca="false">IF($B866="","",CONCATENATE("Örnek kayıt: ",$B866))</f>
        <v/>
      </c>
    </row>
    <row r="867" customFormat="false" ht="15" hidden="false" customHeight="false" outlineLevel="0" collapsed="false">
      <c r="G867" s="20" t="n">
        <f aca="false">IF($D867=0,0,$D867*$E867)</f>
        <v>0</v>
      </c>
      <c r="H867" s="20" t="str">
        <f aca="false">IF($B867="","",CONCATENATE("Örnek kayıt: ",$B867))</f>
        <v/>
      </c>
    </row>
    <row r="868" customFormat="false" ht="15" hidden="false" customHeight="false" outlineLevel="0" collapsed="false">
      <c r="G868" s="20" t="n">
        <f aca="false">IF($D868=0,0,$D868*$E868)</f>
        <v>0</v>
      </c>
      <c r="H868" s="20" t="str">
        <f aca="false">IF($B868="","",CONCATENATE("Örnek kayıt: ",$B868))</f>
        <v/>
      </c>
    </row>
    <row r="869" customFormat="false" ht="15" hidden="false" customHeight="false" outlineLevel="0" collapsed="false">
      <c r="G869" s="20" t="n">
        <f aca="false">IF($D869=0,0,$D869*$E869)</f>
        <v>0</v>
      </c>
      <c r="H869" s="20" t="str">
        <f aca="false">IF($B869="","",CONCATENATE("Örnek kayıt: ",$B869))</f>
        <v/>
      </c>
    </row>
    <row r="870" customFormat="false" ht="15" hidden="false" customHeight="false" outlineLevel="0" collapsed="false">
      <c r="G870" s="20" t="n">
        <f aca="false">IF($D870=0,0,$D870*$E870)</f>
        <v>0</v>
      </c>
      <c r="H870" s="20" t="str">
        <f aca="false">IF($B870="","",CONCATENATE("Örnek kayıt: ",$B870))</f>
        <v/>
      </c>
    </row>
    <row r="871" customFormat="false" ht="15" hidden="false" customHeight="false" outlineLevel="0" collapsed="false">
      <c r="G871" s="20" t="n">
        <f aca="false">IF($D871=0,0,$D871*$E871)</f>
        <v>0</v>
      </c>
      <c r="H871" s="20" t="str">
        <f aca="false">IF($B871="","",CONCATENATE("Örnek kayıt: ",$B871))</f>
        <v/>
      </c>
    </row>
    <row r="872" customFormat="false" ht="15" hidden="false" customHeight="false" outlineLevel="0" collapsed="false">
      <c r="G872" s="20" t="n">
        <f aca="false">IF($D872=0,0,$D872*$E872)</f>
        <v>0</v>
      </c>
      <c r="H872" s="20" t="str">
        <f aca="false">IF($B872="","",CONCATENATE("Örnek kayıt: ",$B872))</f>
        <v/>
      </c>
    </row>
    <row r="873" customFormat="false" ht="15" hidden="false" customHeight="false" outlineLevel="0" collapsed="false">
      <c r="G873" s="20" t="n">
        <f aca="false">IF($D873=0,0,$D873*$E873)</f>
        <v>0</v>
      </c>
      <c r="H873" s="20" t="str">
        <f aca="false">IF($B873="","",CONCATENATE("Örnek kayıt: ",$B873))</f>
        <v/>
      </c>
    </row>
    <row r="874" customFormat="false" ht="15" hidden="false" customHeight="false" outlineLevel="0" collapsed="false">
      <c r="G874" s="20" t="n">
        <f aca="false">IF($D874=0,0,$D874*$E874)</f>
        <v>0</v>
      </c>
      <c r="H874" s="20" t="str">
        <f aca="false">IF($B874="","",CONCATENATE("Örnek kayıt: ",$B874))</f>
        <v/>
      </c>
    </row>
    <row r="875" customFormat="false" ht="15" hidden="false" customHeight="false" outlineLevel="0" collapsed="false">
      <c r="G875" s="20" t="n">
        <f aca="false">IF($D875=0,0,$D875*$E875)</f>
        <v>0</v>
      </c>
      <c r="H875" s="20" t="str">
        <f aca="false">IF($B875="","",CONCATENATE("Örnek kayıt: ",$B875))</f>
        <v/>
      </c>
    </row>
    <row r="876" customFormat="false" ht="15" hidden="false" customHeight="false" outlineLevel="0" collapsed="false">
      <c r="G876" s="20" t="n">
        <f aca="false">IF($D876=0,0,$D876*$E876)</f>
        <v>0</v>
      </c>
      <c r="H876" s="20" t="str">
        <f aca="false">IF($B876="","",CONCATENATE("Örnek kayıt: ",$B876))</f>
        <v/>
      </c>
    </row>
    <row r="877" customFormat="false" ht="15" hidden="false" customHeight="false" outlineLevel="0" collapsed="false">
      <c r="G877" s="20" t="n">
        <f aca="false">IF($D877=0,0,$D877*$E877)</f>
        <v>0</v>
      </c>
      <c r="H877" s="20" t="str">
        <f aca="false">IF($B877="","",CONCATENATE("Örnek kayıt: ",$B877))</f>
        <v/>
      </c>
    </row>
    <row r="878" customFormat="false" ht="15" hidden="false" customHeight="false" outlineLevel="0" collapsed="false">
      <c r="G878" s="20" t="n">
        <f aca="false">IF($D878=0,0,$D878*$E878)</f>
        <v>0</v>
      </c>
      <c r="H878" s="20" t="str">
        <f aca="false">IF($B878="","",CONCATENATE("Örnek kayıt: ",$B878))</f>
        <v/>
      </c>
    </row>
    <row r="879" customFormat="false" ht="15" hidden="false" customHeight="false" outlineLevel="0" collapsed="false">
      <c r="G879" s="20" t="n">
        <f aca="false">IF($D879=0,0,$D879*$E879)</f>
        <v>0</v>
      </c>
      <c r="H879" s="20" t="str">
        <f aca="false">IF($B879="","",CONCATENATE("Örnek kayıt: ",$B879))</f>
        <v/>
      </c>
    </row>
    <row r="880" customFormat="false" ht="15" hidden="false" customHeight="false" outlineLevel="0" collapsed="false">
      <c r="G880" s="20" t="n">
        <f aca="false">IF($D880=0,0,$D880*$E880)</f>
        <v>0</v>
      </c>
      <c r="H880" s="20" t="str">
        <f aca="false">IF($B880="","",CONCATENATE("Örnek kayıt: ",$B880))</f>
        <v/>
      </c>
    </row>
    <row r="881" customFormat="false" ht="15" hidden="false" customHeight="false" outlineLevel="0" collapsed="false">
      <c r="G881" s="20" t="n">
        <f aca="false">IF($D881=0,0,$D881*$E881)</f>
        <v>0</v>
      </c>
      <c r="H881" s="20" t="str">
        <f aca="false">IF($B881="","",CONCATENATE("Örnek kayıt: ",$B881))</f>
        <v/>
      </c>
    </row>
    <row r="882" customFormat="false" ht="15" hidden="false" customHeight="false" outlineLevel="0" collapsed="false">
      <c r="G882" s="20" t="n">
        <f aca="false">IF($D882=0,0,$D882*$E882)</f>
        <v>0</v>
      </c>
      <c r="H882" s="20" t="str">
        <f aca="false">IF($B882="","",CONCATENATE("Örnek kayıt: ",$B882))</f>
        <v/>
      </c>
    </row>
    <row r="883" customFormat="false" ht="15" hidden="false" customHeight="false" outlineLevel="0" collapsed="false">
      <c r="G883" s="20" t="n">
        <f aca="false">IF($D883=0,0,$D883*$E883)</f>
        <v>0</v>
      </c>
      <c r="H883" s="20" t="str">
        <f aca="false">IF($B883="","",CONCATENATE("Örnek kayıt: ",$B883))</f>
        <v/>
      </c>
    </row>
    <row r="884" customFormat="false" ht="15" hidden="false" customHeight="false" outlineLevel="0" collapsed="false">
      <c r="G884" s="20" t="n">
        <f aca="false">IF($D884=0,0,$D884*$E884)</f>
        <v>0</v>
      </c>
      <c r="H884" s="20" t="str">
        <f aca="false">IF($B884="","",CONCATENATE("Örnek kayıt: ",$B884))</f>
        <v/>
      </c>
    </row>
    <row r="885" customFormat="false" ht="15" hidden="false" customHeight="false" outlineLevel="0" collapsed="false">
      <c r="G885" s="20" t="n">
        <f aca="false">IF($D885=0,0,$D885*$E885)</f>
        <v>0</v>
      </c>
      <c r="H885" s="20" t="str">
        <f aca="false">IF($B885="","",CONCATENATE("Örnek kayıt: ",$B885))</f>
        <v/>
      </c>
    </row>
    <row r="886" customFormat="false" ht="15" hidden="false" customHeight="false" outlineLevel="0" collapsed="false">
      <c r="G886" s="20" t="n">
        <f aca="false">IF($D886=0,0,$D886*$E886)</f>
        <v>0</v>
      </c>
      <c r="H886" s="20" t="str">
        <f aca="false">IF($B886="","",CONCATENATE("Örnek kayıt: ",$B886))</f>
        <v/>
      </c>
    </row>
    <row r="887" customFormat="false" ht="15" hidden="false" customHeight="false" outlineLevel="0" collapsed="false">
      <c r="G887" s="20" t="n">
        <f aca="false">IF($D887=0,0,$D887*$E887)</f>
        <v>0</v>
      </c>
      <c r="H887" s="20" t="str">
        <f aca="false">IF($B887="","",CONCATENATE("Örnek kayıt: ",$B887))</f>
        <v/>
      </c>
    </row>
    <row r="888" customFormat="false" ht="15" hidden="false" customHeight="false" outlineLevel="0" collapsed="false">
      <c r="G888" s="20" t="n">
        <f aca="false">IF($D888=0,0,$D888*$E888)</f>
        <v>0</v>
      </c>
      <c r="H888" s="20" t="str">
        <f aca="false">IF($B888="","",CONCATENATE("Örnek kayıt: ",$B888))</f>
        <v/>
      </c>
    </row>
    <row r="889" customFormat="false" ht="15" hidden="false" customHeight="false" outlineLevel="0" collapsed="false">
      <c r="G889" s="20" t="n">
        <f aca="false">IF($D889=0,0,$D889*$E889)</f>
        <v>0</v>
      </c>
      <c r="H889" s="20" t="str">
        <f aca="false">IF($B889="","",CONCATENATE("Örnek kayıt: ",$B889))</f>
        <v/>
      </c>
    </row>
    <row r="890" customFormat="false" ht="15" hidden="false" customHeight="false" outlineLevel="0" collapsed="false">
      <c r="G890" s="20" t="n">
        <f aca="false">IF($D890=0,0,$D890*$E890)</f>
        <v>0</v>
      </c>
      <c r="H890" s="20" t="str">
        <f aca="false">IF($B890="","",CONCATENATE("Örnek kayıt: ",$B890))</f>
        <v/>
      </c>
    </row>
    <row r="891" customFormat="false" ht="15" hidden="false" customHeight="false" outlineLevel="0" collapsed="false">
      <c r="G891" s="20" t="n">
        <f aca="false">IF($D891=0,0,$D891*$E891)</f>
        <v>0</v>
      </c>
      <c r="H891" s="20" t="str">
        <f aca="false">IF($B891="","",CONCATENATE("Örnek kayıt: ",$B891))</f>
        <v/>
      </c>
    </row>
    <row r="892" customFormat="false" ht="15" hidden="false" customHeight="false" outlineLevel="0" collapsed="false">
      <c r="G892" s="20" t="n">
        <f aca="false">IF($D892=0,0,$D892*$E892)</f>
        <v>0</v>
      </c>
      <c r="H892" s="20" t="str">
        <f aca="false">IF($B892="","",CONCATENATE("Örnek kayıt: ",$B892))</f>
        <v/>
      </c>
    </row>
    <row r="893" customFormat="false" ht="15" hidden="false" customHeight="false" outlineLevel="0" collapsed="false">
      <c r="G893" s="20" t="n">
        <f aca="false">IF($D893=0,0,$D893*$E893)</f>
        <v>0</v>
      </c>
      <c r="H893" s="20" t="str">
        <f aca="false">IF($B893="","",CONCATENATE("Örnek kayıt: ",$B893))</f>
        <v/>
      </c>
    </row>
    <row r="894" customFormat="false" ht="15" hidden="false" customHeight="false" outlineLevel="0" collapsed="false">
      <c r="G894" s="20" t="n">
        <f aca="false">IF($D894=0,0,$D894*$E894)</f>
        <v>0</v>
      </c>
      <c r="H894" s="20" t="str">
        <f aca="false">IF($B894="","",CONCATENATE("Örnek kayıt: ",$B894))</f>
        <v/>
      </c>
    </row>
    <row r="895" customFormat="false" ht="15" hidden="false" customHeight="false" outlineLevel="0" collapsed="false">
      <c r="G895" s="20" t="n">
        <f aca="false">IF($D895=0,0,$D895*$E895)</f>
        <v>0</v>
      </c>
      <c r="H895" s="20" t="str">
        <f aca="false">IF($B895="","",CONCATENATE("Örnek kayıt: ",$B895))</f>
        <v/>
      </c>
    </row>
    <row r="896" customFormat="false" ht="15" hidden="false" customHeight="false" outlineLevel="0" collapsed="false">
      <c r="G896" s="20" t="n">
        <f aca="false">IF($D896=0,0,$D896*$E896)</f>
        <v>0</v>
      </c>
      <c r="H896" s="20" t="str">
        <f aca="false">IF($B896="","",CONCATENATE("Örnek kayıt: ",$B896))</f>
        <v/>
      </c>
    </row>
    <row r="897" customFormat="false" ht="15" hidden="false" customHeight="false" outlineLevel="0" collapsed="false">
      <c r="G897" s="20" t="n">
        <f aca="false">IF($D897=0,0,$D897*$E897)</f>
        <v>0</v>
      </c>
      <c r="H897" s="20" t="str">
        <f aca="false">IF($B897="","",CONCATENATE("Örnek kayıt: ",$B897))</f>
        <v/>
      </c>
    </row>
    <row r="898" customFormat="false" ht="15" hidden="false" customHeight="false" outlineLevel="0" collapsed="false">
      <c r="G898" s="20" t="n">
        <f aca="false">IF($D898=0,0,$D898*$E898)</f>
        <v>0</v>
      </c>
      <c r="H898" s="20" t="str">
        <f aca="false">IF($B898="","",CONCATENATE("Örnek kayıt: ",$B898))</f>
        <v/>
      </c>
    </row>
    <row r="899" customFormat="false" ht="15" hidden="false" customHeight="false" outlineLevel="0" collapsed="false">
      <c r="G899" s="20" t="n">
        <f aca="false">IF($D899=0,0,$D899*$E899)</f>
        <v>0</v>
      </c>
      <c r="H899" s="20" t="str">
        <f aca="false">IF($B899="","",CONCATENATE("Örnek kayıt: ",$B899))</f>
        <v/>
      </c>
    </row>
    <row r="900" customFormat="false" ht="15" hidden="false" customHeight="false" outlineLevel="0" collapsed="false">
      <c r="G900" s="20" t="n">
        <f aca="false">IF($D900=0,0,$D900*$E900)</f>
        <v>0</v>
      </c>
      <c r="H900" s="20" t="str">
        <f aca="false">IF($B900="","",CONCATENATE("Örnek kayıt: ",$B900))</f>
        <v/>
      </c>
    </row>
    <row r="901" customFormat="false" ht="15" hidden="false" customHeight="false" outlineLevel="0" collapsed="false">
      <c r="G901" s="20" t="n">
        <f aca="false">IF($D901=0,0,$D901*$E901)</f>
        <v>0</v>
      </c>
      <c r="H901" s="20" t="str">
        <f aca="false">IF($B901="","",CONCATENATE("Örnek kayıt: ",$B901))</f>
        <v/>
      </c>
    </row>
    <row r="902" customFormat="false" ht="15" hidden="false" customHeight="false" outlineLevel="0" collapsed="false">
      <c r="G902" s="20" t="n">
        <f aca="false">IF($D902=0,0,$D902*$E902)</f>
        <v>0</v>
      </c>
      <c r="H902" s="20" t="str">
        <f aca="false">IF($B902="","",CONCATENATE("Örnek kayıt: ",$B902))</f>
        <v/>
      </c>
    </row>
    <row r="903" customFormat="false" ht="15" hidden="false" customHeight="false" outlineLevel="0" collapsed="false">
      <c r="G903" s="20" t="n">
        <f aca="false">IF($D903=0,0,$D903*$E903)</f>
        <v>0</v>
      </c>
      <c r="H903" s="20" t="str">
        <f aca="false">IF($B903="","",CONCATENATE("Örnek kayıt: ",$B903))</f>
        <v/>
      </c>
    </row>
    <row r="904" customFormat="false" ht="15" hidden="false" customHeight="false" outlineLevel="0" collapsed="false">
      <c r="G904" s="20" t="n">
        <f aca="false">IF($D904=0,0,$D904*$E904)</f>
        <v>0</v>
      </c>
      <c r="H904" s="20" t="str">
        <f aca="false">IF($B904="","",CONCATENATE("Örnek kayıt: ",$B904))</f>
        <v/>
      </c>
    </row>
    <row r="905" customFormat="false" ht="15" hidden="false" customHeight="false" outlineLevel="0" collapsed="false">
      <c r="G905" s="20" t="n">
        <f aca="false">IF($D905=0,0,$D905*$E905)</f>
        <v>0</v>
      </c>
      <c r="H905" s="20" t="str">
        <f aca="false">IF($B905="","",CONCATENATE("Örnek kayıt: ",$B905))</f>
        <v/>
      </c>
    </row>
    <row r="906" customFormat="false" ht="15" hidden="false" customHeight="false" outlineLevel="0" collapsed="false">
      <c r="G906" s="20" t="n">
        <f aca="false">IF($D906=0,0,$D906*$E906)</f>
        <v>0</v>
      </c>
      <c r="H906" s="20" t="str">
        <f aca="false">IF($B906="","",CONCATENATE("Örnek kayıt: ",$B906))</f>
        <v/>
      </c>
    </row>
    <row r="907" customFormat="false" ht="15" hidden="false" customHeight="false" outlineLevel="0" collapsed="false">
      <c r="G907" s="20" t="n">
        <f aca="false">IF($D907=0,0,$D907*$E907)</f>
        <v>0</v>
      </c>
      <c r="H907" s="20" t="str">
        <f aca="false">IF($B907="","",CONCATENATE("Örnek kayıt: ",$B907))</f>
        <v/>
      </c>
    </row>
    <row r="908" customFormat="false" ht="15" hidden="false" customHeight="false" outlineLevel="0" collapsed="false">
      <c r="G908" s="20" t="n">
        <f aca="false">IF($D908=0,0,$D908*$E908)</f>
        <v>0</v>
      </c>
      <c r="H908" s="20" t="str">
        <f aca="false">IF($B908="","",CONCATENATE("Örnek kayıt: ",$B908))</f>
        <v/>
      </c>
    </row>
    <row r="909" customFormat="false" ht="15" hidden="false" customHeight="false" outlineLevel="0" collapsed="false">
      <c r="G909" s="20" t="n">
        <f aca="false">IF($D909=0,0,$D909*$E909)</f>
        <v>0</v>
      </c>
      <c r="H909" s="20" t="str">
        <f aca="false">IF($B909="","",CONCATENATE("Örnek kayıt: ",$B909))</f>
        <v/>
      </c>
    </row>
    <row r="910" customFormat="false" ht="15" hidden="false" customHeight="false" outlineLevel="0" collapsed="false">
      <c r="G910" s="20" t="n">
        <f aca="false">IF($D910=0,0,$D910*$E910)</f>
        <v>0</v>
      </c>
      <c r="H910" s="20" t="str">
        <f aca="false">IF($B910="","",CONCATENATE("Örnek kayıt: ",$B910))</f>
        <v/>
      </c>
    </row>
    <row r="911" customFormat="false" ht="15" hidden="false" customHeight="false" outlineLevel="0" collapsed="false">
      <c r="G911" s="20" t="n">
        <f aca="false">IF($D911=0,0,$D911*$E911)</f>
        <v>0</v>
      </c>
      <c r="H911" s="20" t="str">
        <f aca="false">IF($B911="","",CONCATENATE("Örnek kayıt: ",$B911))</f>
        <v/>
      </c>
    </row>
    <row r="912" customFormat="false" ht="15" hidden="false" customHeight="false" outlineLevel="0" collapsed="false">
      <c r="G912" s="20" t="n">
        <f aca="false">IF($D912=0,0,$D912*$E912)</f>
        <v>0</v>
      </c>
      <c r="H912" s="20" t="str">
        <f aca="false">IF($B912="","",CONCATENATE("Örnek kayıt: ",$B912))</f>
        <v/>
      </c>
    </row>
    <row r="913" customFormat="false" ht="15" hidden="false" customHeight="false" outlineLevel="0" collapsed="false">
      <c r="G913" s="20" t="n">
        <f aca="false">IF($D913=0,0,$D913*$E913)</f>
        <v>0</v>
      </c>
      <c r="H913" s="20" t="str">
        <f aca="false">IF($B913="","",CONCATENATE("Örnek kayıt: ",$B913))</f>
        <v/>
      </c>
    </row>
    <row r="914" customFormat="false" ht="15" hidden="false" customHeight="false" outlineLevel="0" collapsed="false">
      <c r="G914" s="20" t="n">
        <f aca="false">IF($D914=0,0,$D914*$E914)</f>
        <v>0</v>
      </c>
      <c r="H914" s="20" t="str">
        <f aca="false">IF($B914="","",CONCATENATE("Örnek kayıt: ",$B914))</f>
        <v/>
      </c>
    </row>
    <row r="915" customFormat="false" ht="15" hidden="false" customHeight="false" outlineLevel="0" collapsed="false">
      <c r="G915" s="20" t="n">
        <f aca="false">IF($D915=0,0,$D915*$E915)</f>
        <v>0</v>
      </c>
      <c r="H915" s="20" t="str">
        <f aca="false">IF($B915="","",CONCATENATE("Örnek kayıt: ",$B915))</f>
        <v/>
      </c>
    </row>
    <row r="916" customFormat="false" ht="15" hidden="false" customHeight="false" outlineLevel="0" collapsed="false">
      <c r="G916" s="20" t="n">
        <f aca="false">IF($D916=0,0,$D916*$E916)</f>
        <v>0</v>
      </c>
      <c r="H916" s="20" t="str">
        <f aca="false">IF($B916="","",CONCATENATE("Örnek kayıt: ",$B916))</f>
        <v/>
      </c>
    </row>
    <row r="917" customFormat="false" ht="15" hidden="false" customHeight="false" outlineLevel="0" collapsed="false">
      <c r="G917" s="20" t="n">
        <f aca="false">IF($D917=0,0,$D917*$E917)</f>
        <v>0</v>
      </c>
      <c r="H917" s="20" t="str">
        <f aca="false">IF($B917="","",CONCATENATE("Örnek kayıt: ",$B917))</f>
        <v/>
      </c>
    </row>
    <row r="918" customFormat="false" ht="15" hidden="false" customHeight="false" outlineLevel="0" collapsed="false">
      <c r="G918" s="20" t="n">
        <f aca="false">IF($D918=0,0,$D918*$E918)</f>
        <v>0</v>
      </c>
      <c r="H918" s="20" t="str">
        <f aca="false">IF($B918="","",CONCATENATE("Örnek kayıt: ",$B918))</f>
        <v/>
      </c>
    </row>
    <row r="919" customFormat="false" ht="15" hidden="false" customHeight="false" outlineLevel="0" collapsed="false">
      <c r="G919" s="20" t="n">
        <f aca="false">IF($D919=0,0,$D919*$E919)</f>
        <v>0</v>
      </c>
      <c r="H919" s="20" t="str">
        <f aca="false">IF($B919="","",CONCATENATE("Örnek kayıt: ",$B919))</f>
        <v/>
      </c>
    </row>
    <row r="920" customFormat="false" ht="15" hidden="false" customHeight="false" outlineLevel="0" collapsed="false">
      <c r="G920" s="20" t="n">
        <f aca="false">IF($D920=0,0,$D920*$E920)</f>
        <v>0</v>
      </c>
      <c r="H920" s="20" t="str">
        <f aca="false">IF($B920="","",CONCATENATE("Örnek kayıt: ",$B920))</f>
        <v/>
      </c>
    </row>
    <row r="921" customFormat="false" ht="15" hidden="false" customHeight="false" outlineLevel="0" collapsed="false">
      <c r="G921" s="20" t="n">
        <f aca="false">IF($D921=0,0,$D921*$E921)</f>
        <v>0</v>
      </c>
      <c r="H921" s="20" t="str">
        <f aca="false">IF($B921="","",CONCATENATE("Örnek kayıt: ",$B921))</f>
        <v/>
      </c>
    </row>
    <row r="922" customFormat="false" ht="15" hidden="false" customHeight="false" outlineLevel="0" collapsed="false">
      <c r="G922" s="20" t="n">
        <f aca="false">IF($D922=0,0,$D922*$E922)</f>
        <v>0</v>
      </c>
      <c r="H922" s="20" t="str">
        <f aca="false">IF($B922="","",CONCATENATE("Örnek kayıt: ",$B922))</f>
        <v/>
      </c>
    </row>
    <row r="923" customFormat="false" ht="15" hidden="false" customHeight="false" outlineLevel="0" collapsed="false">
      <c r="G923" s="20" t="n">
        <f aca="false">IF($D923=0,0,$D923*$E923)</f>
        <v>0</v>
      </c>
      <c r="H923" s="20" t="str">
        <f aca="false">IF($B923="","",CONCATENATE("Örnek kayıt: ",$B923))</f>
        <v/>
      </c>
    </row>
    <row r="924" customFormat="false" ht="15" hidden="false" customHeight="false" outlineLevel="0" collapsed="false">
      <c r="G924" s="20" t="n">
        <f aca="false">IF($D924=0,0,$D924*$E924)</f>
        <v>0</v>
      </c>
      <c r="H924" s="20" t="str">
        <f aca="false">IF($B924="","",CONCATENATE("Örnek kayıt: ",$B924))</f>
        <v/>
      </c>
    </row>
    <row r="925" customFormat="false" ht="15" hidden="false" customHeight="false" outlineLevel="0" collapsed="false">
      <c r="G925" s="20" t="n">
        <f aca="false">IF($D925=0,0,$D925*$E925)</f>
        <v>0</v>
      </c>
      <c r="H925" s="20" t="str">
        <f aca="false">IF($B925="","",CONCATENATE("Örnek kayıt: ",$B925))</f>
        <v/>
      </c>
    </row>
    <row r="926" customFormat="false" ht="15" hidden="false" customHeight="false" outlineLevel="0" collapsed="false">
      <c r="G926" s="20" t="n">
        <f aca="false">IF($D926=0,0,$D926*$E926)</f>
        <v>0</v>
      </c>
      <c r="H926" s="20" t="str">
        <f aca="false">IF($B926="","",CONCATENATE("Örnek kayıt: ",$B926))</f>
        <v/>
      </c>
    </row>
    <row r="927" customFormat="false" ht="15" hidden="false" customHeight="false" outlineLevel="0" collapsed="false">
      <c r="G927" s="20" t="n">
        <f aca="false">IF($D927=0,0,$D927*$E927)</f>
        <v>0</v>
      </c>
      <c r="H927" s="20" t="str">
        <f aca="false">IF($B927="","",CONCATENATE("Örnek kayıt: ",$B927))</f>
        <v/>
      </c>
    </row>
    <row r="928" customFormat="false" ht="15" hidden="false" customHeight="false" outlineLevel="0" collapsed="false">
      <c r="G928" s="20" t="n">
        <f aca="false">IF($D928=0,0,$D928*$E928)</f>
        <v>0</v>
      </c>
      <c r="H928" s="20" t="str">
        <f aca="false">IF($B928="","",CONCATENATE("Örnek kayıt: ",$B928))</f>
        <v/>
      </c>
    </row>
    <row r="929" customFormat="false" ht="15" hidden="false" customHeight="false" outlineLevel="0" collapsed="false">
      <c r="G929" s="20" t="n">
        <f aca="false">IF($D929=0,0,$D929*$E929)</f>
        <v>0</v>
      </c>
      <c r="H929" s="20" t="str">
        <f aca="false">IF($B929="","",CONCATENATE("Örnek kayıt: ",$B929))</f>
        <v/>
      </c>
    </row>
    <row r="930" customFormat="false" ht="15" hidden="false" customHeight="false" outlineLevel="0" collapsed="false">
      <c r="G930" s="20" t="n">
        <f aca="false">IF($D930=0,0,$D930*$E930)</f>
        <v>0</v>
      </c>
      <c r="H930" s="20" t="str">
        <f aca="false">IF($B930="","",CONCATENATE("Örnek kayıt: ",$B930))</f>
        <v/>
      </c>
    </row>
    <row r="931" customFormat="false" ht="15" hidden="false" customHeight="false" outlineLevel="0" collapsed="false">
      <c r="G931" s="20" t="n">
        <f aca="false">IF($D931=0,0,$D931*$E931)</f>
        <v>0</v>
      </c>
      <c r="H931" s="20" t="str">
        <f aca="false">IF($B931="","",CONCATENATE("Örnek kayıt: ",$B931))</f>
        <v/>
      </c>
    </row>
    <row r="932" customFormat="false" ht="15" hidden="false" customHeight="false" outlineLevel="0" collapsed="false">
      <c r="G932" s="20" t="n">
        <f aca="false">IF($D932=0,0,$D932*$E932)</f>
        <v>0</v>
      </c>
      <c r="H932" s="20" t="str">
        <f aca="false">IF($B932="","",CONCATENATE("Örnek kayıt: ",$B932))</f>
        <v/>
      </c>
    </row>
    <row r="933" customFormat="false" ht="15" hidden="false" customHeight="false" outlineLevel="0" collapsed="false">
      <c r="G933" s="20" t="n">
        <f aca="false">IF($D933=0,0,$D933*$E933)</f>
        <v>0</v>
      </c>
      <c r="H933" s="20" t="str">
        <f aca="false">IF($B933="","",CONCATENATE("Örnek kayıt: ",$B933))</f>
        <v/>
      </c>
    </row>
    <row r="934" customFormat="false" ht="15" hidden="false" customHeight="false" outlineLevel="0" collapsed="false">
      <c r="G934" s="20" t="n">
        <f aca="false">IF($D934=0,0,$D934*$E934)</f>
        <v>0</v>
      </c>
      <c r="H934" s="20" t="str">
        <f aca="false">IF($B934="","",CONCATENATE("Örnek kayıt: ",$B934))</f>
        <v/>
      </c>
    </row>
    <row r="935" customFormat="false" ht="15" hidden="false" customHeight="false" outlineLevel="0" collapsed="false">
      <c r="G935" s="20" t="n">
        <f aca="false">IF($D935=0,0,$D935*$E935)</f>
        <v>0</v>
      </c>
      <c r="H935" s="20" t="str">
        <f aca="false">IF($B935="","",CONCATENATE("Örnek kayıt: ",$B935))</f>
        <v/>
      </c>
    </row>
    <row r="936" customFormat="false" ht="15" hidden="false" customHeight="false" outlineLevel="0" collapsed="false">
      <c r="G936" s="20" t="n">
        <f aca="false">IF($D936=0,0,$D936*$E936)</f>
        <v>0</v>
      </c>
      <c r="H936" s="20" t="str">
        <f aca="false">IF($B936="","",CONCATENATE("Örnek kayıt: ",$B936))</f>
        <v/>
      </c>
    </row>
    <row r="937" customFormat="false" ht="15" hidden="false" customHeight="false" outlineLevel="0" collapsed="false">
      <c r="G937" s="20" t="n">
        <f aca="false">IF($D937=0,0,$D937*$E937)</f>
        <v>0</v>
      </c>
      <c r="H937" s="20" t="str">
        <f aca="false">IF($B937="","",CONCATENATE("Örnek kayıt: ",$B937))</f>
        <v/>
      </c>
    </row>
    <row r="938" customFormat="false" ht="15" hidden="false" customHeight="false" outlineLevel="0" collapsed="false">
      <c r="G938" s="20" t="n">
        <f aca="false">IF($D938=0,0,$D938*$E938)</f>
        <v>0</v>
      </c>
      <c r="H938" s="20" t="str">
        <f aca="false">IF($B938="","",CONCATENATE("Örnek kayıt: ",$B938))</f>
        <v/>
      </c>
    </row>
    <row r="939" customFormat="false" ht="15" hidden="false" customHeight="false" outlineLevel="0" collapsed="false">
      <c r="G939" s="20" t="n">
        <f aca="false">IF($D939=0,0,$D939*$E939)</f>
        <v>0</v>
      </c>
      <c r="H939" s="20" t="str">
        <f aca="false">IF($B939="","",CONCATENATE("Örnek kayıt: ",$B939))</f>
        <v/>
      </c>
    </row>
    <row r="940" customFormat="false" ht="15" hidden="false" customHeight="false" outlineLevel="0" collapsed="false">
      <c r="G940" s="20" t="n">
        <f aca="false">IF($D940=0,0,$D940*$E940)</f>
        <v>0</v>
      </c>
      <c r="H940" s="20" t="str">
        <f aca="false">IF($B940="","",CONCATENATE("Örnek kayıt: ",$B940))</f>
        <v/>
      </c>
    </row>
    <row r="941" customFormat="false" ht="15" hidden="false" customHeight="false" outlineLevel="0" collapsed="false">
      <c r="G941" s="20" t="n">
        <f aca="false">IF($D941=0,0,$D941*$E941)</f>
        <v>0</v>
      </c>
      <c r="H941" s="20" t="str">
        <f aca="false">IF($B941="","",CONCATENATE("Örnek kayıt: ",$B941))</f>
        <v/>
      </c>
    </row>
    <row r="942" customFormat="false" ht="15" hidden="false" customHeight="false" outlineLevel="0" collapsed="false">
      <c r="G942" s="20" t="n">
        <f aca="false">IF($D942=0,0,$D942*$E942)</f>
        <v>0</v>
      </c>
      <c r="H942" s="20" t="str">
        <f aca="false">IF($B942="","",CONCATENATE("Örnek kayıt: ",$B942))</f>
        <v/>
      </c>
    </row>
    <row r="943" customFormat="false" ht="15" hidden="false" customHeight="false" outlineLevel="0" collapsed="false">
      <c r="G943" s="20" t="n">
        <f aca="false">IF($D943=0,0,$D943*$E943)</f>
        <v>0</v>
      </c>
      <c r="H943" s="20" t="str">
        <f aca="false">IF($B943="","",CONCATENATE("Örnek kayıt: ",$B943))</f>
        <v/>
      </c>
    </row>
    <row r="944" customFormat="false" ht="15" hidden="false" customHeight="false" outlineLevel="0" collapsed="false">
      <c r="G944" s="20" t="n">
        <f aca="false">IF($D944=0,0,$D944*$E944)</f>
        <v>0</v>
      </c>
      <c r="H944" s="20" t="str">
        <f aca="false">IF($B944="","",CONCATENATE("Örnek kayıt: ",$B944))</f>
        <v/>
      </c>
    </row>
    <row r="945" customFormat="false" ht="15" hidden="false" customHeight="false" outlineLevel="0" collapsed="false">
      <c r="G945" s="20" t="n">
        <f aca="false">IF($D945=0,0,$D945*$E945)</f>
        <v>0</v>
      </c>
      <c r="H945" s="20" t="str">
        <f aca="false">IF($B945="","",CONCATENATE("Örnek kayıt: ",$B945))</f>
        <v/>
      </c>
    </row>
    <row r="946" customFormat="false" ht="15" hidden="false" customHeight="false" outlineLevel="0" collapsed="false">
      <c r="G946" s="20" t="n">
        <f aca="false">IF($D946=0,0,$D946*$E946)</f>
        <v>0</v>
      </c>
      <c r="H946" s="20" t="str">
        <f aca="false">IF($B946="","",CONCATENATE("Örnek kayıt: ",$B946))</f>
        <v/>
      </c>
    </row>
    <row r="947" customFormat="false" ht="15" hidden="false" customHeight="false" outlineLevel="0" collapsed="false">
      <c r="G947" s="20" t="n">
        <f aca="false">IF($D947=0,0,$D947*$E947)</f>
        <v>0</v>
      </c>
      <c r="H947" s="20" t="str">
        <f aca="false">IF($B947="","",CONCATENATE("Örnek kayıt: ",$B947))</f>
        <v/>
      </c>
    </row>
    <row r="948" customFormat="false" ht="15" hidden="false" customHeight="false" outlineLevel="0" collapsed="false">
      <c r="G948" s="20" t="n">
        <f aca="false">IF($D948=0,0,$D948*$E948)</f>
        <v>0</v>
      </c>
      <c r="H948" s="20" t="str">
        <f aca="false">IF($B948="","",CONCATENATE("Örnek kayıt: ",$B948))</f>
        <v/>
      </c>
    </row>
    <row r="949" customFormat="false" ht="15" hidden="false" customHeight="false" outlineLevel="0" collapsed="false">
      <c r="G949" s="20" t="n">
        <f aca="false">IF($D949=0,0,$D949*$E949)</f>
        <v>0</v>
      </c>
      <c r="H949" s="20" t="str">
        <f aca="false">IF($B949="","",CONCATENATE("Örnek kayıt: ",$B949))</f>
        <v/>
      </c>
    </row>
    <row r="950" customFormat="false" ht="15" hidden="false" customHeight="false" outlineLevel="0" collapsed="false">
      <c r="G950" s="20" t="n">
        <f aca="false">IF($D950=0,0,$D950*$E950)</f>
        <v>0</v>
      </c>
      <c r="H950" s="20" t="str">
        <f aca="false">IF($B950="","",CONCATENATE("Örnek kayıt: ",$B950))</f>
        <v/>
      </c>
    </row>
    <row r="951" customFormat="false" ht="15" hidden="false" customHeight="false" outlineLevel="0" collapsed="false">
      <c r="G951" s="20" t="n">
        <f aca="false">IF($D951=0,0,$D951*$E951)</f>
        <v>0</v>
      </c>
      <c r="H951" s="20" t="str">
        <f aca="false">IF($B951="","",CONCATENATE("Örnek kayıt: ",$B951))</f>
        <v/>
      </c>
    </row>
    <row r="952" customFormat="false" ht="15" hidden="false" customHeight="false" outlineLevel="0" collapsed="false">
      <c r="G952" s="20" t="n">
        <f aca="false">IF($D952=0,0,$D952*$E952)</f>
        <v>0</v>
      </c>
      <c r="H952" s="20" t="str">
        <f aca="false">IF($B952="","",CONCATENATE("Örnek kayıt: ",$B952))</f>
        <v/>
      </c>
    </row>
    <row r="953" customFormat="false" ht="15" hidden="false" customHeight="false" outlineLevel="0" collapsed="false">
      <c r="G953" s="20" t="n">
        <f aca="false">IF($D953=0,0,$D953*$E953)</f>
        <v>0</v>
      </c>
      <c r="H953" s="20" t="str">
        <f aca="false">IF($B953="","",CONCATENATE("Örnek kayıt: ",$B953))</f>
        <v/>
      </c>
    </row>
    <row r="954" customFormat="false" ht="15" hidden="false" customHeight="false" outlineLevel="0" collapsed="false">
      <c r="G954" s="20" t="n">
        <f aca="false">IF($D954=0,0,$D954*$E954)</f>
        <v>0</v>
      </c>
      <c r="H954" s="20" t="str">
        <f aca="false">IF($B954="","",CONCATENATE("Örnek kayıt: ",$B954))</f>
        <v/>
      </c>
    </row>
    <row r="955" customFormat="false" ht="15" hidden="false" customHeight="false" outlineLevel="0" collapsed="false">
      <c r="G955" s="20" t="n">
        <f aca="false">IF($D955=0,0,$D955*$E955)</f>
        <v>0</v>
      </c>
      <c r="H955" s="20" t="str">
        <f aca="false">IF($B955="","",CONCATENATE("Örnek kayıt: ",$B955))</f>
        <v/>
      </c>
    </row>
    <row r="956" customFormat="false" ht="15" hidden="false" customHeight="false" outlineLevel="0" collapsed="false">
      <c r="G956" s="20" t="n">
        <f aca="false">IF($D956=0,0,$D956*$E956)</f>
        <v>0</v>
      </c>
      <c r="H956" s="20" t="str">
        <f aca="false">IF($B956="","",CONCATENATE("Örnek kayıt: ",$B956))</f>
        <v/>
      </c>
    </row>
    <row r="957" customFormat="false" ht="15" hidden="false" customHeight="false" outlineLevel="0" collapsed="false">
      <c r="G957" s="20" t="n">
        <f aca="false">IF($D957=0,0,$D957*$E957)</f>
        <v>0</v>
      </c>
      <c r="H957" s="20" t="str">
        <f aca="false">IF($B957="","",CONCATENATE("Örnek kayıt: ",$B957))</f>
        <v/>
      </c>
    </row>
    <row r="958" customFormat="false" ht="15" hidden="false" customHeight="false" outlineLevel="0" collapsed="false">
      <c r="G958" s="20" t="n">
        <f aca="false">IF($D958=0,0,$D958*$E958)</f>
        <v>0</v>
      </c>
      <c r="H958" s="20" t="str">
        <f aca="false">IF($B958="","",CONCATENATE("Örnek kayıt: ",$B958))</f>
        <v/>
      </c>
    </row>
    <row r="959" customFormat="false" ht="15" hidden="false" customHeight="false" outlineLevel="0" collapsed="false">
      <c r="G959" s="20" t="n">
        <f aca="false">IF($D959=0,0,$D959*$E959)</f>
        <v>0</v>
      </c>
      <c r="H959" s="20" t="str">
        <f aca="false">IF($B959="","",CONCATENATE("Örnek kayıt: ",$B959))</f>
        <v/>
      </c>
    </row>
    <row r="960" customFormat="false" ht="15" hidden="false" customHeight="false" outlineLevel="0" collapsed="false">
      <c r="G960" s="20" t="n">
        <f aca="false">IF($D960=0,0,$D960*$E960)</f>
        <v>0</v>
      </c>
      <c r="H960" s="20" t="str">
        <f aca="false">IF($B960="","",CONCATENATE("Örnek kayıt: ",$B960))</f>
        <v/>
      </c>
    </row>
    <row r="961" customFormat="false" ht="15" hidden="false" customHeight="false" outlineLevel="0" collapsed="false">
      <c r="G961" s="20" t="n">
        <f aca="false">IF($D961=0,0,$D961*$E961)</f>
        <v>0</v>
      </c>
      <c r="H961" s="20" t="str">
        <f aca="false">IF($B961="","",CONCATENATE("Örnek kayıt: ",$B961))</f>
        <v/>
      </c>
    </row>
    <row r="962" customFormat="false" ht="15" hidden="false" customHeight="false" outlineLevel="0" collapsed="false">
      <c r="G962" s="20" t="n">
        <f aca="false">IF($D962=0,0,$D962*$E962)</f>
        <v>0</v>
      </c>
      <c r="H962" s="20" t="str">
        <f aca="false">IF($B962="","",CONCATENATE("Örnek kayıt: ",$B962))</f>
        <v/>
      </c>
    </row>
    <row r="963" customFormat="false" ht="15" hidden="false" customHeight="false" outlineLevel="0" collapsed="false">
      <c r="G963" s="20" t="n">
        <f aca="false">IF($D963=0,0,$D963*$E963)</f>
        <v>0</v>
      </c>
      <c r="H963" s="20" t="str">
        <f aca="false">IF($B963="","",CONCATENATE("Örnek kayıt: ",$B963))</f>
        <v/>
      </c>
    </row>
    <row r="964" customFormat="false" ht="15" hidden="false" customHeight="false" outlineLevel="0" collapsed="false">
      <c r="G964" s="20" t="n">
        <f aca="false">IF($D964=0,0,$D964*$E964)</f>
        <v>0</v>
      </c>
      <c r="H964" s="20" t="str">
        <f aca="false">IF($B964="","",CONCATENATE("Örnek kayıt: ",$B964))</f>
        <v/>
      </c>
    </row>
    <row r="965" customFormat="false" ht="15" hidden="false" customHeight="false" outlineLevel="0" collapsed="false">
      <c r="G965" s="20" t="n">
        <f aca="false">IF($D965=0,0,$D965*$E965)</f>
        <v>0</v>
      </c>
      <c r="H965" s="20" t="str">
        <f aca="false">IF($B965="","",CONCATENATE("Örnek kayıt: ",$B965))</f>
        <v/>
      </c>
    </row>
    <row r="966" customFormat="false" ht="15" hidden="false" customHeight="false" outlineLevel="0" collapsed="false">
      <c r="G966" s="20" t="n">
        <f aca="false">IF($D966=0,0,$D966*$E966)</f>
        <v>0</v>
      </c>
      <c r="H966" s="20" t="str">
        <f aca="false">IF($B966="","",CONCATENATE("Örnek kayıt: ",$B966))</f>
        <v/>
      </c>
    </row>
    <row r="967" customFormat="false" ht="15" hidden="false" customHeight="false" outlineLevel="0" collapsed="false">
      <c r="G967" s="20" t="n">
        <f aca="false">IF($D967=0,0,$D967*$E967)</f>
        <v>0</v>
      </c>
      <c r="H967" s="20" t="str">
        <f aca="false">IF($B967="","",CONCATENATE("Örnek kayıt: ",$B967))</f>
        <v/>
      </c>
    </row>
    <row r="968" customFormat="false" ht="15" hidden="false" customHeight="false" outlineLevel="0" collapsed="false">
      <c r="G968" s="20" t="n">
        <f aca="false">IF($D968=0,0,$D968*$E968)</f>
        <v>0</v>
      </c>
      <c r="H968" s="20" t="str">
        <f aca="false">IF($B968="","",CONCATENATE("Örnek kayıt: ",$B968))</f>
        <v/>
      </c>
    </row>
    <row r="969" customFormat="false" ht="15" hidden="false" customHeight="false" outlineLevel="0" collapsed="false">
      <c r="G969" s="20" t="n">
        <f aca="false">IF($D969=0,0,$D969*$E969)</f>
        <v>0</v>
      </c>
      <c r="H969" s="20" t="str">
        <f aca="false">IF($B969="","",CONCATENATE("Örnek kayıt: ",$B969))</f>
        <v/>
      </c>
    </row>
    <row r="970" customFormat="false" ht="15" hidden="false" customHeight="false" outlineLevel="0" collapsed="false">
      <c r="G970" s="20" t="n">
        <f aca="false">IF($D970=0,0,$D970*$E970)</f>
        <v>0</v>
      </c>
      <c r="H970" s="20" t="str">
        <f aca="false">IF($B970="","",CONCATENATE("Örnek kayıt: ",$B970))</f>
        <v/>
      </c>
    </row>
    <row r="971" customFormat="false" ht="15" hidden="false" customHeight="false" outlineLevel="0" collapsed="false">
      <c r="G971" s="20" t="n">
        <f aca="false">IF($D971=0,0,$D971*$E971)</f>
        <v>0</v>
      </c>
      <c r="H971" s="20" t="str">
        <f aca="false">IF($B971="","",CONCATENATE("Örnek kayıt: ",$B971))</f>
        <v/>
      </c>
    </row>
    <row r="972" customFormat="false" ht="15" hidden="false" customHeight="false" outlineLevel="0" collapsed="false">
      <c r="G972" s="20" t="n">
        <f aca="false">IF($D972=0,0,$D972*$E972)</f>
        <v>0</v>
      </c>
      <c r="H972" s="20" t="str">
        <f aca="false">IF($B972="","",CONCATENATE("Örnek kayıt: ",$B972))</f>
        <v/>
      </c>
    </row>
    <row r="973" customFormat="false" ht="15" hidden="false" customHeight="false" outlineLevel="0" collapsed="false">
      <c r="G973" s="20" t="n">
        <f aca="false">IF($D973=0,0,$D973*$E973)</f>
        <v>0</v>
      </c>
      <c r="H973" s="20" t="str">
        <f aca="false">IF($B973="","",CONCATENATE("Örnek kayıt: ",$B973))</f>
        <v/>
      </c>
    </row>
    <row r="974" customFormat="false" ht="15" hidden="false" customHeight="false" outlineLevel="0" collapsed="false">
      <c r="G974" s="20" t="n">
        <f aca="false">IF($D974=0,0,$D974*$E974)</f>
        <v>0</v>
      </c>
      <c r="H974" s="20" t="str">
        <f aca="false">IF($B974="","",CONCATENATE("Örnek kayıt: ",$B974))</f>
        <v/>
      </c>
    </row>
    <row r="975" customFormat="false" ht="15" hidden="false" customHeight="false" outlineLevel="0" collapsed="false">
      <c r="G975" s="20" t="n">
        <f aca="false">IF($D975=0,0,$D975*$E975)</f>
        <v>0</v>
      </c>
      <c r="H975" s="20" t="str">
        <f aca="false">IF($B975="","",CONCATENATE("Örnek kayıt: ",$B975))</f>
        <v/>
      </c>
    </row>
    <row r="976" customFormat="false" ht="15" hidden="false" customHeight="false" outlineLevel="0" collapsed="false">
      <c r="G976" s="20" t="n">
        <f aca="false">IF($D976=0,0,$D976*$E976)</f>
        <v>0</v>
      </c>
      <c r="H976" s="20" t="str">
        <f aca="false">IF($B976="","",CONCATENATE("Örnek kayıt: ",$B976))</f>
        <v/>
      </c>
    </row>
    <row r="977" customFormat="false" ht="15" hidden="false" customHeight="false" outlineLevel="0" collapsed="false">
      <c r="G977" s="20" t="n">
        <f aca="false">IF($D977=0,0,$D977*$E977)</f>
        <v>0</v>
      </c>
      <c r="H977" s="20" t="str">
        <f aca="false">IF($B977="","",CONCATENATE("Örnek kayıt: ",$B977))</f>
        <v/>
      </c>
    </row>
    <row r="978" customFormat="false" ht="15" hidden="false" customHeight="false" outlineLevel="0" collapsed="false">
      <c r="G978" s="20" t="n">
        <f aca="false">IF($D978=0,0,$D978*$E978)</f>
        <v>0</v>
      </c>
      <c r="H978" s="20" t="str">
        <f aca="false">IF($B978="","",CONCATENATE("Örnek kayıt: ",$B978))</f>
        <v/>
      </c>
    </row>
    <row r="979" customFormat="false" ht="15" hidden="false" customHeight="false" outlineLevel="0" collapsed="false">
      <c r="G979" s="20" t="n">
        <f aca="false">IF($D979=0,0,$D979*$E979)</f>
        <v>0</v>
      </c>
      <c r="H979" s="20" t="str">
        <f aca="false">IF($B979="","",CONCATENATE("Örnek kayıt: ",$B979))</f>
        <v/>
      </c>
    </row>
    <row r="980" customFormat="false" ht="15" hidden="false" customHeight="false" outlineLevel="0" collapsed="false">
      <c r="G980" s="20" t="n">
        <f aca="false">IF($D980=0,0,$D980*$E980)</f>
        <v>0</v>
      </c>
      <c r="H980" s="20" t="str">
        <f aca="false">IF($B980="","",CONCATENATE("Örnek kayıt: ",$B980))</f>
        <v/>
      </c>
    </row>
    <row r="981" customFormat="false" ht="15" hidden="false" customHeight="false" outlineLevel="0" collapsed="false">
      <c r="G981" s="20" t="n">
        <f aca="false">IF($D981=0,0,$D981*$E981)</f>
        <v>0</v>
      </c>
      <c r="H981" s="20" t="str">
        <f aca="false">IF($B981="","",CONCATENATE("Örnek kayıt: ",$B981))</f>
        <v/>
      </c>
    </row>
    <row r="982" customFormat="false" ht="15" hidden="false" customHeight="false" outlineLevel="0" collapsed="false">
      <c r="G982" s="20" t="n">
        <f aca="false">IF($D982=0,0,$D982*$E982)</f>
        <v>0</v>
      </c>
      <c r="H982" s="20" t="str">
        <f aca="false">IF($B982="","",CONCATENATE("Örnek kayıt: ",$B982))</f>
        <v/>
      </c>
    </row>
    <row r="983" customFormat="false" ht="15" hidden="false" customHeight="false" outlineLevel="0" collapsed="false">
      <c r="G983" s="20" t="n">
        <f aca="false">IF($D983=0,0,$D983*$E983)</f>
        <v>0</v>
      </c>
      <c r="H983" s="20" t="str">
        <f aca="false">IF($B983="","",CONCATENATE("Örnek kayıt: ",$B983))</f>
        <v/>
      </c>
    </row>
    <row r="984" customFormat="false" ht="15" hidden="false" customHeight="false" outlineLevel="0" collapsed="false">
      <c r="G984" s="20" t="n">
        <f aca="false">IF($D984=0,0,$D984*$E984)</f>
        <v>0</v>
      </c>
      <c r="H984" s="20" t="str">
        <f aca="false">IF($B984="","",CONCATENATE("Örnek kayıt: ",$B984))</f>
        <v/>
      </c>
    </row>
    <row r="985" customFormat="false" ht="15" hidden="false" customHeight="false" outlineLevel="0" collapsed="false">
      <c r="G985" s="20" t="n">
        <f aca="false">IF($D985=0,0,$D985*$E985)</f>
        <v>0</v>
      </c>
      <c r="H985" s="20" t="str">
        <f aca="false">IF($B985="","",CONCATENATE("Örnek kayıt: ",$B985))</f>
        <v/>
      </c>
    </row>
    <row r="986" customFormat="false" ht="15" hidden="false" customHeight="false" outlineLevel="0" collapsed="false">
      <c r="G986" s="20" t="n">
        <f aca="false">IF($D986=0,0,$D986*$E986)</f>
        <v>0</v>
      </c>
      <c r="H986" s="20" t="str">
        <f aca="false">IF($B986="","",CONCATENATE("Örnek kayıt: ",$B986))</f>
        <v/>
      </c>
    </row>
    <row r="987" customFormat="false" ht="15" hidden="false" customHeight="false" outlineLevel="0" collapsed="false">
      <c r="G987" s="20" t="n">
        <f aca="false">IF($D987=0,0,$D987*$E987)</f>
        <v>0</v>
      </c>
      <c r="H987" s="20" t="str">
        <f aca="false">IF($B987="","",CONCATENATE("Örnek kayıt: ",$B987))</f>
        <v/>
      </c>
    </row>
    <row r="988" customFormat="false" ht="15" hidden="false" customHeight="false" outlineLevel="0" collapsed="false">
      <c r="G988" s="20" t="n">
        <f aca="false">IF($D988=0,0,$D988*$E988)</f>
        <v>0</v>
      </c>
      <c r="H988" s="20" t="str">
        <f aca="false">IF($B988="","",CONCATENATE("Örnek kayıt: ",$B988))</f>
        <v/>
      </c>
    </row>
    <row r="989" customFormat="false" ht="15" hidden="false" customHeight="false" outlineLevel="0" collapsed="false">
      <c r="G989" s="20" t="n">
        <f aca="false">IF($D989=0,0,$D989*$E989)</f>
        <v>0</v>
      </c>
      <c r="H989" s="20" t="str">
        <f aca="false">IF($B989="","",CONCATENATE("Örnek kayıt: ",$B989))</f>
        <v/>
      </c>
    </row>
    <row r="990" customFormat="false" ht="15" hidden="false" customHeight="false" outlineLevel="0" collapsed="false">
      <c r="G990" s="20" t="n">
        <f aca="false">IF($D990=0,0,$D990*$E990)</f>
        <v>0</v>
      </c>
      <c r="H990" s="20" t="str">
        <f aca="false">IF($B990="","",CONCATENATE("Örnek kayıt: ",$B990))</f>
        <v/>
      </c>
    </row>
    <row r="991" customFormat="false" ht="15" hidden="false" customHeight="false" outlineLevel="0" collapsed="false">
      <c r="G991" s="20" t="n">
        <f aca="false">IF($D991=0,0,$D991*$E991)</f>
        <v>0</v>
      </c>
      <c r="H991" s="20" t="str">
        <f aca="false">IF($B991="","",CONCATENATE("Örnek kayıt: ",$B991))</f>
        <v/>
      </c>
    </row>
    <row r="992" customFormat="false" ht="15" hidden="false" customHeight="false" outlineLevel="0" collapsed="false">
      <c r="G992" s="20" t="n">
        <f aca="false">IF($D992=0,0,$D992*$E992)</f>
        <v>0</v>
      </c>
      <c r="H992" s="20" t="str">
        <f aca="false">IF($B992="","",CONCATENATE("Örnek kayıt: ",$B992))</f>
        <v/>
      </c>
    </row>
    <row r="993" customFormat="false" ht="15" hidden="false" customHeight="false" outlineLevel="0" collapsed="false">
      <c r="G993" s="20" t="n">
        <f aca="false">IF($D993=0,0,$D993*$E993)</f>
        <v>0</v>
      </c>
      <c r="H993" s="20" t="str">
        <f aca="false">IF($B993="","",CONCATENATE("Örnek kayıt: ",$B993))</f>
        <v/>
      </c>
    </row>
    <row r="994" customFormat="false" ht="15" hidden="false" customHeight="false" outlineLevel="0" collapsed="false">
      <c r="G994" s="20" t="n">
        <f aca="false">IF($D994=0,0,$D994*$E994)</f>
        <v>0</v>
      </c>
      <c r="H994" s="20" t="str">
        <f aca="false">IF($B994="","",CONCATENATE("Örnek kayıt: ",$B994))</f>
        <v/>
      </c>
    </row>
    <row r="995" customFormat="false" ht="15" hidden="false" customHeight="false" outlineLevel="0" collapsed="false">
      <c r="G995" s="20" t="n">
        <f aca="false">IF($D995=0,0,$D995*$E995)</f>
        <v>0</v>
      </c>
      <c r="H995" s="20" t="str">
        <f aca="false">IF($B995="","",CONCATENATE("Örnek kayıt: ",$B995))</f>
        <v/>
      </c>
    </row>
    <row r="996" customFormat="false" ht="15" hidden="false" customHeight="false" outlineLevel="0" collapsed="false">
      <c r="G996" s="20" t="n">
        <f aca="false">IF($D996=0,0,$D996*$E996)</f>
        <v>0</v>
      </c>
      <c r="H996" s="20" t="str">
        <f aca="false">IF($B996="","",CONCATENATE("Örnek kayıt: ",$B996))</f>
        <v/>
      </c>
    </row>
    <row r="997" customFormat="false" ht="15" hidden="false" customHeight="false" outlineLevel="0" collapsed="false">
      <c r="G997" s="20" t="n">
        <f aca="false">IF($D997=0,0,$D997*$E997)</f>
        <v>0</v>
      </c>
      <c r="H997" s="20" t="str">
        <f aca="false">IF($B997="","",CONCATENATE("Örnek kayıt: ",$B997))</f>
        <v/>
      </c>
    </row>
    <row r="998" customFormat="false" ht="15" hidden="false" customHeight="false" outlineLevel="0" collapsed="false">
      <c r="G998" s="20" t="n">
        <f aca="false">IF($D998=0,0,$D998*$E998)</f>
        <v>0</v>
      </c>
      <c r="H998" s="20" t="str">
        <f aca="false">IF($B998="","",CONCATENATE("Örnek kayıt: ",$B998))</f>
        <v/>
      </c>
    </row>
    <row r="999" customFormat="false" ht="15" hidden="false" customHeight="false" outlineLevel="0" collapsed="false">
      <c r="G999" s="20" t="n">
        <f aca="false">IF($D999=0,0,$D999*$E999)</f>
        <v>0</v>
      </c>
      <c r="H999" s="20" t="str">
        <f aca="false">IF($B999="","",CONCATENATE("Örnek kayıt: ",$B999))</f>
        <v/>
      </c>
    </row>
    <row r="1000" customFormat="false" ht="15" hidden="false" customHeight="false" outlineLevel="0" collapsed="false">
      <c r="G1000" s="20" t="n">
        <f aca="false">IF($D1000=0,0,$D1000*$E1000)</f>
        <v>0</v>
      </c>
      <c r="H1000" s="20" t="str">
        <f aca="false">IF($B1000="","",CONCATENATE("Örnek kayıt: ",$B1000))</f>
        <v/>
      </c>
    </row>
    <row r="1001" customFormat="false" ht="15" hidden="false" customHeight="false" outlineLevel="0" collapsed="false">
      <c r="G1001" s="20" t="n">
        <f aca="false">IF($D1001=0,0,$D1001*$E1001)</f>
        <v>0</v>
      </c>
      <c r="H1001" s="20" t="str">
        <f aca="false">IF($B1001="","",CONCATENATE("Örnek kayıt: ",$B1001))</f>
        <v/>
      </c>
    </row>
    <row r="1002" customFormat="false" ht="15" hidden="false" customHeight="false" outlineLevel="0" collapsed="false">
      <c r="G1002" s="20" t="n">
        <f aca="false">IF($D1002=0,0,$D1002*$E1002)</f>
        <v>0</v>
      </c>
      <c r="H1002" s="20" t="str">
        <f aca="false">IF($B1002="","",CONCATENATE("Örnek kayıt: ",$B1002))</f>
        <v/>
      </c>
    </row>
    <row r="1003" customFormat="false" ht="15" hidden="false" customHeight="false" outlineLevel="0" collapsed="false">
      <c r="G1003" s="20" t="n">
        <f aca="false">IF($D1003=0,0,$D1003*$E1003)</f>
        <v>0</v>
      </c>
      <c r="H1003" s="20" t="str">
        <f aca="false">IF($B1003="","",CONCATENATE("Örnek kayıt: ",$B1003))</f>
        <v/>
      </c>
    </row>
    <row r="1004" customFormat="false" ht="15" hidden="false" customHeight="false" outlineLevel="0" collapsed="false">
      <c r="G1004" s="20" t="n">
        <f aca="false">IF($D1004=0,0,$D1004*$E1004)</f>
        <v>0</v>
      </c>
      <c r="H1004" s="20" t="str">
        <f aca="false">IF($B1004="","",CONCATENATE("Örnek kayıt: ",$B1004))</f>
        <v/>
      </c>
    </row>
    <row r="1006" customFormat="false" ht="19.5" hidden="false" customHeight="true" outlineLevel="0" collapsed="false">
      <c r="A1006" s="25" t="s">
        <v>194</v>
      </c>
      <c r="B1006" s="25"/>
      <c r="C1006" s="25"/>
      <c r="D1006" s="25"/>
      <c r="E1006" s="25"/>
      <c r="F1006" s="25"/>
      <c r="G1006" s="25"/>
      <c r="H1006" s="25"/>
      <c r="I1006" s="25"/>
      <c r="J1006" s="25"/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  <c r="AA1006" s="25"/>
      <c r="AB1006" s="25"/>
      <c r="AC1006" s="25"/>
      <c r="AD1006" s="25"/>
      <c r="AE1006" s="25"/>
      <c r="AF1006" s="25"/>
      <c r="AG1006" s="25"/>
      <c r="AH1006" s="25"/>
      <c r="AI1006" s="25"/>
      <c r="AJ1006" s="25"/>
      <c r="AK1006" s="25"/>
      <c r="AL1006" s="25"/>
      <c r="AM1006" s="25"/>
      <c r="AN1006" s="25"/>
    </row>
  </sheetData>
  <sheetProtection sheet="true" password="cc3d" objects="true" scenarios="true" deleteColumns="false" deleteRows="false"/>
  <mergeCells count="2">
    <mergeCell ref="A1:AD1"/>
    <mergeCell ref="A1006:AN1006"/>
  </mergeCells>
  <conditionalFormatting sqref="D6:D1004">
    <cfRule type="cellIs" priority="2" operator="lessThan" aboveAverage="0" equalAverage="0" bottom="0" percent="0" rank="0" text="" dxfId="7">
      <formula>0</formula>
    </cfRule>
  </conditionalFormatting>
  <conditionalFormatting sqref="E6:E1004">
    <cfRule type="cellIs" priority="3" operator="lessThan" aboveAverage="0" equalAverage="0" bottom="0" percent="0" rank="0" text="" dxfId="7">
      <formula>0</formula>
    </cfRule>
  </conditionalFormatting>
  <conditionalFormatting sqref="G6:G1004">
    <cfRule type="cellIs" priority="4" operator="lessThan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4" min="4" style="0" width="30"/>
    <col collapsed="false" customWidth="true" hidden="false" outlineLevel="0" max="5" min="5" style="0" width="14"/>
  </cols>
  <sheetData>
    <row r="1" customFormat="false" ht="25.5" hidden="false" customHeight="true" outlineLevel="0" collapsed="false">
      <c r="A1" s="1" t="s">
        <v>195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5" hidden="false" customHeight="false" outlineLevel="0" collapsed="false">
      <c r="A3" s="4" t="s">
        <v>196</v>
      </c>
    </row>
    <row r="4" customFormat="false" ht="30" hidden="false" customHeight="true" outlineLevel="0" collapsed="false">
      <c r="A4" s="14" t="s">
        <v>34</v>
      </c>
      <c r="B4" s="14" t="s">
        <v>197</v>
      </c>
      <c r="C4" s="14" t="s">
        <v>198</v>
      </c>
      <c r="D4" s="14" t="s">
        <v>199</v>
      </c>
      <c r="E4" s="14" t="s">
        <v>200</v>
      </c>
    </row>
    <row r="5" customFormat="false" ht="15" hidden="false" customHeight="false" outlineLevel="0" collapsed="false">
      <c r="A5" s="58" t="s">
        <v>201</v>
      </c>
      <c r="B5" s="58" t="s">
        <v>202</v>
      </c>
      <c r="C5" s="58" t="s">
        <v>203</v>
      </c>
      <c r="D5" s="58" t="s">
        <v>204</v>
      </c>
      <c r="E5" s="58" t="s">
        <v>205</v>
      </c>
    </row>
  </sheetData>
  <sheetProtection sheet="true" password="cc3d" objects="true" scenarios="true" deleteColumns="false" deleteRows="false"/>
  <mergeCells count="1">
    <mergeCell ref="A1:A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3" style="0" width="14"/>
    <col collapsed="false" customWidth="true" hidden="false" outlineLevel="0" max="5" min="5" style="0" width="16"/>
  </cols>
  <sheetData>
    <row r="1" customFormat="false" ht="25.5" hidden="false" customHeight="true" outlineLevel="0" collapsed="false">
      <c r="A1" s="1" t="s">
        <v>206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5" hidden="false" customHeight="false" outlineLevel="0" collapsed="false">
      <c r="A3" s="4" t="s">
        <v>207</v>
      </c>
    </row>
    <row r="4" customFormat="false" ht="68.65" hidden="false" customHeight="false" outlineLevel="0" collapsed="false">
      <c r="A4" s="13" t="s">
        <v>208</v>
      </c>
    </row>
    <row r="6" customFormat="false" ht="15" hidden="false" customHeight="false" outlineLevel="0" collapsed="false">
      <c r="A6" s="51" t="s">
        <v>35</v>
      </c>
      <c r="C6" s="51" t="s">
        <v>36</v>
      </c>
      <c r="E6" s="51" t="s">
        <v>209</v>
      </c>
    </row>
    <row r="7" customFormat="false" ht="15" hidden="false" customHeight="false" outlineLevel="0" collapsed="false">
      <c r="A7" s="62" t="s">
        <v>42</v>
      </c>
      <c r="C7" s="62" t="s">
        <v>43</v>
      </c>
      <c r="E7" s="62" t="s">
        <v>44</v>
      </c>
    </row>
    <row r="8" customFormat="false" ht="15" hidden="false" customHeight="false" outlineLevel="0" collapsed="false">
      <c r="A8" s="62" t="s">
        <v>45</v>
      </c>
      <c r="C8" s="62" t="s">
        <v>46</v>
      </c>
      <c r="E8" s="62" t="s">
        <v>47</v>
      </c>
    </row>
    <row r="9" customFormat="false" ht="15" hidden="false" customHeight="false" outlineLevel="0" collapsed="false">
      <c r="A9" s="62" t="s">
        <v>48</v>
      </c>
      <c r="E9" s="62" t="s">
        <v>49</v>
      </c>
    </row>
    <row r="10" customFormat="false" ht="15" hidden="false" customHeight="false" outlineLevel="0" collapsed="false">
      <c r="A10" s="62" t="s">
        <v>50</v>
      </c>
      <c r="E10" s="62" t="s">
        <v>51</v>
      </c>
    </row>
    <row r="11" customFormat="false" ht="15" hidden="false" customHeight="false" outlineLevel="0" collapsed="false">
      <c r="A11" s="62" t="s">
        <v>65</v>
      </c>
    </row>
  </sheetData>
  <sheetProtection sheet="true" password="cc3d" objects="true" scenarios="true" deleteColumns="false" deleteRows="false"/>
  <mergeCells count="1">
    <mergeCell ref="A1:A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6" min="6" style="0" width="60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8"/>
  </cols>
  <sheetData>
    <row r="1" customFormat="false" ht="25.5" hidden="false" customHeight="true" outlineLevel="0" collapsed="false">
      <c r="A1" s="1" t="s">
        <v>210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5" hidden="false" customHeight="false" outlineLevel="0" collapsed="false">
      <c r="A3" s="4" t="s">
        <v>211</v>
      </c>
    </row>
    <row r="4" customFormat="false" ht="55.2" hidden="false" customHeight="false" outlineLevel="0" collapsed="false">
      <c r="A4" s="13" t="s">
        <v>212</v>
      </c>
    </row>
    <row r="6" customFormat="false" ht="30" hidden="false" customHeight="true" outlineLevel="0" collapsed="false">
      <c r="A6" s="14" t="s">
        <v>213</v>
      </c>
      <c r="B6" s="14" t="s">
        <v>214</v>
      </c>
      <c r="C6" s="14" t="s">
        <v>215</v>
      </c>
      <c r="D6" s="14" t="s">
        <v>216</v>
      </c>
      <c r="E6" s="14" t="s">
        <v>217</v>
      </c>
      <c r="F6" s="14" t="s">
        <v>218</v>
      </c>
      <c r="G6" s="14" t="s">
        <v>219</v>
      </c>
      <c r="H6" s="14" t="s">
        <v>220</v>
      </c>
      <c r="I6" s="14" t="s">
        <v>221</v>
      </c>
    </row>
    <row r="7" customFormat="false" ht="25.5" hidden="false" customHeight="true" outlineLevel="0" collapsed="false">
      <c r="A7" s="63" t="s">
        <v>222</v>
      </c>
      <c r="B7" s="64" t="s">
        <v>223</v>
      </c>
      <c r="C7" s="65" t="s">
        <v>224</v>
      </c>
      <c r="D7" s="66"/>
      <c r="E7" s="66"/>
      <c r="F7" s="12" t="s">
        <v>225</v>
      </c>
      <c r="G7" s="65" t="s">
        <v>226</v>
      </c>
      <c r="H7" s="67" t="n">
        <v>46023</v>
      </c>
      <c r="I7" s="67" t="n">
        <v>46244</v>
      </c>
    </row>
    <row r="8" customFormat="false" ht="25.5" hidden="false" customHeight="true" outlineLevel="0" collapsed="false">
      <c r="A8" s="63" t="s">
        <v>227</v>
      </c>
      <c r="B8" s="68" t="n">
        <v>46242</v>
      </c>
      <c r="C8" s="65" t="s">
        <v>34</v>
      </c>
      <c r="D8" s="66"/>
      <c r="E8" s="66"/>
      <c r="F8" s="12" t="s">
        <v>228</v>
      </c>
      <c r="G8" s="65" t="s">
        <v>226</v>
      </c>
      <c r="H8" s="67" t="n">
        <v>46023</v>
      </c>
      <c r="I8" s="67" t="n">
        <v>46244</v>
      </c>
    </row>
    <row r="9" customFormat="false" ht="25.5" hidden="false" customHeight="true" outlineLevel="0" collapsed="false">
      <c r="A9" s="63" t="s">
        <v>229</v>
      </c>
      <c r="B9" s="64" t="s">
        <v>230</v>
      </c>
      <c r="C9" s="65" t="s">
        <v>224</v>
      </c>
      <c r="D9" s="66"/>
      <c r="E9" s="66"/>
      <c r="F9" s="12" t="s">
        <v>231</v>
      </c>
      <c r="G9" s="65" t="s">
        <v>226</v>
      </c>
      <c r="H9" s="67" t="n">
        <v>46023</v>
      </c>
      <c r="I9" s="67" t="n">
        <v>46244</v>
      </c>
    </row>
    <row r="10" customFormat="false" ht="25.5" hidden="false" customHeight="true" outlineLevel="0" collapsed="false">
      <c r="A10" s="63" t="s">
        <v>232</v>
      </c>
      <c r="B10" s="64" t="s">
        <v>202</v>
      </c>
      <c r="C10" s="65" t="s">
        <v>224</v>
      </c>
      <c r="D10" s="66"/>
      <c r="E10" s="66"/>
      <c r="F10" s="12" t="s">
        <v>233</v>
      </c>
      <c r="G10" s="65" t="s">
        <v>226</v>
      </c>
      <c r="H10" s="67" t="n">
        <v>46023</v>
      </c>
      <c r="I10" s="67" t="n">
        <v>46244</v>
      </c>
    </row>
    <row r="11" customFormat="false" ht="25.5" hidden="false" customHeight="true" outlineLevel="0" collapsed="false">
      <c r="A11" s="63" t="s">
        <v>234</v>
      </c>
      <c r="B11" s="69" t="n">
        <v>2000000</v>
      </c>
      <c r="C11" s="65" t="s">
        <v>235</v>
      </c>
      <c r="D11" s="66" t="n">
        <v>0</v>
      </c>
      <c r="E11" s="66" t="n">
        <v>1000000000</v>
      </c>
      <c r="F11" s="12" t="s">
        <v>236</v>
      </c>
      <c r="G11" s="65" t="s">
        <v>237</v>
      </c>
      <c r="H11" s="67" t="n">
        <v>46023</v>
      </c>
      <c r="I11" s="67" t="n">
        <v>46244</v>
      </c>
    </row>
    <row r="12" customFormat="false" ht="25.5" hidden="false" customHeight="true" outlineLevel="0" collapsed="false">
      <c r="A12" s="63" t="s">
        <v>238</v>
      </c>
      <c r="B12" s="70" t="n">
        <v>0.2</v>
      </c>
      <c r="C12" s="65" t="s">
        <v>239</v>
      </c>
      <c r="D12" s="66" t="n">
        <v>0.01</v>
      </c>
      <c r="E12" s="66" t="n">
        <v>1</v>
      </c>
      <c r="F12" s="12" t="s">
        <v>240</v>
      </c>
      <c r="G12" s="65" t="s">
        <v>237</v>
      </c>
      <c r="H12" s="67" t="n">
        <v>46023</v>
      </c>
      <c r="I12" s="67" t="n">
        <v>46244</v>
      </c>
    </row>
    <row r="13" customFormat="false" ht="25.5" hidden="false" customHeight="true" outlineLevel="0" collapsed="false">
      <c r="A13" s="63" t="s">
        <v>241</v>
      </c>
      <c r="B13" s="69" t="n">
        <v>400000</v>
      </c>
      <c r="C13" s="65" t="s">
        <v>235</v>
      </c>
      <c r="D13" s="66" t="n">
        <v>0</v>
      </c>
      <c r="E13" s="66" t="n">
        <v>1000000000</v>
      </c>
      <c r="F13" s="12" t="s">
        <v>242</v>
      </c>
      <c r="G13" s="65" t="s">
        <v>237</v>
      </c>
      <c r="H13" s="67" t="n">
        <v>46023</v>
      </c>
      <c r="I13" s="67" t="n">
        <v>46244</v>
      </c>
    </row>
    <row r="14" customFormat="false" ht="25.5" hidden="false" customHeight="true" outlineLevel="0" collapsed="false">
      <c r="A14" s="63" t="s">
        <v>243</v>
      </c>
      <c r="B14" s="70" t="n">
        <v>0.05</v>
      </c>
      <c r="C14" s="65" t="s">
        <v>239</v>
      </c>
      <c r="D14" s="66" t="n">
        <v>0</v>
      </c>
      <c r="E14" s="66" t="n">
        <v>1</v>
      </c>
      <c r="F14" s="12" t="s">
        <v>244</v>
      </c>
      <c r="G14" s="65" t="s">
        <v>237</v>
      </c>
      <c r="H14" s="67" t="n">
        <v>46023</v>
      </c>
      <c r="I14" s="67" t="n">
        <v>46244</v>
      </c>
    </row>
    <row r="15" customFormat="false" ht="25.5" hidden="false" customHeight="true" outlineLevel="0" collapsed="false">
      <c r="A15" s="63" t="s">
        <v>245</v>
      </c>
      <c r="B15" s="70" t="n">
        <v>0.05</v>
      </c>
      <c r="C15" s="65" t="s">
        <v>239</v>
      </c>
      <c r="D15" s="66" t="n">
        <v>0</v>
      </c>
      <c r="E15" s="66" t="n">
        <v>1</v>
      </c>
      <c r="F15" s="12" t="s">
        <v>246</v>
      </c>
      <c r="G15" s="65" t="s">
        <v>237</v>
      </c>
      <c r="H15" s="67" t="n">
        <v>46023</v>
      </c>
      <c r="I15" s="67" t="n">
        <v>46244</v>
      </c>
    </row>
    <row r="16" customFormat="false" ht="25.5" hidden="false" customHeight="true" outlineLevel="0" collapsed="false">
      <c r="A16" s="63" t="s">
        <v>247</v>
      </c>
      <c r="B16" s="70" t="n">
        <v>0</v>
      </c>
      <c r="C16" s="65" t="s">
        <v>239</v>
      </c>
      <c r="D16" s="66" t="n">
        <v>-0.5</v>
      </c>
      <c r="E16" s="66" t="n">
        <v>0.5</v>
      </c>
      <c r="F16" s="12" t="s">
        <v>248</v>
      </c>
      <c r="G16" s="65" t="s">
        <v>237</v>
      </c>
      <c r="H16" s="67" t="n">
        <v>46023</v>
      </c>
      <c r="I16" s="67" t="n">
        <v>46244</v>
      </c>
    </row>
    <row r="17" customFormat="false" ht="25.5" hidden="false" customHeight="true" outlineLevel="0" collapsed="false">
      <c r="A17" s="63" t="s">
        <v>249</v>
      </c>
      <c r="B17" s="70" t="n">
        <v>0.1</v>
      </c>
      <c r="C17" s="65" t="s">
        <v>239</v>
      </c>
      <c r="D17" s="66" t="n">
        <v>0</v>
      </c>
      <c r="E17" s="66" t="n">
        <v>1</v>
      </c>
      <c r="F17" s="12" t="s">
        <v>250</v>
      </c>
      <c r="G17" s="65" t="s">
        <v>237</v>
      </c>
      <c r="H17" s="67" t="n">
        <v>46023</v>
      </c>
      <c r="I17" s="67" t="n">
        <v>46244</v>
      </c>
    </row>
    <row r="18" customFormat="false" ht="25.5" hidden="false" customHeight="true" outlineLevel="0" collapsed="false">
      <c r="A18" s="63" t="s">
        <v>251</v>
      </c>
      <c r="B18" s="70" t="n">
        <v>0.3</v>
      </c>
      <c r="C18" s="65" t="s">
        <v>239</v>
      </c>
      <c r="D18" s="66" t="n">
        <v>0</v>
      </c>
      <c r="E18" s="66" t="n">
        <v>1</v>
      </c>
      <c r="F18" s="12" t="s">
        <v>252</v>
      </c>
      <c r="G18" s="65" t="s">
        <v>237</v>
      </c>
      <c r="H18" s="67" t="n">
        <v>46023</v>
      </c>
      <c r="I18" s="67" t="n">
        <v>46244</v>
      </c>
    </row>
    <row r="19" customFormat="false" ht="25.5" hidden="false" customHeight="true" outlineLevel="0" collapsed="false">
      <c r="A19" s="63" t="s">
        <v>253</v>
      </c>
      <c r="B19" s="70" t="n">
        <v>0.01</v>
      </c>
      <c r="C19" s="65" t="s">
        <v>239</v>
      </c>
      <c r="D19" s="66" t="n">
        <v>0</v>
      </c>
      <c r="E19" s="66" t="n">
        <v>0.2</v>
      </c>
      <c r="F19" s="12" t="s">
        <v>254</v>
      </c>
      <c r="G19" s="65" t="s">
        <v>237</v>
      </c>
      <c r="H19" s="67" t="n">
        <v>46023</v>
      </c>
      <c r="I19" s="67" t="n">
        <v>46244</v>
      </c>
    </row>
    <row r="20" customFormat="false" ht="25.5" hidden="false" customHeight="true" outlineLevel="0" collapsed="false">
      <c r="A20" s="63" t="s">
        <v>255</v>
      </c>
      <c r="B20" s="70" t="n">
        <v>0.01</v>
      </c>
      <c r="C20" s="65" t="s">
        <v>239</v>
      </c>
      <c r="D20" s="66" t="n">
        <v>0</v>
      </c>
      <c r="E20" s="66" t="n">
        <v>0.2</v>
      </c>
      <c r="F20" s="12" t="s">
        <v>256</v>
      </c>
      <c r="G20" s="65" t="s">
        <v>237</v>
      </c>
      <c r="H20" s="67" t="n">
        <v>46023</v>
      </c>
      <c r="I20" s="67" t="n">
        <v>46244</v>
      </c>
    </row>
    <row r="21" customFormat="false" ht="25.5" hidden="false" customHeight="true" outlineLevel="0" collapsed="false">
      <c r="A21" s="63" t="s">
        <v>257</v>
      </c>
      <c r="B21" s="70" t="n">
        <v>1.645</v>
      </c>
      <c r="C21" s="65" t="s">
        <v>239</v>
      </c>
      <c r="D21" s="66" t="n">
        <v>0</v>
      </c>
      <c r="E21" s="66" t="n">
        <v>3</v>
      </c>
      <c r="F21" s="12" t="s">
        <v>258</v>
      </c>
      <c r="G21" s="65" t="s">
        <v>237</v>
      </c>
      <c r="H21" s="67" t="n">
        <v>46023</v>
      </c>
      <c r="I21" s="67" t="n">
        <v>46244</v>
      </c>
    </row>
    <row r="22" customFormat="false" ht="25.5" hidden="false" customHeight="true" outlineLevel="0" collapsed="false">
      <c r="A22" s="63" t="s">
        <v>259</v>
      </c>
      <c r="B22" s="71" t="n">
        <v>90</v>
      </c>
      <c r="C22" s="65" t="s">
        <v>260</v>
      </c>
      <c r="D22" s="66" t="n">
        <v>0</v>
      </c>
      <c r="E22" s="66" t="n">
        <v>100</v>
      </c>
      <c r="F22" s="12" t="s">
        <v>261</v>
      </c>
      <c r="G22" s="65" t="s">
        <v>237</v>
      </c>
      <c r="H22" s="67" t="n">
        <v>46023</v>
      </c>
      <c r="I22" s="67" t="n">
        <v>46244</v>
      </c>
    </row>
    <row r="23" customFormat="false" ht="25.5" hidden="false" customHeight="true" outlineLevel="0" collapsed="false">
      <c r="A23" s="63" t="s">
        <v>262</v>
      </c>
      <c r="B23" s="71" t="n">
        <v>70</v>
      </c>
      <c r="C23" s="65" t="s">
        <v>260</v>
      </c>
      <c r="D23" s="66" t="n">
        <v>0</v>
      </c>
      <c r="E23" s="66" t="n">
        <v>100</v>
      </c>
      <c r="F23" s="12" t="s">
        <v>263</v>
      </c>
      <c r="G23" s="65" t="s">
        <v>237</v>
      </c>
      <c r="H23" s="67" t="n">
        <v>46023</v>
      </c>
      <c r="I23" s="67" t="n">
        <v>46244</v>
      </c>
    </row>
    <row r="24" customFormat="false" ht="25.5" hidden="false" customHeight="true" outlineLevel="0" collapsed="false">
      <c r="A24" s="63" t="s">
        <v>264</v>
      </c>
      <c r="B24" s="72" t="s">
        <v>265</v>
      </c>
      <c r="C24" s="65" t="s">
        <v>224</v>
      </c>
      <c r="D24" s="66"/>
      <c r="E24" s="66"/>
      <c r="F24" s="12" t="s">
        <v>266</v>
      </c>
      <c r="G24" s="65" t="s">
        <v>237</v>
      </c>
      <c r="H24" s="67" t="n">
        <v>46023</v>
      </c>
      <c r="I24" s="67" t="n">
        <v>46244</v>
      </c>
    </row>
    <row r="25" customFormat="false" ht="25.5" hidden="false" customHeight="true" outlineLevel="0" collapsed="false">
      <c r="A25" s="63" t="s">
        <v>267</v>
      </c>
      <c r="B25" s="72" t="s">
        <v>268</v>
      </c>
      <c r="C25" s="65" t="s">
        <v>224</v>
      </c>
      <c r="D25" s="66"/>
      <c r="E25" s="66"/>
      <c r="F25" s="12" t="s">
        <v>269</v>
      </c>
      <c r="G25" s="65" t="s">
        <v>237</v>
      </c>
      <c r="H25" s="67" t="n">
        <v>46023</v>
      </c>
      <c r="I25" s="67" t="n">
        <v>46244</v>
      </c>
    </row>
    <row r="26" customFormat="false" ht="25.5" hidden="false" customHeight="true" outlineLevel="0" collapsed="false">
      <c r="A26" s="63" t="s">
        <v>270</v>
      </c>
      <c r="B26" s="72" t="s">
        <v>271</v>
      </c>
      <c r="C26" s="65" t="s">
        <v>224</v>
      </c>
      <c r="D26" s="66"/>
      <c r="E26" s="66"/>
      <c r="F26" s="12" t="s">
        <v>272</v>
      </c>
      <c r="G26" s="65" t="s">
        <v>237</v>
      </c>
      <c r="H26" s="67" t="n">
        <v>46023</v>
      </c>
      <c r="I26" s="67" t="n">
        <v>46244</v>
      </c>
    </row>
    <row r="27" customFormat="false" ht="25.5" hidden="false" customHeight="true" outlineLevel="0" collapsed="false">
      <c r="A27" s="63" t="s">
        <v>273</v>
      </c>
      <c r="B27" s="70" t="n">
        <v>0.9</v>
      </c>
      <c r="C27" s="65" t="s">
        <v>239</v>
      </c>
      <c r="D27" s="66" t="n">
        <v>0.5</v>
      </c>
      <c r="E27" s="66" t="n">
        <v>1</v>
      </c>
      <c r="F27" s="12" t="s">
        <v>274</v>
      </c>
      <c r="G27" s="65" t="s">
        <v>237</v>
      </c>
      <c r="H27" s="67" t="n">
        <v>46023</v>
      </c>
      <c r="I27" s="67" t="n">
        <v>46244</v>
      </c>
    </row>
    <row r="28" customFormat="false" ht="25.5" hidden="false" customHeight="true" outlineLevel="0" collapsed="false">
      <c r="A28" s="63" t="s">
        <v>275</v>
      </c>
      <c r="B28" s="69" t="n">
        <v>10000000</v>
      </c>
      <c r="C28" s="65" t="s">
        <v>235</v>
      </c>
      <c r="D28" s="66" t="n">
        <v>0</v>
      </c>
      <c r="E28" s="66" t="n">
        <v>10000000000</v>
      </c>
      <c r="F28" s="12" t="s">
        <v>276</v>
      </c>
      <c r="G28" s="65" t="s">
        <v>237</v>
      </c>
      <c r="H28" s="67" t="n">
        <v>46023</v>
      </c>
      <c r="I28" s="67" t="n">
        <v>46244</v>
      </c>
    </row>
    <row r="29" customFormat="false" ht="25.5" hidden="false" customHeight="true" outlineLevel="0" collapsed="false">
      <c r="A29" s="73" t="s">
        <v>277</v>
      </c>
      <c r="B29" s="74" t="n">
        <v>1</v>
      </c>
      <c r="C29" s="65" t="s">
        <v>278</v>
      </c>
      <c r="F29" s="12" t="s">
        <v>279</v>
      </c>
      <c r="G29" s="65" t="s">
        <v>226</v>
      </c>
      <c r="H29" s="67" t="n">
        <v>46023</v>
      </c>
      <c r="I29" s="67" t="n">
        <v>46244</v>
      </c>
    </row>
    <row r="30" customFormat="false" ht="25.5" hidden="false" customHeight="true" outlineLevel="0" collapsed="false">
      <c r="A30" s="73" t="s">
        <v>280</v>
      </c>
      <c r="B30" s="74" t="n">
        <v>2</v>
      </c>
      <c r="C30" s="65" t="s">
        <v>278</v>
      </c>
      <c r="F30" s="12" t="s">
        <v>281</v>
      </c>
      <c r="G30" s="65" t="s">
        <v>226</v>
      </c>
      <c r="H30" s="67" t="n">
        <v>46023</v>
      </c>
      <c r="I30" s="67" t="n">
        <v>46244</v>
      </c>
    </row>
    <row r="31" customFormat="false" ht="25.5" hidden="false" customHeight="true" outlineLevel="0" collapsed="false">
      <c r="A31" s="73" t="s">
        <v>282</v>
      </c>
      <c r="B31" s="74" t="n">
        <v>3</v>
      </c>
      <c r="C31" s="65" t="s">
        <v>278</v>
      </c>
      <c r="F31" s="12" t="s">
        <v>283</v>
      </c>
      <c r="G31" s="65" t="s">
        <v>226</v>
      </c>
      <c r="H31" s="67" t="n">
        <v>46023</v>
      </c>
      <c r="I31" s="67" t="n">
        <v>46244</v>
      </c>
    </row>
    <row r="32" customFormat="false" ht="25.5" hidden="false" customHeight="true" outlineLevel="0" collapsed="false">
      <c r="A32" s="73" t="s">
        <v>284</v>
      </c>
      <c r="B32" s="74" t="n">
        <v>4</v>
      </c>
      <c r="C32" s="65" t="s">
        <v>278</v>
      </c>
      <c r="F32" s="12" t="s">
        <v>285</v>
      </c>
      <c r="G32" s="65" t="s">
        <v>226</v>
      </c>
      <c r="H32" s="67" t="n">
        <v>46023</v>
      </c>
      <c r="I32" s="67" t="n">
        <v>46244</v>
      </c>
    </row>
    <row r="33" customFormat="false" ht="25.5" hidden="false" customHeight="true" outlineLevel="0" collapsed="false">
      <c r="A33" s="73" t="s">
        <v>286</v>
      </c>
      <c r="B33" s="74" t="n">
        <v>5</v>
      </c>
      <c r="C33" s="65" t="s">
        <v>278</v>
      </c>
      <c r="F33" s="12" t="s">
        <v>287</v>
      </c>
      <c r="G33" s="65" t="s">
        <v>226</v>
      </c>
      <c r="H33" s="67" t="n">
        <v>46023</v>
      </c>
      <c r="I33" s="67" t="n">
        <v>46244</v>
      </c>
    </row>
    <row r="34" customFormat="false" ht="25.5" hidden="false" customHeight="true" outlineLevel="0" collapsed="false">
      <c r="A34" s="73" t="s">
        <v>288</v>
      </c>
      <c r="B34" s="74" t="n">
        <v>6</v>
      </c>
      <c r="C34" s="65" t="s">
        <v>278</v>
      </c>
      <c r="F34" s="12" t="s">
        <v>289</v>
      </c>
      <c r="G34" s="65" t="s">
        <v>226</v>
      </c>
      <c r="H34" s="67" t="n">
        <v>46023</v>
      </c>
      <c r="I34" s="67" t="n">
        <v>46244</v>
      </c>
    </row>
    <row r="35" customFormat="false" ht="25.5" hidden="false" customHeight="true" outlineLevel="0" collapsed="false">
      <c r="A35" s="73" t="s">
        <v>290</v>
      </c>
      <c r="B35" s="74" t="n">
        <v>7</v>
      </c>
      <c r="C35" s="65" t="s">
        <v>278</v>
      </c>
      <c r="F35" s="12" t="s">
        <v>291</v>
      </c>
      <c r="G35" s="65" t="s">
        <v>226</v>
      </c>
      <c r="H35" s="67" t="n">
        <v>46023</v>
      </c>
      <c r="I35" s="67" t="n">
        <v>46244</v>
      </c>
    </row>
    <row r="36" customFormat="false" ht="25.5" hidden="false" customHeight="true" outlineLevel="0" collapsed="false">
      <c r="A36" s="73" t="s">
        <v>292</v>
      </c>
      <c r="B36" s="74" t="n">
        <v>8</v>
      </c>
      <c r="C36" s="65" t="s">
        <v>278</v>
      </c>
      <c r="F36" s="12" t="s">
        <v>293</v>
      </c>
      <c r="G36" s="65" t="s">
        <v>226</v>
      </c>
      <c r="H36" s="67" t="n">
        <v>46023</v>
      </c>
      <c r="I36" s="67" t="n">
        <v>46244</v>
      </c>
    </row>
    <row r="37" customFormat="false" ht="25.5" hidden="false" customHeight="true" outlineLevel="0" collapsed="false">
      <c r="A37" s="73" t="s">
        <v>294</v>
      </c>
      <c r="B37" s="74" t="n">
        <v>9</v>
      </c>
      <c r="C37" s="65" t="s">
        <v>278</v>
      </c>
      <c r="F37" s="12" t="s">
        <v>295</v>
      </c>
      <c r="G37" s="65" t="s">
        <v>226</v>
      </c>
      <c r="H37" s="67" t="n">
        <v>46023</v>
      </c>
      <c r="I37" s="67" t="n">
        <v>46244</v>
      </c>
    </row>
    <row r="38" customFormat="false" ht="25.5" hidden="false" customHeight="true" outlineLevel="0" collapsed="false">
      <c r="A38" s="73" t="s">
        <v>296</v>
      </c>
      <c r="B38" s="74" t="n">
        <v>10</v>
      </c>
      <c r="C38" s="65" t="s">
        <v>278</v>
      </c>
      <c r="F38" s="12" t="s">
        <v>297</v>
      </c>
      <c r="G38" s="65" t="s">
        <v>226</v>
      </c>
      <c r="H38" s="67" t="n">
        <v>46023</v>
      </c>
      <c r="I38" s="67" t="n">
        <v>46244</v>
      </c>
    </row>
    <row r="39" customFormat="false" ht="25.5" hidden="false" customHeight="true" outlineLevel="0" collapsed="false">
      <c r="A39" s="73" t="s">
        <v>298</v>
      </c>
      <c r="B39" s="74" t="n">
        <v>11</v>
      </c>
      <c r="C39" s="65" t="s">
        <v>278</v>
      </c>
      <c r="F39" s="12" t="s">
        <v>299</v>
      </c>
      <c r="G39" s="65" t="s">
        <v>226</v>
      </c>
      <c r="H39" s="67" t="n">
        <v>46023</v>
      </c>
      <c r="I39" s="67" t="n">
        <v>46244</v>
      </c>
    </row>
    <row r="40" customFormat="false" ht="25.5" hidden="false" customHeight="true" outlineLevel="0" collapsed="false">
      <c r="A40" s="73" t="s">
        <v>300</v>
      </c>
      <c r="B40" s="74" t="n">
        <v>12</v>
      </c>
      <c r="C40" s="65" t="s">
        <v>278</v>
      </c>
      <c r="F40" s="12" t="s">
        <v>301</v>
      </c>
      <c r="G40" s="65" t="s">
        <v>226</v>
      </c>
      <c r="H40" s="67" t="n">
        <v>46023</v>
      </c>
      <c r="I40" s="67" t="n">
        <v>46244</v>
      </c>
    </row>
  </sheetData>
  <sheetProtection sheet="true" password="cc3d" objects="true" scenarios="true" deleteColumns="false" deleteRows="false"/>
  <mergeCells count="1">
    <mergeCell ref="A1:AD1"/>
  </mergeCells>
  <dataValidations count="15">
    <dataValidation allowBlank="false" error="Açık pozisyon TL eşiği; üzerinde karar DURDUR olur." errorStyle="stop" errorTitle="Değer aralık dışı" operator="between" prompt="Açık pozisyon TL eşiği; üzerinde karar DURDUR olur." promptTitle="DovizAcikEsik" showDropDown="false" showErrorMessage="true" showInputMessage="false" sqref="B11" type="decimal">
      <formula1>0</formula1>
      <formula2>1000000000</formula2>
    </dataValidation>
    <dataValidation allowBlank="false" error="Kötümser senaryo kur şoku oranı (%20)." errorStyle="stop" errorTitle="Değer aralık dışı" operator="between" prompt="Kötümser senaryo kur şoku oranı (%20)." promptTitle="DovizStresEsik" showDropDown="false" showErrorMessage="true" showInputMessage="false" sqref="B12" type="decimal">
      <formula1>0.01</formula1>
      <formula2>1</formula2>
    </dataValidation>
    <dataValidation allowBlank="false" error="Stres etkisi bu eşiği aşarsa karar İNCELE olur." errorStyle="stop" errorTitle="Değer aralık dışı" operator="between" prompt="Stres etkisi bu eşiği aşarsa karar İNCELE olur." promptTitle="DovizStresEtkiEsik" showDropDown="false" showErrorMessage="true" showInputMessage="false" sqref="B13" type="decimal">
      <formula1>0</formula1>
      <formula2>1000000000</formula2>
    </dataValidation>
    <dataValidation allowBlank="false" error="İşlem kuru standart sapması risk eşiği." errorStyle="stop" errorTitle="Değer aralık dışı" operator="between" prompt="İşlem kuru standart sapması risk eşiği." promptTitle="DovizKurSapmaEsik" showDropDown="false" showErrorMessage="true" showInputMessage="false" sqref="B14" type="decimal">
      <formula1>0</formula1>
      <formula2>1</formula2>
    </dataValidation>
    <dataValidation allowBlank="false" error="İyimser senaryo kur şoku (%5 lehine)." errorStyle="stop" errorTitle="Değer aralık dışı" operator="between" prompt="İyimser senaryo kur şoku (%5 lehine)." promptTitle="DovizIyiSenaryo" showDropDown="false" showErrorMessage="true" showInputMessage="false" sqref="B15" type="decimal">
      <formula1>0</formula1>
      <formula2>1</formula2>
    </dataValidation>
    <dataValidation allowBlank="false" error="Baz senaryo kur şoku (değişim yok)." errorStyle="stop" errorTitle="Değer aralık dışı" operator="between" prompt="Baz senaryo kur şoku (değişim yok)." promptTitle="DovizBazSenaryo" showDropDown="false" showErrorMessage="true" showInputMessage="false" sqref="B16" type="decimal">
      <formula1>-0.5</formula1>
      <formula2>0.5</formula2>
    </dataValidation>
    <dataValidation allowBlank="false" error="Kötümser senaryo kur şoku (%10 aleyhine)." errorStyle="stop" errorTitle="Değer aralık dışı" operator="between" prompt="Kötümser senaryo kur şoku (%10 aleyhine)." promptTitle="DovizKotuSenaryo" showDropDown="false" showErrorMessage="true" showInputMessage="false" sqref="B17" type="decimal">
      <formula1>0</formula1>
      <formula2>1</formula2>
    </dataValidation>
    <dataValidation allowBlank="false" error="Kritik senaryo kur şoku (%30 aleyhine)." errorStyle="stop" errorTitle="Değer aralık dışı" operator="between" prompt="Kritik senaryo kur şoku (%30 aleyhine)." promptTitle="DovizKritikSenaryo" showDropDown="false" showErrorMessage="true" showInputMessage="false" sqref="B18" type="decimal">
      <formula1>0</formula1>
      <formula2>1</formula2>
    </dataValidation>
    <dataValidation allowBlank="false" error="Kur şokunun %1 artışının TL etkisine katkısı." errorStyle="stop" errorTitle="Değer aralık dışı" operator="between" prompt="Kur şokunun %1 artışının TL etkisine katkısı." promptTitle="DovizTornadoKur" showDropDown="false" showErrorMessage="true" showInputMessage="false" sqref="B19" type="decimal">
      <formula1>0</formula1>
      <formula2>0.2</formula2>
    </dataValidation>
    <dataValidation allowBlank="false" error="Pozisyonun %1 artışının TL etkisine katkısı." errorStyle="stop" errorTitle="Değer aralık dışı" operator="between" prompt="Pozisyonun %1 artışının TL etkisine katkısı." promptTitle="DovizTornadoPozisyon" showDropDown="false" showErrorMessage="true" showInputMessage="false" sqref="B20" type="decimal">
      <formula1>0</formula1>
      <formula2>0.2</formula2>
    </dataValidation>
    <dataValidation allowBlank="false" error="Tahmin bandı genişliği (standart sapma katı)." errorStyle="stop" errorTitle="Değer aralık dışı" operator="between" prompt="Tahmin bandı genişliği (standart sapma katı)." promptTitle="DovizTahminCarpan" showDropDown="false" showErrorMessage="true" showInputMessage="false" sqref="B21" type="decimal">
      <formula1>0</formula1>
      <formula2>3</formula2>
    </dataValidation>
    <dataValidation allowBlank="false" error="Kalite skoru bu eşiğin üzerindeyse YÜKSEK kalite." errorStyle="stop" errorTitle="Değer aralık dışı" operator="between" prompt="Kalite skoru bu eşiğin üzerindeyse YÜKSEK kalite." promptTitle="DovizKaliteIyi" showDropDown="false" showErrorMessage="true" showInputMessage="false" sqref="B22" type="decimal">
      <formula1>0</formula1>
      <formula2>100</formula2>
    </dataValidation>
    <dataValidation allowBlank="false" error="Kalite skoru bu eşiğin üzerindeyse ORTA kalite." errorStyle="stop" errorTitle="Değer aralık dışı" operator="between" prompt="Kalite skoru bu eşiğin üzerindeyse ORTA kalite." promptTitle="DovizKaliteOrta" showDropDown="false" showErrorMessage="true" showInputMessage="false" sqref="B23" type="decimal">
      <formula1>0</formula1>
      <formula2>100</formula2>
    </dataValidation>
    <dataValidation allowBlank="false" error="Pozisyon tutarı dağılımında üst yüzdelik dilimin oranı." errorStyle="stop" errorTitle="Değer aralık dışı" operator="between" prompt="Pozisyon tutarı dağılımında üst yüzdelik dilimin oranı." promptTitle="DovizP90Oran" showDropDown="false" showErrorMessage="true" showInputMessage="false" sqref="B27" type="decimal">
      <formula1>0.5</formula1>
      <formula2>1</formula2>
    </dataValidation>
    <dataValidation allowBlank="false" error="Toplam işlem hacmi (varlık+borç TL) eşiği; üzerinde karar İNCELE olur." errorStyle="stop" errorTitle="Değer aralık dışı" operator="between" prompt="Toplam işlem hacmi (varlık+borç TL) eşiği; üzerinde karar İNCELE olur." promptTitle="DovizHacimEsik" showDropDown="false" showErrorMessage="true" showInputMessage="false" sqref="B28" type="decimal">
      <formula1>0</formula1>
      <formula2>10000000000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60"/>
  </cols>
  <sheetData>
    <row r="1" customFormat="false" ht="25.5" hidden="false" customHeight="true" outlineLevel="0" collapsed="false">
      <c r="A1" s="1" t="s">
        <v>302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303</v>
      </c>
    </row>
    <row r="5" customFormat="false" ht="15" hidden="false" customHeight="true" outlineLevel="0" collapsed="false">
      <c r="A5" s="9" t="s">
        <v>304</v>
      </c>
      <c r="B5" s="5" t="s">
        <v>305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customFormat="false" ht="15" hidden="false" customHeight="true" outlineLevel="0" collapsed="false">
      <c r="A6" s="9" t="s">
        <v>306</v>
      </c>
      <c r="B6" s="5" t="s">
        <v>307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customFormat="false" ht="15" hidden="false" customHeight="true" outlineLevel="0" collapsed="false">
      <c r="A7" s="9" t="s">
        <v>308</v>
      </c>
      <c r="B7" s="5" t="s">
        <v>309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customFormat="false" ht="15" hidden="false" customHeight="true" outlineLevel="0" collapsed="false">
      <c r="A8" s="9" t="s">
        <v>310</v>
      </c>
      <c r="B8" s="5" t="s">
        <v>311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customFormat="false" ht="15" hidden="false" customHeight="true" outlineLevel="0" collapsed="false">
      <c r="A9" s="9" t="s">
        <v>312</v>
      </c>
      <c r="B9" s="5" t="s">
        <v>313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1" customFormat="false" ht="25.35" hidden="false" customHeight="false" outlineLevel="0" collapsed="false">
      <c r="A11" s="12" t="s">
        <v>314</v>
      </c>
    </row>
    <row r="13" customFormat="false" ht="15" hidden="false" customHeight="false" outlineLevel="0" collapsed="false">
      <c r="A13" s="4" t="s">
        <v>315</v>
      </c>
    </row>
    <row r="14" customFormat="false" ht="41.75" hidden="false" customHeight="false" outlineLevel="0" collapsed="false">
      <c r="A14" s="75" t="s">
        <v>316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</row>
    <row r="15" customFormat="false" ht="15" hidden="false" customHeight="false" outlineLevel="0" collapsed="false">
      <c r="A15" s="77" t="s">
        <v>317</v>
      </c>
    </row>
    <row r="16" customFormat="false" ht="15" hidden="false" customHeight="false" outlineLevel="0" collapsed="false">
      <c r="A16" s="77" t="s">
        <v>318</v>
      </c>
    </row>
    <row r="17" customFormat="false" ht="15" hidden="false" customHeight="false" outlineLevel="0" collapsed="false">
      <c r="A17" s="77" t="s">
        <v>319</v>
      </c>
    </row>
    <row r="18" customFormat="false" ht="15" hidden="false" customHeight="false" outlineLevel="0" collapsed="false">
      <c r="A18" s="77" t="s">
        <v>320</v>
      </c>
    </row>
    <row r="19" customFormat="false" ht="15" hidden="false" customHeight="false" outlineLevel="0" collapsed="false">
      <c r="A19" s="77" t="s">
        <v>321</v>
      </c>
    </row>
    <row r="20" customFormat="false" ht="15" hidden="false" customHeight="false" outlineLevel="0" collapsed="false">
      <c r="A20" s="77" t="s">
        <v>322</v>
      </c>
    </row>
    <row r="21" customFormat="false" ht="15" hidden="false" customHeight="false" outlineLevel="0" collapsed="false">
      <c r="A21" s="77" t="s">
        <v>323</v>
      </c>
    </row>
    <row r="22" customFormat="false" ht="15" hidden="false" customHeight="false" outlineLevel="0" collapsed="false">
      <c r="A22" s="77" t="s">
        <v>324</v>
      </c>
    </row>
    <row r="23" customFormat="false" ht="15" hidden="false" customHeight="false" outlineLevel="0" collapsed="false">
      <c r="A23" s="77" t="s">
        <v>325</v>
      </c>
    </row>
    <row r="24" customFormat="false" ht="15" hidden="false" customHeight="false" outlineLevel="0" collapsed="false">
      <c r="A24" s="77" t="s">
        <v>326</v>
      </c>
    </row>
    <row r="26" customFormat="false" ht="25.35" hidden="false" customHeight="false" outlineLevel="0" collapsed="false">
      <c r="A26" s="12" t="s">
        <v>327</v>
      </c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</row>
  </sheetData>
  <sheetProtection sheet="true" password="cc3d" objects="true" scenarios="true" deleteColumns="false" deleteRows="false"/>
  <mergeCells count="8">
    <mergeCell ref="A1:AD1"/>
    <mergeCell ref="B5:T5"/>
    <mergeCell ref="B6:T6"/>
    <mergeCell ref="B7:T7"/>
    <mergeCell ref="B8:T8"/>
    <mergeCell ref="B9:T9"/>
    <mergeCell ref="B14:T14"/>
    <mergeCell ref="B26:T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2026-08-10T12:55:00Z</dcterms:created>
  <dc:creator>openpyxl</dc:creator>
  <dc:description/>
  <dc:language>tr-TR</dc:language>
  <cp:lastModifiedBy/>
  <dcterms:modified xsi:type="dcterms:W3CDTF">2026-08-10T12:55:00Z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