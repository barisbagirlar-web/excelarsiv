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drawing2.xml" ContentType="application/vnd.openxmlformats-officedocument.drawing+xml"/>
  <Override PartName="/xl/drawings/vmlDrawing7.vml" ContentType="application/vnd.openxmlformats-officedocument.vmlDrawing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IHALE_KARTI" sheetId="3" state="visible" r:id="rId5"/>
    <sheet name="RAKIP_TEKLIFLER" sheetId="4" state="visible" r:id="rId6"/>
    <sheet name="ONCEKI_IHALELER" sheetId="5" state="visible" r:id="rId7"/>
    <sheet name="MALIYET_KALEMLERI" sheetId="6" state="visible" r:id="rId8"/>
    <sheet name="MOTOR" sheetId="7" state="visible" r:id="rId9"/>
    <sheet name="KONTROL" sheetId="8" state="visible" r:id="rId10"/>
    <sheet name="KARAR" sheetId="9" state="visible" r:id="rId11"/>
    <sheet name="PANO" sheetId="10" state="visible" r:id="rId12"/>
    <sheet name="SENARYO_DUYARLILIK" sheetId="11" state="visible" r:id="rId13"/>
    <sheet name="RAPOR" sheetId="12" state="visible" r:id="rId14"/>
    <sheet name="ORNEK_VERI" sheetId="13" state="visible" r:id="rId15"/>
    <sheet name="DEGISIKLIK_KAYDI" sheetId="14" state="visible" r:id="rId16"/>
    <sheet name="LISTELER" sheetId="15" state="visible" r:id="rId17"/>
    <sheet name="AYARLAR" sheetId="16" state="visible" r:id="rId18"/>
    <sheet name="KILAVUZ" sheetId="17" state="visible" r:id="rId19"/>
  </sheets>
  <definedNames>
    <definedName function="false" hidden="false" localSheetId="9" name="_xlnm.Print_Area" vbProcedure="false">PANO!$A$1:$V$34</definedName>
    <definedName function="false" hidden="false" localSheetId="11" name="_xlnm.Print_Area" vbProcedure="false">RAPOR!$A$1:$V$40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Sayisi" vbProcedure="false">MOTOR!$B$15</definedName>
    <definedName function="false" hidden="false" name="AnomaliZEsik" vbProcedure="false">AYARLAR!$C$11</definedName>
    <definedName function="false" hidden="false" name="AzamiTutarSiniri" vbProcedure="false">AYARLAR!$C$17</definedName>
    <definedName function="false" hidden="false" name="DegerOlcerSaat" vbProcedure="false">AYARLAR!$C$24</definedName>
    <definedName function="false" hidden="false" name="DegerOlcerSaatUcreti" vbProcedure="false">AYARLAR!$C$25</definedName>
    <definedName function="false" hidden="false" name="DoluGirisHucre" vbProcedure="false">KONTROL!$B$25</definedName>
    <definedName function="false" hidden="false" name="DuyarliDegisim" vbProcedure="false">AYARLAR!$C$20</definedName>
    <definedName function="false" hidden="false" name="FAIL_Sayisi" vbProcedure="false">KONTROL!$B$19</definedName>
    <definedName function="false" hidden="false" name="firmaUnvani" vbProcedure="false">AYARLAR!$C$7</definedName>
    <definedName function="false" hidden="false" name="FiyatFarkiEtki" vbProcedure="false">MOTOR!$B$22</definedName>
    <definedName function="false" hidden="false" name="FiyatFarkiEtkiOran" vbProcedure="false">AYARLAR!$C$23</definedName>
    <definedName function="false" hidden="false" name="FiyatFarkiVarMi" vbProcedure="false">IHALE_KARTI!$B$12</definedName>
    <definedName function="false" hidden="false" name="GecmisKazanmaOrt" vbProcedure="false">MOTOR!$B$16</definedName>
    <definedName function="false" hidden="false" name="GecmisSDIskonto" vbProcedure="false">MOTOR!$B$17</definedName>
    <definedName function="false" hidden="false" name="GecmisTeklifTahmin" vbProcedure="false">MOTOR!$B$23</definedName>
    <definedName function="false" hidden="false" name="GuvenlikPayi" vbProcedure="false">AYARLAR!$C$9</definedName>
    <definedName function="false" hidden="false" name="HedefKarMarji" vbProcedure="false">IHALE_KARTI!$B$9</definedName>
    <definedName function="false" hidden="false" name="Idare" vbProcedure="false">IHALE_KARTI!$B$5</definedName>
    <definedName function="false" hidden="false" name="IhaleAdi" vbProcedure="false">IHALE_KARTI!$B$4</definedName>
    <definedName function="false" hidden="false" name="IhaleTarihi" vbProcedure="false">IHALE_KARTI!$B$6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zanmaMarjOrtalama" vbProcedure="false">MOTOR!$B$26</definedName>
    <definedName function="false" hidden="false" name="ListeEvetHayir" vbProcedure="false">LISTELER!$A$6:$A$7</definedName>
    <definedName function="false" hidden="false" name="MaliyetKalemToplam" vbProcedure="false">MOTOR!$B$18</definedName>
    <definedName function="false" hidden="false" name="modulI1TahminOrta" vbProcedure="false">MOTOR!$B$35</definedName>
    <definedName function="false" hidden="false" name="modulI1TahminYorum" vbProcedure="false">MOTOR!$B$58</definedName>
    <definedName function="false" hidden="false" name="modulI2P90" vbProcedure="false">MOTOR!$B$36</definedName>
    <definedName function="false" hidden="false" name="modulI2Yorum" vbProcedure="false">MOTOR!$B$59</definedName>
    <definedName function="false" hidden="false" name="modulO1AnomaliSayisi" vbProcedure="false">MOTOR!$B$15</definedName>
    <definedName function="false" hidden="false" name="modulO1AnomaliYorum" vbProcedure="false">MOTOR!$B$54</definedName>
    <definedName function="false" hidden="false" name="modulO2TornadoYorum" vbProcedure="false">MOTOR!$B$55</definedName>
    <definedName function="false" hidden="false" name="modulO2TornadoZirve" vbProcedure="false">MOTOR!$B$32</definedName>
    <definedName function="false" hidden="false" name="modulO3SenaryoBaz" vbProcedure="false">MOTOR!$B$33</definedName>
    <definedName function="false" hidden="false" name="modulO3SenaryoYorum" vbProcedure="false">MOTOR!$B$56</definedName>
    <definedName function="false" hidden="false" name="modulO8KaliteSkoru" vbProcedure="false">MOTOR!$B$34</definedName>
    <definedName function="false" hidden="false" name="modulO8KaliteYorum" vbProcedure="false">MOTOR!$B$57</definedName>
    <definedName function="false" hidden="false" name="modulT2EndeksEgim" vbProcedure="false">MOTOR!$B$29</definedName>
    <definedName function="false" hidden="false" name="modulT2EndeksYorum" vbProcedure="false">MOTOR!$B$51</definedName>
    <definedName function="false" hidden="false" name="modulT3ParetoPayi" vbProcedure="false">MOTOR!$B$30</definedName>
    <definedName function="false" hidden="false" name="modulT3ParetoYorum" vbProcedure="false">MOTOR!$B$52</definedName>
    <definedName function="false" hidden="false" name="modulT6KirilimOrani" vbProcedure="false">MOTOR!$B$31</definedName>
    <definedName function="false" hidden="false" name="modulT6KirilimYorum" vbProcedure="false">MOTOR!$B$53</definedName>
    <definedName function="false" hidden="false" name="MutabakatDurumu" vbProcedure="false">MOTOR!$B$21</definedName>
    <definedName function="false" hidden="false" name="MutabakatFark" vbProcedure="false">MOTOR!$B$19</definedName>
    <definedName function="false" hidden="false" name="MutabakatOran" vbProcedure="false">MOTOR!$B$20</definedName>
    <definedName function="false" hidden="false" name="MutabakatTolerans" vbProcedure="false">AYARLAR!$C$13</definedName>
    <definedName function="false" hidden="false" name="NKatsayisi" vbProcedure="false">IHALE_KARTI!$B$8</definedName>
    <definedName function="false" hidden="false" name="NMax" vbProcedure="false">AYARLAR!$C$12</definedName>
    <definedName function="false" hidden="false" name="OneriTeklif" vbProcedure="false">MOTOR!$B$12</definedName>
    <definedName function="false" hidden="false" name="OneriTeklifMarj" vbProcedure="false">MOTOR!$B$13</definedName>
    <definedName function="false" hidden="false" name="OneriTeklifSdOran" vbProcedure="false">MOTOR!$B$14</definedName>
    <definedName function="false" hidden="false" name="OrtalamaTeklif" vbProcedure="false">MOTOR!$B$7</definedName>
    <definedName function="false" hidden="false" name="OrtAltiTeklif" vbProcedure="false">MOTOR!$B$8</definedName>
    <definedName function="false" hidden="false" name="PASS_Sayisi" vbProcedure="false">KONTROL!$B$18</definedName>
    <definedName function="false" hidden="false" name="raporTarihi" vbProcedure="false">AYARLAR!$C$8</definedName>
    <definedName function="false" hidden="false" name="SdAsiriDusukEsik" vbProcedure="false">AYARLAR!$C$10</definedName>
    <definedName function="false" hidden="false" name="SdGecerliSayi" vbProcedure="false">MOTOR!$B$6</definedName>
    <definedName function="false" hidden="false" name="SdOran" vbProcedure="false">MOTOR!$B$11</definedName>
    <definedName function="false" hidden="false" name="SenaryoIyimserKat" vbProcedure="false">AYARLAR!$C$19</definedName>
    <definedName function="false" hidden="false" name="SenaryoKotumserKat" vbProcedure="false">AYARLAR!$C$18</definedName>
    <definedName function="false" hidden="false" name="SinirDeger" vbProcedure="false">MOTOR!$B$10</definedName>
    <definedName function="false" hidden="false" name="TahminAltSinir" vbProcedure="false">MOTOR!$B$24</definedName>
    <definedName function="false" hidden="false" name="TahminBantOrani" vbProcedure="false">AYARLAR!$C$22</definedName>
    <definedName function="false" hidden="false" name="TahminUfkuAdet" vbProcedure="false">AYARLAR!$C$21</definedName>
    <definedName function="false" hidden="false" name="TahminUstSinir" vbProcedure="false">MOTOR!$B$25</definedName>
    <definedName function="false" hidden="false" name="TeklifStdSapma" vbProcedure="false">MOTOR!$B$9</definedName>
    <definedName function="false" hidden="false" name="ToplamMaliyet" vbProcedure="false">IHALE_KARTI!$B$10</definedName>
    <definedName function="false" hidden="false" name="VeriKaliteIyiEsik" vbProcedure="false">AYARLAR!$C$14</definedName>
    <definedName function="false" hidden="false" name="VeriKaliteOrtaEsik" vbProcedure="false">AYARLAR!$C$15</definedName>
    <definedName function="false" hidden="false" name="VeriKaliteSeviyesi" vbProcedure="false">KONTROL!$B$21</definedName>
    <definedName function="false" hidden="false" name="VeriKaliteSkoru" vbProcedure="false">KONTROL!$B$20</definedName>
    <definedName function="false" hidden="false" name="VeriKaliteUyariCeza" vbProcedure="false">AYARLAR!$C$16</definedName>
    <definedName function="false" hidden="false" name="YaklasikMaliyet" vbProcedure="false">IHALE_KARTI!$B$7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4" authorId="0">
      <text>
        <r>
          <rPr>
            <sz val="10"/>
            <rFont val="Arial"/>
            <family val="2"/>
          </rPr>
          <t xml:space="preserve">Tanım: İhale Adı | Neden önemli: Teklif önerisi ve sınır değer hesabını doğrudan etkiler | Doğru giriş: İhaleye gireceğiniz işin adı | Örnek: Örnek: İl Yolu Yapım İşi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İdare | Neden önemli: Teklif önerisi ve sınır değer hesabını doğrudan etkiler | Doğru giriş: İhaleyi açan kurum | Örnek: Örnek: İl Özel İdaresi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İhale Tarihi | Neden önemli: Teklif önerisi ve sınır değer hesabını doğrudan etkiler | Doğru giriş: Tekliflerin verileceği tarih | Örnek: Örnek: 20.08.2026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Yaklaşık Maliyet (₺) | Neden önemli: Teklif önerisi ve sınır değer hesabını doğrudan etkiler | Doğru giriş: İdarenin belirlediği yaklaşık maliyet | Örnek: Örnek: 15.000.000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Sınır Değer Katsayısı (N) | Neden önemli: Teklif önerisi ve sınır değer hesabını doğrudan etkiler | Doğru giriş: İdari şartnamede belirtilen N katsayısı | Örnek: Örnek: %35 → 0,35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Hedef Kâr Marjı (%) | Neden önemli: Teklif önerisi ve sınır değer hesabını doğrudan etkiler | Doğru giriş: Bu işten beklediğiniz kâr oranı | Örnek: Örnek: %12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İş Maliyeti (₺) | Neden önemli: Teklif önerisi ve sınır değer hesabını doğrudan etkiler | Doğru giriş: İşi tamamlamanın gerçek maliyeti | Örnek: Örnek: 11.500.000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İş Kalemi Sayısı | Neden önemli: Teklif önerisi ve sınır değer hesabını doğrudan etkiler | Doğru giriş: Teklif mektubundaki kalem sayısı | Örnek: Örnek: 25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Fiyat Farkı Maddesi | Neden önemli: Teklif önerisi ve sınır değer hesabını doğrudan etkiler | Doğru giriş: Sözleşmede fiyat farkı maddesi var mı? | Örnek: Evet / Hayır | Yanlışsa: Önerilen teklif ve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Rakibin teklif tutarı | Neden önemli: Sınır değer ortalamasını belirler | Doğru giriş: TL olarak pozitif tutar | Örnek: 12000000 | Yanlışsa: Sınır değer ve teklif önerisi sapar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Teklifin değerlendirmeye alınıp alınmadığı | Neden önemli: Geçersiz teklifler ortalamaya girmez | Doğru giriş: Evet/Hayır | Örnek: Evet | Yanlışsa: Ortalama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Geçerli Teklif Sayısı | Neden önemli: Anomali ve ortalamaya kaç teklif girdiğini gösterir.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Ortalama Teklif | Neden önemli: Geçerli tekliflerin aritmetik ortalaması.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Ortalamanın Altındaki Tekliflerin Ortalaması | Neden önemli: Sınır değer formülünün ikinci bileşeni.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Teklif Standart Sapması | Neden önemli: Rakip tekliflerin dağılım genişliği.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Sınır Değer (SD) | Neden önemli: YİY md.61 formülü: YM×N + (ortalamanın altındaki tekliflerin ortalaması)×(1-N).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Sınır Değerin Yaklaşık Maliyete Oranı | Neden önemli: SD'nin yaklaşık maliyetin yüzde kaçı olduğu.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Önerilen Teklif (Güvenli Bölge) | Neden önemli: Sınır değerin üstünde ve hedef marjı karşılayan teklif.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Önerilen Teklifin Kâr Marjı | Neden önemli: Önerilen teklifin maliyet üzerindeki marjı.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Önerilen Teklifin SD Oranı | Neden önemli: Güvenli bölgede olup olmadığını gösterir.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Anomali Bayraklı Teklif Sayısı | Neden önemli: |Z| &gt; eşik olan teklif sayısı.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Geçmiş Kazanma Ortalaması | Neden önemli: Kazandığınız ihalelerdeki ortalama teklif.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Geçmiş Ortalama Sınır Altı Farkı | Neden önemli: Ortalama teklif ile ortalama sınır değer arasındaki fark.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Maliyet Kalemleri Toplamı | Neden önemli: Kalem bazında toplam maliyet.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Mutabakat Farkı | Neden önemli: Girilen toplam maliyet ile kalem toplamı arasındaki fark.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Mutabakat Oranı | Neden önemli: Kalem toplamının girilen maliyete oranı.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Mutabakat Durumu | Neden önemli: Mutabakat kontrol sonucu.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Fiyat Farkı Etkisi | Neden önemli: Fiyat farkı maddesinin teklife katkı tahmini.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Gelecek İhale Teklif Tahmini | Neden önemli: Geçmiş teklif trendinden sonraki ihaleye regresyon tahmini.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Tahmin Alt Sınırı | Neden önemli: Tahmin aralığının alt sınırı.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Tahmin Üst Sınırı | Neden önemli: Tahmin aralığının üst sınırı.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Kazanma Marjı Ortalaması | Neden önemli: Sınır altında kazanılan ihalelerdeki ortalama iskonto oranı. | Doğru giriş: Otomatik hesaplanır, değiştirmeyin | Yanlışsa: Teklif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T2: Sınır Değer Eğilimi (dönem başı) | Neden önemli: Geçmiş sınır değerlerin dönem başına değişim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T3: İlk 3 Maliyet Kaleminin Payı | Neden önemli: Maliyet yoğunlaşması; ilk üç kalemin toplam içindeki payı.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T6: Maliyet/Teklif Kırılım Oranı | Neden önemli: Kalem toplamının önerilen teklife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O2: En Etkili Değişken (Tornado) | Neden önemli: Sınır değeri ve öneriyi en çok etkileyen değişken.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O3: Baz Senaryo Sınır Değeri (₺) | Neden önemli: Baz senaryoda hesaplanan sınır değer.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O8: Veri Kalite Skoru | Neden önemli: Giriş kalitesi skoru.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I1: Tahmin Orta Noktası (₺) | Neden önemli: Geçmiş trendden bir sonraki teklif tahmini.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I2: Teklif P90 (₺) | Neden önemli: Rakip tekliflerin yüzde 90 alt sınırı.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Değer Ölçer: Beklenen Kâr (₺) | Neden önemli: Önerilen teklifin beklenen kâr tutarı.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Değer Ölçer: Kazanma Olasılığı | Neden önemli: Geçmiş ihalelerde kazanma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İhale Adı Boş | Neden önemli: İhale kartında ad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Yaklaşık Maliyet Boş/Sıfır | Neden önemli: Yaklaşık maliyet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N Katsayısı Geçersiz | Neden önemli: N katsayısı 0-1 aralığında değil.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Maliyet Boş/Sıfır | Neden önemli: Toplam maliyet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Geçerli Teklif Sayısı &lt; 3 | Neden önemli: Sınır değer için en az 3 geçerli teklif önerilir.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Mutabakat Farkı Aşımı | Neden önemli: Maliyet kalemleri ile girilen maliyet uyuşmuyor.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Anomali Sayısı &gt; 0 | Neden önemli: Uç teklif var, ortalamayı etkileyebilir.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Negatif Teklif Var | Neden önemli: Negatif teklif tutarı kabul edilemez.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Aşırı Uç Değer | Neden önemli: Gerçek dışı büyüklükte tutar var.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164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164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164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7" authorId="0">
      <text>
        <r>
          <rPr>
            <sz val="10"/>
            <rFont val="Arial"/>
            <family val="2"/>
          </rPr>
          <t xml:space="preserve">Tanım: firmaUnvani | Neden önemli: Rapor başlığında görünen firma adı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raporTarihi | Neden önemli: Dosyadaki tek tarih kaynağı; tüm rapor tarihleri buradan okunur. | Doğru giriş: Otomatik bugünün tarihidir | Örnek: 09.08.2026 | Yanlışsa: Tüm rapor tarihleri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GuvenlikPayi | Neden önemli: Sınır değerin üzerine eklenen güvenlik payı.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SdAsiriDusukEsik | Neden önemli: Teklif/SD oranı bu değerin altında ise aşırı düşük riski.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AnomaliZEsik | Neden önemli: Rakip tekliflerde |Z|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NMax | Neden önemli: N katsayısının duyarlılık analizindeki üst sınırı.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MutabakatTolerans | Neden önemli: Maliyet mutabakatı kabul toleransı (₺).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VeriKaliteIyiEsik | Neden önemli: Kalite skoru iyi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VeriKaliteOrtaEsik | Neden önemli: Kalite skoru orta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VeriKaliteUyariCeza | Neden önemli: Her WARN için skor cezası.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AzamiTutarSiniri | Neden önemli: Uç değer denetiminde mutlak tutar üst sınırı; üzeri gerçek dışı kabul edilir.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SenaryoKotumserKat | Neden önemli: Kötümser senaryoda rakip ortalama düşüş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SenaryoIyimserKat | Neden önemli: İyimser senaryoda rakip ortalama yükseliş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DuyarliDegisim | Neden önemli: Tornado analizinde değişim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TahminUfkuAdet | Neden önemli: Gelecek tahmin indeks adımı.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TahminBantOrani | Neden önemli: Tahmin aralığı bant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FiyatFarkiEtkiOran | Neden önemli: Fiyat farkı maddesinin tahmini katkı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DegerOlcerSaat | Neden önemli: Aracın aylık kazandırdığı tahmini süre.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DegerOlcerSaatUcreti | Neden önemli: Değerlendirilecek saat ücreti (₺).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<sst xmlns="http://schemas.openxmlformats.org/spreadsheetml/2006/main" count="482" uniqueCount="345">
  <si>
    <t xml:space="preserve">İHALEYE KAÇ TL TEKLİF VERMELİYİM? (SINIR DEĞER HESAPLAYICI)</t>
  </si>
  <si>
    <t xml:space="preserve">Teklifinizi rastgele değil, sınır değere göre verin.</t>
  </si>
  <si>
    <t xml:space="preserve">4734 sayılı Kanun kapsamında ihalelerde sınır değer, yaklaşık maliyet ile geçerli tekliflerin ortalamasına göre hesaplanır. Bu hesaplayıcı; sınır değeri üretir, güvenli teklif bölgesini ve beklenen kâr marjını gösterir, geçmiş ihalelerden kazanma marjını projekte eder.</t>
  </si>
  <si>
    <t xml:space="preserve">1. IHALE_KARTI sayfasına ihale bilgilerini, yaklaşık maliyeti ve maliyetinizi girin.</t>
  </si>
  <si>
    <t xml:space="preserve">2. RAKIP_TEKLIFLER ve ONCEKI_IHALELER sayfalarını doldurun.</t>
  </si>
  <si>
    <t xml:space="preserve">3. KARAR sayfasında önerilen teklifi, marjı ve kararı okuyun.</t>
  </si>
  <si>
    <t xml:space="preserve">Bu dosya karar destek aracıdır; ihale danışmanlığı yerine geçmez. Sınır değer katsayısı (N) ve yöntem bilgisi idari şartnameden teyit edilmelidir.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</si>
  <si>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</si>
  <si>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</si>
  <si>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</si>
  <si>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rapor tarihini ve eşikleri (güvenlik payı, kabul marjı, anomali Z) kontrol edin.</t>
  </si>
  <si>
    <t xml:space="preserve">2. IHALE_KARTI sayfasına ihale adı, yaklaşık maliyet, N katsayısı, hedef kâr marjı ve toplam maliyetinizi girin.</t>
  </si>
  <si>
    <t xml:space="preserve">3. RAKIP_TEKLIFLER sayfasına rakip tekliflerini girin; sınır değer ve oran otomatik hesaplanır.</t>
  </si>
  <si>
    <t xml:space="preserve">4. ONCEKI_IHALELER sayfasına geçmiş ihalelerdeki tekliflerinizi girin; kazanma marjı projekte edilir.</t>
  </si>
  <si>
    <t xml:space="preserve">5. MALIYET_KALEMLERI sayfasına kalem bazında maliyetlerinizi girin; mutabakat denetimi yapılır.</t>
  </si>
  <si>
    <t xml:space="preserve">6. KARAR sayfası önerilen teklifi, UYGUN / İNCELE / DURDUR kararını ve aksiyonları gösterir.</t>
  </si>
  <si>
    <t xml:space="preserve">7. PANO ve RAPOR sayfaları yönetici özetini ve yazdırılabilir raporu sunar.</t>
  </si>
  <si>
    <t xml:space="preserve">Sık yapılan hatalar</t>
  </si>
  <si>
    <t xml:space="preserve">N katsayısını idari şartnameden teyit etmeden girmek — yanlış katsayı tüm teklif bölgesini bozar.</t>
  </si>
  <si>
    <t xml:space="preserve">Geçersiz (değerlendirme dışı) rakip teklifleri tabloya yazmak — ortalamayı ve sınır değeri saptırır.</t>
  </si>
  <si>
    <t xml:space="preserve">Toplam maliyeti maliyet kalemleriyle mutabakat ettirmeden karara güvenmek.</t>
  </si>
  <si>
    <t xml:space="preserve">Geçmiş ihale kaydında kazanan teklifi bilmeden kazanma marjı yorumu yapmak.</t>
  </si>
  <si>
    <t xml:space="preserve">Kilitli (beyaz/yeşil) hücrelere yazmaya çalışmak — yalnızca sarı hücreler giriş içindir.</t>
  </si>
  <si>
    <t xml:space="preserve">Tüm eşikler ve katsayılar AYARLAR sayfasından beslenir; formüle gömülü sayı kullanılmaz.</t>
  </si>
  <si>
    <t xml:space="preserve">IHALE KARTI — İHALEYE KAÇ TL TEKLİF VERMELİYİM? (SINIR DEĞER HESAPLAYICI)</t>
  </si>
  <si>
    <t xml:space="preserve">İhale Bilgileri ve Teklif Kartı</t>
  </si>
  <si>
    <t xml:space="preserve">İhale Adı</t>
  </si>
  <si>
    <t xml:space="preserve">İl Yolu Yapım İşi</t>
  </si>
  <si>
    <t xml:space="preserve">İdare</t>
  </si>
  <si>
    <t xml:space="preserve">İl Özel İdaresi</t>
  </si>
  <si>
    <t xml:space="preserve">İhale Tarihi</t>
  </si>
  <si>
    <t xml:space="preserve">Yaklaşık Maliyet (₺)</t>
  </si>
  <si>
    <t xml:space="preserve">Sınır Değer Katsayısı (N)</t>
  </si>
  <si>
    <t xml:space="preserve">Hedef Kâr Marjı (%)</t>
  </si>
  <si>
    <t xml:space="preserve">Toplam İş Maliyeti (₺)</t>
  </si>
  <si>
    <t xml:space="preserve">İş Kalemi Sayısı</t>
  </si>
  <si>
    <t xml:space="preserve">Fiyat Farkı Maddesi</t>
  </si>
  <si>
    <t xml:space="preserve">Evet</t>
  </si>
  <si>
    <t xml:space="preserve">Adlandırılmış referanslar: YaklasikMaliyet, NKatsayisi, HedefKarMarji, ToplamMaliyet. Tüm katsayılar AYARLAR'dan beslenir.</t>
  </si>
  <si>
    <t xml:space="preserve">Sarı hücreler manuel giriştir; formül hücreleri kilitli ve korumalıdır.</t>
  </si>
  <si>
    <t xml:space="preserve">RAKIP TEKLIFLER — İHALEYE KAÇ TL TEKLİF VERMELİYİM? (SINIR DEĞER HESAPLAYICI)</t>
  </si>
  <si>
    <t xml:space="preserve">Rakip Teklifleri</t>
  </si>
  <si>
    <t xml:space="preserve">Rakip Adı</t>
  </si>
  <si>
    <t xml:space="preserve">Teklif Tutarı (₺)</t>
  </si>
  <si>
    <t xml:space="preserve">Geçerli Mi</t>
  </si>
  <si>
    <t xml:space="preserve">Yapı A A.Ş.</t>
  </si>
  <si>
    <t xml:space="preserve">İnşaat B Ltd.</t>
  </si>
  <si>
    <t xml:space="preserve">C Yapım</t>
  </si>
  <si>
    <t xml:space="preserve">D İnşaat</t>
  </si>
  <si>
    <t xml:space="preserve">E Müteahhit</t>
  </si>
  <si>
    <t xml:space="preserve">Hayır</t>
  </si>
  <si>
    <t xml:space="preserve">F İnşaat San.</t>
  </si>
  <si>
    <t xml:space="preserve">G Yapı Taahhüt</t>
  </si>
  <si>
    <t xml:space="preserve">H Mühendislik</t>
  </si>
  <si>
    <t xml:space="preserve">I İnşaat A.Ş.</t>
  </si>
  <si>
    <t xml:space="preserve">J Yapı Ortaklığı</t>
  </si>
  <si>
    <t xml:space="preserve">K Taahhüt Ltd.</t>
  </si>
  <si>
    <t xml:space="preserve">L Yapı Merkezi</t>
  </si>
  <si>
    <t xml:space="preserve">En az 3 geçerli rakip teklif girmeniz sınır değer hesabı için önerilir.</t>
  </si>
  <si>
    <t xml:space="preserve">ONCEKI IHALELER — İHALEYE KAÇ TL TEKLİF VERMELİYİM? (SINIR DEĞER HESAPLAYICI)</t>
  </si>
  <si>
    <t xml:space="preserve">Geçmiş İhaleler ve Kazanma Marjı</t>
  </si>
  <si>
    <t xml:space="preserve">Tarih</t>
  </si>
  <si>
    <t xml:space="preserve">Sınır Değer (₺)</t>
  </si>
  <si>
    <t xml:space="preserve">Bizim Teklif (₺)</t>
  </si>
  <si>
    <t xml:space="preserve">Kazanan Teklif (₺)</t>
  </si>
  <si>
    <t xml:space="preserve">Sınır Altı Teklif</t>
  </si>
  <si>
    <t xml:space="preserve">Sonuç</t>
  </si>
  <si>
    <t xml:space="preserve">Köprü Onarım</t>
  </si>
  <si>
    <t xml:space="preserve">İçme Suyu Hattı</t>
  </si>
  <si>
    <t xml:space="preserve">Okul Tadilat</t>
  </si>
  <si>
    <t xml:space="preserve">Yol Bakım</t>
  </si>
  <si>
    <t xml:space="preserve">Kanalizasyon</t>
  </si>
  <si>
    <t xml:space="preserve">Sulama Tesisi</t>
  </si>
  <si>
    <t xml:space="preserve">Park Düzenleme</t>
  </si>
  <si>
    <t xml:space="preserve">Çevre Yolu</t>
  </si>
  <si>
    <t xml:space="preserve">Havuz Yapımı</t>
  </si>
  <si>
    <t xml:space="preserve">Dere Islahı</t>
  </si>
  <si>
    <t xml:space="preserve">Sonuç ve Sınır Altı kolonları otomatik hesaplanır; sarı kolonlara kazanan ve kendi teklifinizi girin.</t>
  </si>
  <si>
    <t xml:space="preserve">MALIYET KALEMLERI — İHALEYE KAÇ TL TEKLİF VERMELİYİM? (SINIR DEĞER HESAPLAYICI)</t>
  </si>
  <si>
    <t xml:space="preserve">Maliyet Kalemleri (Mutabakat İçin)</t>
  </si>
  <si>
    <t xml:space="preserve">Kalem Adı</t>
  </si>
  <si>
    <t xml:space="preserve">Birim</t>
  </si>
  <si>
    <t xml:space="preserve">Miktar</t>
  </si>
  <si>
    <t xml:space="preserve">Birim Maliyet (₺)</t>
  </si>
  <si>
    <t xml:space="preserve">Toplam Maliyet (₺)</t>
  </si>
  <si>
    <t xml:space="preserve">Altyapı</t>
  </si>
  <si>
    <t xml:space="preserve">m</t>
  </si>
  <si>
    <t xml:space="preserve">Üst yapı</t>
  </si>
  <si>
    <t xml:space="preserve">m³</t>
  </si>
  <si>
    <t xml:space="preserve">Asfalt</t>
  </si>
  <si>
    <t xml:space="preserve">ton</t>
  </si>
  <si>
    <t xml:space="preserve">Köprü</t>
  </si>
  <si>
    <t xml:space="preserve">adet</t>
  </si>
  <si>
    <t xml:space="preserve">Sanat yapısı</t>
  </si>
  <si>
    <t xml:space="preserve">Bordür ve Tretuvar</t>
  </si>
  <si>
    <t xml:space="preserve">Aydınlatma Direği</t>
  </si>
  <si>
    <t xml:space="preserve">Trafik İşaretleme</t>
  </si>
  <si>
    <t xml:space="preserve">Drenaj Borusu</t>
  </si>
  <si>
    <t xml:space="preserve">Menfez</t>
  </si>
  <si>
    <t xml:space="preserve">Yeşil Alan Düzenleme</t>
  </si>
  <si>
    <t xml:space="preserve">m²</t>
  </si>
  <si>
    <t xml:space="preserve">Tel Çit</t>
  </si>
  <si>
    <t xml:space="preserve">Toplam maliyetiniz IHALE_KARTI'ndaki tutarla mutabakat kontrolünden geçer.</t>
  </si>
  <si>
    <t xml:space="preserve">MOTOR — İHALEYE KAÇ TL TEKLİF VERMELİYİM? (SINIR DEĞER HESAPLAYICI)</t>
  </si>
  <si>
    <t xml:space="preserve">Hesaplama Motoru — Sınır Değer ve Teklif Önerisi</t>
  </si>
  <si>
    <t xml:space="preserve">Geçerli Teklif Sayısı</t>
  </si>
  <si>
    <t xml:space="preserve">Ortalama Teklif</t>
  </si>
  <si>
    <t xml:space="preserve">Ortalamanın Altındaki Tekliflerin Ortalaması</t>
  </si>
  <si>
    <t xml:space="preserve">Teklif Standart Sapması</t>
  </si>
  <si>
    <t xml:space="preserve">Sınır Değer (SD)</t>
  </si>
  <si>
    <t xml:space="preserve">Sınır Değerin Yaklaşık Maliyete Oranı</t>
  </si>
  <si>
    <t xml:space="preserve">Önerilen Teklif (Güvenli Bölge)</t>
  </si>
  <si>
    <t xml:space="preserve">Önerilen Teklifin Kâr Marjı</t>
  </si>
  <si>
    <t xml:space="preserve">Önerilen Teklifin SD Oranı</t>
  </si>
  <si>
    <t xml:space="preserve">Anomali Bayraklı Teklif Sayısı</t>
  </si>
  <si>
    <t xml:space="preserve">Geçmiş Kazanma Ortalaması</t>
  </si>
  <si>
    <t xml:space="preserve">Geçmiş Ortalama Sınır Altı Farkı</t>
  </si>
  <si>
    <t xml:space="preserve">Maliyet Kalemleri Toplamı</t>
  </si>
  <si>
    <t xml:space="preserve">Mutabakat Farkı</t>
  </si>
  <si>
    <t xml:space="preserve">Mutabakat Oranı</t>
  </si>
  <si>
    <t xml:space="preserve">Mutabakat Durumu</t>
  </si>
  <si>
    <t xml:space="preserve">Fiyat Farkı Etkisi</t>
  </si>
  <si>
    <t xml:space="preserve">Gelecek İhale Teklif Tahmini</t>
  </si>
  <si>
    <t xml:space="preserve">Tahmin Alt Sınırı</t>
  </si>
  <si>
    <t xml:space="preserve">Tahmin Üst Sınırı</t>
  </si>
  <si>
    <t xml:space="preserve">Kazanma Marjı Ortalaması</t>
  </si>
  <si>
    <t xml:space="preserve">Analitik Modül Hesapları</t>
  </si>
  <si>
    <t xml:space="preserve">Modül T2: Sınır Değer Eğilimi (dönem başı)</t>
  </si>
  <si>
    <t xml:space="preserve">Modül T3: İlk 3 Maliyet Kaleminin Payı</t>
  </si>
  <si>
    <t xml:space="preserve">Modül T6: Maliyet/Teklif Kırılım Oranı</t>
  </si>
  <si>
    <t xml:space="preserve">Modül O2: En Etkili Değişken (Tornado)</t>
  </si>
  <si>
    <t xml:space="preserve">Modül O3: Baz Senaryo Sınır Değeri (₺)</t>
  </si>
  <si>
    <t xml:space="preserve">Modül O8: Veri Kalite Skoru</t>
  </si>
  <si>
    <t xml:space="preserve">Modül I1: Tahmin Orta Noktası (₺)</t>
  </si>
  <si>
    <t xml:space="preserve">Modül I2: Teklif P90 (₺)</t>
  </si>
  <si>
    <t xml:space="preserve">Değer Ölçer: Beklenen Kâr (₺)</t>
  </si>
  <si>
    <t xml:space="preserve">Değer Ölçer: Kazanma Olasılığı</t>
  </si>
  <si>
    <t xml:space="preserve">Modül Makine Yorumları</t>
  </si>
  <si>
    <t xml:space="preserve">T2 Endeks Eğilimi</t>
  </si>
  <si>
    <t xml:space="preserve">T3 Pareto Payı</t>
  </si>
  <si>
    <t xml:space="preserve">T6 Kırılım Oranı</t>
  </si>
  <si>
    <t xml:space="preserve">O1 Anomali Sayısı</t>
  </si>
  <si>
    <t xml:space="preserve">O2 Tornado Zirve</t>
  </si>
  <si>
    <t xml:space="preserve">O3 Senaryo Baz</t>
  </si>
  <si>
    <t xml:space="preserve">O8 Veri Kalite Skoru</t>
  </si>
  <si>
    <t xml:space="preserve">I1 Tahmin Orta</t>
  </si>
  <si>
    <t xml:space="preserve">I2 Yüzdelik P90</t>
  </si>
  <si>
    <t xml:space="preserve">Yorum 1 (T2)</t>
  </si>
  <si>
    <t xml:space="preserve">Yorum 2 (T3)</t>
  </si>
  <si>
    <t xml:space="preserve">Yorum 3 (T6)</t>
  </si>
  <si>
    <t xml:space="preserve">Yorum 4 (O1)</t>
  </si>
  <si>
    <t xml:space="preserve">Yorum 5 (O2)</t>
  </si>
  <si>
    <t xml:space="preserve">Yorum 6 (O3)</t>
  </si>
  <si>
    <t xml:space="preserve">Yorum 7 (O8)</t>
  </si>
  <si>
    <t xml:space="preserve">Yorum 8 (I1)</t>
  </si>
  <si>
    <t xml:space="preserve">Yorum 9 (I2)</t>
  </si>
  <si>
    <t xml:space="preserve">Sınır değer formülü: SD = YM×N + OrtAlt×(1-N); tüm katsayılar AYARLAR'dan beslenir. Modül yorumları veriden otomatik üretilir.</t>
  </si>
  <si>
    <t xml:space="preserve">KONTROL — İHALEYE KAÇ TL TEKLİF VERMELİYİM? (SINIR DEĞER HESAPLAYICI)</t>
  </si>
  <si>
    <t xml:space="preserve">Veri Kalitesi ve Sağlık Kontrolü</t>
  </si>
  <si>
    <t xml:space="preserve">A. GİRİŞ TAMLIK VE GEÇERLİLİK KONTROLÜ</t>
  </si>
  <si>
    <t xml:space="preserve">İhale Adı Boş</t>
  </si>
  <si>
    <t xml:space="preserve">Yaklaşık Maliyet Boş/Sıfır</t>
  </si>
  <si>
    <t xml:space="preserve">N Katsayısı Geçersiz</t>
  </si>
  <si>
    <t xml:space="preserve">Toplam Maliyet Boş/Sıfır</t>
  </si>
  <si>
    <t xml:space="preserve">Geçerli Teklif Sayısı &lt; 3</t>
  </si>
  <si>
    <t xml:space="preserve">Mutabakat Farkı Aşımı</t>
  </si>
  <si>
    <t xml:space="preserve">Anomali Sayısı &gt; 0</t>
  </si>
  <si>
    <t xml:space="preserve">Negatif Teklif Var</t>
  </si>
  <si>
    <t xml:space="preserve">Aşırı Uç Değer</t>
  </si>
  <si>
    <t xml:space="preserve">B. SKOR VE SAĞLIK</t>
  </si>
  <si>
    <t xml:space="preserve">PASS Sayısı</t>
  </si>
  <si>
    <t xml:space="preserve">FAIL Sayısı</t>
  </si>
  <si>
    <t xml:space="preserve">Veri Kalite Skoru (0-100)</t>
  </si>
  <si>
    <t xml:space="preserve">Güven Seviyesi</t>
  </si>
  <si>
    <t xml:space="preserve">Durum</t>
  </si>
  <si>
    <t xml:space="preserve">Dolu Giriş Hücresi Sayısı</t>
  </si>
  <si>
    <t xml:space="preserve">Giriş Doluluk Oranı</t>
  </si>
  <si>
    <t xml:space="preserve">Skor ve sağlık durumu formülle üretilir; sahte veri yoktur.</t>
  </si>
  <si>
    <t xml:space="preserve">KARAR — İHALEYE KAÇ TL TEKLİF VERMELİYİM? (SINIR DEĞER HESAPLAYICI)</t>
  </si>
  <si>
    <t xml:space="preserve">Karar Motoru</t>
  </si>
  <si>
    <t xml:space="preserve">ÖNERİLEN TEKLİF</t>
  </si>
  <si>
    <t xml:space="preserve">Önerilen Teklif</t>
  </si>
  <si>
    <t xml:space="preserve">SD Oranı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</si>
  <si>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</si>
  <si>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</si>
  <si>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</si>
  <si>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</si>
  <si>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İHALEYE KAÇ TL TEKLİF VERMELİYİM? (SINIR DEĞER HESAPLAYICI)</t>
  </si>
  <si>
    <t xml:space="preserve">Yönetici Özeti</t>
  </si>
  <si>
    <t xml:space="preserve">SINIR DEĞER</t>
  </si>
  <si>
    <t xml:space="preserve">KÂR MARJI</t>
  </si>
  <si>
    <t xml:space="preserve">Rakip Teklif Dağılımı</t>
  </si>
  <si>
    <t xml:space="preserve">Anomali Teklif Sayısı</t>
  </si>
  <si>
    <t xml:space="preserve">Veri Kalite Skoru</t>
  </si>
  <si>
    <t xml:space="preserve">EN KRİTİK 3 İÇGÖRÜ</t>
  </si>
  <si>
    <t xml:space="preserve">Karar Bölgesi</t>
  </si>
  <si>
    <t xml:space="preserve">Maliyet</t>
  </si>
  <si>
    <t xml:space="preserve">Kâr</t>
  </si>
  <si>
    <t xml:space="preserve">Zaman Serisi: Geçmiş ve Tahmin</t>
  </si>
  <si>
    <t xml:space="preserve">Tahmin</t>
  </si>
  <si>
    <t xml:space="preserve">Alt</t>
  </si>
  <si>
    <t xml:space="preserve">Üst</t>
  </si>
  <si>
    <t xml:space="preserve">GRAFİKLER</t>
  </si>
  <si>
    <t xml:space="preserve">SD</t>
  </si>
  <si>
    <t xml:space="preserve">SENARYO DUYARLILIK — İHALEYE KAÇ TL TEKLİF VERMELİYİM? (SINIR DEĞER HESAPLAYICI)</t>
  </si>
  <si>
    <t xml:space="preserve">Senaryo ve Duyarlılık Analizi</t>
  </si>
  <si>
    <t xml:space="preserve">A. SENARYO MOTORU</t>
  </si>
  <si>
    <t xml:space="preserve">Senaryo</t>
  </si>
  <si>
    <t xml:space="preserve">N Katsayısı</t>
  </si>
  <si>
    <t xml:space="preserve">Rakip Ortalama Çarpanı</t>
  </si>
  <si>
    <t xml:space="preserve">Önerilen Teklif (₺)</t>
  </si>
  <si>
    <t xml:space="preserve">Kâr Marjı</t>
  </si>
  <si>
    <t xml:space="preserve">Karar</t>
  </si>
  <si>
    <t xml:space="preserve">KÖTÜMSER</t>
  </si>
  <si>
    <t xml:space="preserve">BAZ</t>
  </si>
  <si>
    <t xml:space="preserve">İYİMSER</t>
  </si>
  <si>
    <t xml:space="preserve">B. TORNADO / DUYARLILIK</t>
  </si>
  <si>
    <t xml:space="preserve">Değişken</t>
  </si>
  <si>
    <t xml:space="preserve">Alt (-%5)</t>
  </si>
  <si>
    <t xml:space="preserve">Baz</t>
  </si>
  <si>
    <t xml:space="preserve">Üst (+%5)</t>
  </si>
  <si>
    <t xml:space="preserve">Önerilen Teklif Alt (₺)</t>
  </si>
  <si>
    <t xml:space="preserve">Önerilen Teklif Üst (₺)</t>
  </si>
  <si>
    <t xml:space="preserve">Etki (₺)</t>
  </si>
  <si>
    <t xml:space="preserve">Yaklaşık Maliyet (±%5)</t>
  </si>
  <si>
    <t xml:space="preserve">Ortalama Teklif (±%5)</t>
  </si>
  <si>
    <t xml:space="preserve">C. EŞİK / KIRILIM ANALİZİ</t>
  </si>
  <si>
    <t xml:space="preserve">Sınır Değerin Altında Kalan Teklif Sayısı</t>
  </si>
  <si>
    <t xml:space="preserve">Kırılım: Kâr Marjının Sıfırlandığı Teklif</t>
  </si>
  <si>
    <t xml:space="preserve">Güvenli Bölge Alt Sınırı (SD×1)</t>
  </si>
  <si>
    <t xml:space="preserve">Değer Ölçer: Beklenen Kâr</t>
  </si>
  <si>
    <t xml:space="preserve">Senaryo çarpanları ve duyarlılık oranı AYARLAR'dan gelir.</t>
  </si>
  <si>
    <t xml:space="preserve">İHALE TEKLİF RAPORU</t>
  </si>
  <si>
    <t xml:space="preserve">1. ÖZET</t>
  </si>
  <si>
    <t xml:space="preserve">Yaklaşık Maliyet</t>
  </si>
  <si>
    <t xml:space="preserve">Önerilen Kâr Marjı</t>
  </si>
  <si>
    <t xml:space="preserve">2. KARAR GEREKÇESİ</t>
  </si>
  <si>
    <t xml:space="preserve">3. VARSAYIMLAR</t>
  </si>
  <si>
    <t xml:space="preserve">• N katsayısı idari şartnameden teyit edilmelidir.</t>
  </si>
  <si>
    <t xml:space="preserve">• Rakip teklifler geçerlilik durumuna göre sınır değere girer.</t>
  </si>
  <si>
    <t xml:space="preserve">• Maliyet kalemleri güncel rayiçlere dayanmalıdır.</t>
  </si>
  <si>
    <t xml:space="preserve">• Fiyat farkı maddesi varsa endeks hareketi tahmini iyimser/kötümser olabilir.</t>
  </si>
  <si>
    <t xml:space="preserve">4. UYARILAR</t>
  </si>
  <si>
    <t xml:space="preserve">5. ÖNERİLEN AKSİYONLAR</t>
  </si>
  <si>
    <t xml:space="preserve">Bu rapor karar destek çıktısıdır; ihale mevzuatı danışmanlığı yerine geçmez.</t>
  </si>
  <si>
    <t xml:space="preserve">ORNEK VERI — İHALEYE KAÇ TL TEKLİF VERMELİYİM? (SINIR DEĞER HESAPLAYICI)</t>
  </si>
  <si>
    <t xml:space="preserve">Örnek Veri ve İçe Aktarma Yapısı</t>
  </si>
  <si>
    <t xml:space="preserve">Bu sayfa otomasyon ve içe aktarma için yapıdır; rakip tekliflerinizi CSV/Excel'den kopyalayabilirsiniz.</t>
  </si>
  <si>
    <t xml:space="preserve">Örnek veri giriş sayfalarını beslemek için değil, yapıyı göstermek içindir.</t>
  </si>
  <si>
    <t xml:space="preserve">DEGISIKLIK KAYDI — İHALEYE KAÇ TL TEKLİF VERMELİYİM? (SINIR DEĞER HESAPLAYICI)</t>
  </si>
  <si>
    <t xml:space="preserve">Değişiklik Kaydı</t>
  </si>
  <si>
    <t xml:space="preserve">Sürüm</t>
  </si>
  <si>
    <t xml:space="preserve">Değişiklik</t>
  </si>
  <si>
    <t xml:space="preserve">08.08.2026</t>
  </si>
  <si>
    <t xml:space="preserve">1.0</t>
  </si>
  <si>
    <t xml:space="preserve">İlk sürüm: sınır değer hesaplayıcı, teklif önerisi, senaryo ve duyarlılık analizi.</t>
  </si>
  <si>
    <t xml:space="preserve">Sürüm izi ve lisans bilgisi KAPAK sayfasında da yer alır.</t>
  </si>
  <si>
    <t xml:space="preserve">LISTELER — İHALEYE KAÇ TL TEKLİF VERMELİYİM? (SINIR DEĞER HESAPLAYICI)</t>
  </si>
  <si>
    <t xml:space="preserve">Açılır Liste Kaynakları</t>
  </si>
  <si>
    <t xml:space="preserve">Evet/Hayır</t>
  </si>
  <si>
    <t xml:space="preserve">Metin Örnekleri</t>
  </si>
  <si>
    <t xml:space="preserve">İhale adı</t>
  </si>
  <si>
    <t xml:space="preserve">Listeler AYARLAR sayfasındaki ayarlarla birlikte doğrulama aralıklarını besler.</t>
  </si>
  <si>
    <t xml:space="preserve">AYARLAR — İHALEYE KAÇ TL TEKLİF VERMELİYİM? (SINIR DEĞER HESAPLAYICI)</t>
  </si>
  <si>
    <t xml:space="preserve">Ayarlar ve Eşikler (Formüle Sabit Sayı Girilmez)</t>
  </si>
  <si>
    <t xml:space="preserve">Tüm katsayı ve eşikler bu sayfadadır. Mevzuat değişikliklerinde AYARLAR'dan güncellenir; formüller değişmez. Kaynak sütunu hangi değerin varsayım olduğunu gösterir.</t>
  </si>
  <si>
    <t xml:space="preserve">Ayar Adı</t>
  </si>
  <si>
    <t xml:space="preserve">Anahtar</t>
  </si>
  <si>
    <t xml:space="preserve">Değer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</si>
  <si>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</si>
  <si>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</si>
  <si>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</si>
  <si>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</si>
  <si>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</si>
  <si>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</si>
  <si>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Yapı A.Ş.</t>
  </si>
  <si>
    <t xml:space="preserve">metin</t>
  </si>
  <si>
    <t xml:space="preserve">Rapor başlığında görünen firma adı</t>
  </si>
  <si>
    <t xml:space="preserve">Kullanıcı</t>
  </si>
  <si>
    <t xml:space="preserve">09.08.2026</t>
  </si>
  <si>
    <t xml:space="preserve">raporTarihi</t>
  </si>
  <si>
    <t xml:space="preserve">tarih</t>
  </si>
  <si>
    <t xml:space="preserve">Dosyadaki tek tarih kaynağı; tüm rapor tarihleri buradan okunur.</t>
  </si>
  <si>
    <t xml:space="preserve">Eşik</t>
  </si>
  <si>
    <t xml:space="preserve">GuvenlikPayi</t>
  </si>
  <si>
    <t xml:space="preserve">oran</t>
  </si>
  <si>
    <t xml:space="preserve">Sınır değerin üzerine eklenen güvenlik payı.</t>
  </si>
  <si>
    <t xml:space="preserve">Varsayım</t>
  </si>
  <si>
    <t xml:space="preserve">SdAsiriDusukEsik</t>
  </si>
  <si>
    <t xml:space="preserve">Teklif/SD oranı bu değerin altında ise aşırı düşük riski.</t>
  </si>
  <si>
    <t xml:space="preserve">4734 s. KİK; YİUY md.61-62</t>
  </si>
  <si>
    <t xml:space="preserve">01.01.2003</t>
  </si>
  <si>
    <t xml:space="preserve">AnomaliZEsik</t>
  </si>
  <si>
    <t xml:space="preserve">Rakip tekliflerde |Z| eşiği.</t>
  </si>
  <si>
    <t xml:space="preserve">NMax</t>
  </si>
  <si>
    <t xml:space="preserve">N katsayısının duyarlılık analizindeki üst sınırı.</t>
  </si>
  <si>
    <t xml:space="preserve">MutabakatTolerans</t>
  </si>
  <si>
    <t xml:space="preserve">₺</t>
  </si>
  <si>
    <t xml:space="preserve">Maliyet mutabakatı kabul toleransı (₺).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</si>
  <si>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</si>
  <si>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</si>
  <si>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</si>
  <si>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</si>
  <si>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</si>
  <si>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</si>
  <si>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</si>
  <si>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AzamiTutarSiniri</t>
  </si>
  <si>
    <t xml:space="preserve">Uç değer denetiminde mutlak tutar üst sınırı; üzeri gerçek dışı kabul edilir.</t>
  </si>
  <si>
    <t xml:space="preserve">SenaryoKotumserKat</t>
  </si>
  <si>
    <t xml:space="preserve">Kötümser senaryoda rakip ortalama düşüş oranı.</t>
  </si>
  <si>
    <t xml:space="preserve">SenaryoIyimserKat</t>
  </si>
  <si>
    <t xml:space="preserve">İyimser senaryoda rakip ortalama yükseliş oranı.</t>
  </si>
  <si>
    <t xml:space="preserve">Duyarlılık</t>
  </si>
  <si>
    <t xml:space="preserve">DuyarliDegisim</t>
  </si>
  <si>
    <t xml:space="preserve">Tornado analizinde değişim oranı.</t>
  </si>
  <si>
    <t xml:space="preserve">TahminUfkuAdet</t>
  </si>
  <si>
    <t xml:space="preserve">Gelecek tahmin indeks adımı.</t>
  </si>
  <si>
    <t xml:space="preserve">TahminBantOrani</t>
  </si>
  <si>
    <t xml:space="preserve">Tahmin aralığı bant oranı.</t>
  </si>
  <si>
    <t xml:space="preserve">Fiyat Farkı</t>
  </si>
  <si>
    <t xml:space="preserve">FiyatFarkiEtkiOran</t>
  </si>
  <si>
    <t xml:space="preserve">Fiyat farkı maddesinin tahmini katkı oranı.</t>
  </si>
  <si>
    <t xml:space="preserve">Değer Ölçer</t>
  </si>
  <si>
    <t xml:space="preserve">DegerOlcerSaat</t>
  </si>
  <si>
    <t xml:space="preserve">saat/ay</t>
  </si>
  <si>
    <t xml:space="preserve">Aracın aylık kazandırdığı tahmini süre.</t>
  </si>
  <si>
    <t xml:space="preserve">DegerOlcerSaatUcreti</t>
  </si>
  <si>
    <t xml:space="preserve">Değerlendirilecek saat ücreti (₺).</t>
  </si>
  <si>
    <t xml:space="preserve">Not: raporTarihi dışında volatil fonksiyon kullanılmaz; kaynak Varsayım işaretli değerler kullanıcı tarafından güncellenmelidir.</t>
  </si>
  <si>
    <t xml:space="preserve">Gelişmiş ayarlar; ana kullanıcının değiştirmesi gerekmez.</t>
  </si>
  <si>
    <t xml:space="preserve">KILAVUZ — İHALEYE KAÇ TL TEKLİF VERMELİYİM? (SINIR DEĞER HESAPLAYICI)</t>
  </si>
  <si>
    <t xml:space="preserve">Kullanım Kılavuzu</t>
  </si>
  <si>
    <t xml:space="preserve">1. Ne yapar?</t>
  </si>
  <si>
    <t xml:space="preserve">2. Hangi sayfa sırasıyla gidilir?</t>
  </si>
  <si>
    <t xml:space="preserve">3. Sarı hücreler ne demek?</t>
  </si>
  <si>
    <t xml:space="preserve">4. Sınır değer nasıl hesaplanır?</t>
  </si>
  <si>
    <t xml:space="preserve">5. Karar nasıl okunur?</t>
  </si>
  <si>
    <t xml:space="preserve">6. Fiyat farkı maddesi neden sorulur?</t>
  </si>
  <si>
    <t xml:space="preserve">7. Karar kuralları</t>
  </si>
  <si>
    <t xml:space="preserve">8. Kaynaklar ve varsayımlar</t>
  </si>
  <si>
    <t xml:space="preserve">9. Güvenlik ve KVKK</t>
  </si>
  <si>
    <t xml:space="preserve">10. Ortam beyanı</t>
  </si>
  <si>
    <t xml:space="preserve">11. Yasal çekince</t>
  </si>
  <si>
    <t xml:space="preserve">Bu araç karar destek amaçlıdır; ihale mevzuatı danışmanlığı ve hukuki görüş yerine geçmez. Sınır değer hesabı yöntemi ve N katsayısı ihale dokümanından teyit edilmelidir.</t>
  </si>
  <si>
    <t xml:space="preserve">ExcelArşiv | Sınır Değer Hesaplayıcı | Rev 1.0 | 2026-08-08 | Mevzuat değişikliklerinde sürüm güncellemeleri 12 ay ücretsizdir.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</si>
</sst>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sz val="9"/>
      <color rgb="FF555555"/>
      <name val="Segoe UI"/>
      <family val="0"/>
      <charset val="1"/>
    </font>
    <font>
      <sz val="9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sz val="9"/>
      <color rgb="FFB3261E"/>
      <name val="Segoe UI"/>
      <family val="0"/>
      <charset val="1"/>
    </font>
    <font>
      <sz val="8"/>
      <color rgb="FF595959"/>
      <name val="Segoe UI"/>
      <family val="0"/>
      <charset val="1"/>
    </font>
    <font>
      <sz val="10"/>
      <color rgb="FF595959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DE9E9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  <fill>
      <patternFill patternType="solid">
        <fgColor rgb="FF1F7A4D"/>
        <bgColor rgb="FF008080"/>
      </patternFill>
    </fill>
    <fill>
      <patternFill patternType="solid">
        <fgColor rgb="FFB08948"/>
        <bgColor rgb="FFB7791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555555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Önerilen Teklifin Maliyet Bileşimi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PANO!C18</c:f>
              <c:strCache>
                <c:ptCount val="1"/>
                <c:pt idx="0">
                  <c:v>₺ 11.500.000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PANO!$B$18:$B$19</c:f>
              <c:strCache>
                <c:ptCount val="2"/>
                <c:pt idx="0">
                  <c:v>Maliyet</c:v>
                </c:pt>
                <c:pt idx="1">
                  <c:v>Kâr</c:v>
                </c:pt>
              </c:strCache>
            </c:strRef>
          </c:cat>
          <c:val>
            <c:numRef>
              <c:f>PANO!$C$19</c:f>
              <c:numCache>
                <c:formatCode>"₺ "#,##0;[RED]"(₺ "#,##0\);\-</c:formatCode>
                <c:ptCount val="1"/>
                <c:pt idx="0">
                  <c:v>3387620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Geçmiş Teklif Trendi ve Tahmin Aralığı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PANO!C21</c:f>
              <c:strCache>
                <c:ptCount val="1"/>
                <c:pt idx="0">
                  <c:v>₺ 5.542.102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PANO!$B$21:$B$23</c:f>
              <c:strCache>
                <c:ptCount val="3"/>
                <c:pt idx="0">
                  <c:v>Tahmin</c:v>
                </c:pt>
                <c:pt idx="1">
                  <c:v>Alt</c:v>
                </c:pt>
                <c:pt idx="2">
                  <c:v>Üst</c:v>
                </c:pt>
              </c:strCache>
            </c:strRef>
          </c:cat>
          <c:val>
            <c:numRef>
              <c:f>PANO!$C$22:$C$23</c:f>
              <c:numCache>
                <c:formatCode>"₺ "#,##0;[RED]"(₺ "#,##0\);\-</c:formatCode>
                <c:ptCount val="2"/>
                <c:pt idx="0">
                  <c:v>4987891.8</c:v>
                </c:pt>
                <c:pt idx="1">
                  <c:v>6096312.2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501130"/>
        <c:axId val="5951354"/>
      </c:lineChart>
      <c:catAx>
        <c:axId val="96501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1354"/>
        <c:crosses val="autoZero"/>
        <c:auto val="1"/>
        <c:lblAlgn val="ctr"/>
        <c:lblOffset val="100"/>
        <c:noMultiLvlLbl val="0"/>
      </c:catAx>
      <c:valAx>
        <c:axId val="5951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011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Rakip Teklifler ve Sınır Değer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₺ 14.454.000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PANO!$B$29</c:f>
              <c:strCache>
                <c:ptCount val="1"/>
                <c:pt idx="0">
                  <c:v>SD</c:v>
                </c:pt>
              </c:strCache>
            </c:strRef>
          </c:cat>
          <c:val>
            <c:numRef>
              <c:f>PANO!$C$29:$D$29</c:f>
              <c:numCache>
                <c:formatCode>"₺ "#,##0;[RED]"(₺ "#,##0\);\-</c:formatCode>
                <c:ptCount val="2"/>
                <c:pt idx="0">
                  <c:v>14454000</c:v>
                </c:pt>
              </c:numCache>
            </c:numRef>
          </c:val>
        </c:ser>
        <c:gapWidth val="150"/>
        <c:overlap val="0"/>
        <c:axId val="67097565"/>
        <c:axId val="41829743"/>
      </c:barChart>
      <c:catAx>
        <c:axId val="67097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29743"/>
        <c:crosses val="autoZero"/>
        <c:auto val="1"/>
        <c:lblAlgn val="ctr"/>
        <c:lblOffset val="100"/>
        <c:noMultiLvlLbl val="0"/>
      </c:catAx>
      <c:valAx>
        <c:axId val="41829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0975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SENARYO_DUYARLILIK!E7</c:f>
              <c:strCache>
                <c:ptCount val="1"/>
                <c:pt idx="0">
                  <c:v>₺ 13.465.602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SENARYO_DUYARLILIK!$E$8:$E$9</c:f>
              <c:numCache>
                <c:formatCode>"₺ "#,##0;[RED]"(₺ "#,##0\);\-</c:formatCode>
                <c:ptCount val="2"/>
                <c:pt idx="0">
                  <c:v>14887620</c:v>
                </c:pt>
                <c:pt idx="1">
                  <c:v>16309638</c:v>
                </c:pt>
              </c:numCache>
            </c:numRef>
          </c:val>
        </c:ser>
        <c:gapWidth val="150"/>
        <c:overlap val="0"/>
        <c:axId val="13008690"/>
        <c:axId val="3275079"/>
      </c:barChart>
      <c:catAx>
        <c:axId val="13008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5079"/>
        <c:crosses val="autoZero"/>
        <c:auto val="1"/>
        <c:lblAlgn val="ctr"/>
        <c:lblOffset val="100"/>
        <c:noMultiLvlLbl val="0"/>
      </c:catAx>
      <c:valAx>
        <c:axId val="3275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086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Önerilen Teklif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SENARYO_DUYARLILIK!G13</c:f>
              <c:strCache>
                <c:ptCount val="1"/>
                <c:pt idx="0">
                  <c:v>₺ 84.000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SENARYO_DUYARLILIK!$A$13:$A$15</c:f>
              <c:strCache>
                <c:ptCount val="3"/>
                <c:pt idx="0">
                  <c:v>N Katsayısı</c:v>
                </c:pt>
                <c:pt idx="1">
                  <c:v>Yaklaşık Maliyet (±%5)</c:v>
                </c:pt>
                <c:pt idx="2">
                  <c:v>Ortalama Teklif (±%5)</c:v>
                </c:pt>
              </c:strCache>
            </c:strRef>
          </c:cat>
          <c:val>
            <c:numRef>
              <c:f>SENARYO_DUYARLILIK!$G$14:$G$15</c:f>
              <c:numCache>
                <c:formatCode>"₺ "#,##0;[RED]"(₺ "#,##0\);\-</c:formatCode>
                <c:ptCount val="2"/>
                <c:pt idx="0">
                  <c:v>525000</c:v>
                </c:pt>
                <c:pt idx="1">
                  <c:v>964925</c:v>
                </c:pt>
              </c:numCache>
            </c:numRef>
          </c:val>
        </c:ser>
        <c:gapWidth val="150"/>
        <c:overlap val="0"/>
        <c:axId val="79167477"/>
        <c:axId val="18248011"/>
      </c:barChart>
      <c:catAx>
        <c:axId val="79167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48011"/>
        <c:crosses val="autoZero"/>
        <c:auto val="1"/>
        <c:lblAlgn val="ctr"/>
        <c:lblOffset val="100"/>
        <c:noMultiLvlLbl val="0"/>
      </c:catAx>
      <c:valAx>
        <c:axId val="18248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1674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Kâr Marjları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SENARYO_DUYARLILIK!F7</c:f>
              <c:strCache>
                <c:ptCount val="1"/>
                <c:pt idx="0">
                  <c:v>17,1%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SENARYO_DUYARLILIK!$F$8:$F$9</c:f>
              <c:numCache>
                <c:formatCode>0.0%;[RED]\(0.0%\);\-</c:formatCode>
                <c:ptCount val="2"/>
                <c:pt idx="0">
                  <c:v>0.294575652173913</c:v>
                </c:pt>
                <c:pt idx="1">
                  <c:v>0.418229391304348</c:v>
                </c:pt>
              </c:numCache>
            </c:numRef>
          </c:val>
        </c:ser>
        <c:gapWidth val="150"/>
        <c:overlap val="0"/>
        <c:axId val="14347543"/>
        <c:axId val="38085155"/>
      </c:barChart>
      <c:catAx>
        <c:axId val="14347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85155"/>
        <c:crosses val="autoZero"/>
        <c:auto val="1"/>
        <c:lblAlgn val="ctr"/>
        <c:lblOffset val="100"/>
        <c:noMultiLvlLbl val="0"/>
      </c:catAx>
      <c:valAx>
        <c:axId val="38085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3475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10</xdr:col>
      <xdr:colOff>290520</xdr:colOff>
      <xdr:row>32</xdr:row>
      <xdr:rowOff>21960</xdr:rowOff>
    </xdr:to>
    <xdr:graphicFrame>
      <xdr:nvGraphicFramePr>
        <xdr:cNvPr id="1" name="Chart 1"/>
        <xdr:cNvGraphicFramePr/>
      </xdr:nvGraphicFramePr>
      <xdr:xfrm>
        <a:off x="6061680" y="34574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11</xdr:col>
      <xdr:colOff>399240</xdr:colOff>
      <xdr:row>35</xdr:row>
      <xdr:rowOff>22320</xdr:rowOff>
    </xdr:to>
    <xdr:graphicFrame>
      <xdr:nvGraphicFramePr>
        <xdr:cNvPr id="2" name="Chart 2"/>
        <xdr:cNvGraphicFramePr/>
      </xdr:nvGraphicFramePr>
      <xdr:xfrm>
        <a:off x="6061680" y="4029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11</xdr:col>
      <xdr:colOff>399240</xdr:colOff>
      <xdr:row>43</xdr:row>
      <xdr:rowOff>21960</xdr:rowOff>
    </xdr:to>
    <xdr:graphicFrame>
      <xdr:nvGraphicFramePr>
        <xdr:cNvPr id="3" name="Chart 3"/>
        <xdr:cNvGraphicFramePr/>
      </xdr:nvGraphicFramePr>
      <xdr:xfrm>
        <a:off x="6061680" y="5553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147600</xdr:colOff>
      <xdr:row>19</xdr:row>
      <xdr:rowOff>1080</xdr:rowOff>
    </xdr:to>
    <xdr:graphicFrame>
      <xdr:nvGraphicFramePr>
        <xdr:cNvPr id="4" name="Chart 1"/>
        <xdr:cNvGraphicFramePr/>
      </xdr:nvGraphicFramePr>
      <xdr:xfrm>
        <a:off x="11325240" y="895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39240</xdr:colOff>
      <xdr:row>31</xdr:row>
      <xdr:rowOff>155520</xdr:rowOff>
    </xdr:to>
    <xdr:graphicFrame>
      <xdr:nvGraphicFramePr>
        <xdr:cNvPr id="5" name="Chart 2"/>
        <xdr:cNvGraphicFramePr/>
      </xdr:nvGraphicFramePr>
      <xdr:xfrm>
        <a:off x="11325240" y="3753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39240</xdr:colOff>
      <xdr:row>43</xdr:row>
      <xdr:rowOff>21960</xdr:rowOff>
    </xdr:to>
    <xdr:graphicFrame>
      <xdr:nvGraphicFramePr>
        <xdr:cNvPr id="6" name="Chart 3"/>
        <xdr:cNvGraphicFramePr/>
      </xdr:nvGraphicFramePr>
      <xdr:xfrm>
        <a:off x="11325240" y="590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Gecmis" displayName="tblGecmis" ref="A5:H1004" headerRowCount="1" totalsRowCount="0" totalsRowShown="0">
  <tableColumns count="8">
    <tableColumn id="1" name="İhale Adı"/>
    <tableColumn id="2" name="Tarih"/>
    <tableColumn id="3" name="Yaklaşık Maliyet (₺)"/>
    <tableColumn id="4" name="Sınır Değer (₺)"/>
    <tableColumn id="5" name="Bizim Teklif (₺)"/>
    <tableColumn id="6" name="Kazanan Teklif (₺)"/>
    <tableColumn id="7" name="Sınır Altı Teklif">
      <calculatedColumnFormula>=IF(OR($A6="",$E6="",$D6=""),"",IF($E6&lt;$D6,"EVET","HAYIR"))</calculatedColumnFormula>
    </tableColumn>
    <tableColumn id="8" name="Sonuç">
      <calculatedColumnFormula>=IF(OR($A6="",$E6="",$F6=""),"",IF($E6&lt;=$F6,"KAZANDI","KAYBETTİ"))</calculatedColumnFormula>
    </tableColumn>
  </tableColumns>
</table>
</file>

<file path=xl/tables/table2.xml><?xml version="1.0" encoding="utf-8"?>
<table xmlns="http://schemas.openxmlformats.org/spreadsheetml/2006/main" id="2" name="tblMaliyet" displayName="tblMaliyet" ref="A5:E1004" headerRowCount="1" totalsRowCount="0" totalsRowShown="0">
  <tableColumns count="5">
    <tableColumn id="1" name="Kalem Adı"/>
    <tableColumn id="2" name="Birim"/>
    <tableColumn id="3" name="Miktar"/>
    <tableColumn id="4" name="Birim Maliyet (₺)"/>
    <tableColumn id="5" name="Toplam Maliyet (₺)">
      <calculatedColumnFormula>=IF(OR($A6="",$C6="",$D6=""),"",$C6*$D6)</calculatedColumnFormula>
    </tableColumn>
  </tableColumns>
</table>
</file>

<file path=xl/tables/table3.xml><?xml version="1.0" encoding="utf-8"?>
<table xmlns="http://schemas.openxmlformats.org/spreadsheetml/2006/main" id="3" name="tblRakipler" displayName="tblRakipler" ref="A5:C1004" headerRowCount="1" totalsRowCount="0" totalsRowShown="0">
  <tableColumns count="3">
    <tableColumn id="1" name="Rakip Adı"/>
    <tableColumn id="2" name="Teklif Tutarı (₺)"/>
    <tableColumn id="3" name="Geçerli M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10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false" outlineLevel="0" collapsed="false">
      <c r="A4" s="14" t="s">
        <v>26</v>
      </c>
      <c r="B4" s="15" t="s">
        <v>27</v>
      </c>
    </row>
    <row r="5" customFormat="false" ht="15" hidden="false" customHeight="false" outlineLevel="0" collapsed="false">
      <c r="A5" s="14" t="s">
        <v>28</v>
      </c>
      <c r="B5" s="15" t="s">
        <v>29</v>
      </c>
    </row>
    <row r="6" customFormat="false" ht="15" hidden="false" customHeight="false" outlineLevel="0" collapsed="false">
      <c r="A6" s="14" t="s">
        <v>30</v>
      </c>
      <c r="B6" s="16" t="n">
        <v>46254</v>
      </c>
    </row>
    <row r="7" customFormat="false" ht="15" hidden="false" customHeight="false" outlineLevel="0" collapsed="false">
      <c r="A7" s="14" t="s">
        <v>31</v>
      </c>
      <c r="B7" s="17" t="n">
        <v>15000000</v>
      </c>
    </row>
    <row r="8" customFormat="false" ht="15" hidden="false" customHeight="false" outlineLevel="0" collapsed="false">
      <c r="A8" s="14" t="s">
        <v>32</v>
      </c>
      <c r="B8" s="18" t="n">
        <v>0.35</v>
      </c>
    </row>
    <row r="9" customFormat="false" ht="15" hidden="false" customHeight="false" outlineLevel="0" collapsed="false">
      <c r="A9" s="14" t="s">
        <v>33</v>
      </c>
      <c r="B9" s="18" t="n">
        <v>0.12</v>
      </c>
    </row>
    <row r="10" customFormat="false" ht="15" hidden="false" customHeight="false" outlineLevel="0" collapsed="false">
      <c r="A10" s="14" t="s">
        <v>34</v>
      </c>
      <c r="B10" s="17" t="n">
        <v>11500000</v>
      </c>
    </row>
    <row r="11" customFormat="false" ht="15" hidden="false" customHeight="false" outlineLevel="0" collapsed="false">
      <c r="A11" s="14" t="s">
        <v>35</v>
      </c>
      <c r="B11" s="19" t="n">
        <v>25</v>
      </c>
    </row>
    <row r="12" customFormat="false" ht="15" hidden="false" customHeight="false" outlineLevel="0" collapsed="false">
      <c r="A12" s="14" t="s">
        <v>36</v>
      </c>
      <c r="B12" s="15" t="s">
        <v>37</v>
      </c>
    </row>
    <row r="15" customFormat="false" ht="15" hidden="false" customHeight="false" outlineLevel="0" collapsed="false">
      <c r="A15" s="7" t="s">
        <v>38</v>
      </c>
      <c r="B15" s="7"/>
      <c r="C15" s="7"/>
    </row>
    <row r="16" customFormat="false" ht="15" hidden="false" customHeight="false" outlineLevel="0" collapsed="false">
      <c r="A16" s="7"/>
      <c r="B16" s="7"/>
      <c r="C16" s="7"/>
    </row>
    <row r="17" customFormat="false" ht="19.5" hidden="false" customHeight="true" outlineLevel="0" collapsed="false">
      <c r="A17" s="11" t="s">
        <v>39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</sheetData>
  <sheetProtection sheet="true" password="cc3d" objects="true" scenarios="true" deleteColumns="false" deleteRows="false"/>
  <mergeCells count="3">
    <mergeCell ref="A1:AD1"/>
    <mergeCell ref="A15:C16"/>
    <mergeCell ref="A17:AN17"/>
  </mergeCells>
  <conditionalFormatting sqref="B10">
    <cfRule type="cellIs" priority="2" operator="greaterThan" aboveAverage="0" equalAverage="0" bottom="0" percent="0" rank="0" text="" dxfId="0">
      <formula>B7</formula>
    </cfRule>
    <cfRule type="cellIs" priority="3" operator="lessThanOrEqual" aboveAverage="0" equalAverage="0" bottom="0" percent="0" rank="0" text="" dxfId="1">
      <formula>B7</formula>
    </cfRule>
  </conditionalFormatting>
  <conditionalFormatting sqref="B8">
    <cfRule type="cellIs" priority="4" operator="between" aboveAverage="0" equalAverage="0" bottom="0" percent="0" rank="0" text="" dxfId="2">
      <formula>0.3</formula>
      <formula>0.45</formula>
    </cfRule>
    <cfRule type="cellIs" priority="5" operator="notBetween" aboveAverage="0" equalAverage="0" bottom="0" percent="0" rank="0" text="" dxfId="0">
      <formula>0.3</formula>
      <formula>0.45</formula>
    </cfRule>
  </conditionalFormatting>
  <dataValidations count="8">
    <dataValidation allowBlank="true" error="İhale adı veya idare adı girin." errorStyle="stop" errorTitle="Geçersiz değer" operator="between" prompt="İhaleye gireceğiniz işin adı" promptTitle="İhale Adı" showDropDown="false" showErrorMessage="true" showInputMessage="true" sqref="B4" type="list">
      <formula1>listemetin</formula1>
      <formula2>0</formula2>
    </dataValidation>
    <dataValidation allowBlank="true" error="İhale adı veya idare adı girin." errorStyle="stop" errorTitle="Geçersiz değer" operator="between" prompt="İhaleyi açan kurum" promptTitle="İdare" showDropDown="false" showErrorMessage="true" showInputMessage="true" sqref="B5" type="list">
      <formula1>listemetin</formula1>
      <formula2>0</formula2>
    </dataValidation>
    <dataValidation allowBlank="true" error="Tutar 1 ₺'den büyük olmalı." errorStyle="stop" errorTitle="Geçersiz tutar" operator="greaterThan" prompt="İdarenin belirlediği yaklaşık maliyet" promptTitle="Yaklaşık Maliyet (₺)" showDropDown="false" showErrorMessage="true" showInputMessage="true" sqref="B7" type="whole">
      <formula1>0</formula1>
      <formula2>0</formula2>
    </dataValidation>
    <dataValidation allowBlank="true" error="Oran 0 ile 1 arasında olmalı." errorStyle="stop" errorTitle="Geçersiz oran" operator="between" prompt="İdari şartnamede belirtilen N katsayısı" promptTitle="Sınır Değer Katsayısı (N)" showDropDown="false" showErrorMessage="true" showInputMessage="true" sqref="B8" type="decimal">
      <formula1>0</formula1>
      <formula2>1</formula2>
    </dataValidation>
    <dataValidation allowBlank="true" error="Oran 0 ile 1 arasında olmalı." errorStyle="stop" errorTitle="Geçersiz oran" operator="between" prompt="Bu işten beklediğiniz kâr oranı" promptTitle="Hedef Kâr Marjı (%)" showDropDown="false" showErrorMessage="true" showInputMessage="true" sqref="B9" type="decimal">
      <formula1>0</formula1>
      <formula2>1</formula2>
    </dataValidation>
    <dataValidation allowBlank="true" error="Tutar 1 ₺'den büyük olmalı." errorStyle="stop" errorTitle="Geçersiz tutar" operator="greaterThan" prompt="İşi tamamlamanın gerçek maliyeti" promptTitle="Toplam İş Maliyeti (₺)" showDropDown="false" showErrorMessage="true" showInputMessage="true" sqref="B10" type="whole">
      <formula1>0</formula1>
      <formula2>0</formula2>
    </dataValidation>
    <dataValidation allowBlank="true" error="En az 1 olmalı." errorStyle="stop" errorTitle="Geçersiz sayı" operator="greaterThanOrEqual" prompt="Teklif mektubundaki kalem sayısı" promptTitle="İş Kalemi Sayısı" showDropDown="false" showErrorMessage="true" showInputMessage="true" sqref="B11" type="whole">
      <formula1>1</formula1>
      <formula2>0</formula2>
    </dataValidation>
    <dataValidation allowBlank="true" error="Lütfen Evet veya Hayır seçin." errorStyle="stop" errorTitle="Geçersiz seçim" operator="between" prompt="Sözleşmede fiyat farkı maddesi var mı?" promptTitle="Fiyat Farkı Maddesi" showDropDown="false" showErrorMessage="true" showInputMessage="true" sqref="B12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2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41</v>
      </c>
    </row>
    <row r="5" customFormat="false" ht="30" hidden="false" customHeight="true" outlineLevel="0" collapsed="false">
      <c r="A5" s="20" t="s">
        <v>42</v>
      </c>
      <c r="B5" s="20" t="s">
        <v>43</v>
      </c>
      <c r="C5" s="20" t="s">
        <v>44</v>
      </c>
    </row>
    <row r="6" customFormat="false" ht="15" hidden="false" customHeight="false" outlineLevel="0" collapsed="false">
      <c r="A6" s="21" t="s">
        <v>45</v>
      </c>
      <c r="B6" s="22" t="n">
        <v>14800000</v>
      </c>
      <c r="C6" s="21" t="s">
        <v>37</v>
      </c>
    </row>
    <row r="7" customFormat="false" ht="15" hidden="false" customHeight="false" outlineLevel="0" collapsed="false">
      <c r="A7" s="21" t="s">
        <v>46</v>
      </c>
      <c r="B7" s="22" t="n">
        <v>15200000</v>
      </c>
      <c r="C7" s="21" t="s">
        <v>37</v>
      </c>
    </row>
    <row r="8" customFormat="false" ht="15" hidden="false" customHeight="false" outlineLevel="0" collapsed="false">
      <c r="A8" s="21" t="s">
        <v>47</v>
      </c>
      <c r="B8" s="22" t="n">
        <v>13900000</v>
      </c>
      <c r="C8" s="21" t="s">
        <v>37</v>
      </c>
    </row>
    <row r="9" customFormat="false" ht="15" hidden="false" customHeight="false" outlineLevel="0" collapsed="false">
      <c r="A9" s="21" t="s">
        <v>48</v>
      </c>
      <c r="B9" s="22" t="n">
        <v>16400000</v>
      </c>
      <c r="C9" s="21" t="s">
        <v>37</v>
      </c>
    </row>
    <row r="10" customFormat="false" ht="15" hidden="false" customHeight="false" outlineLevel="0" collapsed="false">
      <c r="A10" s="21" t="s">
        <v>49</v>
      </c>
      <c r="B10" s="22" t="n">
        <v>15500000</v>
      </c>
      <c r="C10" s="21" t="s">
        <v>50</v>
      </c>
    </row>
    <row r="11" customFormat="false" ht="15" hidden="false" customHeight="false" outlineLevel="0" collapsed="false">
      <c r="A11" s="21" t="s">
        <v>51</v>
      </c>
      <c r="B11" s="22" t="n">
        <v>14100000</v>
      </c>
      <c r="C11" s="21" t="s">
        <v>37</v>
      </c>
    </row>
    <row r="12" customFormat="false" ht="15" hidden="false" customHeight="false" outlineLevel="0" collapsed="false">
      <c r="A12" s="21" t="s">
        <v>52</v>
      </c>
      <c r="B12" s="22" t="n">
        <v>15800000</v>
      </c>
      <c r="C12" s="21" t="s">
        <v>37</v>
      </c>
    </row>
    <row r="13" customFormat="false" ht="15" hidden="false" customHeight="false" outlineLevel="0" collapsed="false">
      <c r="A13" s="21" t="s">
        <v>53</v>
      </c>
      <c r="B13" s="22" t="n">
        <v>13650000</v>
      </c>
      <c r="C13" s="21" t="s">
        <v>37</v>
      </c>
    </row>
    <row r="14" customFormat="false" ht="15" hidden="false" customHeight="false" outlineLevel="0" collapsed="false">
      <c r="A14" s="21" t="s">
        <v>54</v>
      </c>
      <c r="B14" s="22" t="n">
        <v>16200000</v>
      </c>
      <c r="C14" s="21" t="s">
        <v>50</v>
      </c>
    </row>
    <row r="15" customFormat="false" ht="15" hidden="false" customHeight="false" outlineLevel="0" collapsed="false">
      <c r="A15" s="21" t="s">
        <v>55</v>
      </c>
      <c r="B15" s="22" t="n">
        <v>14900000</v>
      </c>
      <c r="C15" s="21" t="s">
        <v>37</v>
      </c>
    </row>
    <row r="16" customFormat="false" ht="15" hidden="false" customHeight="false" outlineLevel="0" collapsed="false">
      <c r="A16" s="21" t="s">
        <v>56</v>
      </c>
      <c r="B16" s="22" t="n">
        <v>14350000</v>
      </c>
      <c r="C16" s="21" t="s">
        <v>37</v>
      </c>
    </row>
    <row r="17" customFormat="false" ht="15" hidden="false" customHeight="false" outlineLevel="0" collapsed="false">
      <c r="A17" s="21" t="s">
        <v>57</v>
      </c>
      <c r="B17" s="22" t="n">
        <v>15350000</v>
      </c>
      <c r="C17" s="21" t="s">
        <v>37</v>
      </c>
    </row>
    <row r="18" customFormat="false" ht="15" hidden="false" customHeight="false" outlineLevel="0" collapsed="false">
      <c r="A18" s="23"/>
      <c r="B18" s="23"/>
      <c r="C18" s="23"/>
    </row>
    <row r="19" customFormat="false" ht="15" hidden="false" customHeight="false" outlineLevel="0" collapsed="false">
      <c r="A19" s="23"/>
      <c r="B19" s="23"/>
      <c r="C19" s="23"/>
    </row>
    <row r="20" customFormat="false" ht="15" hidden="false" customHeight="false" outlineLevel="0" collapsed="false">
      <c r="A20" s="23"/>
      <c r="B20" s="23"/>
      <c r="C20" s="23"/>
    </row>
    <row r="21" customFormat="false" ht="15" hidden="false" customHeight="false" outlineLevel="0" collapsed="false">
      <c r="A21" s="23"/>
      <c r="B21" s="23"/>
      <c r="C21" s="23"/>
    </row>
    <row r="22" customFormat="false" ht="15" hidden="false" customHeight="false" outlineLevel="0" collapsed="false">
      <c r="A22" s="23"/>
      <c r="B22" s="23"/>
      <c r="C22" s="23"/>
    </row>
    <row r="23" customFormat="false" ht="15" hidden="false" customHeight="false" outlineLevel="0" collapsed="false">
      <c r="A23" s="23"/>
      <c r="B23" s="23"/>
      <c r="C23" s="23"/>
    </row>
    <row r="24" customFormat="false" ht="15" hidden="false" customHeight="false" outlineLevel="0" collapsed="false">
      <c r="A24" s="23"/>
      <c r="B24" s="23"/>
      <c r="C24" s="23"/>
    </row>
    <row r="25" customFormat="false" ht="15" hidden="false" customHeight="false" outlineLevel="0" collapsed="false">
      <c r="A25" s="23"/>
      <c r="B25" s="23"/>
      <c r="C25" s="23"/>
    </row>
    <row r="26" customFormat="false" ht="15" hidden="false" customHeight="false" outlineLevel="0" collapsed="false">
      <c r="A26" s="23"/>
      <c r="B26" s="23"/>
      <c r="C26" s="23"/>
    </row>
    <row r="27" customFormat="false" ht="15" hidden="false" customHeight="false" outlineLevel="0" collapsed="false">
      <c r="A27" s="23"/>
      <c r="B27" s="23"/>
      <c r="C27" s="23"/>
    </row>
    <row r="28" customFormat="false" ht="15" hidden="false" customHeight="false" outlineLevel="0" collapsed="false">
      <c r="A28" s="23"/>
      <c r="B28" s="23"/>
      <c r="C28" s="23"/>
    </row>
    <row r="29" customFormat="false" ht="15" hidden="false" customHeight="false" outlineLevel="0" collapsed="false">
      <c r="A29" s="23"/>
      <c r="B29" s="23"/>
      <c r="C29" s="23"/>
    </row>
    <row r="30" customFormat="false" ht="15" hidden="false" customHeight="false" outlineLevel="0" collapsed="false">
      <c r="A30" s="23"/>
      <c r="B30" s="23"/>
      <c r="C30" s="23"/>
    </row>
    <row r="31" customFormat="false" ht="15" hidden="false" customHeight="false" outlineLevel="0" collapsed="false">
      <c r="A31" s="23"/>
      <c r="B31" s="23"/>
      <c r="C31" s="23"/>
    </row>
    <row r="32" customFormat="false" ht="15" hidden="false" customHeight="false" outlineLevel="0" collapsed="false">
      <c r="A32" s="23"/>
      <c r="B32" s="23"/>
      <c r="C32" s="23"/>
    </row>
    <row r="33" customFormat="false" ht="15" hidden="false" customHeight="false" outlineLevel="0" collapsed="false">
      <c r="A33" s="23"/>
      <c r="B33" s="23"/>
      <c r="C33" s="23"/>
    </row>
    <row r="34" customFormat="false" ht="15" hidden="false" customHeight="false" outlineLevel="0" collapsed="false">
      <c r="A34" s="23"/>
      <c r="B34" s="23"/>
      <c r="C34" s="23"/>
    </row>
    <row r="35" customFormat="false" ht="15" hidden="false" customHeight="false" outlineLevel="0" collapsed="false">
      <c r="A35" s="23"/>
      <c r="B35" s="23"/>
      <c r="C35" s="23"/>
    </row>
    <row r="36" customFormat="false" ht="15" hidden="false" customHeight="false" outlineLevel="0" collapsed="false">
      <c r="A36" s="23"/>
      <c r="B36" s="23"/>
      <c r="C36" s="23"/>
    </row>
    <row r="37" customFormat="false" ht="15" hidden="false" customHeight="false" outlineLevel="0" collapsed="false">
      <c r="A37" s="23"/>
      <c r="B37" s="23"/>
      <c r="C37" s="23"/>
    </row>
    <row r="38" customFormat="false" ht="15" hidden="false" customHeight="false" outlineLevel="0" collapsed="false">
      <c r="A38" s="23"/>
      <c r="B38" s="23"/>
      <c r="C38" s="23"/>
    </row>
    <row r="39" customFormat="false" ht="15" hidden="false" customHeight="false" outlineLevel="0" collapsed="false">
      <c r="A39" s="23"/>
      <c r="B39" s="23"/>
      <c r="C39" s="23"/>
    </row>
    <row r="40" customFormat="false" ht="15" hidden="false" customHeight="false" outlineLevel="0" collapsed="false">
      <c r="A40" s="23"/>
      <c r="B40" s="23"/>
      <c r="C40" s="23"/>
    </row>
    <row r="41" customFormat="false" ht="15" hidden="false" customHeight="false" outlineLevel="0" collapsed="false">
      <c r="A41" s="23"/>
      <c r="B41" s="23"/>
      <c r="C41" s="23"/>
    </row>
    <row r="42" customFormat="false" ht="15" hidden="false" customHeight="false" outlineLevel="0" collapsed="false">
      <c r="A42" s="23"/>
      <c r="B42" s="23"/>
      <c r="C42" s="23"/>
    </row>
    <row r="43" customFormat="false" ht="15" hidden="false" customHeight="false" outlineLevel="0" collapsed="false">
      <c r="A43" s="23"/>
      <c r="B43" s="23"/>
      <c r="C43" s="23"/>
    </row>
    <row r="44" customFormat="false" ht="15" hidden="false" customHeight="false" outlineLevel="0" collapsed="false">
      <c r="A44" s="23"/>
      <c r="B44" s="23"/>
      <c r="C44" s="23"/>
    </row>
    <row r="45" customFormat="false" ht="15" hidden="false" customHeight="false" outlineLevel="0" collapsed="false">
      <c r="A45" s="23"/>
      <c r="B45" s="23"/>
      <c r="C45" s="23"/>
    </row>
    <row r="46" customFormat="false" ht="15" hidden="false" customHeight="false" outlineLevel="0" collapsed="false">
      <c r="A46" s="23"/>
      <c r="B46" s="23"/>
      <c r="C46" s="23"/>
    </row>
    <row r="47" customFormat="false" ht="15" hidden="false" customHeight="false" outlineLevel="0" collapsed="false">
      <c r="A47" s="23"/>
      <c r="B47" s="23"/>
      <c r="C47" s="23"/>
    </row>
    <row r="48" customFormat="false" ht="15" hidden="false" customHeight="false" outlineLevel="0" collapsed="false">
      <c r="A48" s="23"/>
      <c r="B48" s="23"/>
      <c r="C48" s="23"/>
    </row>
    <row r="49" customFormat="false" ht="15" hidden="false" customHeight="false" outlineLevel="0" collapsed="false">
      <c r="A49" s="23"/>
      <c r="B49" s="23"/>
      <c r="C49" s="23"/>
    </row>
    <row r="50" customFormat="false" ht="15" hidden="false" customHeight="false" outlineLevel="0" collapsed="false">
      <c r="A50" s="23"/>
      <c r="B50" s="23"/>
      <c r="C50" s="23"/>
    </row>
    <row r="51" customFormat="false" ht="15" hidden="false" customHeight="false" outlineLevel="0" collapsed="false">
      <c r="A51" s="23"/>
      <c r="B51" s="23"/>
      <c r="C51" s="23"/>
    </row>
    <row r="52" customFormat="false" ht="15" hidden="false" customHeight="false" outlineLevel="0" collapsed="false">
      <c r="A52" s="23"/>
      <c r="B52" s="23"/>
      <c r="C52" s="23"/>
    </row>
    <row r="53" customFormat="false" ht="15" hidden="false" customHeight="false" outlineLevel="0" collapsed="false">
      <c r="A53" s="23"/>
      <c r="B53" s="23"/>
      <c r="C53" s="23"/>
    </row>
    <row r="54" customFormat="false" ht="15" hidden="false" customHeight="false" outlineLevel="0" collapsed="false">
      <c r="A54" s="23"/>
      <c r="B54" s="23"/>
      <c r="C54" s="23"/>
    </row>
    <row r="55" customFormat="false" ht="15" hidden="false" customHeight="false" outlineLevel="0" collapsed="false">
      <c r="A55" s="23"/>
      <c r="B55" s="23"/>
      <c r="C55" s="23"/>
    </row>
    <row r="56" customFormat="false" ht="15" hidden="false" customHeight="false" outlineLevel="0" collapsed="false">
      <c r="A56" s="23"/>
      <c r="B56" s="23"/>
      <c r="C56" s="23"/>
    </row>
    <row r="57" customFormat="false" ht="15" hidden="false" customHeight="false" outlineLevel="0" collapsed="false">
      <c r="A57" s="23"/>
      <c r="B57" s="23"/>
      <c r="C57" s="23"/>
    </row>
    <row r="58" customFormat="false" ht="15" hidden="false" customHeight="false" outlineLevel="0" collapsed="false">
      <c r="A58" s="23"/>
      <c r="B58" s="23"/>
      <c r="C58" s="23"/>
    </row>
    <row r="59" customFormat="false" ht="15" hidden="false" customHeight="false" outlineLevel="0" collapsed="false">
      <c r="A59" s="23"/>
      <c r="B59" s="23"/>
      <c r="C59" s="23"/>
    </row>
    <row r="60" customFormat="false" ht="15" hidden="false" customHeight="false" outlineLevel="0" collapsed="false">
      <c r="A60" s="23"/>
      <c r="B60" s="23"/>
      <c r="C60" s="23"/>
    </row>
    <row r="61" customFormat="false" ht="15" hidden="false" customHeight="false" outlineLevel="0" collapsed="false">
      <c r="A61" s="23"/>
      <c r="B61" s="23"/>
      <c r="C61" s="23"/>
    </row>
    <row r="62" customFormat="false" ht="15" hidden="false" customHeight="false" outlineLevel="0" collapsed="false">
      <c r="A62" s="23"/>
      <c r="B62" s="23"/>
      <c r="C62" s="23"/>
    </row>
    <row r="63" customFormat="false" ht="15" hidden="false" customHeight="false" outlineLevel="0" collapsed="false">
      <c r="A63" s="23"/>
      <c r="B63" s="23"/>
      <c r="C63" s="23"/>
    </row>
    <row r="64" customFormat="false" ht="15" hidden="false" customHeight="false" outlineLevel="0" collapsed="false">
      <c r="A64" s="23"/>
      <c r="B64" s="23"/>
      <c r="C64" s="23"/>
    </row>
    <row r="65" customFormat="false" ht="15" hidden="false" customHeight="false" outlineLevel="0" collapsed="false">
      <c r="A65" s="23"/>
      <c r="B65" s="23"/>
      <c r="C65" s="23"/>
    </row>
    <row r="66" customFormat="false" ht="15" hidden="false" customHeight="false" outlineLevel="0" collapsed="false">
      <c r="A66" s="23"/>
      <c r="B66" s="23"/>
      <c r="C66" s="23"/>
    </row>
    <row r="67" customFormat="false" ht="15" hidden="false" customHeight="false" outlineLevel="0" collapsed="false">
      <c r="A67" s="23"/>
      <c r="B67" s="23"/>
      <c r="C67" s="23"/>
    </row>
    <row r="68" customFormat="false" ht="15" hidden="false" customHeight="false" outlineLevel="0" collapsed="false">
      <c r="A68" s="23"/>
      <c r="B68" s="23"/>
      <c r="C68" s="23"/>
    </row>
    <row r="69" customFormat="false" ht="15" hidden="false" customHeight="false" outlineLevel="0" collapsed="false">
      <c r="A69" s="23"/>
      <c r="B69" s="23"/>
      <c r="C69" s="23"/>
    </row>
    <row r="70" customFormat="false" ht="15" hidden="false" customHeight="false" outlineLevel="0" collapsed="false">
      <c r="A70" s="23"/>
      <c r="B70" s="23"/>
      <c r="C70" s="23"/>
    </row>
    <row r="71" customFormat="false" ht="15" hidden="false" customHeight="false" outlineLevel="0" collapsed="false">
      <c r="A71" s="23"/>
      <c r="B71" s="23"/>
      <c r="C71" s="23"/>
    </row>
    <row r="72" customFormat="false" ht="15" hidden="false" customHeight="false" outlineLevel="0" collapsed="false">
      <c r="A72" s="23"/>
      <c r="B72" s="23"/>
      <c r="C72" s="23"/>
    </row>
    <row r="73" customFormat="false" ht="15" hidden="false" customHeight="false" outlineLevel="0" collapsed="false">
      <c r="A73" s="23"/>
      <c r="B73" s="23"/>
      <c r="C73" s="23"/>
    </row>
    <row r="74" customFormat="false" ht="15" hidden="false" customHeight="false" outlineLevel="0" collapsed="false">
      <c r="A74" s="23"/>
      <c r="B74" s="23"/>
      <c r="C74" s="23"/>
    </row>
    <row r="75" customFormat="false" ht="15" hidden="false" customHeight="false" outlineLevel="0" collapsed="false">
      <c r="A75" s="23"/>
      <c r="B75" s="23"/>
      <c r="C75" s="23"/>
    </row>
    <row r="76" customFormat="false" ht="15" hidden="false" customHeight="false" outlineLevel="0" collapsed="false">
      <c r="A76" s="23"/>
      <c r="B76" s="23"/>
      <c r="C76" s="23"/>
    </row>
    <row r="77" customFormat="false" ht="15" hidden="false" customHeight="false" outlineLevel="0" collapsed="false">
      <c r="A77" s="23"/>
      <c r="B77" s="23"/>
      <c r="C77" s="23"/>
    </row>
    <row r="78" customFormat="false" ht="15" hidden="false" customHeight="false" outlineLevel="0" collapsed="false">
      <c r="A78" s="23"/>
      <c r="B78" s="23"/>
      <c r="C78" s="23"/>
    </row>
    <row r="79" customFormat="false" ht="15" hidden="false" customHeight="false" outlineLevel="0" collapsed="false">
      <c r="A79" s="23"/>
      <c r="B79" s="23"/>
      <c r="C79" s="23"/>
    </row>
    <row r="80" customFormat="false" ht="15" hidden="false" customHeight="false" outlineLevel="0" collapsed="false">
      <c r="A80" s="23"/>
      <c r="B80" s="23"/>
      <c r="C80" s="23"/>
    </row>
    <row r="81" customFormat="false" ht="15" hidden="false" customHeight="false" outlineLevel="0" collapsed="false">
      <c r="A81" s="23"/>
      <c r="B81" s="23"/>
      <c r="C81" s="23"/>
    </row>
    <row r="82" customFormat="false" ht="15" hidden="false" customHeight="false" outlineLevel="0" collapsed="false">
      <c r="A82" s="23"/>
      <c r="B82" s="23"/>
      <c r="C82" s="23"/>
    </row>
    <row r="83" customFormat="false" ht="15" hidden="false" customHeight="false" outlineLevel="0" collapsed="false">
      <c r="A83" s="23"/>
      <c r="B83" s="23"/>
      <c r="C83" s="23"/>
    </row>
    <row r="84" customFormat="false" ht="15" hidden="false" customHeight="false" outlineLevel="0" collapsed="false">
      <c r="A84" s="23"/>
      <c r="B84" s="23"/>
      <c r="C84" s="23"/>
    </row>
    <row r="85" customFormat="false" ht="15" hidden="false" customHeight="false" outlineLevel="0" collapsed="false">
      <c r="A85" s="23"/>
      <c r="B85" s="23"/>
      <c r="C85" s="23"/>
    </row>
    <row r="86" customFormat="false" ht="15" hidden="false" customHeight="false" outlineLevel="0" collapsed="false">
      <c r="A86" s="23"/>
      <c r="B86" s="23"/>
      <c r="C86" s="23"/>
    </row>
    <row r="87" customFormat="false" ht="15" hidden="false" customHeight="false" outlineLevel="0" collapsed="false">
      <c r="A87" s="23"/>
      <c r="B87" s="23"/>
      <c r="C87" s="23"/>
    </row>
    <row r="88" customFormat="false" ht="15" hidden="false" customHeight="false" outlineLevel="0" collapsed="false">
      <c r="A88" s="23"/>
      <c r="B88" s="23"/>
      <c r="C88" s="23"/>
    </row>
    <row r="89" customFormat="false" ht="15" hidden="false" customHeight="false" outlineLevel="0" collapsed="false">
      <c r="A89" s="23"/>
      <c r="B89" s="23"/>
      <c r="C89" s="23"/>
    </row>
    <row r="90" customFormat="false" ht="15" hidden="false" customHeight="false" outlineLevel="0" collapsed="false">
      <c r="A90" s="23"/>
      <c r="B90" s="23"/>
      <c r="C90" s="23"/>
    </row>
    <row r="91" customFormat="false" ht="15" hidden="false" customHeight="false" outlineLevel="0" collapsed="false">
      <c r="A91" s="23"/>
      <c r="B91" s="23"/>
      <c r="C91" s="23"/>
    </row>
    <row r="92" customFormat="false" ht="15" hidden="false" customHeight="false" outlineLevel="0" collapsed="false">
      <c r="A92" s="23"/>
      <c r="B92" s="23"/>
      <c r="C92" s="23"/>
    </row>
    <row r="93" customFormat="false" ht="15" hidden="false" customHeight="false" outlineLevel="0" collapsed="false">
      <c r="A93" s="23"/>
      <c r="B93" s="23"/>
      <c r="C93" s="23"/>
    </row>
    <row r="94" customFormat="false" ht="15" hidden="false" customHeight="false" outlineLevel="0" collapsed="false">
      <c r="A94" s="23"/>
      <c r="B94" s="23"/>
      <c r="C94" s="23"/>
    </row>
    <row r="95" customFormat="false" ht="15" hidden="false" customHeight="false" outlineLevel="0" collapsed="false">
      <c r="A95" s="23"/>
      <c r="B95" s="23"/>
      <c r="C95" s="23"/>
    </row>
    <row r="96" customFormat="false" ht="15" hidden="false" customHeight="false" outlineLevel="0" collapsed="false">
      <c r="A96" s="23"/>
      <c r="B96" s="23"/>
      <c r="C96" s="23"/>
    </row>
    <row r="97" customFormat="false" ht="15" hidden="false" customHeight="false" outlineLevel="0" collapsed="false">
      <c r="A97" s="23"/>
      <c r="B97" s="23"/>
      <c r="C97" s="23"/>
    </row>
    <row r="98" customFormat="false" ht="15" hidden="false" customHeight="false" outlineLevel="0" collapsed="false">
      <c r="A98" s="23"/>
      <c r="B98" s="23"/>
      <c r="C98" s="23"/>
    </row>
    <row r="99" customFormat="false" ht="15" hidden="false" customHeight="false" outlineLevel="0" collapsed="false">
      <c r="A99" s="23"/>
      <c r="B99" s="23"/>
      <c r="C99" s="23"/>
    </row>
    <row r="100" customFormat="false" ht="15" hidden="false" customHeight="false" outlineLevel="0" collapsed="false">
      <c r="A100" s="23"/>
      <c r="B100" s="23"/>
      <c r="C100" s="23"/>
    </row>
    <row r="101" customFormat="false" ht="15" hidden="false" customHeight="false" outlineLevel="0" collapsed="false">
      <c r="A101" s="23"/>
      <c r="B101" s="23"/>
      <c r="C101" s="23"/>
    </row>
    <row r="102" customFormat="false" ht="15" hidden="false" customHeight="false" outlineLevel="0" collapsed="false">
      <c r="A102" s="23"/>
      <c r="B102" s="23"/>
      <c r="C102" s="23"/>
    </row>
    <row r="103" customFormat="false" ht="15" hidden="false" customHeight="false" outlineLevel="0" collapsed="false">
      <c r="A103" s="23"/>
      <c r="B103" s="23"/>
      <c r="C103" s="23"/>
    </row>
    <row r="104" customFormat="false" ht="15" hidden="false" customHeight="false" outlineLevel="0" collapsed="false">
      <c r="A104" s="23"/>
      <c r="B104" s="23"/>
      <c r="C104" s="23"/>
    </row>
    <row r="105" customFormat="false" ht="15" hidden="false" customHeight="false" outlineLevel="0" collapsed="false">
      <c r="A105" s="23"/>
      <c r="B105" s="23"/>
      <c r="C105" s="23"/>
    </row>
    <row r="106" customFormat="false" ht="15" hidden="false" customHeight="false" outlineLevel="0" collapsed="false">
      <c r="A106" s="23"/>
      <c r="B106" s="23"/>
      <c r="C106" s="23"/>
    </row>
    <row r="107" customFormat="false" ht="15" hidden="false" customHeight="false" outlineLevel="0" collapsed="false">
      <c r="A107" s="23"/>
      <c r="B107" s="23"/>
      <c r="C107" s="23"/>
    </row>
    <row r="108" customFormat="false" ht="15" hidden="false" customHeight="false" outlineLevel="0" collapsed="false">
      <c r="A108" s="23"/>
      <c r="B108" s="23"/>
      <c r="C108" s="23"/>
    </row>
    <row r="109" customFormat="false" ht="15" hidden="false" customHeight="false" outlineLevel="0" collapsed="false">
      <c r="A109" s="23"/>
      <c r="B109" s="23"/>
      <c r="C109" s="23"/>
    </row>
    <row r="110" customFormat="false" ht="15" hidden="false" customHeight="false" outlineLevel="0" collapsed="false">
      <c r="A110" s="23"/>
      <c r="B110" s="23"/>
      <c r="C110" s="23"/>
    </row>
    <row r="111" customFormat="false" ht="15" hidden="false" customHeight="false" outlineLevel="0" collapsed="false">
      <c r="A111" s="23"/>
      <c r="B111" s="23"/>
      <c r="C111" s="23"/>
    </row>
    <row r="112" customFormat="false" ht="15" hidden="false" customHeight="false" outlineLevel="0" collapsed="false">
      <c r="A112" s="23"/>
      <c r="B112" s="23"/>
      <c r="C112" s="23"/>
    </row>
    <row r="113" customFormat="false" ht="15" hidden="false" customHeight="false" outlineLevel="0" collapsed="false">
      <c r="A113" s="23"/>
      <c r="B113" s="23"/>
      <c r="C113" s="23"/>
    </row>
    <row r="114" customFormat="false" ht="15" hidden="false" customHeight="false" outlineLevel="0" collapsed="false">
      <c r="A114" s="23"/>
      <c r="B114" s="23"/>
      <c r="C114" s="23"/>
    </row>
    <row r="115" customFormat="false" ht="15" hidden="false" customHeight="false" outlineLevel="0" collapsed="false">
      <c r="A115" s="23"/>
      <c r="B115" s="23"/>
      <c r="C115" s="23"/>
    </row>
    <row r="116" customFormat="false" ht="15" hidden="false" customHeight="false" outlineLevel="0" collapsed="false">
      <c r="A116" s="23"/>
      <c r="B116" s="23"/>
      <c r="C116" s="23"/>
    </row>
    <row r="117" customFormat="false" ht="15" hidden="false" customHeight="false" outlineLevel="0" collapsed="false">
      <c r="A117" s="23"/>
      <c r="B117" s="23"/>
      <c r="C117" s="23"/>
    </row>
    <row r="118" customFormat="false" ht="15" hidden="false" customHeight="false" outlineLevel="0" collapsed="false">
      <c r="A118" s="23"/>
      <c r="B118" s="23"/>
      <c r="C118" s="23"/>
    </row>
    <row r="119" customFormat="false" ht="15" hidden="false" customHeight="false" outlineLevel="0" collapsed="false">
      <c r="A119" s="23"/>
      <c r="B119" s="23"/>
      <c r="C119" s="23"/>
    </row>
    <row r="120" customFormat="false" ht="15" hidden="false" customHeight="false" outlineLevel="0" collapsed="false">
      <c r="A120" s="23"/>
      <c r="B120" s="23"/>
      <c r="C120" s="23"/>
    </row>
    <row r="121" customFormat="false" ht="15" hidden="false" customHeight="false" outlineLevel="0" collapsed="false">
      <c r="A121" s="23"/>
      <c r="B121" s="23"/>
      <c r="C121" s="23"/>
    </row>
    <row r="122" customFormat="false" ht="15" hidden="false" customHeight="false" outlineLevel="0" collapsed="false">
      <c r="A122" s="23"/>
      <c r="B122" s="23"/>
      <c r="C122" s="23"/>
    </row>
    <row r="123" customFormat="false" ht="15" hidden="false" customHeight="false" outlineLevel="0" collapsed="false">
      <c r="A123" s="23"/>
      <c r="B123" s="23"/>
      <c r="C123" s="23"/>
    </row>
    <row r="124" customFormat="false" ht="15" hidden="false" customHeight="false" outlineLevel="0" collapsed="false">
      <c r="A124" s="23"/>
      <c r="B124" s="23"/>
      <c r="C124" s="23"/>
    </row>
    <row r="125" customFormat="false" ht="15" hidden="false" customHeight="false" outlineLevel="0" collapsed="false">
      <c r="A125" s="23"/>
      <c r="B125" s="23"/>
      <c r="C125" s="23"/>
    </row>
    <row r="126" customFormat="false" ht="15" hidden="false" customHeight="false" outlineLevel="0" collapsed="false">
      <c r="A126" s="23"/>
      <c r="B126" s="23"/>
      <c r="C126" s="23"/>
    </row>
    <row r="127" customFormat="false" ht="15" hidden="false" customHeight="false" outlineLevel="0" collapsed="false">
      <c r="A127" s="23"/>
      <c r="B127" s="23"/>
      <c r="C127" s="23"/>
    </row>
    <row r="128" customFormat="false" ht="15" hidden="false" customHeight="false" outlineLevel="0" collapsed="false">
      <c r="A128" s="23"/>
      <c r="B128" s="23"/>
      <c r="C128" s="23"/>
    </row>
    <row r="129" customFormat="false" ht="15" hidden="false" customHeight="false" outlineLevel="0" collapsed="false">
      <c r="A129" s="23"/>
      <c r="B129" s="23"/>
      <c r="C129" s="23"/>
    </row>
    <row r="130" customFormat="false" ht="15" hidden="false" customHeight="false" outlineLevel="0" collapsed="false">
      <c r="A130" s="23"/>
      <c r="B130" s="23"/>
      <c r="C130" s="23"/>
    </row>
    <row r="131" customFormat="false" ht="15" hidden="false" customHeight="false" outlineLevel="0" collapsed="false">
      <c r="A131" s="23"/>
      <c r="B131" s="23"/>
      <c r="C131" s="23"/>
    </row>
    <row r="132" customFormat="false" ht="15" hidden="false" customHeight="false" outlineLevel="0" collapsed="false">
      <c r="A132" s="23"/>
      <c r="B132" s="23"/>
      <c r="C132" s="23"/>
    </row>
    <row r="133" customFormat="false" ht="15" hidden="false" customHeight="false" outlineLevel="0" collapsed="false">
      <c r="A133" s="23"/>
      <c r="B133" s="23"/>
      <c r="C133" s="23"/>
    </row>
    <row r="134" customFormat="false" ht="15" hidden="false" customHeight="false" outlineLevel="0" collapsed="false">
      <c r="A134" s="23"/>
      <c r="B134" s="23"/>
      <c r="C134" s="23"/>
    </row>
    <row r="135" customFormat="false" ht="15" hidden="false" customHeight="false" outlineLevel="0" collapsed="false">
      <c r="A135" s="23"/>
      <c r="B135" s="23"/>
      <c r="C135" s="23"/>
    </row>
    <row r="136" customFormat="false" ht="15" hidden="false" customHeight="false" outlineLevel="0" collapsed="false">
      <c r="A136" s="23"/>
      <c r="B136" s="23"/>
      <c r="C136" s="23"/>
    </row>
    <row r="137" customFormat="false" ht="15" hidden="false" customHeight="false" outlineLevel="0" collapsed="false">
      <c r="A137" s="23"/>
      <c r="B137" s="23"/>
      <c r="C137" s="23"/>
    </row>
    <row r="138" customFormat="false" ht="15" hidden="false" customHeight="false" outlineLevel="0" collapsed="false">
      <c r="A138" s="23"/>
      <c r="B138" s="23"/>
      <c r="C138" s="23"/>
    </row>
    <row r="139" customFormat="false" ht="15" hidden="false" customHeight="false" outlineLevel="0" collapsed="false">
      <c r="A139" s="23"/>
      <c r="B139" s="23"/>
      <c r="C139" s="23"/>
    </row>
    <row r="140" customFormat="false" ht="15" hidden="false" customHeight="false" outlineLevel="0" collapsed="false">
      <c r="A140" s="23"/>
      <c r="B140" s="23"/>
      <c r="C140" s="23"/>
    </row>
    <row r="141" customFormat="false" ht="15" hidden="false" customHeight="false" outlineLevel="0" collapsed="false">
      <c r="A141" s="23"/>
      <c r="B141" s="23"/>
      <c r="C141" s="23"/>
    </row>
    <row r="142" customFormat="false" ht="15" hidden="false" customHeight="false" outlineLevel="0" collapsed="false">
      <c r="A142" s="23"/>
      <c r="B142" s="23"/>
      <c r="C142" s="23"/>
    </row>
    <row r="143" customFormat="false" ht="15" hidden="false" customHeight="false" outlineLevel="0" collapsed="false">
      <c r="A143" s="23"/>
      <c r="B143" s="23"/>
      <c r="C143" s="23"/>
    </row>
    <row r="144" customFormat="false" ht="15" hidden="false" customHeight="false" outlineLevel="0" collapsed="false">
      <c r="A144" s="23"/>
      <c r="B144" s="23"/>
      <c r="C144" s="23"/>
    </row>
    <row r="145" customFormat="false" ht="15" hidden="false" customHeight="false" outlineLevel="0" collapsed="false">
      <c r="A145" s="23"/>
      <c r="B145" s="23"/>
      <c r="C145" s="23"/>
    </row>
    <row r="146" customFormat="false" ht="15" hidden="false" customHeight="false" outlineLevel="0" collapsed="false">
      <c r="A146" s="23"/>
      <c r="B146" s="23"/>
      <c r="C146" s="23"/>
    </row>
    <row r="147" customFormat="false" ht="15" hidden="false" customHeight="false" outlineLevel="0" collapsed="false">
      <c r="A147" s="23"/>
      <c r="B147" s="23"/>
      <c r="C147" s="23"/>
    </row>
    <row r="148" customFormat="false" ht="15" hidden="false" customHeight="false" outlineLevel="0" collapsed="false">
      <c r="A148" s="23"/>
      <c r="B148" s="23"/>
      <c r="C148" s="23"/>
    </row>
    <row r="149" customFormat="false" ht="15" hidden="false" customHeight="false" outlineLevel="0" collapsed="false">
      <c r="A149" s="23"/>
      <c r="B149" s="23"/>
      <c r="C149" s="23"/>
    </row>
    <row r="150" customFormat="false" ht="15" hidden="false" customHeight="false" outlineLevel="0" collapsed="false">
      <c r="A150" s="23"/>
      <c r="B150" s="23"/>
      <c r="C150" s="23"/>
    </row>
    <row r="151" customFormat="false" ht="15" hidden="false" customHeight="false" outlineLevel="0" collapsed="false">
      <c r="A151" s="23"/>
      <c r="B151" s="23"/>
      <c r="C151" s="23"/>
    </row>
    <row r="152" customFormat="false" ht="15" hidden="false" customHeight="false" outlineLevel="0" collapsed="false">
      <c r="A152" s="23"/>
      <c r="B152" s="23"/>
      <c r="C152" s="23"/>
    </row>
    <row r="153" customFormat="false" ht="15" hidden="false" customHeight="false" outlineLevel="0" collapsed="false">
      <c r="A153" s="23"/>
      <c r="B153" s="23"/>
      <c r="C153" s="23"/>
    </row>
    <row r="154" customFormat="false" ht="15" hidden="false" customHeight="false" outlineLevel="0" collapsed="false">
      <c r="A154" s="23"/>
      <c r="B154" s="23"/>
      <c r="C154" s="23"/>
    </row>
    <row r="155" customFormat="false" ht="15" hidden="false" customHeight="false" outlineLevel="0" collapsed="false">
      <c r="A155" s="23"/>
      <c r="B155" s="23"/>
      <c r="C155" s="23"/>
    </row>
    <row r="156" customFormat="false" ht="15" hidden="false" customHeight="false" outlineLevel="0" collapsed="false">
      <c r="A156" s="23"/>
      <c r="B156" s="23"/>
      <c r="C156" s="23"/>
    </row>
    <row r="157" customFormat="false" ht="15" hidden="false" customHeight="false" outlineLevel="0" collapsed="false">
      <c r="A157" s="23"/>
      <c r="B157" s="23"/>
      <c r="C157" s="23"/>
    </row>
    <row r="158" customFormat="false" ht="15" hidden="false" customHeight="false" outlineLevel="0" collapsed="false">
      <c r="A158" s="23"/>
      <c r="B158" s="23"/>
      <c r="C158" s="23"/>
    </row>
    <row r="159" customFormat="false" ht="15" hidden="false" customHeight="false" outlineLevel="0" collapsed="false">
      <c r="A159" s="23"/>
      <c r="B159" s="23"/>
      <c r="C159" s="23"/>
    </row>
    <row r="160" customFormat="false" ht="15" hidden="false" customHeight="false" outlineLevel="0" collapsed="false">
      <c r="A160" s="23"/>
      <c r="B160" s="23"/>
      <c r="C160" s="23"/>
    </row>
    <row r="161" customFormat="false" ht="15" hidden="false" customHeight="false" outlineLevel="0" collapsed="false">
      <c r="A161" s="23"/>
      <c r="B161" s="23"/>
      <c r="C161" s="23"/>
    </row>
    <row r="162" customFormat="false" ht="15" hidden="false" customHeight="false" outlineLevel="0" collapsed="false">
      <c r="A162" s="23"/>
      <c r="B162" s="23"/>
      <c r="C162" s="23"/>
    </row>
    <row r="163" customFormat="false" ht="15" hidden="false" customHeight="false" outlineLevel="0" collapsed="false">
      <c r="A163" s="23"/>
      <c r="B163" s="23"/>
      <c r="C163" s="23"/>
    </row>
    <row r="164" customFormat="false" ht="15" hidden="false" customHeight="false" outlineLevel="0" collapsed="false">
      <c r="A164" s="23"/>
      <c r="B164" s="23"/>
      <c r="C164" s="23"/>
    </row>
    <row r="165" customFormat="false" ht="15" hidden="false" customHeight="false" outlineLevel="0" collapsed="false">
      <c r="A165" s="23"/>
      <c r="B165" s="23"/>
      <c r="C165" s="23"/>
    </row>
    <row r="166" customFormat="false" ht="15" hidden="false" customHeight="false" outlineLevel="0" collapsed="false">
      <c r="A166" s="23"/>
      <c r="B166" s="23"/>
      <c r="C166" s="23"/>
    </row>
    <row r="167" customFormat="false" ht="15" hidden="false" customHeight="false" outlineLevel="0" collapsed="false">
      <c r="A167" s="23"/>
      <c r="B167" s="23"/>
      <c r="C167" s="23"/>
    </row>
    <row r="168" customFormat="false" ht="15" hidden="false" customHeight="false" outlineLevel="0" collapsed="false">
      <c r="A168" s="23"/>
      <c r="B168" s="23"/>
      <c r="C168" s="23"/>
    </row>
    <row r="169" customFormat="false" ht="15" hidden="false" customHeight="false" outlineLevel="0" collapsed="false">
      <c r="A169" s="23"/>
      <c r="B169" s="23"/>
      <c r="C169" s="23"/>
    </row>
    <row r="170" customFormat="false" ht="15" hidden="false" customHeight="false" outlineLevel="0" collapsed="false">
      <c r="A170" s="23"/>
      <c r="B170" s="23"/>
      <c r="C170" s="23"/>
    </row>
    <row r="171" customFormat="false" ht="15" hidden="false" customHeight="false" outlineLevel="0" collapsed="false">
      <c r="A171" s="23"/>
      <c r="B171" s="23"/>
      <c r="C171" s="23"/>
    </row>
    <row r="172" customFormat="false" ht="15" hidden="false" customHeight="false" outlineLevel="0" collapsed="false">
      <c r="A172" s="23"/>
      <c r="B172" s="23"/>
      <c r="C172" s="23"/>
    </row>
    <row r="173" customFormat="false" ht="15" hidden="false" customHeight="false" outlineLevel="0" collapsed="false">
      <c r="A173" s="23"/>
      <c r="B173" s="23"/>
      <c r="C173" s="23"/>
    </row>
    <row r="174" customFormat="false" ht="15" hidden="false" customHeight="false" outlineLevel="0" collapsed="false">
      <c r="A174" s="23"/>
      <c r="B174" s="23"/>
      <c r="C174" s="23"/>
    </row>
    <row r="175" customFormat="false" ht="15" hidden="false" customHeight="false" outlineLevel="0" collapsed="false">
      <c r="A175" s="23"/>
      <c r="B175" s="23"/>
      <c r="C175" s="23"/>
    </row>
    <row r="176" customFormat="false" ht="15" hidden="false" customHeight="false" outlineLevel="0" collapsed="false">
      <c r="A176" s="23"/>
      <c r="B176" s="23"/>
      <c r="C176" s="23"/>
    </row>
    <row r="177" customFormat="false" ht="15" hidden="false" customHeight="false" outlineLevel="0" collapsed="false">
      <c r="A177" s="23"/>
      <c r="B177" s="23"/>
      <c r="C177" s="23"/>
    </row>
    <row r="178" customFormat="false" ht="15" hidden="false" customHeight="false" outlineLevel="0" collapsed="false">
      <c r="A178" s="23"/>
      <c r="B178" s="23"/>
      <c r="C178" s="23"/>
    </row>
    <row r="179" customFormat="false" ht="15" hidden="false" customHeight="false" outlineLevel="0" collapsed="false">
      <c r="A179" s="23"/>
      <c r="B179" s="23"/>
      <c r="C179" s="23"/>
    </row>
    <row r="180" customFormat="false" ht="15" hidden="false" customHeight="false" outlineLevel="0" collapsed="false">
      <c r="A180" s="23"/>
      <c r="B180" s="23"/>
      <c r="C180" s="23"/>
    </row>
    <row r="181" customFormat="false" ht="15" hidden="false" customHeight="false" outlineLevel="0" collapsed="false">
      <c r="A181" s="23"/>
      <c r="B181" s="23"/>
      <c r="C181" s="23"/>
    </row>
    <row r="182" customFormat="false" ht="15" hidden="false" customHeight="false" outlineLevel="0" collapsed="false">
      <c r="A182" s="23"/>
      <c r="B182" s="23"/>
      <c r="C182" s="23"/>
    </row>
    <row r="183" customFormat="false" ht="15" hidden="false" customHeight="false" outlineLevel="0" collapsed="false">
      <c r="A183" s="23"/>
      <c r="B183" s="23"/>
      <c r="C183" s="23"/>
    </row>
    <row r="184" customFormat="false" ht="15" hidden="false" customHeight="false" outlineLevel="0" collapsed="false">
      <c r="A184" s="23"/>
      <c r="B184" s="23"/>
      <c r="C184" s="23"/>
    </row>
    <row r="185" customFormat="false" ht="15" hidden="false" customHeight="false" outlineLevel="0" collapsed="false">
      <c r="A185" s="23"/>
      <c r="B185" s="23"/>
      <c r="C185" s="23"/>
    </row>
    <row r="186" customFormat="false" ht="15" hidden="false" customHeight="false" outlineLevel="0" collapsed="false">
      <c r="A186" s="23"/>
      <c r="B186" s="23"/>
      <c r="C186" s="23"/>
    </row>
    <row r="187" customFormat="false" ht="15" hidden="false" customHeight="false" outlineLevel="0" collapsed="false">
      <c r="A187" s="23"/>
      <c r="B187" s="23"/>
      <c r="C187" s="23"/>
    </row>
    <row r="188" customFormat="false" ht="15" hidden="false" customHeight="false" outlineLevel="0" collapsed="false">
      <c r="A188" s="23"/>
      <c r="B188" s="23"/>
      <c r="C188" s="23"/>
    </row>
    <row r="189" customFormat="false" ht="15" hidden="false" customHeight="false" outlineLevel="0" collapsed="false">
      <c r="A189" s="23"/>
      <c r="B189" s="23"/>
      <c r="C189" s="23"/>
    </row>
    <row r="190" customFormat="false" ht="15" hidden="false" customHeight="false" outlineLevel="0" collapsed="false">
      <c r="A190" s="23"/>
      <c r="B190" s="23"/>
      <c r="C190" s="23"/>
    </row>
    <row r="191" customFormat="false" ht="15" hidden="false" customHeight="false" outlineLevel="0" collapsed="false">
      <c r="A191" s="23"/>
      <c r="B191" s="23"/>
      <c r="C191" s="23"/>
    </row>
    <row r="192" customFormat="false" ht="15" hidden="false" customHeight="false" outlineLevel="0" collapsed="false">
      <c r="A192" s="23"/>
      <c r="B192" s="23"/>
      <c r="C192" s="23"/>
    </row>
    <row r="193" customFormat="false" ht="15" hidden="false" customHeight="false" outlineLevel="0" collapsed="false">
      <c r="A193" s="23"/>
      <c r="B193" s="23"/>
      <c r="C193" s="23"/>
    </row>
    <row r="194" customFormat="false" ht="15" hidden="false" customHeight="false" outlineLevel="0" collapsed="false">
      <c r="A194" s="23"/>
      <c r="B194" s="23"/>
      <c r="C194" s="23"/>
    </row>
    <row r="195" customFormat="false" ht="15" hidden="false" customHeight="false" outlineLevel="0" collapsed="false">
      <c r="A195" s="23"/>
      <c r="B195" s="23"/>
      <c r="C195" s="23"/>
    </row>
    <row r="196" customFormat="false" ht="15" hidden="false" customHeight="false" outlineLevel="0" collapsed="false">
      <c r="A196" s="23"/>
      <c r="B196" s="23"/>
      <c r="C196" s="23"/>
    </row>
    <row r="197" customFormat="false" ht="15" hidden="false" customHeight="false" outlineLevel="0" collapsed="false">
      <c r="A197" s="23"/>
      <c r="B197" s="23"/>
      <c r="C197" s="23"/>
    </row>
    <row r="198" customFormat="false" ht="15" hidden="false" customHeight="false" outlineLevel="0" collapsed="false">
      <c r="A198" s="23"/>
      <c r="B198" s="23"/>
      <c r="C198" s="23"/>
    </row>
    <row r="199" customFormat="false" ht="15" hidden="false" customHeight="false" outlineLevel="0" collapsed="false">
      <c r="A199" s="23"/>
      <c r="B199" s="23"/>
      <c r="C199" s="23"/>
    </row>
    <row r="200" customFormat="false" ht="15" hidden="false" customHeight="false" outlineLevel="0" collapsed="false">
      <c r="A200" s="23"/>
      <c r="B200" s="23"/>
      <c r="C200" s="23"/>
    </row>
    <row r="201" customFormat="false" ht="15" hidden="false" customHeight="false" outlineLevel="0" collapsed="false">
      <c r="A201" s="23"/>
      <c r="B201" s="23"/>
      <c r="C201" s="23"/>
    </row>
    <row r="202" customFormat="false" ht="15" hidden="false" customHeight="false" outlineLevel="0" collapsed="false">
      <c r="A202" s="23"/>
      <c r="B202" s="23"/>
      <c r="C202" s="23"/>
    </row>
    <row r="203" customFormat="false" ht="15" hidden="false" customHeight="false" outlineLevel="0" collapsed="false">
      <c r="A203" s="23"/>
      <c r="B203" s="23"/>
      <c r="C203" s="23"/>
    </row>
    <row r="204" customFormat="false" ht="15" hidden="false" customHeight="false" outlineLevel="0" collapsed="false">
      <c r="A204" s="23"/>
      <c r="B204" s="23"/>
      <c r="C204" s="23"/>
    </row>
    <row r="205" customFormat="false" ht="15" hidden="false" customHeight="false" outlineLevel="0" collapsed="false">
      <c r="A205" s="23"/>
      <c r="B205" s="23"/>
      <c r="C205" s="23"/>
    </row>
    <row r="206" customFormat="false" ht="15" hidden="false" customHeight="false" outlineLevel="0" collapsed="false">
      <c r="A206" s="23"/>
      <c r="B206" s="23"/>
      <c r="C206" s="23"/>
    </row>
    <row r="207" customFormat="false" ht="15" hidden="false" customHeight="false" outlineLevel="0" collapsed="false">
      <c r="A207" s="23"/>
      <c r="B207" s="23"/>
      <c r="C207" s="23"/>
    </row>
    <row r="208" customFormat="false" ht="15" hidden="false" customHeight="false" outlineLevel="0" collapsed="false">
      <c r="A208" s="23"/>
      <c r="B208" s="23"/>
      <c r="C208" s="23"/>
    </row>
    <row r="209" customFormat="false" ht="15" hidden="false" customHeight="false" outlineLevel="0" collapsed="false">
      <c r="A209" s="23"/>
      <c r="B209" s="23"/>
      <c r="C209" s="23"/>
    </row>
    <row r="210" customFormat="false" ht="15" hidden="false" customHeight="false" outlineLevel="0" collapsed="false">
      <c r="A210" s="23"/>
      <c r="B210" s="23"/>
      <c r="C210" s="23"/>
    </row>
    <row r="211" customFormat="false" ht="15" hidden="false" customHeight="false" outlineLevel="0" collapsed="false">
      <c r="A211" s="23"/>
      <c r="B211" s="23"/>
      <c r="C211" s="23"/>
    </row>
    <row r="212" customFormat="false" ht="15" hidden="false" customHeight="false" outlineLevel="0" collapsed="false">
      <c r="A212" s="23"/>
      <c r="B212" s="23"/>
      <c r="C212" s="23"/>
    </row>
    <row r="213" customFormat="false" ht="15" hidden="false" customHeight="false" outlineLevel="0" collapsed="false">
      <c r="A213" s="23"/>
      <c r="B213" s="23"/>
      <c r="C213" s="23"/>
    </row>
    <row r="214" customFormat="false" ht="15" hidden="false" customHeight="false" outlineLevel="0" collapsed="false">
      <c r="A214" s="23"/>
      <c r="B214" s="23"/>
      <c r="C214" s="23"/>
    </row>
    <row r="215" customFormat="false" ht="15" hidden="false" customHeight="false" outlineLevel="0" collapsed="false">
      <c r="A215" s="23"/>
      <c r="B215" s="23"/>
      <c r="C215" s="23"/>
    </row>
    <row r="216" customFormat="false" ht="15" hidden="false" customHeight="false" outlineLevel="0" collapsed="false">
      <c r="A216" s="23"/>
      <c r="B216" s="23"/>
      <c r="C216" s="23"/>
    </row>
    <row r="217" customFormat="false" ht="15" hidden="false" customHeight="false" outlineLevel="0" collapsed="false">
      <c r="A217" s="23"/>
      <c r="B217" s="23"/>
      <c r="C217" s="23"/>
    </row>
    <row r="218" customFormat="false" ht="15" hidden="false" customHeight="false" outlineLevel="0" collapsed="false">
      <c r="A218" s="23"/>
      <c r="B218" s="23"/>
      <c r="C218" s="23"/>
    </row>
    <row r="219" customFormat="false" ht="15" hidden="false" customHeight="false" outlineLevel="0" collapsed="false">
      <c r="A219" s="23"/>
      <c r="B219" s="23"/>
      <c r="C219" s="23"/>
    </row>
    <row r="220" customFormat="false" ht="15" hidden="false" customHeight="false" outlineLevel="0" collapsed="false">
      <c r="A220" s="23"/>
      <c r="B220" s="23"/>
      <c r="C220" s="23"/>
    </row>
    <row r="221" customFormat="false" ht="15" hidden="false" customHeight="false" outlineLevel="0" collapsed="false">
      <c r="A221" s="23"/>
      <c r="B221" s="23"/>
      <c r="C221" s="23"/>
    </row>
    <row r="222" customFormat="false" ht="15" hidden="false" customHeight="false" outlineLevel="0" collapsed="false">
      <c r="A222" s="23"/>
      <c r="B222" s="23"/>
      <c r="C222" s="23"/>
    </row>
    <row r="223" customFormat="false" ht="15" hidden="false" customHeight="false" outlineLevel="0" collapsed="false">
      <c r="A223" s="23"/>
      <c r="B223" s="23"/>
      <c r="C223" s="23"/>
    </row>
    <row r="224" customFormat="false" ht="15" hidden="false" customHeight="false" outlineLevel="0" collapsed="false">
      <c r="A224" s="23"/>
      <c r="B224" s="23"/>
      <c r="C224" s="23"/>
    </row>
    <row r="225" customFormat="false" ht="15" hidden="false" customHeight="false" outlineLevel="0" collapsed="false">
      <c r="A225" s="23"/>
      <c r="B225" s="23"/>
      <c r="C225" s="23"/>
    </row>
    <row r="226" customFormat="false" ht="15" hidden="false" customHeight="false" outlineLevel="0" collapsed="false">
      <c r="A226" s="23"/>
      <c r="B226" s="23"/>
      <c r="C226" s="23"/>
    </row>
    <row r="227" customFormat="false" ht="15" hidden="false" customHeight="false" outlineLevel="0" collapsed="false">
      <c r="A227" s="23"/>
      <c r="B227" s="23"/>
      <c r="C227" s="23"/>
    </row>
    <row r="228" customFormat="false" ht="15" hidden="false" customHeight="false" outlineLevel="0" collapsed="false">
      <c r="A228" s="23"/>
      <c r="B228" s="23"/>
      <c r="C228" s="23"/>
    </row>
    <row r="229" customFormat="false" ht="15" hidden="false" customHeight="false" outlineLevel="0" collapsed="false">
      <c r="A229" s="23"/>
      <c r="B229" s="23"/>
      <c r="C229" s="23"/>
    </row>
    <row r="230" customFormat="false" ht="15" hidden="false" customHeight="false" outlineLevel="0" collapsed="false">
      <c r="A230" s="23"/>
      <c r="B230" s="23"/>
      <c r="C230" s="23"/>
    </row>
    <row r="231" customFormat="false" ht="15" hidden="false" customHeight="false" outlineLevel="0" collapsed="false">
      <c r="A231" s="23"/>
      <c r="B231" s="23"/>
      <c r="C231" s="23"/>
    </row>
    <row r="232" customFormat="false" ht="15" hidden="false" customHeight="false" outlineLevel="0" collapsed="false">
      <c r="A232" s="23"/>
      <c r="B232" s="23"/>
      <c r="C232" s="23"/>
    </row>
    <row r="233" customFormat="false" ht="15" hidden="false" customHeight="false" outlineLevel="0" collapsed="false">
      <c r="A233" s="23"/>
      <c r="B233" s="23"/>
      <c r="C233" s="23"/>
    </row>
    <row r="234" customFormat="false" ht="15" hidden="false" customHeight="false" outlineLevel="0" collapsed="false">
      <c r="A234" s="23"/>
      <c r="B234" s="23"/>
      <c r="C234" s="23"/>
    </row>
    <row r="235" customFormat="false" ht="15" hidden="false" customHeight="false" outlineLevel="0" collapsed="false">
      <c r="A235" s="23"/>
      <c r="B235" s="23"/>
      <c r="C235" s="23"/>
    </row>
    <row r="236" customFormat="false" ht="15" hidden="false" customHeight="false" outlineLevel="0" collapsed="false">
      <c r="A236" s="23"/>
      <c r="B236" s="23"/>
      <c r="C236" s="23"/>
    </row>
    <row r="237" customFormat="false" ht="15" hidden="false" customHeight="false" outlineLevel="0" collapsed="false">
      <c r="A237" s="23"/>
      <c r="B237" s="23"/>
      <c r="C237" s="23"/>
    </row>
    <row r="238" customFormat="false" ht="15" hidden="false" customHeight="false" outlineLevel="0" collapsed="false">
      <c r="A238" s="23"/>
      <c r="B238" s="23"/>
      <c r="C238" s="23"/>
    </row>
    <row r="239" customFormat="false" ht="15" hidden="false" customHeight="false" outlineLevel="0" collapsed="false">
      <c r="A239" s="23"/>
      <c r="B239" s="23"/>
      <c r="C239" s="23"/>
    </row>
    <row r="240" customFormat="false" ht="15" hidden="false" customHeight="false" outlineLevel="0" collapsed="false">
      <c r="A240" s="23"/>
      <c r="B240" s="23"/>
      <c r="C240" s="23"/>
    </row>
    <row r="241" customFormat="false" ht="15" hidden="false" customHeight="false" outlineLevel="0" collapsed="false">
      <c r="A241" s="23"/>
      <c r="B241" s="23"/>
      <c r="C241" s="23"/>
    </row>
    <row r="242" customFormat="false" ht="15" hidden="false" customHeight="false" outlineLevel="0" collapsed="false">
      <c r="A242" s="23"/>
      <c r="B242" s="23"/>
      <c r="C242" s="23"/>
    </row>
    <row r="243" customFormat="false" ht="15" hidden="false" customHeight="false" outlineLevel="0" collapsed="false">
      <c r="A243" s="23"/>
      <c r="B243" s="23"/>
      <c r="C243" s="23"/>
    </row>
    <row r="244" customFormat="false" ht="15" hidden="false" customHeight="false" outlineLevel="0" collapsed="false">
      <c r="A244" s="23"/>
      <c r="B244" s="23"/>
      <c r="C244" s="23"/>
    </row>
    <row r="245" customFormat="false" ht="15" hidden="false" customHeight="false" outlineLevel="0" collapsed="false">
      <c r="A245" s="23"/>
      <c r="B245" s="23"/>
      <c r="C245" s="23"/>
    </row>
    <row r="246" customFormat="false" ht="15" hidden="false" customHeight="false" outlineLevel="0" collapsed="false">
      <c r="A246" s="23"/>
      <c r="B246" s="23"/>
      <c r="C246" s="23"/>
    </row>
    <row r="247" customFormat="false" ht="15" hidden="false" customHeight="false" outlineLevel="0" collapsed="false">
      <c r="A247" s="23"/>
      <c r="B247" s="23"/>
      <c r="C247" s="23"/>
    </row>
    <row r="248" customFormat="false" ht="15" hidden="false" customHeight="false" outlineLevel="0" collapsed="false">
      <c r="A248" s="23"/>
      <c r="B248" s="23"/>
      <c r="C248" s="23"/>
    </row>
    <row r="249" customFormat="false" ht="15" hidden="false" customHeight="false" outlineLevel="0" collapsed="false">
      <c r="A249" s="23"/>
      <c r="B249" s="23"/>
      <c r="C249" s="23"/>
    </row>
    <row r="250" customFormat="false" ht="15" hidden="false" customHeight="false" outlineLevel="0" collapsed="false">
      <c r="A250" s="23"/>
      <c r="B250" s="23"/>
      <c r="C250" s="23"/>
    </row>
    <row r="251" customFormat="false" ht="15" hidden="false" customHeight="false" outlineLevel="0" collapsed="false">
      <c r="A251" s="23"/>
      <c r="B251" s="23"/>
      <c r="C251" s="23"/>
    </row>
    <row r="252" customFormat="false" ht="15" hidden="false" customHeight="false" outlineLevel="0" collapsed="false">
      <c r="A252" s="23"/>
      <c r="B252" s="23"/>
      <c r="C252" s="23"/>
    </row>
    <row r="253" customFormat="false" ht="15" hidden="false" customHeight="false" outlineLevel="0" collapsed="false">
      <c r="A253" s="23"/>
      <c r="B253" s="23"/>
      <c r="C253" s="23"/>
    </row>
    <row r="254" customFormat="false" ht="15" hidden="false" customHeight="false" outlineLevel="0" collapsed="false">
      <c r="A254" s="23"/>
      <c r="B254" s="23"/>
      <c r="C254" s="23"/>
    </row>
    <row r="255" customFormat="false" ht="15" hidden="false" customHeight="false" outlineLevel="0" collapsed="false">
      <c r="A255" s="23"/>
      <c r="B255" s="23"/>
      <c r="C255" s="23"/>
    </row>
    <row r="256" customFormat="false" ht="15" hidden="false" customHeight="false" outlineLevel="0" collapsed="false">
      <c r="A256" s="23"/>
      <c r="B256" s="23"/>
      <c r="C256" s="23"/>
    </row>
    <row r="257" customFormat="false" ht="15" hidden="false" customHeight="false" outlineLevel="0" collapsed="false">
      <c r="A257" s="23"/>
      <c r="B257" s="23"/>
      <c r="C257" s="23"/>
    </row>
    <row r="258" customFormat="false" ht="15" hidden="false" customHeight="false" outlineLevel="0" collapsed="false">
      <c r="A258" s="23"/>
      <c r="B258" s="23"/>
      <c r="C258" s="23"/>
    </row>
    <row r="259" customFormat="false" ht="15" hidden="false" customHeight="false" outlineLevel="0" collapsed="false">
      <c r="A259" s="23"/>
      <c r="B259" s="23"/>
      <c r="C259" s="23"/>
    </row>
    <row r="260" customFormat="false" ht="15" hidden="false" customHeight="false" outlineLevel="0" collapsed="false">
      <c r="A260" s="23"/>
      <c r="B260" s="23"/>
      <c r="C260" s="23"/>
    </row>
    <row r="261" customFormat="false" ht="15" hidden="false" customHeight="false" outlineLevel="0" collapsed="false">
      <c r="A261" s="23"/>
      <c r="B261" s="23"/>
      <c r="C261" s="23"/>
    </row>
    <row r="262" customFormat="false" ht="15" hidden="false" customHeight="false" outlineLevel="0" collapsed="false">
      <c r="A262" s="23"/>
      <c r="B262" s="23"/>
      <c r="C262" s="23"/>
    </row>
    <row r="263" customFormat="false" ht="15" hidden="false" customHeight="false" outlineLevel="0" collapsed="false">
      <c r="A263" s="23"/>
      <c r="B263" s="23"/>
      <c r="C263" s="23"/>
    </row>
    <row r="264" customFormat="false" ht="15" hidden="false" customHeight="false" outlineLevel="0" collapsed="false">
      <c r="A264" s="23"/>
      <c r="B264" s="23"/>
      <c r="C264" s="23"/>
    </row>
    <row r="265" customFormat="false" ht="15" hidden="false" customHeight="false" outlineLevel="0" collapsed="false">
      <c r="A265" s="23"/>
      <c r="B265" s="23"/>
      <c r="C265" s="23"/>
    </row>
    <row r="266" customFormat="false" ht="15" hidden="false" customHeight="false" outlineLevel="0" collapsed="false">
      <c r="A266" s="23"/>
      <c r="B266" s="23"/>
      <c r="C266" s="23"/>
    </row>
    <row r="267" customFormat="false" ht="15" hidden="false" customHeight="false" outlineLevel="0" collapsed="false">
      <c r="A267" s="23"/>
      <c r="B267" s="23"/>
      <c r="C267" s="23"/>
    </row>
    <row r="268" customFormat="false" ht="15" hidden="false" customHeight="false" outlineLevel="0" collapsed="false">
      <c r="A268" s="23"/>
      <c r="B268" s="23"/>
      <c r="C268" s="23"/>
    </row>
    <row r="269" customFormat="false" ht="15" hidden="false" customHeight="false" outlineLevel="0" collapsed="false">
      <c r="A269" s="23"/>
      <c r="B269" s="23"/>
      <c r="C269" s="23"/>
    </row>
    <row r="270" customFormat="false" ht="15" hidden="false" customHeight="false" outlineLevel="0" collapsed="false">
      <c r="A270" s="23"/>
      <c r="B270" s="23"/>
      <c r="C270" s="23"/>
    </row>
    <row r="271" customFormat="false" ht="15" hidden="false" customHeight="false" outlineLevel="0" collapsed="false">
      <c r="A271" s="23"/>
      <c r="B271" s="23"/>
      <c r="C271" s="23"/>
    </row>
    <row r="272" customFormat="false" ht="15" hidden="false" customHeight="false" outlineLevel="0" collapsed="false">
      <c r="A272" s="23"/>
      <c r="B272" s="23"/>
      <c r="C272" s="23"/>
    </row>
    <row r="273" customFormat="false" ht="15" hidden="false" customHeight="false" outlineLevel="0" collapsed="false">
      <c r="A273" s="23"/>
      <c r="B273" s="23"/>
      <c r="C273" s="23"/>
    </row>
    <row r="274" customFormat="false" ht="15" hidden="false" customHeight="false" outlineLevel="0" collapsed="false">
      <c r="A274" s="23"/>
      <c r="B274" s="23"/>
      <c r="C274" s="23"/>
    </row>
    <row r="275" customFormat="false" ht="15" hidden="false" customHeight="false" outlineLevel="0" collapsed="false">
      <c r="A275" s="23"/>
      <c r="B275" s="23"/>
      <c r="C275" s="23"/>
    </row>
    <row r="276" customFormat="false" ht="15" hidden="false" customHeight="false" outlineLevel="0" collapsed="false">
      <c r="A276" s="23"/>
      <c r="B276" s="23"/>
      <c r="C276" s="23"/>
    </row>
    <row r="277" customFormat="false" ht="15" hidden="false" customHeight="false" outlineLevel="0" collapsed="false">
      <c r="A277" s="23"/>
      <c r="B277" s="23"/>
      <c r="C277" s="23"/>
    </row>
    <row r="278" customFormat="false" ht="15" hidden="false" customHeight="false" outlineLevel="0" collapsed="false">
      <c r="A278" s="23"/>
      <c r="B278" s="23"/>
      <c r="C278" s="23"/>
    </row>
    <row r="279" customFormat="false" ht="15" hidden="false" customHeight="false" outlineLevel="0" collapsed="false">
      <c r="A279" s="23"/>
      <c r="B279" s="23"/>
      <c r="C279" s="23"/>
    </row>
    <row r="280" customFormat="false" ht="15" hidden="false" customHeight="false" outlineLevel="0" collapsed="false">
      <c r="A280" s="23"/>
      <c r="B280" s="23"/>
      <c r="C280" s="23"/>
    </row>
    <row r="281" customFormat="false" ht="15" hidden="false" customHeight="false" outlineLevel="0" collapsed="false">
      <c r="A281" s="23"/>
      <c r="B281" s="23"/>
      <c r="C281" s="23"/>
    </row>
    <row r="282" customFormat="false" ht="15" hidden="false" customHeight="false" outlineLevel="0" collapsed="false">
      <c r="A282" s="23"/>
      <c r="B282" s="23"/>
      <c r="C282" s="23"/>
    </row>
    <row r="283" customFormat="false" ht="15" hidden="false" customHeight="false" outlineLevel="0" collapsed="false">
      <c r="A283" s="23"/>
      <c r="B283" s="23"/>
      <c r="C283" s="23"/>
    </row>
    <row r="284" customFormat="false" ht="15" hidden="false" customHeight="false" outlineLevel="0" collapsed="false">
      <c r="A284" s="23"/>
      <c r="B284" s="23"/>
      <c r="C284" s="23"/>
    </row>
    <row r="285" customFormat="false" ht="15" hidden="false" customHeight="false" outlineLevel="0" collapsed="false">
      <c r="A285" s="23"/>
      <c r="B285" s="23"/>
      <c r="C285" s="23"/>
    </row>
    <row r="286" customFormat="false" ht="15" hidden="false" customHeight="false" outlineLevel="0" collapsed="false">
      <c r="A286" s="23"/>
      <c r="B286" s="23"/>
      <c r="C286" s="23"/>
    </row>
    <row r="287" customFormat="false" ht="15" hidden="false" customHeight="false" outlineLevel="0" collapsed="false">
      <c r="A287" s="23"/>
      <c r="B287" s="23"/>
      <c r="C287" s="23"/>
    </row>
    <row r="288" customFormat="false" ht="15" hidden="false" customHeight="false" outlineLevel="0" collapsed="false">
      <c r="A288" s="23"/>
      <c r="B288" s="23"/>
      <c r="C288" s="23"/>
    </row>
    <row r="289" customFormat="false" ht="15" hidden="false" customHeight="false" outlineLevel="0" collapsed="false">
      <c r="A289" s="23"/>
      <c r="B289" s="23"/>
      <c r="C289" s="23"/>
    </row>
    <row r="290" customFormat="false" ht="15" hidden="false" customHeight="false" outlineLevel="0" collapsed="false">
      <c r="A290" s="23"/>
      <c r="B290" s="23"/>
      <c r="C290" s="23"/>
    </row>
    <row r="291" customFormat="false" ht="15" hidden="false" customHeight="false" outlineLevel="0" collapsed="false">
      <c r="A291" s="23"/>
      <c r="B291" s="23"/>
      <c r="C291" s="23"/>
    </row>
    <row r="292" customFormat="false" ht="15" hidden="false" customHeight="false" outlineLevel="0" collapsed="false">
      <c r="A292" s="23"/>
      <c r="B292" s="23"/>
      <c r="C292" s="23"/>
    </row>
    <row r="293" customFormat="false" ht="15" hidden="false" customHeight="false" outlineLevel="0" collapsed="false">
      <c r="A293" s="23"/>
      <c r="B293" s="23"/>
      <c r="C293" s="23"/>
    </row>
    <row r="294" customFormat="false" ht="15" hidden="false" customHeight="false" outlineLevel="0" collapsed="false">
      <c r="A294" s="23"/>
      <c r="B294" s="23"/>
      <c r="C294" s="23"/>
    </row>
    <row r="295" customFormat="false" ht="15" hidden="false" customHeight="false" outlineLevel="0" collapsed="false">
      <c r="A295" s="23"/>
      <c r="B295" s="23"/>
      <c r="C295" s="23"/>
    </row>
    <row r="296" customFormat="false" ht="15" hidden="false" customHeight="false" outlineLevel="0" collapsed="false">
      <c r="A296" s="23"/>
      <c r="B296" s="23"/>
      <c r="C296" s="23"/>
    </row>
    <row r="297" customFormat="false" ht="15" hidden="false" customHeight="false" outlineLevel="0" collapsed="false">
      <c r="A297" s="23"/>
      <c r="B297" s="23"/>
      <c r="C297" s="23"/>
    </row>
    <row r="298" customFormat="false" ht="15" hidden="false" customHeight="false" outlineLevel="0" collapsed="false">
      <c r="A298" s="23"/>
      <c r="B298" s="23"/>
      <c r="C298" s="23"/>
    </row>
    <row r="299" customFormat="false" ht="15" hidden="false" customHeight="false" outlineLevel="0" collapsed="false">
      <c r="A299" s="23"/>
      <c r="B299" s="23"/>
      <c r="C299" s="23"/>
    </row>
    <row r="300" customFormat="false" ht="15" hidden="false" customHeight="false" outlineLevel="0" collapsed="false">
      <c r="A300" s="23"/>
      <c r="B300" s="23"/>
      <c r="C300" s="23"/>
    </row>
    <row r="301" customFormat="false" ht="15" hidden="false" customHeight="false" outlineLevel="0" collapsed="false">
      <c r="A301" s="23"/>
      <c r="B301" s="23"/>
      <c r="C301" s="23"/>
    </row>
    <row r="302" customFormat="false" ht="15" hidden="false" customHeight="false" outlineLevel="0" collapsed="false">
      <c r="A302" s="23"/>
      <c r="B302" s="23"/>
      <c r="C302" s="23"/>
    </row>
    <row r="303" customFormat="false" ht="15" hidden="false" customHeight="false" outlineLevel="0" collapsed="false">
      <c r="A303" s="23"/>
      <c r="B303" s="23"/>
      <c r="C303" s="23"/>
    </row>
    <row r="304" customFormat="false" ht="15" hidden="false" customHeight="false" outlineLevel="0" collapsed="false">
      <c r="A304" s="23"/>
      <c r="B304" s="23"/>
      <c r="C304" s="23"/>
    </row>
    <row r="305" customFormat="false" ht="15" hidden="false" customHeight="false" outlineLevel="0" collapsed="false">
      <c r="A305" s="23"/>
      <c r="B305" s="23"/>
      <c r="C305" s="23"/>
    </row>
    <row r="306" customFormat="false" ht="15" hidden="false" customHeight="false" outlineLevel="0" collapsed="false">
      <c r="A306" s="23"/>
      <c r="B306" s="23"/>
      <c r="C306" s="23"/>
    </row>
    <row r="307" customFormat="false" ht="15" hidden="false" customHeight="false" outlineLevel="0" collapsed="false">
      <c r="A307" s="23"/>
      <c r="B307" s="23"/>
      <c r="C307" s="23"/>
    </row>
    <row r="308" customFormat="false" ht="15" hidden="false" customHeight="false" outlineLevel="0" collapsed="false">
      <c r="A308" s="23"/>
      <c r="B308" s="23"/>
      <c r="C308" s="23"/>
    </row>
    <row r="309" customFormat="false" ht="15" hidden="false" customHeight="false" outlineLevel="0" collapsed="false">
      <c r="A309" s="23"/>
      <c r="B309" s="23"/>
      <c r="C309" s="23"/>
    </row>
    <row r="310" customFormat="false" ht="15" hidden="false" customHeight="false" outlineLevel="0" collapsed="false">
      <c r="A310" s="23"/>
      <c r="B310" s="23"/>
      <c r="C310" s="23"/>
    </row>
    <row r="311" customFormat="false" ht="15" hidden="false" customHeight="false" outlineLevel="0" collapsed="false">
      <c r="A311" s="23"/>
      <c r="B311" s="23"/>
      <c r="C311" s="23"/>
    </row>
    <row r="312" customFormat="false" ht="15" hidden="false" customHeight="false" outlineLevel="0" collapsed="false">
      <c r="A312" s="23"/>
      <c r="B312" s="23"/>
      <c r="C312" s="23"/>
    </row>
    <row r="313" customFormat="false" ht="15" hidden="false" customHeight="false" outlineLevel="0" collapsed="false">
      <c r="A313" s="23"/>
      <c r="B313" s="23"/>
      <c r="C313" s="23"/>
    </row>
    <row r="314" customFormat="false" ht="15" hidden="false" customHeight="false" outlineLevel="0" collapsed="false">
      <c r="A314" s="23"/>
      <c r="B314" s="23"/>
      <c r="C314" s="23"/>
    </row>
    <row r="315" customFormat="false" ht="15" hidden="false" customHeight="false" outlineLevel="0" collapsed="false">
      <c r="A315" s="23"/>
      <c r="B315" s="23"/>
      <c r="C315" s="23"/>
    </row>
    <row r="316" customFormat="false" ht="15" hidden="false" customHeight="false" outlineLevel="0" collapsed="false">
      <c r="A316" s="23"/>
      <c r="B316" s="23"/>
      <c r="C316" s="23"/>
    </row>
    <row r="317" customFormat="false" ht="15" hidden="false" customHeight="false" outlineLevel="0" collapsed="false">
      <c r="A317" s="23"/>
      <c r="B317" s="23"/>
      <c r="C317" s="23"/>
    </row>
    <row r="318" customFormat="false" ht="15" hidden="false" customHeight="false" outlineLevel="0" collapsed="false">
      <c r="A318" s="23"/>
      <c r="B318" s="23"/>
      <c r="C318" s="23"/>
    </row>
    <row r="319" customFormat="false" ht="15" hidden="false" customHeight="false" outlineLevel="0" collapsed="false">
      <c r="A319" s="23"/>
      <c r="B319" s="23"/>
      <c r="C319" s="23"/>
    </row>
    <row r="320" customFormat="false" ht="15" hidden="false" customHeight="false" outlineLevel="0" collapsed="false">
      <c r="A320" s="23"/>
      <c r="B320" s="23"/>
      <c r="C320" s="23"/>
    </row>
    <row r="321" customFormat="false" ht="15" hidden="false" customHeight="false" outlineLevel="0" collapsed="false">
      <c r="A321" s="23"/>
      <c r="B321" s="23"/>
      <c r="C321" s="23"/>
    </row>
    <row r="322" customFormat="false" ht="15" hidden="false" customHeight="false" outlineLevel="0" collapsed="false">
      <c r="A322" s="23"/>
      <c r="B322" s="23"/>
      <c r="C322" s="23"/>
    </row>
    <row r="323" customFormat="false" ht="15" hidden="false" customHeight="false" outlineLevel="0" collapsed="false">
      <c r="A323" s="23"/>
      <c r="B323" s="23"/>
      <c r="C323" s="23"/>
    </row>
    <row r="324" customFormat="false" ht="15" hidden="false" customHeight="false" outlineLevel="0" collapsed="false">
      <c r="A324" s="23"/>
      <c r="B324" s="23"/>
      <c r="C324" s="23"/>
    </row>
    <row r="325" customFormat="false" ht="15" hidden="false" customHeight="false" outlineLevel="0" collapsed="false">
      <c r="A325" s="23"/>
      <c r="B325" s="23"/>
      <c r="C325" s="23"/>
    </row>
    <row r="326" customFormat="false" ht="15" hidden="false" customHeight="false" outlineLevel="0" collapsed="false">
      <c r="A326" s="23"/>
      <c r="B326" s="23"/>
      <c r="C326" s="23"/>
    </row>
    <row r="327" customFormat="false" ht="15" hidden="false" customHeight="false" outlineLevel="0" collapsed="false">
      <c r="A327" s="23"/>
      <c r="B327" s="23"/>
      <c r="C327" s="23"/>
    </row>
    <row r="328" customFormat="false" ht="15" hidden="false" customHeight="false" outlineLevel="0" collapsed="false">
      <c r="A328" s="23"/>
      <c r="B328" s="23"/>
      <c r="C328" s="23"/>
    </row>
    <row r="329" customFormat="false" ht="15" hidden="false" customHeight="false" outlineLevel="0" collapsed="false">
      <c r="A329" s="23"/>
      <c r="B329" s="23"/>
      <c r="C329" s="23"/>
    </row>
    <row r="330" customFormat="false" ht="15" hidden="false" customHeight="false" outlineLevel="0" collapsed="false">
      <c r="A330" s="23"/>
      <c r="B330" s="23"/>
      <c r="C330" s="23"/>
    </row>
    <row r="331" customFormat="false" ht="15" hidden="false" customHeight="false" outlineLevel="0" collapsed="false">
      <c r="A331" s="23"/>
      <c r="B331" s="23"/>
      <c r="C331" s="23"/>
    </row>
    <row r="332" customFormat="false" ht="15" hidden="false" customHeight="false" outlineLevel="0" collapsed="false">
      <c r="A332" s="23"/>
      <c r="B332" s="23"/>
      <c r="C332" s="23"/>
    </row>
    <row r="333" customFormat="false" ht="15" hidden="false" customHeight="false" outlineLevel="0" collapsed="false">
      <c r="A333" s="23"/>
      <c r="B333" s="23"/>
      <c r="C333" s="23"/>
    </row>
    <row r="334" customFormat="false" ht="15" hidden="false" customHeight="false" outlineLevel="0" collapsed="false">
      <c r="A334" s="23"/>
      <c r="B334" s="23"/>
      <c r="C334" s="23"/>
    </row>
    <row r="335" customFormat="false" ht="15" hidden="false" customHeight="false" outlineLevel="0" collapsed="false">
      <c r="A335" s="23"/>
      <c r="B335" s="23"/>
      <c r="C335" s="23"/>
    </row>
    <row r="336" customFormat="false" ht="15" hidden="false" customHeight="false" outlineLevel="0" collapsed="false">
      <c r="A336" s="23"/>
      <c r="B336" s="23"/>
      <c r="C336" s="23"/>
    </row>
    <row r="337" customFormat="false" ht="15" hidden="false" customHeight="false" outlineLevel="0" collapsed="false">
      <c r="A337" s="23"/>
      <c r="B337" s="23"/>
      <c r="C337" s="23"/>
    </row>
    <row r="338" customFormat="false" ht="15" hidden="false" customHeight="false" outlineLevel="0" collapsed="false">
      <c r="A338" s="23"/>
      <c r="B338" s="23"/>
      <c r="C338" s="23"/>
    </row>
    <row r="339" customFormat="false" ht="15" hidden="false" customHeight="false" outlineLevel="0" collapsed="false">
      <c r="A339" s="23"/>
      <c r="B339" s="23"/>
      <c r="C339" s="23"/>
    </row>
    <row r="340" customFormat="false" ht="15" hidden="false" customHeight="false" outlineLevel="0" collapsed="false">
      <c r="A340" s="23"/>
      <c r="B340" s="23"/>
      <c r="C340" s="23"/>
    </row>
    <row r="341" customFormat="false" ht="15" hidden="false" customHeight="false" outlineLevel="0" collapsed="false">
      <c r="A341" s="23"/>
      <c r="B341" s="23"/>
      <c r="C341" s="23"/>
    </row>
    <row r="342" customFormat="false" ht="15" hidden="false" customHeight="false" outlineLevel="0" collapsed="false">
      <c r="A342" s="23"/>
      <c r="B342" s="23"/>
      <c r="C342" s="23"/>
    </row>
    <row r="343" customFormat="false" ht="15" hidden="false" customHeight="false" outlineLevel="0" collapsed="false">
      <c r="A343" s="23"/>
      <c r="B343" s="23"/>
      <c r="C343" s="23"/>
    </row>
    <row r="344" customFormat="false" ht="15" hidden="false" customHeight="false" outlineLevel="0" collapsed="false">
      <c r="A344" s="23"/>
      <c r="B344" s="23"/>
      <c r="C344" s="23"/>
    </row>
    <row r="345" customFormat="false" ht="15" hidden="false" customHeight="false" outlineLevel="0" collapsed="false">
      <c r="A345" s="23"/>
      <c r="B345" s="23"/>
      <c r="C345" s="23"/>
    </row>
    <row r="346" customFormat="false" ht="15" hidden="false" customHeight="false" outlineLevel="0" collapsed="false">
      <c r="A346" s="23"/>
      <c r="B346" s="23"/>
      <c r="C346" s="23"/>
    </row>
    <row r="347" customFormat="false" ht="15" hidden="false" customHeight="false" outlineLevel="0" collapsed="false">
      <c r="A347" s="23"/>
      <c r="B347" s="23"/>
      <c r="C347" s="23"/>
    </row>
    <row r="348" customFormat="false" ht="15" hidden="false" customHeight="false" outlineLevel="0" collapsed="false">
      <c r="A348" s="23"/>
      <c r="B348" s="23"/>
      <c r="C348" s="23"/>
    </row>
    <row r="349" customFormat="false" ht="15" hidden="false" customHeight="false" outlineLevel="0" collapsed="false">
      <c r="A349" s="23"/>
      <c r="B349" s="23"/>
      <c r="C349" s="23"/>
    </row>
    <row r="350" customFormat="false" ht="15" hidden="false" customHeight="false" outlineLevel="0" collapsed="false">
      <c r="A350" s="23"/>
      <c r="B350" s="23"/>
      <c r="C350" s="23"/>
    </row>
    <row r="351" customFormat="false" ht="15" hidden="false" customHeight="false" outlineLevel="0" collapsed="false">
      <c r="A351" s="23"/>
      <c r="B351" s="23"/>
      <c r="C351" s="23"/>
    </row>
    <row r="352" customFormat="false" ht="15" hidden="false" customHeight="false" outlineLevel="0" collapsed="false">
      <c r="A352" s="23"/>
      <c r="B352" s="23"/>
      <c r="C352" s="23"/>
    </row>
    <row r="353" customFormat="false" ht="15" hidden="false" customHeight="false" outlineLevel="0" collapsed="false">
      <c r="A353" s="23"/>
      <c r="B353" s="23"/>
      <c r="C353" s="23"/>
    </row>
    <row r="354" customFormat="false" ht="15" hidden="false" customHeight="false" outlineLevel="0" collapsed="false">
      <c r="A354" s="23"/>
      <c r="B354" s="23"/>
      <c r="C354" s="23"/>
    </row>
    <row r="355" customFormat="false" ht="15" hidden="false" customHeight="false" outlineLevel="0" collapsed="false">
      <c r="A355" s="23"/>
      <c r="B355" s="23"/>
      <c r="C355" s="23"/>
    </row>
    <row r="356" customFormat="false" ht="15" hidden="false" customHeight="false" outlineLevel="0" collapsed="false">
      <c r="A356" s="23"/>
      <c r="B356" s="23"/>
      <c r="C356" s="23"/>
    </row>
    <row r="357" customFormat="false" ht="15" hidden="false" customHeight="false" outlineLevel="0" collapsed="false">
      <c r="A357" s="23"/>
      <c r="B357" s="23"/>
      <c r="C357" s="23"/>
    </row>
    <row r="358" customFormat="false" ht="15" hidden="false" customHeight="false" outlineLevel="0" collapsed="false">
      <c r="A358" s="23"/>
      <c r="B358" s="23"/>
      <c r="C358" s="23"/>
    </row>
    <row r="359" customFormat="false" ht="15" hidden="false" customHeight="false" outlineLevel="0" collapsed="false">
      <c r="A359" s="23"/>
      <c r="B359" s="23"/>
      <c r="C359" s="23"/>
    </row>
    <row r="360" customFormat="false" ht="15" hidden="false" customHeight="false" outlineLevel="0" collapsed="false">
      <c r="A360" s="23"/>
      <c r="B360" s="23"/>
      <c r="C360" s="23"/>
    </row>
    <row r="361" customFormat="false" ht="15" hidden="false" customHeight="false" outlineLevel="0" collapsed="false">
      <c r="A361" s="23"/>
      <c r="B361" s="23"/>
      <c r="C361" s="23"/>
    </row>
    <row r="362" customFormat="false" ht="15" hidden="false" customHeight="false" outlineLevel="0" collapsed="false">
      <c r="A362" s="23"/>
      <c r="B362" s="23"/>
      <c r="C362" s="23"/>
    </row>
    <row r="363" customFormat="false" ht="15" hidden="false" customHeight="false" outlineLevel="0" collapsed="false">
      <c r="A363" s="23"/>
      <c r="B363" s="23"/>
      <c r="C363" s="23"/>
    </row>
    <row r="364" customFormat="false" ht="15" hidden="false" customHeight="false" outlineLevel="0" collapsed="false">
      <c r="A364" s="23"/>
      <c r="B364" s="23"/>
      <c r="C364" s="23"/>
    </row>
    <row r="365" customFormat="false" ht="15" hidden="false" customHeight="false" outlineLevel="0" collapsed="false">
      <c r="A365" s="23"/>
      <c r="B365" s="23"/>
      <c r="C365" s="23"/>
    </row>
    <row r="366" customFormat="false" ht="15" hidden="false" customHeight="false" outlineLevel="0" collapsed="false">
      <c r="A366" s="23"/>
      <c r="B366" s="23"/>
      <c r="C366" s="23"/>
    </row>
    <row r="367" customFormat="false" ht="15" hidden="false" customHeight="false" outlineLevel="0" collapsed="false">
      <c r="A367" s="23"/>
      <c r="B367" s="23"/>
      <c r="C367" s="23"/>
    </row>
    <row r="368" customFormat="false" ht="15" hidden="false" customHeight="false" outlineLevel="0" collapsed="false">
      <c r="A368" s="23"/>
      <c r="B368" s="23"/>
      <c r="C368" s="23"/>
    </row>
    <row r="369" customFormat="false" ht="15" hidden="false" customHeight="false" outlineLevel="0" collapsed="false">
      <c r="A369" s="23"/>
      <c r="B369" s="23"/>
      <c r="C369" s="23"/>
    </row>
    <row r="370" customFormat="false" ht="15" hidden="false" customHeight="false" outlineLevel="0" collapsed="false">
      <c r="A370" s="23"/>
      <c r="B370" s="23"/>
      <c r="C370" s="23"/>
    </row>
    <row r="371" customFormat="false" ht="15" hidden="false" customHeight="false" outlineLevel="0" collapsed="false">
      <c r="A371" s="23"/>
      <c r="B371" s="23"/>
      <c r="C371" s="23"/>
    </row>
    <row r="372" customFormat="false" ht="15" hidden="false" customHeight="false" outlineLevel="0" collapsed="false">
      <c r="A372" s="23"/>
      <c r="B372" s="23"/>
      <c r="C372" s="23"/>
    </row>
    <row r="373" customFormat="false" ht="15" hidden="false" customHeight="false" outlineLevel="0" collapsed="false">
      <c r="A373" s="23"/>
      <c r="B373" s="23"/>
      <c r="C373" s="23"/>
    </row>
    <row r="374" customFormat="false" ht="15" hidden="false" customHeight="false" outlineLevel="0" collapsed="false">
      <c r="A374" s="23"/>
      <c r="B374" s="23"/>
      <c r="C374" s="23"/>
    </row>
    <row r="375" customFormat="false" ht="15" hidden="false" customHeight="false" outlineLevel="0" collapsed="false">
      <c r="A375" s="23"/>
      <c r="B375" s="23"/>
      <c r="C375" s="23"/>
    </row>
    <row r="376" customFormat="false" ht="15" hidden="false" customHeight="false" outlineLevel="0" collapsed="false">
      <c r="A376" s="23"/>
      <c r="B376" s="23"/>
      <c r="C376" s="23"/>
    </row>
    <row r="377" customFormat="false" ht="15" hidden="false" customHeight="false" outlineLevel="0" collapsed="false">
      <c r="A377" s="23"/>
      <c r="B377" s="23"/>
      <c r="C377" s="23"/>
    </row>
    <row r="378" customFormat="false" ht="15" hidden="false" customHeight="false" outlineLevel="0" collapsed="false">
      <c r="A378" s="23"/>
      <c r="B378" s="23"/>
      <c r="C378" s="23"/>
    </row>
    <row r="379" customFormat="false" ht="15" hidden="false" customHeight="false" outlineLevel="0" collapsed="false">
      <c r="A379" s="23"/>
      <c r="B379" s="23"/>
      <c r="C379" s="23"/>
    </row>
    <row r="380" customFormat="false" ht="15" hidden="false" customHeight="false" outlineLevel="0" collapsed="false">
      <c r="A380" s="23"/>
      <c r="B380" s="23"/>
      <c r="C380" s="23"/>
    </row>
    <row r="381" customFormat="false" ht="15" hidden="false" customHeight="false" outlineLevel="0" collapsed="false">
      <c r="A381" s="23"/>
      <c r="B381" s="23"/>
      <c r="C381" s="23"/>
    </row>
    <row r="382" customFormat="false" ht="15" hidden="false" customHeight="false" outlineLevel="0" collapsed="false">
      <c r="A382" s="23"/>
      <c r="B382" s="23"/>
      <c r="C382" s="23"/>
    </row>
    <row r="383" customFormat="false" ht="15" hidden="false" customHeight="false" outlineLevel="0" collapsed="false">
      <c r="A383" s="23"/>
      <c r="B383" s="23"/>
      <c r="C383" s="23"/>
    </row>
    <row r="384" customFormat="false" ht="15" hidden="false" customHeight="false" outlineLevel="0" collapsed="false">
      <c r="A384" s="23"/>
      <c r="B384" s="23"/>
      <c r="C384" s="23"/>
    </row>
    <row r="385" customFormat="false" ht="15" hidden="false" customHeight="false" outlineLevel="0" collapsed="false">
      <c r="A385" s="23"/>
      <c r="B385" s="23"/>
      <c r="C385" s="23"/>
    </row>
    <row r="386" customFormat="false" ht="15" hidden="false" customHeight="false" outlineLevel="0" collapsed="false">
      <c r="A386" s="23"/>
      <c r="B386" s="23"/>
      <c r="C386" s="23"/>
    </row>
    <row r="387" customFormat="false" ht="15" hidden="false" customHeight="false" outlineLevel="0" collapsed="false">
      <c r="A387" s="23"/>
      <c r="B387" s="23"/>
      <c r="C387" s="23"/>
    </row>
    <row r="388" customFormat="false" ht="15" hidden="false" customHeight="false" outlineLevel="0" collapsed="false">
      <c r="A388" s="23"/>
      <c r="B388" s="23"/>
      <c r="C388" s="23"/>
    </row>
    <row r="389" customFormat="false" ht="15" hidden="false" customHeight="false" outlineLevel="0" collapsed="false">
      <c r="A389" s="23"/>
      <c r="B389" s="23"/>
      <c r="C389" s="23"/>
    </row>
    <row r="390" customFormat="false" ht="15" hidden="false" customHeight="false" outlineLevel="0" collapsed="false">
      <c r="A390" s="23"/>
      <c r="B390" s="23"/>
      <c r="C390" s="23"/>
    </row>
    <row r="391" customFormat="false" ht="15" hidden="false" customHeight="false" outlineLevel="0" collapsed="false">
      <c r="A391" s="23"/>
      <c r="B391" s="23"/>
      <c r="C391" s="23"/>
    </row>
    <row r="392" customFormat="false" ht="15" hidden="false" customHeight="false" outlineLevel="0" collapsed="false">
      <c r="A392" s="23"/>
      <c r="B392" s="23"/>
      <c r="C392" s="23"/>
    </row>
    <row r="393" customFormat="false" ht="15" hidden="false" customHeight="false" outlineLevel="0" collapsed="false">
      <c r="A393" s="23"/>
      <c r="B393" s="23"/>
      <c r="C393" s="23"/>
    </row>
    <row r="394" customFormat="false" ht="15" hidden="false" customHeight="false" outlineLevel="0" collapsed="false">
      <c r="A394" s="23"/>
      <c r="B394" s="23"/>
      <c r="C394" s="23"/>
    </row>
    <row r="395" customFormat="false" ht="15" hidden="false" customHeight="false" outlineLevel="0" collapsed="false">
      <c r="A395" s="23"/>
      <c r="B395" s="23"/>
      <c r="C395" s="23"/>
    </row>
    <row r="396" customFormat="false" ht="15" hidden="false" customHeight="false" outlineLevel="0" collapsed="false">
      <c r="A396" s="23"/>
      <c r="B396" s="23"/>
      <c r="C396" s="23"/>
    </row>
    <row r="397" customFormat="false" ht="15" hidden="false" customHeight="false" outlineLevel="0" collapsed="false">
      <c r="A397" s="23"/>
      <c r="B397" s="23"/>
      <c r="C397" s="23"/>
    </row>
    <row r="398" customFormat="false" ht="15" hidden="false" customHeight="false" outlineLevel="0" collapsed="false">
      <c r="A398" s="23"/>
      <c r="B398" s="23"/>
      <c r="C398" s="23"/>
    </row>
    <row r="399" customFormat="false" ht="15" hidden="false" customHeight="false" outlineLevel="0" collapsed="false">
      <c r="A399" s="23"/>
      <c r="B399" s="23"/>
      <c r="C399" s="23"/>
    </row>
    <row r="400" customFormat="false" ht="15" hidden="false" customHeight="false" outlineLevel="0" collapsed="false">
      <c r="A400" s="23"/>
      <c r="B400" s="23"/>
      <c r="C400" s="23"/>
    </row>
    <row r="401" customFormat="false" ht="15" hidden="false" customHeight="false" outlineLevel="0" collapsed="false">
      <c r="A401" s="23"/>
      <c r="B401" s="23"/>
      <c r="C401" s="23"/>
    </row>
    <row r="402" customFormat="false" ht="15" hidden="false" customHeight="false" outlineLevel="0" collapsed="false">
      <c r="A402" s="23"/>
      <c r="B402" s="23"/>
      <c r="C402" s="23"/>
    </row>
    <row r="403" customFormat="false" ht="15" hidden="false" customHeight="false" outlineLevel="0" collapsed="false">
      <c r="A403" s="23"/>
      <c r="B403" s="23"/>
      <c r="C403" s="23"/>
    </row>
    <row r="404" customFormat="false" ht="15" hidden="false" customHeight="false" outlineLevel="0" collapsed="false">
      <c r="A404" s="23"/>
      <c r="B404" s="23"/>
      <c r="C404" s="23"/>
    </row>
    <row r="405" customFormat="false" ht="15" hidden="false" customHeight="false" outlineLevel="0" collapsed="false">
      <c r="A405" s="23"/>
      <c r="B405" s="23"/>
      <c r="C405" s="23"/>
    </row>
    <row r="406" customFormat="false" ht="15" hidden="false" customHeight="false" outlineLevel="0" collapsed="false">
      <c r="A406" s="23"/>
      <c r="B406" s="23"/>
      <c r="C406" s="23"/>
    </row>
    <row r="407" customFormat="false" ht="15" hidden="false" customHeight="false" outlineLevel="0" collapsed="false">
      <c r="A407" s="23"/>
      <c r="B407" s="23"/>
      <c r="C407" s="23"/>
    </row>
    <row r="408" customFormat="false" ht="15" hidden="false" customHeight="false" outlineLevel="0" collapsed="false">
      <c r="A408" s="23"/>
      <c r="B408" s="23"/>
      <c r="C408" s="23"/>
    </row>
    <row r="409" customFormat="false" ht="15" hidden="false" customHeight="false" outlineLevel="0" collapsed="false">
      <c r="A409" s="23"/>
      <c r="B409" s="23"/>
      <c r="C409" s="23"/>
    </row>
    <row r="410" customFormat="false" ht="15" hidden="false" customHeight="false" outlineLevel="0" collapsed="false">
      <c r="A410" s="23"/>
      <c r="B410" s="23"/>
      <c r="C410" s="23"/>
    </row>
    <row r="411" customFormat="false" ht="15" hidden="false" customHeight="false" outlineLevel="0" collapsed="false">
      <c r="A411" s="23"/>
      <c r="B411" s="23"/>
      <c r="C411" s="23"/>
    </row>
    <row r="412" customFormat="false" ht="15" hidden="false" customHeight="false" outlineLevel="0" collapsed="false">
      <c r="A412" s="23"/>
      <c r="B412" s="23"/>
      <c r="C412" s="23"/>
    </row>
    <row r="413" customFormat="false" ht="15" hidden="false" customHeight="false" outlineLevel="0" collapsed="false">
      <c r="A413" s="23"/>
      <c r="B413" s="23"/>
      <c r="C413" s="23"/>
    </row>
    <row r="414" customFormat="false" ht="15" hidden="false" customHeight="false" outlineLevel="0" collapsed="false">
      <c r="A414" s="23"/>
      <c r="B414" s="23"/>
      <c r="C414" s="23"/>
    </row>
    <row r="415" customFormat="false" ht="15" hidden="false" customHeight="false" outlineLevel="0" collapsed="false">
      <c r="A415" s="23"/>
      <c r="B415" s="23"/>
      <c r="C415" s="23"/>
    </row>
    <row r="416" customFormat="false" ht="15" hidden="false" customHeight="false" outlineLevel="0" collapsed="false">
      <c r="A416" s="23"/>
      <c r="B416" s="23"/>
      <c r="C416" s="23"/>
    </row>
    <row r="417" customFormat="false" ht="15" hidden="false" customHeight="false" outlineLevel="0" collapsed="false">
      <c r="A417" s="23"/>
      <c r="B417" s="23"/>
      <c r="C417" s="23"/>
    </row>
    <row r="418" customFormat="false" ht="15" hidden="false" customHeight="false" outlineLevel="0" collapsed="false">
      <c r="A418" s="23"/>
      <c r="B418" s="23"/>
      <c r="C418" s="23"/>
    </row>
    <row r="419" customFormat="false" ht="15" hidden="false" customHeight="false" outlineLevel="0" collapsed="false">
      <c r="A419" s="23"/>
      <c r="B419" s="23"/>
      <c r="C419" s="23"/>
    </row>
    <row r="420" customFormat="false" ht="15" hidden="false" customHeight="false" outlineLevel="0" collapsed="false">
      <c r="A420" s="23"/>
      <c r="B420" s="23"/>
      <c r="C420" s="23"/>
    </row>
    <row r="421" customFormat="false" ht="15" hidden="false" customHeight="false" outlineLevel="0" collapsed="false">
      <c r="A421" s="23"/>
      <c r="B421" s="23"/>
      <c r="C421" s="23"/>
    </row>
    <row r="422" customFormat="false" ht="15" hidden="false" customHeight="false" outlineLevel="0" collapsed="false">
      <c r="A422" s="23"/>
      <c r="B422" s="23"/>
      <c r="C422" s="23"/>
    </row>
    <row r="423" customFormat="false" ht="15" hidden="false" customHeight="false" outlineLevel="0" collapsed="false">
      <c r="A423" s="23"/>
      <c r="B423" s="23"/>
      <c r="C423" s="23"/>
    </row>
    <row r="424" customFormat="false" ht="15" hidden="false" customHeight="false" outlineLevel="0" collapsed="false">
      <c r="A424" s="23"/>
      <c r="B424" s="23"/>
      <c r="C424" s="23"/>
    </row>
    <row r="425" customFormat="false" ht="15" hidden="false" customHeight="false" outlineLevel="0" collapsed="false">
      <c r="A425" s="23"/>
      <c r="B425" s="23"/>
      <c r="C425" s="23"/>
    </row>
    <row r="426" customFormat="false" ht="15" hidden="false" customHeight="false" outlineLevel="0" collapsed="false">
      <c r="A426" s="23"/>
      <c r="B426" s="23"/>
      <c r="C426" s="23"/>
    </row>
    <row r="427" customFormat="false" ht="15" hidden="false" customHeight="false" outlineLevel="0" collapsed="false">
      <c r="A427" s="23"/>
      <c r="B427" s="23"/>
      <c r="C427" s="23"/>
    </row>
    <row r="428" customFormat="false" ht="15" hidden="false" customHeight="false" outlineLevel="0" collapsed="false">
      <c r="A428" s="23"/>
      <c r="B428" s="23"/>
      <c r="C428" s="23"/>
    </row>
    <row r="429" customFormat="false" ht="15" hidden="false" customHeight="false" outlineLevel="0" collapsed="false">
      <c r="A429" s="23"/>
      <c r="B429" s="23"/>
      <c r="C429" s="23"/>
    </row>
    <row r="430" customFormat="false" ht="15" hidden="false" customHeight="false" outlineLevel="0" collapsed="false">
      <c r="A430" s="23"/>
      <c r="B430" s="23"/>
      <c r="C430" s="23"/>
    </row>
    <row r="431" customFormat="false" ht="15" hidden="false" customHeight="false" outlineLevel="0" collapsed="false">
      <c r="A431" s="23"/>
      <c r="B431" s="23"/>
      <c r="C431" s="23"/>
    </row>
    <row r="432" customFormat="false" ht="15" hidden="false" customHeight="false" outlineLevel="0" collapsed="false">
      <c r="A432" s="23"/>
      <c r="B432" s="23"/>
      <c r="C432" s="23"/>
    </row>
    <row r="433" customFormat="false" ht="15" hidden="false" customHeight="false" outlineLevel="0" collapsed="false">
      <c r="A433" s="23"/>
      <c r="B433" s="23"/>
      <c r="C433" s="23"/>
    </row>
    <row r="434" customFormat="false" ht="15" hidden="false" customHeight="false" outlineLevel="0" collapsed="false">
      <c r="A434" s="23"/>
      <c r="B434" s="23"/>
      <c r="C434" s="23"/>
    </row>
    <row r="435" customFormat="false" ht="15" hidden="false" customHeight="false" outlineLevel="0" collapsed="false">
      <c r="A435" s="23"/>
      <c r="B435" s="23"/>
      <c r="C435" s="23"/>
    </row>
    <row r="436" customFormat="false" ht="15" hidden="false" customHeight="false" outlineLevel="0" collapsed="false">
      <c r="A436" s="23"/>
      <c r="B436" s="23"/>
      <c r="C436" s="23"/>
    </row>
    <row r="437" customFormat="false" ht="15" hidden="false" customHeight="false" outlineLevel="0" collapsed="false">
      <c r="A437" s="23"/>
      <c r="B437" s="23"/>
      <c r="C437" s="23"/>
    </row>
    <row r="438" customFormat="false" ht="15" hidden="false" customHeight="false" outlineLevel="0" collapsed="false">
      <c r="A438" s="23"/>
      <c r="B438" s="23"/>
      <c r="C438" s="23"/>
    </row>
    <row r="439" customFormat="false" ht="15" hidden="false" customHeight="false" outlineLevel="0" collapsed="false">
      <c r="A439" s="23"/>
      <c r="B439" s="23"/>
      <c r="C439" s="23"/>
    </row>
    <row r="440" customFormat="false" ht="15" hidden="false" customHeight="false" outlineLevel="0" collapsed="false">
      <c r="A440" s="23"/>
      <c r="B440" s="23"/>
      <c r="C440" s="23"/>
    </row>
    <row r="441" customFormat="false" ht="15" hidden="false" customHeight="false" outlineLevel="0" collapsed="false">
      <c r="A441" s="23"/>
      <c r="B441" s="23"/>
      <c r="C441" s="23"/>
    </row>
    <row r="442" customFormat="false" ht="15" hidden="false" customHeight="false" outlineLevel="0" collapsed="false">
      <c r="A442" s="23"/>
      <c r="B442" s="23"/>
      <c r="C442" s="23"/>
    </row>
    <row r="443" customFormat="false" ht="15" hidden="false" customHeight="false" outlineLevel="0" collapsed="false">
      <c r="A443" s="23"/>
      <c r="B443" s="23"/>
      <c r="C443" s="23"/>
    </row>
    <row r="444" customFormat="false" ht="15" hidden="false" customHeight="false" outlineLevel="0" collapsed="false">
      <c r="A444" s="23"/>
      <c r="B444" s="23"/>
      <c r="C444" s="23"/>
    </row>
    <row r="445" customFormat="false" ht="15" hidden="false" customHeight="false" outlineLevel="0" collapsed="false">
      <c r="A445" s="23"/>
      <c r="B445" s="23"/>
      <c r="C445" s="23"/>
    </row>
    <row r="446" customFormat="false" ht="15" hidden="false" customHeight="false" outlineLevel="0" collapsed="false">
      <c r="A446" s="23"/>
      <c r="B446" s="23"/>
      <c r="C446" s="23"/>
    </row>
    <row r="447" customFormat="false" ht="15" hidden="false" customHeight="false" outlineLevel="0" collapsed="false">
      <c r="A447" s="23"/>
      <c r="B447" s="23"/>
      <c r="C447" s="23"/>
    </row>
    <row r="448" customFormat="false" ht="15" hidden="false" customHeight="false" outlineLevel="0" collapsed="false">
      <c r="A448" s="23"/>
      <c r="B448" s="23"/>
      <c r="C448" s="23"/>
    </row>
    <row r="449" customFormat="false" ht="15" hidden="false" customHeight="false" outlineLevel="0" collapsed="false">
      <c r="A449" s="23"/>
      <c r="B449" s="23"/>
      <c r="C449" s="23"/>
    </row>
    <row r="450" customFormat="false" ht="15" hidden="false" customHeight="false" outlineLevel="0" collapsed="false">
      <c r="A450" s="23"/>
      <c r="B450" s="23"/>
      <c r="C450" s="23"/>
    </row>
    <row r="451" customFormat="false" ht="15" hidden="false" customHeight="false" outlineLevel="0" collapsed="false">
      <c r="A451" s="23"/>
      <c r="B451" s="23"/>
      <c r="C451" s="23"/>
    </row>
    <row r="452" customFormat="false" ht="15" hidden="false" customHeight="false" outlineLevel="0" collapsed="false">
      <c r="A452" s="23"/>
      <c r="B452" s="23"/>
      <c r="C452" s="23"/>
    </row>
    <row r="453" customFormat="false" ht="15" hidden="false" customHeight="false" outlineLevel="0" collapsed="false">
      <c r="A453" s="23"/>
      <c r="B453" s="23"/>
      <c r="C453" s="23"/>
    </row>
    <row r="454" customFormat="false" ht="15" hidden="false" customHeight="false" outlineLevel="0" collapsed="false">
      <c r="A454" s="23"/>
      <c r="B454" s="23"/>
      <c r="C454" s="23"/>
    </row>
    <row r="455" customFormat="false" ht="15" hidden="false" customHeight="false" outlineLevel="0" collapsed="false">
      <c r="A455" s="23"/>
      <c r="B455" s="23"/>
      <c r="C455" s="23"/>
    </row>
    <row r="456" customFormat="false" ht="15" hidden="false" customHeight="false" outlineLevel="0" collapsed="false">
      <c r="A456" s="23"/>
      <c r="B456" s="23"/>
      <c r="C456" s="23"/>
    </row>
    <row r="457" customFormat="false" ht="15" hidden="false" customHeight="false" outlineLevel="0" collapsed="false">
      <c r="A457" s="23"/>
      <c r="B457" s="23"/>
      <c r="C457" s="23"/>
    </row>
    <row r="458" customFormat="false" ht="15" hidden="false" customHeight="false" outlineLevel="0" collapsed="false">
      <c r="A458" s="23"/>
      <c r="B458" s="23"/>
      <c r="C458" s="23"/>
    </row>
    <row r="459" customFormat="false" ht="15" hidden="false" customHeight="false" outlineLevel="0" collapsed="false">
      <c r="A459" s="23"/>
      <c r="B459" s="23"/>
      <c r="C459" s="23"/>
    </row>
    <row r="460" customFormat="false" ht="15" hidden="false" customHeight="false" outlineLevel="0" collapsed="false">
      <c r="A460" s="23"/>
      <c r="B460" s="23"/>
      <c r="C460" s="23"/>
    </row>
    <row r="461" customFormat="false" ht="15" hidden="false" customHeight="false" outlineLevel="0" collapsed="false">
      <c r="A461" s="23"/>
      <c r="B461" s="23"/>
      <c r="C461" s="23"/>
    </row>
    <row r="462" customFormat="false" ht="15" hidden="false" customHeight="false" outlineLevel="0" collapsed="false">
      <c r="A462" s="23"/>
      <c r="B462" s="23"/>
      <c r="C462" s="23"/>
    </row>
    <row r="463" customFormat="false" ht="15" hidden="false" customHeight="false" outlineLevel="0" collapsed="false">
      <c r="A463" s="23"/>
      <c r="B463" s="23"/>
      <c r="C463" s="23"/>
    </row>
    <row r="464" customFormat="false" ht="15" hidden="false" customHeight="false" outlineLevel="0" collapsed="false">
      <c r="A464" s="23"/>
      <c r="B464" s="23"/>
      <c r="C464" s="23"/>
    </row>
    <row r="465" customFormat="false" ht="15" hidden="false" customHeight="false" outlineLevel="0" collapsed="false">
      <c r="A465" s="23"/>
      <c r="B465" s="23"/>
      <c r="C465" s="23"/>
    </row>
    <row r="466" customFormat="false" ht="15" hidden="false" customHeight="false" outlineLevel="0" collapsed="false">
      <c r="A466" s="23"/>
      <c r="B466" s="23"/>
      <c r="C466" s="23"/>
    </row>
    <row r="467" customFormat="false" ht="15" hidden="false" customHeight="false" outlineLevel="0" collapsed="false">
      <c r="A467" s="23"/>
      <c r="B467" s="23"/>
      <c r="C467" s="23"/>
    </row>
    <row r="468" customFormat="false" ht="15" hidden="false" customHeight="false" outlineLevel="0" collapsed="false">
      <c r="A468" s="23"/>
      <c r="B468" s="23"/>
      <c r="C468" s="23"/>
    </row>
    <row r="469" customFormat="false" ht="15" hidden="false" customHeight="false" outlineLevel="0" collapsed="false">
      <c r="A469" s="23"/>
      <c r="B469" s="23"/>
      <c r="C469" s="23"/>
    </row>
    <row r="470" customFormat="false" ht="15" hidden="false" customHeight="false" outlineLevel="0" collapsed="false">
      <c r="A470" s="23"/>
      <c r="B470" s="23"/>
      <c r="C470" s="23"/>
    </row>
    <row r="471" customFormat="false" ht="15" hidden="false" customHeight="false" outlineLevel="0" collapsed="false">
      <c r="A471" s="23"/>
      <c r="B471" s="23"/>
      <c r="C471" s="23"/>
    </row>
    <row r="472" customFormat="false" ht="15" hidden="false" customHeight="false" outlineLevel="0" collapsed="false">
      <c r="A472" s="23"/>
      <c r="B472" s="23"/>
      <c r="C472" s="23"/>
    </row>
    <row r="473" customFormat="false" ht="15" hidden="false" customHeight="false" outlineLevel="0" collapsed="false">
      <c r="A473" s="23"/>
      <c r="B473" s="23"/>
      <c r="C473" s="23"/>
    </row>
    <row r="474" customFormat="false" ht="15" hidden="false" customHeight="false" outlineLevel="0" collapsed="false">
      <c r="A474" s="23"/>
      <c r="B474" s="23"/>
      <c r="C474" s="23"/>
    </row>
    <row r="475" customFormat="false" ht="15" hidden="false" customHeight="false" outlineLevel="0" collapsed="false">
      <c r="A475" s="23"/>
      <c r="B475" s="23"/>
      <c r="C475" s="23"/>
    </row>
    <row r="476" customFormat="false" ht="15" hidden="false" customHeight="false" outlineLevel="0" collapsed="false">
      <c r="A476" s="23"/>
      <c r="B476" s="23"/>
      <c r="C476" s="23"/>
    </row>
    <row r="477" customFormat="false" ht="15" hidden="false" customHeight="false" outlineLevel="0" collapsed="false">
      <c r="A477" s="23"/>
      <c r="B477" s="23"/>
      <c r="C477" s="23"/>
    </row>
    <row r="478" customFormat="false" ht="15" hidden="false" customHeight="false" outlineLevel="0" collapsed="false">
      <c r="A478" s="23"/>
      <c r="B478" s="23"/>
      <c r="C478" s="23"/>
    </row>
    <row r="479" customFormat="false" ht="15" hidden="false" customHeight="false" outlineLevel="0" collapsed="false">
      <c r="A479" s="23"/>
      <c r="B479" s="23"/>
      <c r="C479" s="23"/>
    </row>
    <row r="480" customFormat="false" ht="15" hidden="false" customHeight="false" outlineLevel="0" collapsed="false">
      <c r="A480" s="23"/>
      <c r="B480" s="23"/>
      <c r="C480" s="23"/>
    </row>
    <row r="481" customFormat="false" ht="15" hidden="false" customHeight="false" outlineLevel="0" collapsed="false">
      <c r="A481" s="23"/>
      <c r="B481" s="23"/>
      <c r="C481" s="23"/>
    </row>
    <row r="482" customFormat="false" ht="15" hidden="false" customHeight="false" outlineLevel="0" collapsed="false">
      <c r="A482" s="23"/>
      <c r="B482" s="23"/>
      <c r="C482" s="23"/>
    </row>
    <row r="483" customFormat="false" ht="15" hidden="false" customHeight="false" outlineLevel="0" collapsed="false">
      <c r="A483" s="23"/>
      <c r="B483" s="23"/>
      <c r="C483" s="23"/>
    </row>
    <row r="484" customFormat="false" ht="15" hidden="false" customHeight="false" outlineLevel="0" collapsed="false">
      <c r="A484" s="23"/>
      <c r="B484" s="23"/>
      <c r="C484" s="23"/>
    </row>
    <row r="485" customFormat="false" ht="15" hidden="false" customHeight="false" outlineLevel="0" collapsed="false">
      <c r="A485" s="23"/>
      <c r="B485" s="23"/>
      <c r="C485" s="23"/>
    </row>
    <row r="486" customFormat="false" ht="15" hidden="false" customHeight="false" outlineLevel="0" collapsed="false">
      <c r="A486" s="23"/>
      <c r="B486" s="23"/>
      <c r="C486" s="23"/>
    </row>
    <row r="487" customFormat="false" ht="15" hidden="false" customHeight="false" outlineLevel="0" collapsed="false">
      <c r="A487" s="23"/>
      <c r="B487" s="23"/>
      <c r="C487" s="23"/>
    </row>
    <row r="488" customFormat="false" ht="15" hidden="false" customHeight="false" outlineLevel="0" collapsed="false">
      <c r="A488" s="23"/>
      <c r="B488" s="23"/>
      <c r="C488" s="23"/>
    </row>
    <row r="489" customFormat="false" ht="15" hidden="false" customHeight="false" outlineLevel="0" collapsed="false">
      <c r="A489" s="23"/>
      <c r="B489" s="23"/>
      <c r="C489" s="23"/>
    </row>
    <row r="490" customFormat="false" ht="15" hidden="false" customHeight="false" outlineLevel="0" collapsed="false">
      <c r="A490" s="23"/>
      <c r="B490" s="23"/>
      <c r="C490" s="23"/>
    </row>
    <row r="491" customFormat="false" ht="15" hidden="false" customHeight="false" outlineLevel="0" collapsed="false">
      <c r="A491" s="23"/>
      <c r="B491" s="23"/>
      <c r="C491" s="23"/>
    </row>
    <row r="492" customFormat="false" ht="15" hidden="false" customHeight="false" outlineLevel="0" collapsed="false">
      <c r="A492" s="23"/>
      <c r="B492" s="23"/>
      <c r="C492" s="23"/>
    </row>
    <row r="493" customFormat="false" ht="15" hidden="false" customHeight="false" outlineLevel="0" collapsed="false">
      <c r="A493" s="23"/>
      <c r="B493" s="23"/>
      <c r="C493" s="23"/>
    </row>
    <row r="494" customFormat="false" ht="15" hidden="false" customHeight="false" outlineLevel="0" collapsed="false">
      <c r="A494" s="23"/>
      <c r="B494" s="23"/>
      <c r="C494" s="23"/>
    </row>
    <row r="495" customFormat="false" ht="15" hidden="false" customHeight="false" outlineLevel="0" collapsed="false">
      <c r="A495" s="23"/>
      <c r="B495" s="23"/>
      <c r="C495" s="23"/>
    </row>
    <row r="496" customFormat="false" ht="15" hidden="false" customHeight="false" outlineLevel="0" collapsed="false">
      <c r="A496" s="23"/>
      <c r="B496" s="23"/>
      <c r="C496" s="23"/>
    </row>
    <row r="497" customFormat="false" ht="15" hidden="false" customHeight="false" outlineLevel="0" collapsed="false">
      <c r="A497" s="23"/>
      <c r="B497" s="23"/>
      <c r="C497" s="23"/>
    </row>
    <row r="498" customFormat="false" ht="15" hidden="false" customHeight="false" outlineLevel="0" collapsed="false">
      <c r="A498" s="23"/>
      <c r="B498" s="23"/>
      <c r="C498" s="23"/>
    </row>
    <row r="499" customFormat="false" ht="15" hidden="false" customHeight="false" outlineLevel="0" collapsed="false">
      <c r="A499" s="23"/>
      <c r="B499" s="23"/>
      <c r="C499" s="23"/>
    </row>
    <row r="500" customFormat="false" ht="15" hidden="false" customHeight="false" outlineLevel="0" collapsed="false">
      <c r="A500" s="23"/>
      <c r="B500" s="23"/>
      <c r="C500" s="23"/>
    </row>
    <row r="501" customFormat="false" ht="15" hidden="false" customHeight="false" outlineLevel="0" collapsed="false">
      <c r="A501" s="23"/>
      <c r="B501" s="23"/>
      <c r="C501" s="23"/>
    </row>
    <row r="502" customFormat="false" ht="15" hidden="false" customHeight="false" outlineLevel="0" collapsed="false">
      <c r="A502" s="23"/>
      <c r="B502" s="23"/>
      <c r="C502" s="23"/>
    </row>
    <row r="503" customFormat="false" ht="15" hidden="false" customHeight="false" outlineLevel="0" collapsed="false">
      <c r="A503" s="23"/>
      <c r="B503" s="23"/>
      <c r="C503" s="23"/>
    </row>
    <row r="504" customFormat="false" ht="15" hidden="false" customHeight="false" outlineLevel="0" collapsed="false">
      <c r="A504" s="23"/>
      <c r="B504" s="23"/>
      <c r="C504" s="23"/>
    </row>
    <row r="505" customFormat="false" ht="15" hidden="false" customHeight="false" outlineLevel="0" collapsed="false">
      <c r="A505" s="23"/>
      <c r="B505" s="23"/>
      <c r="C505" s="23"/>
    </row>
    <row r="506" customFormat="false" ht="15" hidden="false" customHeight="false" outlineLevel="0" collapsed="false">
      <c r="A506" s="23"/>
      <c r="B506" s="23"/>
      <c r="C506" s="23"/>
    </row>
    <row r="507" customFormat="false" ht="15" hidden="false" customHeight="false" outlineLevel="0" collapsed="false">
      <c r="A507" s="23"/>
      <c r="B507" s="23"/>
      <c r="C507" s="23"/>
    </row>
    <row r="508" customFormat="false" ht="15" hidden="false" customHeight="false" outlineLevel="0" collapsed="false">
      <c r="A508" s="23"/>
      <c r="B508" s="23"/>
      <c r="C508" s="23"/>
    </row>
    <row r="509" customFormat="false" ht="15" hidden="false" customHeight="false" outlineLevel="0" collapsed="false">
      <c r="A509" s="23"/>
      <c r="B509" s="23"/>
      <c r="C509" s="23"/>
    </row>
    <row r="510" customFormat="false" ht="15" hidden="false" customHeight="false" outlineLevel="0" collapsed="false">
      <c r="A510" s="23"/>
      <c r="B510" s="23"/>
      <c r="C510" s="23"/>
    </row>
    <row r="511" customFormat="false" ht="15" hidden="false" customHeight="false" outlineLevel="0" collapsed="false">
      <c r="A511" s="23"/>
      <c r="B511" s="23"/>
      <c r="C511" s="23"/>
    </row>
    <row r="512" customFormat="false" ht="15" hidden="false" customHeight="false" outlineLevel="0" collapsed="false">
      <c r="A512" s="23"/>
      <c r="B512" s="23"/>
      <c r="C512" s="23"/>
    </row>
    <row r="513" customFormat="false" ht="15" hidden="false" customHeight="false" outlineLevel="0" collapsed="false">
      <c r="A513" s="23"/>
      <c r="B513" s="23"/>
      <c r="C513" s="23"/>
    </row>
    <row r="514" customFormat="false" ht="15" hidden="false" customHeight="false" outlineLevel="0" collapsed="false">
      <c r="A514" s="23"/>
      <c r="B514" s="23"/>
      <c r="C514" s="23"/>
    </row>
    <row r="515" customFormat="false" ht="15" hidden="false" customHeight="false" outlineLevel="0" collapsed="false">
      <c r="A515" s="23"/>
      <c r="B515" s="23"/>
      <c r="C515" s="23"/>
    </row>
    <row r="516" customFormat="false" ht="15" hidden="false" customHeight="false" outlineLevel="0" collapsed="false">
      <c r="A516" s="23"/>
      <c r="B516" s="23"/>
      <c r="C516" s="23"/>
    </row>
    <row r="517" customFormat="false" ht="15" hidden="false" customHeight="false" outlineLevel="0" collapsed="false">
      <c r="A517" s="23"/>
      <c r="B517" s="23"/>
      <c r="C517" s="23"/>
    </row>
    <row r="518" customFormat="false" ht="15" hidden="false" customHeight="false" outlineLevel="0" collapsed="false">
      <c r="A518" s="23"/>
      <c r="B518" s="23"/>
      <c r="C518" s="23"/>
    </row>
    <row r="519" customFormat="false" ht="15" hidden="false" customHeight="false" outlineLevel="0" collapsed="false">
      <c r="A519" s="23"/>
      <c r="B519" s="23"/>
      <c r="C519" s="23"/>
    </row>
    <row r="520" customFormat="false" ht="15" hidden="false" customHeight="false" outlineLevel="0" collapsed="false">
      <c r="A520" s="23"/>
      <c r="B520" s="23"/>
      <c r="C520" s="23"/>
    </row>
    <row r="521" customFormat="false" ht="15" hidden="false" customHeight="false" outlineLevel="0" collapsed="false">
      <c r="A521" s="23"/>
      <c r="B521" s="23"/>
      <c r="C521" s="23"/>
    </row>
    <row r="522" customFormat="false" ht="15" hidden="false" customHeight="false" outlineLevel="0" collapsed="false">
      <c r="A522" s="23"/>
      <c r="B522" s="23"/>
      <c r="C522" s="23"/>
    </row>
    <row r="523" customFormat="false" ht="15" hidden="false" customHeight="false" outlineLevel="0" collapsed="false">
      <c r="A523" s="23"/>
      <c r="B523" s="23"/>
      <c r="C523" s="23"/>
    </row>
    <row r="524" customFormat="false" ht="15" hidden="false" customHeight="false" outlineLevel="0" collapsed="false">
      <c r="A524" s="23"/>
      <c r="B524" s="23"/>
      <c r="C524" s="23"/>
    </row>
    <row r="525" customFormat="false" ht="15" hidden="false" customHeight="false" outlineLevel="0" collapsed="false">
      <c r="A525" s="23"/>
      <c r="B525" s="23"/>
      <c r="C525" s="23"/>
    </row>
    <row r="526" customFormat="false" ht="15" hidden="false" customHeight="false" outlineLevel="0" collapsed="false">
      <c r="A526" s="23"/>
      <c r="B526" s="23"/>
      <c r="C526" s="23"/>
    </row>
    <row r="527" customFormat="false" ht="15" hidden="false" customHeight="false" outlineLevel="0" collapsed="false">
      <c r="A527" s="23"/>
      <c r="B527" s="23"/>
      <c r="C527" s="23"/>
    </row>
    <row r="528" customFormat="false" ht="15" hidden="false" customHeight="false" outlineLevel="0" collapsed="false">
      <c r="A528" s="23"/>
      <c r="B528" s="23"/>
      <c r="C528" s="23"/>
    </row>
    <row r="529" customFormat="false" ht="15" hidden="false" customHeight="false" outlineLevel="0" collapsed="false">
      <c r="A529" s="23"/>
      <c r="B529" s="23"/>
      <c r="C529" s="23"/>
    </row>
    <row r="530" customFormat="false" ht="15" hidden="false" customHeight="false" outlineLevel="0" collapsed="false">
      <c r="A530" s="23"/>
      <c r="B530" s="23"/>
      <c r="C530" s="23"/>
    </row>
    <row r="531" customFormat="false" ht="15" hidden="false" customHeight="false" outlineLevel="0" collapsed="false">
      <c r="A531" s="23"/>
      <c r="B531" s="23"/>
      <c r="C531" s="23"/>
    </row>
    <row r="532" customFormat="false" ht="15" hidden="false" customHeight="false" outlineLevel="0" collapsed="false">
      <c r="A532" s="23"/>
      <c r="B532" s="23"/>
      <c r="C532" s="23"/>
    </row>
    <row r="533" customFormat="false" ht="15" hidden="false" customHeight="false" outlineLevel="0" collapsed="false">
      <c r="A533" s="23"/>
      <c r="B533" s="23"/>
      <c r="C533" s="23"/>
    </row>
    <row r="534" customFormat="false" ht="15" hidden="false" customHeight="false" outlineLevel="0" collapsed="false">
      <c r="A534" s="23"/>
      <c r="B534" s="23"/>
      <c r="C534" s="23"/>
    </row>
    <row r="535" customFormat="false" ht="15" hidden="false" customHeight="false" outlineLevel="0" collapsed="false">
      <c r="A535" s="23"/>
      <c r="B535" s="23"/>
      <c r="C535" s="23"/>
    </row>
    <row r="536" customFormat="false" ht="15" hidden="false" customHeight="false" outlineLevel="0" collapsed="false">
      <c r="A536" s="23"/>
      <c r="B536" s="23"/>
      <c r="C536" s="23"/>
    </row>
    <row r="537" customFormat="false" ht="15" hidden="false" customHeight="false" outlineLevel="0" collapsed="false">
      <c r="A537" s="23"/>
      <c r="B537" s="23"/>
      <c r="C537" s="23"/>
    </row>
    <row r="538" customFormat="false" ht="15" hidden="false" customHeight="false" outlineLevel="0" collapsed="false">
      <c r="A538" s="23"/>
      <c r="B538" s="23"/>
      <c r="C538" s="23"/>
    </row>
    <row r="539" customFormat="false" ht="15" hidden="false" customHeight="false" outlineLevel="0" collapsed="false">
      <c r="A539" s="23"/>
      <c r="B539" s="23"/>
      <c r="C539" s="23"/>
    </row>
    <row r="540" customFormat="false" ht="15" hidden="false" customHeight="false" outlineLevel="0" collapsed="false">
      <c r="A540" s="23"/>
      <c r="B540" s="23"/>
      <c r="C540" s="23"/>
    </row>
    <row r="541" customFormat="false" ht="15" hidden="false" customHeight="false" outlineLevel="0" collapsed="false">
      <c r="A541" s="23"/>
      <c r="B541" s="23"/>
      <c r="C541" s="23"/>
    </row>
    <row r="542" customFormat="false" ht="15" hidden="false" customHeight="false" outlineLevel="0" collapsed="false">
      <c r="A542" s="23"/>
      <c r="B542" s="23"/>
      <c r="C542" s="23"/>
    </row>
    <row r="543" customFormat="false" ht="15" hidden="false" customHeight="false" outlineLevel="0" collapsed="false">
      <c r="A543" s="23"/>
      <c r="B543" s="23"/>
      <c r="C543" s="23"/>
    </row>
    <row r="544" customFormat="false" ht="15" hidden="false" customHeight="false" outlineLevel="0" collapsed="false">
      <c r="A544" s="23"/>
      <c r="B544" s="23"/>
      <c r="C544" s="23"/>
    </row>
    <row r="545" customFormat="false" ht="15" hidden="false" customHeight="false" outlineLevel="0" collapsed="false">
      <c r="A545" s="23"/>
      <c r="B545" s="23"/>
      <c r="C545" s="23"/>
    </row>
    <row r="546" customFormat="false" ht="15" hidden="false" customHeight="false" outlineLevel="0" collapsed="false">
      <c r="A546" s="23"/>
      <c r="B546" s="23"/>
      <c r="C546" s="23"/>
    </row>
    <row r="547" customFormat="false" ht="15" hidden="false" customHeight="false" outlineLevel="0" collapsed="false">
      <c r="A547" s="23"/>
      <c r="B547" s="23"/>
      <c r="C547" s="23"/>
    </row>
    <row r="548" customFormat="false" ht="15" hidden="false" customHeight="false" outlineLevel="0" collapsed="false">
      <c r="A548" s="23"/>
      <c r="B548" s="23"/>
      <c r="C548" s="23"/>
    </row>
    <row r="549" customFormat="false" ht="15" hidden="false" customHeight="false" outlineLevel="0" collapsed="false">
      <c r="A549" s="23"/>
      <c r="B549" s="23"/>
      <c r="C549" s="23"/>
    </row>
    <row r="550" customFormat="false" ht="15" hidden="false" customHeight="false" outlineLevel="0" collapsed="false">
      <c r="A550" s="23"/>
      <c r="B550" s="23"/>
      <c r="C550" s="23"/>
    </row>
    <row r="551" customFormat="false" ht="15" hidden="false" customHeight="false" outlineLevel="0" collapsed="false">
      <c r="A551" s="23"/>
      <c r="B551" s="23"/>
      <c r="C551" s="23"/>
    </row>
    <row r="552" customFormat="false" ht="15" hidden="false" customHeight="false" outlineLevel="0" collapsed="false">
      <c r="A552" s="23"/>
      <c r="B552" s="23"/>
      <c r="C552" s="23"/>
    </row>
    <row r="553" customFormat="false" ht="15" hidden="false" customHeight="false" outlineLevel="0" collapsed="false">
      <c r="A553" s="23"/>
      <c r="B553" s="23"/>
      <c r="C553" s="23"/>
    </row>
    <row r="554" customFormat="false" ht="15" hidden="false" customHeight="false" outlineLevel="0" collapsed="false">
      <c r="A554" s="23"/>
      <c r="B554" s="23"/>
      <c r="C554" s="23"/>
    </row>
    <row r="555" customFormat="false" ht="15" hidden="false" customHeight="false" outlineLevel="0" collapsed="false">
      <c r="A555" s="23"/>
      <c r="B555" s="23"/>
      <c r="C555" s="23"/>
    </row>
    <row r="556" customFormat="false" ht="15" hidden="false" customHeight="false" outlineLevel="0" collapsed="false">
      <c r="A556" s="23"/>
      <c r="B556" s="23"/>
      <c r="C556" s="23"/>
    </row>
    <row r="557" customFormat="false" ht="15" hidden="false" customHeight="false" outlineLevel="0" collapsed="false">
      <c r="A557" s="23"/>
      <c r="B557" s="23"/>
      <c r="C557" s="23"/>
    </row>
    <row r="558" customFormat="false" ht="15" hidden="false" customHeight="false" outlineLevel="0" collapsed="false">
      <c r="A558" s="23"/>
      <c r="B558" s="23"/>
      <c r="C558" s="23"/>
    </row>
    <row r="559" customFormat="false" ht="15" hidden="false" customHeight="false" outlineLevel="0" collapsed="false">
      <c r="A559" s="23"/>
      <c r="B559" s="23"/>
      <c r="C559" s="23"/>
    </row>
    <row r="560" customFormat="false" ht="15" hidden="false" customHeight="false" outlineLevel="0" collapsed="false">
      <c r="A560" s="23"/>
      <c r="B560" s="23"/>
      <c r="C560" s="23"/>
    </row>
    <row r="561" customFormat="false" ht="15" hidden="false" customHeight="false" outlineLevel="0" collapsed="false">
      <c r="A561" s="23"/>
      <c r="B561" s="23"/>
      <c r="C561" s="23"/>
    </row>
    <row r="562" customFormat="false" ht="15" hidden="false" customHeight="false" outlineLevel="0" collapsed="false">
      <c r="A562" s="23"/>
      <c r="B562" s="23"/>
      <c r="C562" s="23"/>
    </row>
    <row r="563" customFormat="false" ht="15" hidden="false" customHeight="false" outlineLevel="0" collapsed="false">
      <c r="A563" s="23"/>
      <c r="B563" s="23"/>
      <c r="C563" s="23"/>
    </row>
    <row r="564" customFormat="false" ht="15" hidden="false" customHeight="false" outlineLevel="0" collapsed="false">
      <c r="A564" s="23"/>
      <c r="B564" s="23"/>
      <c r="C564" s="23"/>
    </row>
    <row r="565" customFormat="false" ht="15" hidden="false" customHeight="false" outlineLevel="0" collapsed="false">
      <c r="A565" s="23"/>
      <c r="B565" s="23"/>
      <c r="C565" s="23"/>
    </row>
    <row r="566" customFormat="false" ht="15" hidden="false" customHeight="false" outlineLevel="0" collapsed="false">
      <c r="A566" s="23"/>
      <c r="B566" s="23"/>
      <c r="C566" s="23"/>
    </row>
    <row r="567" customFormat="false" ht="15" hidden="false" customHeight="false" outlineLevel="0" collapsed="false">
      <c r="A567" s="23"/>
      <c r="B567" s="23"/>
      <c r="C567" s="23"/>
    </row>
    <row r="568" customFormat="false" ht="15" hidden="false" customHeight="false" outlineLevel="0" collapsed="false">
      <c r="A568" s="23"/>
      <c r="B568" s="23"/>
      <c r="C568" s="23"/>
    </row>
    <row r="569" customFormat="false" ht="15" hidden="false" customHeight="false" outlineLevel="0" collapsed="false">
      <c r="A569" s="23"/>
      <c r="B569" s="23"/>
      <c r="C569" s="23"/>
    </row>
    <row r="570" customFormat="false" ht="15" hidden="false" customHeight="false" outlineLevel="0" collapsed="false">
      <c r="A570" s="23"/>
      <c r="B570" s="23"/>
      <c r="C570" s="23"/>
    </row>
    <row r="571" customFormat="false" ht="15" hidden="false" customHeight="false" outlineLevel="0" collapsed="false">
      <c r="A571" s="23"/>
      <c r="B571" s="23"/>
      <c r="C571" s="23"/>
    </row>
    <row r="572" customFormat="false" ht="15" hidden="false" customHeight="false" outlineLevel="0" collapsed="false">
      <c r="A572" s="23"/>
      <c r="B572" s="23"/>
      <c r="C572" s="23"/>
    </row>
    <row r="573" customFormat="false" ht="15" hidden="false" customHeight="false" outlineLevel="0" collapsed="false">
      <c r="A573" s="23"/>
      <c r="B573" s="23"/>
      <c r="C573" s="23"/>
    </row>
    <row r="574" customFormat="false" ht="15" hidden="false" customHeight="false" outlineLevel="0" collapsed="false">
      <c r="A574" s="23"/>
      <c r="B574" s="23"/>
      <c r="C574" s="23"/>
    </row>
    <row r="575" customFormat="false" ht="15" hidden="false" customHeight="false" outlineLevel="0" collapsed="false">
      <c r="A575" s="23"/>
      <c r="B575" s="23"/>
      <c r="C575" s="23"/>
    </row>
    <row r="576" customFormat="false" ht="15" hidden="false" customHeight="false" outlineLevel="0" collapsed="false">
      <c r="A576" s="23"/>
      <c r="B576" s="23"/>
      <c r="C576" s="23"/>
    </row>
    <row r="577" customFormat="false" ht="15" hidden="false" customHeight="false" outlineLevel="0" collapsed="false">
      <c r="A577" s="23"/>
      <c r="B577" s="23"/>
      <c r="C577" s="23"/>
    </row>
    <row r="578" customFormat="false" ht="15" hidden="false" customHeight="false" outlineLevel="0" collapsed="false">
      <c r="A578" s="23"/>
      <c r="B578" s="23"/>
      <c r="C578" s="23"/>
    </row>
    <row r="579" customFormat="false" ht="15" hidden="false" customHeight="false" outlineLevel="0" collapsed="false">
      <c r="A579" s="23"/>
      <c r="B579" s="23"/>
      <c r="C579" s="23"/>
    </row>
    <row r="580" customFormat="false" ht="15" hidden="false" customHeight="false" outlineLevel="0" collapsed="false">
      <c r="A580" s="23"/>
      <c r="B580" s="23"/>
      <c r="C580" s="23"/>
    </row>
    <row r="581" customFormat="false" ht="15" hidden="false" customHeight="false" outlineLevel="0" collapsed="false">
      <c r="A581" s="23"/>
      <c r="B581" s="23"/>
      <c r="C581" s="23"/>
    </row>
    <row r="582" customFormat="false" ht="15" hidden="false" customHeight="false" outlineLevel="0" collapsed="false">
      <c r="A582" s="23"/>
      <c r="B582" s="23"/>
      <c r="C582" s="23"/>
    </row>
    <row r="583" customFormat="false" ht="15" hidden="false" customHeight="false" outlineLevel="0" collapsed="false">
      <c r="A583" s="23"/>
      <c r="B583" s="23"/>
      <c r="C583" s="23"/>
    </row>
    <row r="584" customFormat="false" ht="15" hidden="false" customHeight="false" outlineLevel="0" collapsed="false">
      <c r="A584" s="23"/>
      <c r="B584" s="23"/>
      <c r="C584" s="23"/>
    </row>
    <row r="585" customFormat="false" ht="15" hidden="false" customHeight="false" outlineLevel="0" collapsed="false">
      <c r="A585" s="23"/>
      <c r="B585" s="23"/>
      <c r="C585" s="23"/>
    </row>
    <row r="586" customFormat="false" ht="15" hidden="false" customHeight="false" outlineLevel="0" collapsed="false">
      <c r="A586" s="23"/>
      <c r="B586" s="23"/>
      <c r="C586" s="23"/>
    </row>
    <row r="587" customFormat="false" ht="15" hidden="false" customHeight="false" outlineLevel="0" collapsed="false">
      <c r="A587" s="23"/>
      <c r="B587" s="23"/>
      <c r="C587" s="23"/>
    </row>
    <row r="588" customFormat="false" ht="15" hidden="false" customHeight="false" outlineLevel="0" collapsed="false">
      <c r="A588" s="23"/>
      <c r="B588" s="23"/>
      <c r="C588" s="23"/>
    </row>
    <row r="589" customFormat="false" ht="15" hidden="false" customHeight="false" outlineLevel="0" collapsed="false">
      <c r="A589" s="23"/>
      <c r="B589" s="23"/>
      <c r="C589" s="23"/>
    </row>
    <row r="590" customFormat="false" ht="15" hidden="false" customHeight="false" outlineLevel="0" collapsed="false">
      <c r="A590" s="23"/>
      <c r="B590" s="23"/>
      <c r="C590" s="23"/>
    </row>
    <row r="591" customFormat="false" ht="15" hidden="false" customHeight="false" outlineLevel="0" collapsed="false">
      <c r="A591" s="23"/>
      <c r="B591" s="23"/>
      <c r="C591" s="23"/>
    </row>
    <row r="592" customFormat="false" ht="15" hidden="false" customHeight="false" outlineLevel="0" collapsed="false">
      <c r="A592" s="23"/>
      <c r="B592" s="23"/>
      <c r="C592" s="23"/>
    </row>
    <row r="593" customFormat="false" ht="15" hidden="false" customHeight="false" outlineLevel="0" collapsed="false">
      <c r="A593" s="23"/>
      <c r="B593" s="23"/>
      <c r="C593" s="23"/>
    </row>
    <row r="594" customFormat="false" ht="15" hidden="false" customHeight="false" outlineLevel="0" collapsed="false">
      <c r="A594" s="23"/>
      <c r="B594" s="23"/>
      <c r="C594" s="23"/>
    </row>
    <row r="595" customFormat="false" ht="15" hidden="false" customHeight="false" outlineLevel="0" collapsed="false">
      <c r="A595" s="23"/>
      <c r="B595" s="23"/>
      <c r="C595" s="23"/>
    </row>
    <row r="596" customFormat="false" ht="15" hidden="false" customHeight="false" outlineLevel="0" collapsed="false">
      <c r="A596" s="23"/>
      <c r="B596" s="23"/>
      <c r="C596" s="23"/>
    </row>
    <row r="597" customFormat="false" ht="15" hidden="false" customHeight="false" outlineLevel="0" collapsed="false">
      <c r="A597" s="23"/>
      <c r="B597" s="23"/>
      <c r="C597" s="23"/>
    </row>
    <row r="598" customFormat="false" ht="15" hidden="false" customHeight="false" outlineLevel="0" collapsed="false">
      <c r="A598" s="23"/>
      <c r="B598" s="23"/>
      <c r="C598" s="23"/>
    </row>
    <row r="599" customFormat="false" ht="15" hidden="false" customHeight="false" outlineLevel="0" collapsed="false">
      <c r="A599" s="23"/>
      <c r="B599" s="23"/>
      <c r="C599" s="23"/>
    </row>
    <row r="600" customFormat="false" ht="15" hidden="false" customHeight="false" outlineLevel="0" collapsed="false">
      <c r="A600" s="23"/>
      <c r="B600" s="23"/>
      <c r="C600" s="23"/>
    </row>
    <row r="601" customFormat="false" ht="15" hidden="false" customHeight="false" outlineLevel="0" collapsed="false">
      <c r="A601" s="23"/>
      <c r="B601" s="23"/>
      <c r="C601" s="23"/>
    </row>
    <row r="602" customFormat="false" ht="15" hidden="false" customHeight="false" outlineLevel="0" collapsed="false">
      <c r="A602" s="23"/>
      <c r="B602" s="23"/>
      <c r="C602" s="23"/>
    </row>
    <row r="603" customFormat="false" ht="15" hidden="false" customHeight="false" outlineLevel="0" collapsed="false">
      <c r="A603" s="23"/>
      <c r="B603" s="23"/>
      <c r="C603" s="23"/>
    </row>
    <row r="604" customFormat="false" ht="15" hidden="false" customHeight="false" outlineLevel="0" collapsed="false">
      <c r="A604" s="23"/>
      <c r="B604" s="23"/>
      <c r="C604" s="23"/>
    </row>
    <row r="605" customFormat="false" ht="15" hidden="false" customHeight="false" outlineLevel="0" collapsed="false">
      <c r="A605" s="23"/>
      <c r="B605" s="23"/>
      <c r="C605" s="23"/>
    </row>
    <row r="606" customFormat="false" ht="15" hidden="false" customHeight="false" outlineLevel="0" collapsed="false">
      <c r="A606" s="23"/>
      <c r="B606" s="23"/>
      <c r="C606" s="23"/>
    </row>
    <row r="607" customFormat="false" ht="15" hidden="false" customHeight="false" outlineLevel="0" collapsed="false">
      <c r="A607" s="23"/>
      <c r="B607" s="23"/>
      <c r="C607" s="23"/>
    </row>
    <row r="608" customFormat="false" ht="15" hidden="false" customHeight="false" outlineLevel="0" collapsed="false">
      <c r="A608" s="23"/>
      <c r="B608" s="23"/>
      <c r="C608" s="23"/>
    </row>
    <row r="609" customFormat="false" ht="15" hidden="false" customHeight="false" outlineLevel="0" collapsed="false">
      <c r="A609" s="23"/>
      <c r="B609" s="23"/>
      <c r="C609" s="23"/>
    </row>
    <row r="610" customFormat="false" ht="15" hidden="false" customHeight="false" outlineLevel="0" collapsed="false">
      <c r="A610" s="23"/>
      <c r="B610" s="23"/>
      <c r="C610" s="23"/>
    </row>
    <row r="611" customFormat="false" ht="15" hidden="false" customHeight="false" outlineLevel="0" collapsed="false">
      <c r="A611" s="23"/>
      <c r="B611" s="23"/>
      <c r="C611" s="23"/>
    </row>
    <row r="612" customFormat="false" ht="15" hidden="false" customHeight="false" outlineLevel="0" collapsed="false">
      <c r="A612" s="23"/>
      <c r="B612" s="23"/>
      <c r="C612" s="23"/>
    </row>
    <row r="613" customFormat="false" ht="15" hidden="false" customHeight="false" outlineLevel="0" collapsed="false">
      <c r="A613" s="23"/>
      <c r="B613" s="23"/>
      <c r="C613" s="23"/>
    </row>
    <row r="614" customFormat="false" ht="15" hidden="false" customHeight="false" outlineLevel="0" collapsed="false">
      <c r="A614" s="23"/>
      <c r="B614" s="23"/>
      <c r="C614" s="23"/>
    </row>
    <row r="615" customFormat="false" ht="15" hidden="false" customHeight="false" outlineLevel="0" collapsed="false">
      <c r="A615" s="23"/>
      <c r="B615" s="23"/>
      <c r="C615" s="23"/>
    </row>
    <row r="616" customFormat="false" ht="15" hidden="false" customHeight="false" outlineLevel="0" collapsed="false">
      <c r="A616" s="23"/>
      <c r="B616" s="23"/>
      <c r="C616" s="23"/>
    </row>
    <row r="617" customFormat="false" ht="15" hidden="false" customHeight="false" outlineLevel="0" collapsed="false">
      <c r="A617" s="23"/>
      <c r="B617" s="23"/>
      <c r="C617" s="23"/>
    </row>
    <row r="618" customFormat="false" ht="15" hidden="false" customHeight="false" outlineLevel="0" collapsed="false">
      <c r="A618" s="23"/>
      <c r="B618" s="23"/>
      <c r="C618" s="23"/>
    </row>
    <row r="619" customFormat="false" ht="15" hidden="false" customHeight="false" outlineLevel="0" collapsed="false">
      <c r="A619" s="23"/>
      <c r="B619" s="23"/>
      <c r="C619" s="23"/>
    </row>
    <row r="620" customFormat="false" ht="15" hidden="false" customHeight="false" outlineLevel="0" collapsed="false">
      <c r="A620" s="23"/>
      <c r="B620" s="23"/>
      <c r="C620" s="23"/>
    </row>
    <row r="621" customFormat="false" ht="15" hidden="false" customHeight="false" outlineLevel="0" collapsed="false">
      <c r="A621" s="23"/>
      <c r="B621" s="23"/>
      <c r="C621" s="23"/>
    </row>
    <row r="622" customFormat="false" ht="15" hidden="false" customHeight="false" outlineLevel="0" collapsed="false">
      <c r="A622" s="23"/>
      <c r="B622" s="23"/>
      <c r="C622" s="23"/>
    </row>
    <row r="623" customFormat="false" ht="15" hidden="false" customHeight="false" outlineLevel="0" collapsed="false">
      <c r="A623" s="23"/>
      <c r="B623" s="23"/>
      <c r="C623" s="23"/>
    </row>
    <row r="624" customFormat="false" ht="15" hidden="false" customHeight="false" outlineLevel="0" collapsed="false">
      <c r="A624" s="23"/>
      <c r="B624" s="23"/>
      <c r="C624" s="23"/>
    </row>
    <row r="625" customFormat="false" ht="15" hidden="false" customHeight="false" outlineLevel="0" collapsed="false">
      <c r="A625" s="23"/>
      <c r="B625" s="23"/>
      <c r="C625" s="23"/>
    </row>
    <row r="626" customFormat="false" ht="15" hidden="false" customHeight="false" outlineLevel="0" collapsed="false">
      <c r="A626" s="23"/>
      <c r="B626" s="23"/>
      <c r="C626" s="23"/>
    </row>
    <row r="627" customFormat="false" ht="15" hidden="false" customHeight="false" outlineLevel="0" collapsed="false">
      <c r="A627" s="23"/>
      <c r="B627" s="23"/>
      <c r="C627" s="23"/>
    </row>
    <row r="628" customFormat="false" ht="15" hidden="false" customHeight="false" outlineLevel="0" collapsed="false">
      <c r="A628" s="23"/>
      <c r="B628" s="23"/>
      <c r="C628" s="23"/>
    </row>
    <row r="629" customFormat="false" ht="15" hidden="false" customHeight="false" outlineLevel="0" collapsed="false">
      <c r="A629" s="23"/>
      <c r="B629" s="23"/>
      <c r="C629" s="23"/>
    </row>
    <row r="630" customFormat="false" ht="15" hidden="false" customHeight="false" outlineLevel="0" collapsed="false">
      <c r="A630" s="23"/>
      <c r="B630" s="23"/>
      <c r="C630" s="23"/>
    </row>
    <row r="631" customFormat="false" ht="15" hidden="false" customHeight="false" outlineLevel="0" collapsed="false">
      <c r="A631" s="23"/>
      <c r="B631" s="23"/>
      <c r="C631" s="23"/>
    </row>
    <row r="632" customFormat="false" ht="15" hidden="false" customHeight="false" outlineLevel="0" collapsed="false">
      <c r="A632" s="23"/>
      <c r="B632" s="23"/>
      <c r="C632" s="23"/>
    </row>
    <row r="633" customFormat="false" ht="15" hidden="false" customHeight="false" outlineLevel="0" collapsed="false">
      <c r="A633" s="23"/>
      <c r="B633" s="23"/>
      <c r="C633" s="23"/>
    </row>
    <row r="634" customFormat="false" ht="15" hidden="false" customHeight="false" outlineLevel="0" collapsed="false">
      <c r="A634" s="23"/>
      <c r="B634" s="23"/>
      <c r="C634" s="23"/>
    </row>
    <row r="635" customFormat="false" ht="15" hidden="false" customHeight="false" outlineLevel="0" collapsed="false">
      <c r="A635" s="23"/>
      <c r="B635" s="23"/>
      <c r="C635" s="23"/>
    </row>
    <row r="636" customFormat="false" ht="15" hidden="false" customHeight="false" outlineLevel="0" collapsed="false">
      <c r="A636" s="23"/>
      <c r="B636" s="23"/>
      <c r="C636" s="23"/>
    </row>
    <row r="637" customFormat="false" ht="15" hidden="false" customHeight="false" outlineLevel="0" collapsed="false">
      <c r="A637" s="23"/>
      <c r="B637" s="23"/>
      <c r="C637" s="23"/>
    </row>
    <row r="638" customFormat="false" ht="15" hidden="false" customHeight="false" outlineLevel="0" collapsed="false">
      <c r="A638" s="23"/>
      <c r="B638" s="23"/>
      <c r="C638" s="23"/>
    </row>
    <row r="639" customFormat="false" ht="15" hidden="false" customHeight="false" outlineLevel="0" collapsed="false">
      <c r="A639" s="23"/>
      <c r="B639" s="23"/>
      <c r="C639" s="23"/>
    </row>
    <row r="640" customFormat="false" ht="15" hidden="false" customHeight="false" outlineLevel="0" collapsed="false">
      <c r="A640" s="23"/>
      <c r="B640" s="23"/>
      <c r="C640" s="23"/>
    </row>
    <row r="641" customFormat="false" ht="15" hidden="false" customHeight="false" outlineLevel="0" collapsed="false">
      <c r="A641" s="23"/>
      <c r="B641" s="23"/>
      <c r="C641" s="23"/>
    </row>
    <row r="642" customFormat="false" ht="15" hidden="false" customHeight="false" outlineLevel="0" collapsed="false">
      <c r="A642" s="23"/>
      <c r="B642" s="23"/>
      <c r="C642" s="23"/>
    </row>
    <row r="643" customFormat="false" ht="15" hidden="false" customHeight="false" outlineLevel="0" collapsed="false">
      <c r="A643" s="23"/>
      <c r="B643" s="23"/>
      <c r="C643" s="23"/>
    </row>
    <row r="644" customFormat="false" ht="15" hidden="false" customHeight="false" outlineLevel="0" collapsed="false">
      <c r="A644" s="23"/>
      <c r="B644" s="23"/>
      <c r="C644" s="23"/>
    </row>
    <row r="645" customFormat="false" ht="15" hidden="false" customHeight="false" outlineLevel="0" collapsed="false">
      <c r="A645" s="23"/>
      <c r="B645" s="23"/>
      <c r="C645" s="23"/>
    </row>
    <row r="646" customFormat="false" ht="15" hidden="false" customHeight="false" outlineLevel="0" collapsed="false">
      <c r="A646" s="23"/>
      <c r="B646" s="23"/>
      <c r="C646" s="23"/>
    </row>
    <row r="647" customFormat="false" ht="15" hidden="false" customHeight="false" outlineLevel="0" collapsed="false">
      <c r="A647" s="23"/>
      <c r="B647" s="23"/>
      <c r="C647" s="23"/>
    </row>
    <row r="648" customFormat="false" ht="15" hidden="false" customHeight="false" outlineLevel="0" collapsed="false">
      <c r="A648" s="23"/>
      <c r="B648" s="23"/>
      <c r="C648" s="23"/>
    </row>
    <row r="649" customFormat="false" ht="15" hidden="false" customHeight="false" outlineLevel="0" collapsed="false">
      <c r="A649" s="23"/>
      <c r="B649" s="23"/>
      <c r="C649" s="23"/>
    </row>
    <row r="650" customFormat="false" ht="15" hidden="false" customHeight="false" outlineLevel="0" collapsed="false">
      <c r="A650" s="23"/>
      <c r="B650" s="23"/>
      <c r="C650" s="23"/>
    </row>
    <row r="651" customFormat="false" ht="15" hidden="false" customHeight="false" outlineLevel="0" collapsed="false">
      <c r="A651" s="23"/>
      <c r="B651" s="23"/>
      <c r="C651" s="23"/>
    </row>
    <row r="652" customFormat="false" ht="15" hidden="false" customHeight="false" outlineLevel="0" collapsed="false">
      <c r="A652" s="23"/>
      <c r="B652" s="23"/>
      <c r="C652" s="23"/>
    </row>
    <row r="653" customFormat="false" ht="15" hidden="false" customHeight="false" outlineLevel="0" collapsed="false">
      <c r="A653" s="23"/>
      <c r="B653" s="23"/>
      <c r="C653" s="23"/>
    </row>
    <row r="654" customFormat="false" ht="15" hidden="false" customHeight="false" outlineLevel="0" collapsed="false">
      <c r="A654" s="23"/>
      <c r="B654" s="23"/>
      <c r="C654" s="23"/>
    </row>
    <row r="655" customFormat="false" ht="15" hidden="false" customHeight="false" outlineLevel="0" collapsed="false">
      <c r="A655" s="23"/>
      <c r="B655" s="23"/>
      <c r="C655" s="23"/>
    </row>
    <row r="656" customFormat="false" ht="15" hidden="false" customHeight="false" outlineLevel="0" collapsed="false">
      <c r="A656" s="23"/>
      <c r="B656" s="23"/>
      <c r="C656" s="23"/>
    </row>
    <row r="657" customFormat="false" ht="15" hidden="false" customHeight="false" outlineLevel="0" collapsed="false">
      <c r="A657" s="23"/>
      <c r="B657" s="23"/>
      <c r="C657" s="23"/>
    </row>
    <row r="658" customFormat="false" ht="15" hidden="false" customHeight="false" outlineLevel="0" collapsed="false">
      <c r="A658" s="23"/>
      <c r="B658" s="23"/>
      <c r="C658" s="23"/>
    </row>
    <row r="659" customFormat="false" ht="15" hidden="false" customHeight="false" outlineLevel="0" collapsed="false">
      <c r="A659" s="23"/>
      <c r="B659" s="23"/>
      <c r="C659" s="23"/>
    </row>
    <row r="660" customFormat="false" ht="15" hidden="false" customHeight="false" outlineLevel="0" collapsed="false">
      <c r="A660" s="23"/>
      <c r="B660" s="23"/>
      <c r="C660" s="23"/>
    </row>
    <row r="661" customFormat="false" ht="15" hidden="false" customHeight="false" outlineLevel="0" collapsed="false">
      <c r="A661" s="23"/>
      <c r="B661" s="23"/>
      <c r="C661" s="23"/>
    </row>
    <row r="662" customFormat="false" ht="15" hidden="false" customHeight="false" outlineLevel="0" collapsed="false">
      <c r="A662" s="23"/>
      <c r="B662" s="23"/>
      <c r="C662" s="23"/>
    </row>
    <row r="663" customFormat="false" ht="15" hidden="false" customHeight="false" outlineLevel="0" collapsed="false">
      <c r="A663" s="23"/>
      <c r="B663" s="23"/>
      <c r="C663" s="23"/>
    </row>
    <row r="664" customFormat="false" ht="15" hidden="false" customHeight="false" outlineLevel="0" collapsed="false">
      <c r="A664" s="23"/>
      <c r="B664" s="23"/>
      <c r="C664" s="23"/>
    </row>
    <row r="665" customFormat="false" ht="15" hidden="false" customHeight="false" outlineLevel="0" collapsed="false">
      <c r="A665" s="23"/>
      <c r="B665" s="23"/>
      <c r="C665" s="23"/>
    </row>
    <row r="666" customFormat="false" ht="15" hidden="false" customHeight="false" outlineLevel="0" collapsed="false">
      <c r="A666" s="23"/>
      <c r="B666" s="23"/>
      <c r="C666" s="23"/>
    </row>
    <row r="667" customFormat="false" ht="15" hidden="false" customHeight="false" outlineLevel="0" collapsed="false">
      <c r="A667" s="23"/>
      <c r="B667" s="23"/>
      <c r="C667" s="23"/>
    </row>
    <row r="668" customFormat="false" ht="15" hidden="false" customHeight="false" outlineLevel="0" collapsed="false">
      <c r="A668" s="23"/>
      <c r="B668" s="23"/>
      <c r="C668" s="23"/>
    </row>
    <row r="669" customFormat="false" ht="15" hidden="false" customHeight="false" outlineLevel="0" collapsed="false">
      <c r="A669" s="23"/>
      <c r="B669" s="23"/>
      <c r="C669" s="23"/>
    </row>
    <row r="670" customFormat="false" ht="15" hidden="false" customHeight="false" outlineLevel="0" collapsed="false">
      <c r="A670" s="23"/>
      <c r="B670" s="23"/>
      <c r="C670" s="23"/>
    </row>
    <row r="671" customFormat="false" ht="15" hidden="false" customHeight="false" outlineLevel="0" collapsed="false">
      <c r="A671" s="23"/>
      <c r="B671" s="23"/>
      <c r="C671" s="23"/>
    </row>
    <row r="672" customFormat="false" ht="15" hidden="false" customHeight="false" outlineLevel="0" collapsed="false">
      <c r="A672" s="23"/>
      <c r="B672" s="23"/>
      <c r="C672" s="23"/>
    </row>
    <row r="673" customFormat="false" ht="15" hidden="false" customHeight="false" outlineLevel="0" collapsed="false">
      <c r="A673" s="23"/>
      <c r="B673" s="23"/>
      <c r="C673" s="23"/>
    </row>
    <row r="674" customFormat="false" ht="15" hidden="false" customHeight="false" outlineLevel="0" collapsed="false">
      <c r="A674" s="23"/>
      <c r="B674" s="23"/>
      <c r="C674" s="23"/>
    </row>
    <row r="675" customFormat="false" ht="15" hidden="false" customHeight="false" outlineLevel="0" collapsed="false">
      <c r="A675" s="23"/>
      <c r="B675" s="23"/>
      <c r="C675" s="23"/>
    </row>
    <row r="676" customFormat="false" ht="15" hidden="false" customHeight="false" outlineLevel="0" collapsed="false">
      <c r="A676" s="23"/>
      <c r="B676" s="23"/>
      <c r="C676" s="23"/>
    </row>
    <row r="677" customFormat="false" ht="15" hidden="false" customHeight="false" outlineLevel="0" collapsed="false">
      <c r="A677" s="23"/>
      <c r="B677" s="23"/>
      <c r="C677" s="23"/>
    </row>
    <row r="678" customFormat="false" ht="15" hidden="false" customHeight="false" outlineLevel="0" collapsed="false">
      <c r="A678" s="23"/>
      <c r="B678" s="23"/>
      <c r="C678" s="23"/>
    </row>
    <row r="679" customFormat="false" ht="15" hidden="false" customHeight="false" outlineLevel="0" collapsed="false">
      <c r="A679" s="23"/>
      <c r="B679" s="23"/>
      <c r="C679" s="23"/>
    </row>
    <row r="680" customFormat="false" ht="15" hidden="false" customHeight="false" outlineLevel="0" collapsed="false">
      <c r="A680" s="23"/>
      <c r="B680" s="23"/>
      <c r="C680" s="23"/>
    </row>
    <row r="681" customFormat="false" ht="15" hidden="false" customHeight="false" outlineLevel="0" collapsed="false">
      <c r="A681" s="23"/>
      <c r="B681" s="23"/>
      <c r="C681" s="23"/>
    </row>
    <row r="682" customFormat="false" ht="15" hidden="false" customHeight="false" outlineLevel="0" collapsed="false">
      <c r="A682" s="23"/>
      <c r="B682" s="23"/>
      <c r="C682" s="23"/>
    </row>
    <row r="683" customFormat="false" ht="15" hidden="false" customHeight="false" outlineLevel="0" collapsed="false">
      <c r="A683" s="23"/>
      <c r="B683" s="23"/>
      <c r="C683" s="23"/>
    </row>
    <row r="684" customFormat="false" ht="15" hidden="false" customHeight="false" outlineLevel="0" collapsed="false">
      <c r="A684" s="23"/>
      <c r="B684" s="23"/>
      <c r="C684" s="23"/>
    </row>
    <row r="685" customFormat="false" ht="15" hidden="false" customHeight="false" outlineLevel="0" collapsed="false">
      <c r="A685" s="23"/>
      <c r="B685" s="23"/>
      <c r="C685" s="23"/>
    </row>
    <row r="686" customFormat="false" ht="15" hidden="false" customHeight="false" outlineLevel="0" collapsed="false">
      <c r="A686" s="23"/>
      <c r="B686" s="23"/>
      <c r="C686" s="23"/>
    </row>
    <row r="687" customFormat="false" ht="15" hidden="false" customHeight="false" outlineLevel="0" collapsed="false">
      <c r="A687" s="23"/>
      <c r="B687" s="23"/>
      <c r="C687" s="23"/>
    </row>
    <row r="688" customFormat="false" ht="15" hidden="false" customHeight="false" outlineLevel="0" collapsed="false">
      <c r="A688" s="23"/>
      <c r="B688" s="23"/>
      <c r="C688" s="23"/>
    </row>
    <row r="689" customFormat="false" ht="15" hidden="false" customHeight="false" outlineLevel="0" collapsed="false">
      <c r="A689" s="23"/>
      <c r="B689" s="23"/>
      <c r="C689" s="23"/>
    </row>
    <row r="690" customFormat="false" ht="15" hidden="false" customHeight="false" outlineLevel="0" collapsed="false">
      <c r="A690" s="23"/>
      <c r="B690" s="23"/>
      <c r="C690" s="23"/>
    </row>
    <row r="691" customFormat="false" ht="15" hidden="false" customHeight="false" outlineLevel="0" collapsed="false">
      <c r="A691" s="23"/>
      <c r="B691" s="23"/>
      <c r="C691" s="23"/>
    </row>
    <row r="692" customFormat="false" ht="15" hidden="false" customHeight="false" outlineLevel="0" collapsed="false">
      <c r="A692" s="23"/>
      <c r="B692" s="23"/>
      <c r="C692" s="23"/>
    </row>
    <row r="693" customFormat="false" ht="15" hidden="false" customHeight="false" outlineLevel="0" collapsed="false">
      <c r="A693" s="23"/>
      <c r="B693" s="23"/>
      <c r="C693" s="23"/>
    </row>
    <row r="694" customFormat="false" ht="15" hidden="false" customHeight="false" outlineLevel="0" collapsed="false">
      <c r="A694" s="23"/>
      <c r="B694" s="23"/>
      <c r="C694" s="23"/>
    </row>
    <row r="695" customFormat="false" ht="15" hidden="false" customHeight="false" outlineLevel="0" collapsed="false">
      <c r="A695" s="23"/>
      <c r="B695" s="23"/>
      <c r="C695" s="23"/>
    </row>
    <row r="696" customFormat="false" ht="15" hidden="false" customHeight="false" outlineLevel="0" collapsed="false">
      <c r="A696" s="23"/>
      <c r="B696" s="23"/>
      <c r="C696" s="23"/>
    </row>
    <row r="697" customFormat="false" ht="15" hidden="false" customHeight="false" outlineLevel="0" collapsed="false">
      <c r="A697" s="23"/>
      <c r="B697" s="23"/>
      <c r="C697" s="23"/>
    </row>
    <row r="698" customFormat="false" ht="15" hidden="false" customHeight="false" outlineLevel="0" collapsed="false">
      <c r="A698" s="23"/>
      <c r="B698" s="23"/>
      <c r="C698" s="23"/>
    </row>
    <row r="699" customFormat="false" ht="15" hidden="false" customHeight="false" outlineLevel="0" collapsed="false">
      <c r="A699" s="23"/>
      <c r="B699" s="23"/>
      <c r="C699" s="23"/>
    </row>
    <row r="700" customFormat="false" ht="15" hidden="false" customHeight="false" outlineLevel="0" collapsed="false">
      <c r="A700" s="23"/>
      <c r="B700" s="23"/>
      <c r="C700" s="23"/>
    </row>
    <row r="701" customFormat="false" ht="15" hidden="false" customHeight="false" outlineLevel="0" collapsed="false">
      <c r="A701" s="23"/>
      <c r="B701" s="23"/>
      <c r="C701" s="23"/>
    </row>
    <row r="702" customFormat="false" ht="15" hidden="false" customHeight="false" outlineLevel="0" collapsed="false">
      <c r="A702" s="23"/>
      <c r="B702" s="23"/>
      <c r="C702" s="23"/>
    </row>
    <row r="703" customFormat="false" ht="15" hidden="false" customHeight="false" outlineLevel="0" collapsed="false">
      <c r="A703" s="23"/>
      <c r="B703" s="23"/>
      <c r="C703" s="23"/>
    </row>
    <row r="704" customFormat="false" ht="15" hidden="false" customHeight="false" outlineLevel="0" collapsed="false">
      <c r="A704" s="23"/>
      <c r="B704" s="23"/>
      <c r="C704" s="23"/>
    </row>
    <row r="705" customFormat="false" ht="15" hidden="false" customHeight="false" outlineLevel="0" collapsed="false">
      <c r="A705" s="23"/>
      <c r="B705" s="23"/>
      <c r="C705" s="23"/>
    </row>
    <row r="706" customFormat="false" ht="15" hidden="false" customHeight="false" outlineLevel="0" collapsed="false">
      <c r="A706" s="23"/>
      <c r="B706" s="23"/>
      <c r="C706" s="23"/>
    </row>
    <row r="707" customFormat="false" ht="15" hidden="false" customHeight="false" outlineLevel="0" collapsed="false">
      <c r="A707" s="23"/>
      <c r="B707" s="23"/>
      <c r="C707" s="23"/>
    </row>
    <row r="708" customFormat="false" ht="15" hidden="false" customHeight="false" outlineLevel="0" collapsed="false">
      <c r="A708" s="23"/>
      <c r="B708" s="23"/>
      <c r="C708" s="23"/>
    </row>
    <row r="709" customFormat="false" ht="15" hidden="false" customHeight="false" outlineLevel="0" collapsed="false">
      <c r="A709" s="23"/>
      <c r="B709" s="23"/>
      <c r="C709" s="23"/>
    </row>
    <row r="710" customFormat="false" ht="15" hidden="false" customHeight="false" outlineLevel="0" collapsed="false">
      <c r="A710" s="23"/>
      <c r="B710" s="23"/>
      <c r="C710" s="23"/>
    </row>
    <row r="711" customFormat="false" ht="15" hidden="false" customHeight="false" outlineLevel="0" collapsed="false">
      <c r="A711" s="23"/>
      <c r="B711" s="23"/>
      <c r="C711" s="23"/>
    </row>
    <row r="712" customFormat="false" ht="15" hidden="false" customHeight="false" outlineLevel="0" collapsed="false">
      <c r="A712" s="23"/>
      <c r="B712" s="23"/>
      <c r="C712" s="23"/>
    </row>
    <row r="713" customFormat="false" ht="15" hidden="false" customHeight="false" outlineLevel="0" collapsed="false">
      <c r="A713" s="23"/>
      <c r="B713" s="23"/>
      <c r="C713" s="23"/>
    </row>
    <row r="714" customFormat="false" ht="15" hidden="false" customHeight="false" outlineLevel="0" collapsed="false">
      <c r="A714" s="23"/>
      <c r="B714" s="23"/>
      <c r="C714" s="23"/>
    </row>
    <row r="715" customFormat="false" ht="15" hidden="false" customHeight="false" outlineLevel="0" collapsed="false">
      <c r="A715" s="23"/>
      <c r="B715" s="23"/>
      <c r="C715" s="23"/>
    </row>
    <row r="716" customFormat="false" ht="15" hidden="false" customHeight="false" outlineLevel="0" collapsed="false">
      <c r="A716" s="23"/>
      <c r="B716" s="23"/>
      <c r="C716" s="23"/>
    </row>
    <row r="717" customFormat="false" ht="15" hidden="false" customHeight="false" outlineLevel="0" collapsed="false">
      <c r="A717" s="23"/>
      <c r="B717" s="23"/>
      <c r="C717" s="23"/>
    </row>
    <row r="718" customFormat="false" ht="15" hidden="false" customHeight="false" outlineLevel="0" collapsed="false">
      <c r="A718" s="23"/>
      <c r="B718" s="23"/>
      <c r="C718" s="23"/>
    </row>
    <row r="719" customFormat="false" ht="15" hidden="false" customHeight="false" outlineLevel="0" collapsed="false">
      <c r="A719" s="23"/>
      <c r="B719" s="23"/>
      <c r="C719" s="23"/>
    </row>
    <row r="720" customFormat="false" ht="15" hidden="false" customHeight="false" outlineLevel="0" collapsed="false">
      <c r="A720" s="23"/>
      <c r="B720" s="23"/>
      <c r="C720" s="23"/>
    </row>
    <row r="721" customFormat="false" ht="15" hidden="false" customHeight="false" outlineLevel="0" collapsed="false">
      <c r="A721" s="23"/>
      <c r="B721" s="23"/>
      <c r="C721" s="23"/>
    </row>
    <row r="722" customFormat="false" ht="15" hidden="false" customHeight="false" outlineLevel="0" collapsed="false">
      <c r="A722" s="23"/>
      <c r="B722" s="23"/>
      <c r="C722" s="23"/>
    </row>
    <row r="723" customFormat="false" ht="15" hidden="false" customHeight="false" outlineLevel="0" collapsed="false">
      <c r="A723" s="23"/>
      <c r="B723" s="23"/>
      <c r="C723" s="23"/>
    </row>
    <row r="724" customFormat="false" ht="15" hidden="false" customHeight="false" outlineLevel="0" collapsed="false">
      <c r="A724" s="23"/>
      <c r="B724" s="23"/>
      <c r="C724" s="23"/>
    </row>
    <row r="725" customFormat="false" ht="15" hidden="false" customHeight="false" outlineLevel="0" collapsed="false">
      <c r="A725" s="23"/>
      <c r="B725" s="23"/>
      <c r="C725" s="23"/>
    </row>
    <row r="726" customFormat="false" ht="15" hidden="false" customHeight="false" outlineLevel="0" collapsed="false">
      <c r="A726" s="23"/>
      <c r="B726" s="23"/>
      <c r="C726" s="23"/>
    </row>
    <row r="727" customFormat="false" ht="15" hidden="false" customHeight="false" outlineLevel="0" collapsed="false">
      <c r="A727" s="23"/>
      <c r="B727" s="23"/>
      <c r="C727" s="23"/>
    </row>
    <row r="728" customFormat="false" ht="15" hidden="false" customHeight="false" outlineLevel="0" collapsed="false">
      <c r="A728" s="23"/>
      <c r="B728" s="23"/>
      <c r="C728" s="23"/>
    </row>
    <row r="729" customFormat="false" ht="15" hidden="false" customHeight="false" outlineLevel="0" collapsed="false">
      <c r="A729" s="23"/>
      <c r="B729" s="23"/>
      <c r="C729" s="23"/>
    </row>
    <row r="730" customFormat="false" ht="15" hidden="false" customHeight="false" outlineLevel="0" collapsed="false">
      <c r="A730" s="23"/>
      <c r="B730" s="23"/>
      <c r="C730" s="23"/>
    </row>
    <row r="731" customFormat="false" ht="15" hidden="false" customHeight="false" outlineLevel="0" collapsed="false">
      <c r="A731" s="23"/>
      <c r="B731" s="23"/>
      <c r="C731" s="23"/>
    </row>
    <row r="732" customFormat="false" ht="15" hidden="false" customHeight="false" outlineLevel="0" collapsed="false">
      <c r="A732" s="23"/>
      <c r="B732" s="23"/>
      <c r="C732" s="23"/>
    </row>
    <row r="733" customFormat="false" ht="15" hidden="false" customHeight="false" outlineLevel="0" collapsed="false">
      <c r="A733" s="23"/>
      <c r="B733" s="23"/>
      <c r="C733" s="23"/>
    </row>
    <row r="734" customFormat="false" ht="15" hidden="false" customHeight="false" outlineLevel="0" collapsed="false">
      <c r="A734" s="23"/>
      <c r="B734" s="23"/>
      <c r="C734" s="23"/>
    </row>
    <row r="735" customFormat="false" ht="15" hidden="false" customHeight="false" outlineLevel="0" collapsed="false">
      <c r="A735" s="23"/>
      <c r="B735" s="23"/>
      <c r="C735" s="23"/>
    </row>
    <row r="736" customFormat="false" ht="15" hidden="false" customHeight="false" outlineLevel="0" collapsed="false">
      <c r="A736" s="23"/>
      <c r="B736" s="23"/>
      <c r="C736" s="23"/>
    </row>
    <row r="737" customFormat="false" ht="15" hidden="false" customHeight="false" outlineLevel="0" collapsed="false">
      <c r="A737" s="23"/>
      <c r="B737" s="23"/>
      <c r="C737" s="23"/>
    </row>
    <row r="738" customFormat="false" ht="15" hidden="false" customHeight="false" outlineLevel="0" collapsed="false">
      <c r="A738" s="23"/>
      <c r="B738" s="23"/>
      <c r="C738" s="23"/>
    </row>
    <row r="739" customFormat="false" ht="15" hidden="false" customHeight="false" outlineLevel="0" collapsed="false">
      <c r="A739" s="23"/>
      <c r="B739" s="23"/>
      <c r="C739" s="23"/>
    </row>
    <row r="740" customFormat="false" ht="15" hidden="false" customHeight="false" outlineLevel="0" collapsed="false">
      <c r="A740" s="23"/>
      <c r="B740" s="23"/>
      <c r="C740" s="23"/>
    </row>
    <row r="741" customFormat="false" ht="15" hidden="false" customHeight="false" outlineLevel="0" collapsed="false">
      <c r="A741" s="23"/>
      <c r="B741" s="23"/>
      <c r="C741" s="23"/>
    </row>
    <row r="742" customFormat="false" ht="15" hidden="false" customHeight="false" outlineLevel="0" collapsed="false">
      <c r="A742" s="23"/>
      <c r="B742" s="23"/>
      <c r="C742" s="23"/>
    </row>
    <row r="743" customFormat="false" ht="15" hidden="false" customHeight="false" outlineLevel="0" collapsed="false">
      <c r="A743" s="23"/>
      <c r="B743" s="23"/>
      <c r="C743" s="23"/>
    </row>
    <row r="744" customFormat="false" ht="15" hidden="false" customHeight="false" outlineLevel="0" collapsed="false">
      <c r="A744" s="23"/>
      <c r="B744" s="23"/>
      <c r="C744" s="23"/>
    </row>
    <row r="745" customFormat="false" ht="15" hidden="false" customHeight="false" outlineLevel="0" collapsed="false">
      <c r="A745" s="23"/>
      <c r="B745" s="23"/>
      <c r="C745" s="23"/>
    </row>
    <row r="746" customFormat="false" ht="15" hidden="false" customHeight="false" outlineLevel="0" collapsed="false">
      <c r="A746" s="23"/>
      <c r="B746" s="23"/>
      <c r="C746" s="23"/>
    </row>
    <row r="747" customFormat="false" ht="15" hidden="false" customHeight="false" outlineLevel="0" collapsed="false">
      <c r="A747" s="23"/>
      <c r="B747" s="23"/>
      <c r="C747" s="23"/>
    </row>
    <row r="748" customFormat="false" ht="15" hidden="false" customHeight="false" outlineLevel="0" collapsed="false">
      <c r="A748" s="23"/>
      <c r="B748" s="23"/>
      <c r="C748" s="23"/>
    </row>
    <row r="749" customFormat="false" ht="15" hidden="false" customHeight="false" outlineLevel="0" collapsed="false">
      <c r="A749" s="23"/>
      <c r="B749" s="23"/>
      <c r="C749" s="23"/>
    </row>
    <row r="750" customFormat="false" ht="15" hidden="false" customHeight="false" outlineLevel="0" collapsed="false">
      <c r="A750" s="23"/>
      <c r="B750" s="23"/>
      <c r="C750" s="23"/>
    </row>
    <row r="751" customFormat="false" ht="15" hidden="false" customHeight="false" outlineLevel="0" collapsed="false">
      <c r="A751" s="23"/>
      <c r="B751" s="23"/>
      <c r="C751" s="23"/>
    </row>
    <row r="752" customFormat="false" ht="15" hidden="false" customHeight="false" outlineLevel="0" collapsed="false">
      <c r="A752" s="23"/>
      <c r="B752" s="23"/>
      <c r="C752" s="23"/>
    </row>
    <row r="753" customFormat="false" ht="15" hidden="false" customHeight="false" outlineLevel="0" collapsed="false">
      <c r="A753" s="23"/>
      <c r="B753" s="23"/>
      <c r="C753" s="23"/>
    </row>
    <row r="754" customFormat="false" ht="15" hidden="false" customHeight="false" outlineLevel="0" collapsed="false">
      <c r="A754" s="23"/>
      <c r="B754" s="23"/>
      <c r="C754" s="23"/>
    </row>
    <row r="755" customFormat="false" ht="15" hidden="false" customHeight="false" outlineLevel="0" collapsed="false">
      <c r="A755" s="23"/>
      <c r="B755" s="23"/>
      <c r="C755" s="23"/>
    </row>
    <row r="756" customFormat="false" ht="15" hidden="false" customHeight="false" outlineLevel="0" collapsed="false">
      <c r="A756" s="23"/>
      <c r="B756" s="23"/>
      <c r="C756" s="23"/>
    </row>
    <row r="757" customFormat="false" ht="15" hidden="false" customHeight="false" outlineLevel="0" collapsed="false">
      <c r="A757" s="23"/>
      <c r="B757" s="23"/>
      <c r="C757" s="23"/>
    </row>
    <row r="758" customFormat="false" ht="15" hidden="false" customHeight="false" outlineLevel="0" collapsed="false">
      <c r="A758" s="23"/>
      <c r="B758" s="23"/>
      <c r="C758" s="23"/>
    </row>
    <row r="759" customFormat="false" ht="15" hidden="false" customHeight="false" outlineLevel="0" collapsed="false">
      <c r="A759" s="23"/>
      <c r="B759" s="23"/>
      <c r="C759" s="23"/>
    </row>
    <row r="760" customFormat="false" ht="15" hidden="false" customHeight="false" outlineLevel="0" collapsed="false">
      <c r="A760" s="23"/>
      <c r="B760" s="23"/>
      <c r="C760" s="23"/>
    </row>
    <row r="761" customFormat="false" ht="15" hidden="false" customHeight="false" outlineLevel="0" collapsed="false">
      <c r="A761" s="23"/>
      <c r="B761" s="23"/>
      <c r="C761" s="23"/>
    </row>
    <row r="762" customFormat="false" ht="15" hidden="false" customHeight="false" outlineLevel="0" collapsed="false">
      <c r="A762" s="23"/>
      <c r="B762" s="23"/>
      <c r="C762" s="23"/>
    </row>
    <row r="763" customFormat="false" ht="15" hidden="false" customHeight="false" outlineLevel="0" collapsed="false">
      <c r="A763" s="23"/>
      <c r="B763" s="23"/>
      <c r="C763" s="23"/>
    </row>
    <row r="764" customFormat="false" ht="15" hidden="false" customHeight="false" outlineLevel="0" collapsed="false">
      <c r="A764" s="23"/>
      <c r="B764" s="23"/>
      <c r="C764" s="23"/>
    </row>
    <row r="765" customFormat="false" ht="15" hidden="false" customHeight="false" outlineLevel="0" collapsed="false">
      <c r="A765" s="23"/>
      <c r="B765" s="23"/>
      <c r="C765" s="23"/>
    </row>
    <row r="766" customFormat="false" ht="15" hidden="false" customHeight="false" outlineLevel="0" collapsed="false">
      <c r="A766" s="23"/>
      <c r="B766" s="23"/>
      <c r="C766" s="23"/>
    </row>
    <row r="767" customFormat="false" ht="15" hidden="false" customHeight="false" outlineLevel="0" collapsed="false">
      <c r="A767" s="23"/>
      <c r="B767" s="23"/>
      <c r="C767" s="23"/>
    </row>
    <row r="768" customFormat="false" ht="15" hidden="false" customHeight="false" outlineLevel="0" collapsed="false">
      <c r="A768" s="23"/>
      <c r="B768" s="23"/>
      <c r="C768" s="23"/>
    </row>
    <row r="769" customFormat="false" ht="15" hidden="false" customHeight="false" outlineLevel="0" collapsed="false">
      <c r="A769" s="23"/>
      <c r="B769" s="23"/>
      <c r="C769" s="23"/>
    </row>
    <row r="770" customFormat="false" ht="15" hidden="false" customHeight="false" outlineLevel="0" collapsed="false">
      <c r="A770" s="23"/>
      <c r="B770" s="23"/>
      <c r="C770" s="23"/>
    </row>
    <row r="771" customFormat="false" ht="15" hidden="false" customHeight="false" outlineLevel="0" collapsed="false">
      <c r="A771" s="23"/>
      <c r="B771" s="23"/>
      <c r="C771" s="23"/>
    </row>
    <row r="772" customFormat="false" ht="15" hidden="false" customHeight="false" outlineLevel="0" collapsed="false">
      <c r="A772" s="23"/>
      <c r="B772" s="23"/>
      <c r="C772" s="23"/>
    </row>
    <row r="773" customFormat="false" ht="15" hidden="false" customHeight="false" outlineLevel="0" collapsed="false">
      <c r="A773" s="23"/>
      <c r="B773" s="23"/>
      <c r="C773" s="23"/>
    </row>
    <row r="774" customFormat="false" ht="15" hidden="false" customHeight="false" outlineLevel="0" collapsed="false">
      <c r="A774" s="23"/>
      <c r="B774" s="23"/>
      <c r="C774" s="23"/>
    </row>
    <row r="775" customFormat="false" ht="15" hidden="false" customHeight="false" outlineLevel="0" collapsed="false">
      <c r="A775" s="23"/>
      <c r="B775" s="23"/>
      <c r="C775" s="23"/>
    </row>
    <row r="776" customFormat="false" ht="15" hidden="false" customHeight="false" outlineLevel="0" collapsed="false">
      <c r="A776" s="23"/>
      <c r="B776" s="23"/>
      <c r="C776" s="23"/>
    </row>
    <row r="777" customFormat="false" ht="15" hidden="false" customHeight="false" outlineLevel="0" collapsed="false">
      <c r="A777" s="23"/>
      <c r="B777" s="23"/>
      <c r="C777" s="23"/>
    </row>
    <row r="778" customFormat="false" ht="15" hidden="false" customHeight="false" outlineLevel="0" collapsed="false">
      <c r="A778" s="23"/>
      <c r="B778" s="23"/>
      <c r="C778" s="23"/>
    </row>
    <row r="779" customFormat="false" ht="15" hidden="false" customHeight="false" outlineLevel="0" collapsed="false">
      <c r="A779" s="23"/>
      <c r="B779" s="23"/>
      <c r="C779" s="23"/>
    </row>
    <row r="780" customFormat="false" ht="15" hidden="false" customHeight="false" outlineLevel="0" collapsed="false">
      <c r="A780" s="23"/>
      <c r="B780" s="23"/>
      <c r="C780" s="23"/>
    </row>
    <row r="781" customFormat="false" ht="15" hidden="false" customHeight="false" outlineLevel="0" collapsed="false">
      <c r="A781" s="23"/>
      <c r="B781" s="23"/>
      <c r="C781" s="23"/>
    </row>
    <row r="782" customFormat="false" ht="15" hidden="false" customHeight="false" outlineLevel="0" collapsed="false">
      <c r="A782" s="23"/>
      <c r="B782" s="23"/>
      <c r="C782" s="23"/>
    </row>
    <row r="783" customFormat="false" ht="15" hidden="false" customHeight="false" outlineLevel="0" collapsed="false">
      <c r="A783" s="23"/>
      <c r="B783" s="23"/>
      <c r="C783" s="23"/>
    </row>
    <row r="784" customFormat="false" ht="15" hidden="false" customHeight="false" outlineLevel="0" collapsed="false">
      <c r="A784" s="23"/>
      <c r="B784" s="23"/>
      <c r="C784" s="23"/>
    </row>
    <row r="785" customFormat="false" ht="15" hidden="false" customHeight="false" outlineLevel="0" collapsed="false">
      <c r="A785" s="23"/>
      <c r="B785" s="23"/>
      <c r="C785" s="23"/>
    </row>
    <row r="786" customFormat="false" ht="15" hidden="false" customHeight="false" outlineLevel="0" collapsed="false">
      <c r="A786" s="23"/>
      <c r="B786" s="23"/>
      <c r="C786" s="23"/>
    </row>
    <row r="787" customFormat="false" ht="15" hidden="false" customHeight="false" outlineLevel="0" collapsed="false">
      <c r="A787" s="23"/>
      <c r="B787" s="23"/>
      <c r="C787" s="23"/>
    </row>
    <row r="788" customFormat="false" ht="15" hidden="false" customHeight="false" outlineLevel="0" collapsed="false">
      <c r="A788" s="23"/>
      <c r="B788" s="23"/>
      <c r="C788" s="23"/>
    </row>
    <row r="789" customFormat="false" ht="15" hidden="false" customHeight="false" outlineLevel="0" collapsed="false">
      <c r="A789" s="23"/>
      <c r="B789" s="23"/>
      <c r="C789" s="23"/>
    </row>
    <row r="790" customFormat="false" ht="15" hidden="false" customHeight="false" outlineLevel="0" collapsed="false">
      <c r="A790" s="23"/>
      <c r="B790" s="23"/>
      <c r="C790" s="23"/>
    </row>
    <row r="791" customFormat="false" ht="15" hidden="false" customHeight="false" outlineLevel="0" collapsed="false">
      <c r="A791" s="23"/>
      <c r="B791" s="23"/>
      <c r="C791" s="23"/>
    </row>
    <row r="792" customFormat="false" ht="15" hidden="false" customHeight="false" outlineLevel="0" collapsed="false">
      <c r="A792" s="23"/>
      <c r="B792" s="23"/>
      <c r="C792" s="23"/>
    </row>
    <row r="793" customFormat="false" ht="15" hidden="false" customHeight="false" outlineLevel="0" collapsed="false">
      <c r="A793" s="23"/>
      <c r="B793" s="23"/>
      <c r="C793" s="23"/>
    </row>
    <row r="794" customFormat="false" ht="15" hidden="false" customHeight="false" outlineLevel="0" collapsed="false">
      <c r="A794" s="23"/>
      <c r="B794" s="23"/>
      <c r="C794" s="23"/>
    </row>
    <row r="795" customFormat="false" ht="15" hidden="false" customHeight="false" outlineLevel="0" collapsed="false">
      <c r="A795" s="23"/>
      <c r="B795" s="23"/>
      <c r="C795" s="23"/>
    </row>
    <row r="796" customFormat="false" ht="15" hidden="false" customHeight="false" outlineLevel="0" collapsed="false">
      <c r="A796" s="23"/>
      <c r="B796" s="23"/>
      <c r="C796" s="23"/>
    </row>
    <row r="797" customFormat="false" ht="15" hidden="false" customHeight="false" outlineLevel="0" collapsed="false">
      <c r="A797" s="23"/>
      <c r="B797" s="23"/>
      <c r="C797" s="23"/>
    </row>
    <row r="798" customFormat="false" ht="15" hidden="false" customHeight="false" outlineLevel="0" collapsed="false">
      <c r="A798" s="23"/>
      <c r="B798" s="23"/>
      <c r="C798" s="23"/>
    </row>
    <row r="799" customFormat="false" ht="15" hidden="false" customHeight="false" outlineLevel="0" collapsed="false">
      <c r="A799" s="23"/>
      <c r="B799" s="23"/>
      <c r="C799" s="23"/>
    </row>
    <row r="800" customFormat="false" ht="15" hidden="false" customHeight="false" outlineLevel="0" collapsed="false">
      <c r="A800" s="23"/>
      <c r="B800" s="23"/>
      <c r="C800" s="23"/>
    </row>
    <row r="801" customFormat="false" ht="15" hidden="false" customHeight="false" outlineLevel="0" collapsed="false">
      <c r="A801" s="23"/>
      <c r="B801" s="23"/>
      <c r="C801" s="23"/>
    </row>
    <row r="802" customFormat="false" ht="15" hidden="false" customHeight="false" outlineLevel="0" collapsed="false">
      <c r="A802" s="23"/>
      <c r="B802" s="23"/>
      <c r="C802" s="23"/>
    </row>
    <row r="803" customFormat="false" ht="15" hidden="false" customHeight="false" outlineLevel="0" collapsed="false">
      <c r="A803" s="23"/>
      <c r="B803" s="23"/>
      <c r="C803" s="23"/>
    </row>
    <row r="804" customFormat="false" ht="15" hidden="false" customHeight="false" outlineLevel="0" collapsed="false">
      <c r="A804" s="23"/>
      <c r="B804" s="23"/>
      <c r="C804" s="23"/>
    </row>
    <row r="805" customFormat="false" ht="15" hidden="false" customHeight="false" outlineLevel="0" collapsed="false">
      <c r="A805" s="23"/>
      <c r="B805" s="23"/>
      <c r="C805" s="23"/>
    </row>
    <row r="806" customFormat="false" ht="15" hidden="false" customHeight="false" outlineLevel="0" collapsed="false">
      <c r="A806" s="23"/>
      <c r="B806" s="23"/>
      <c r="C806" s="23"/>
    </row>
    <row r="807" customFormat="false" ht="15" hidden="false" customHeight="false" outlineLevel="0" collapsed="false">
      <c r="A807" s="23"/>
      <c r="B807" s="23"/>
      <c r="C807" s="23"/>
    </row>
    <row r="808" customFormat="false" ht="15" hidden="false" customHeight="false" outlineLevel="0" collapsed="false">
      <c r="A808" s="23"/>
      <c r="B808" s="23"/>
      <c r="C808" s="23"/>
    </row>
    <row r="809" customFormat="false" ht="15" hidden="false" customHeight="false" outlineLevel="0" collapsed="false">
      <c r="A809" s="23"/>
      <c r="B809" s="23"/>
      <c r="C809" s="23"/>
    </row>
    <row r="810" customFormat="false" ht="15" hidden="false" customHeight="false" outlineLevel="0" collapsed="false">
      <c r="A810" s="23"/>
      <c r="B810" s="23"/>
      <c r="C810" s="23"/>
    </row>
    <row r="811" customFormat="false" ht="15" hidden="false" customHeight="false" outlineLevel="0" collapsed="false">
      <c r="A811" s="23"/>
      <c r="B811" s="23"/>
      <c r="C811" s="23"/>
    </row>
    <row r="812" customFormat="false" ht="15" hidden="false" customHeight="false" outlineLevel="0" collapsed="false">
      <c r="A812" s="23"/>
      <c r="B812" s="23"/>
      <c r="C812" s="23"/>
    </row>
    <row r="813" customFormat="false" ht="15" hidden="false" customHeight="false" outlineLevel="0" collapsed="false">
      <c r="A813" s="23"/>
      <c r="B813" s="23"/>
      <c r="C813" s="23"/>
    </row>
    <row r="814" customFormat="false" ht="15" hidden="false" customHeight="false" outlineLevel="0" collapsed="false">
      <c r="A814" s="23"/>
      <c r="B814" s="23"/>
      <c r="C814" s="23"/>
    </row>
    <row r="815" customFormat="false" ht="15" hidden="false" customHeight="false" outlineLevel="0" collapsed="false">
      <c r="A815" s="23"/>
      <c r="B815" s="23"/>
      <c r="C815" s="23"/>
    </row>
    <row r="816" customFormat="false" ht="15" hidden="false" customHeight="false" outlineLevel="0" collapsed="false">
      <c r="A816" s="23"/>
      <c r="B816" s="23"/>
      <c r="C816" s="23"/>
    </row>
    <row r="817" customFormat="false" ht="15" hidden="false" customHeight="false" outlineLevel="0" collapsed="false">
      <c r="A817" s="23"/>
      <c r="B817" s="23"/>
      <c r="C817" s="23"/>
    </row>
    <row r="818" customFormat="false" ht="15" hidden="false" customHeight="false" outlineLevel="0" collapsed="false">
      <c r="A818" s="23"/>
      <c r="B818" s="23"/>
      <c r="C818" s="23"/>
    </row>
    <row r="819" customFormat="false" ht="15" hidden="false" customHeight="false" outlineLevel="0" collapsed="false">
      <c r="A819" s="23"/>
      <c r="B819" s="23"/>
      <c r="C819" s="23"/>
    </row>
    <row r="820" customFormat="false" ht="15" hidden="false" customHeight="false" outlineLevel="0" collapsed="false">
      <c r="A820" s="23"/>
      <c r="B820" s="23"/>
      <c r="C820" s="23"/>
    </row>
    <row r="821" customFormat="false" ht="15" hidden="false" customHeight="false" outlineLevel="0" collapsed="false">
      <c r="A821" s="23"/>
      <c r="B821" s="23"/>
      <c r="C821" s="23"/>
    </row>
    <row r="822" customFormat="false" ht="15" hidden="false" customHeight="false" outlineLevel="0" collapsed="false">
      <c r="A822" s="23"/>
      <c r="B822" s="23"/>
      <c r="C822" s="23"/>
    </row>
    <row r="823" customFormat="false" ht="15" hidden="false" customHeight="false" outlineLevel="0" collapsed="false">
      <c r="A823" s="23"/>
      <c r="B823" s="23"/>
      <c r="C823" s="23"/>
    </row>
    <row r="824" customFormat="false" ht="15" hidden="false" customHeight="false" outlineLevel="0" collapsed="false">
      <c r="A824" s="23"/>
      <c r="B824" s="23"/>
      <c r="C824" s="23"/>
    </row>
    <row r="825" customFormat="false" ht="15" hidden="false" customHeight="false" outlineLevel="0" collapsed="false">
      <c r="A825" s="23"/>
      <c r="B825" s="23"/>
      <c r="C825" s="23"/>
    </row>
    <row r="826" customFormat="false" ht="15" hidden="false" customHeight="false" outlineLevel="0" collapsed="false">
      <c r="A826" s="23"/>
      <c r="B826" s="23"/>
      <c r="C826" s="23"/>
    </row>
    <row r="827" customFormat="false" ht="15" hidden="false" customHeight="false" outlineLevel="0" collapsed="false">
      <c r="A827" s="23"/>
      <c r="B827" s="23"/>
      <c r="C827" s="23"/>
    </row>
    <row r="828" customFormat="false" ht="15" hidden="false" customHeight="false" outlineLevel="0" collapsed="false">
      <c r="A828" s="23"/>
      <c r="B828" s="23"/>
      <c r="C828" s="23"/>
    </row>
    <row r="829" customFormat="false" ht="15" hidden="false" customHeight="false" outlineLevel="0" collapsed="false">
      <c r="A829" s="23"/>
      <c r="B829" s="23"/>
      <c r="C829" s="23"/>
    </row>
    <row r="830" customFormat="false" ht="15" hidden="false" customHeight="false" outlineLevel="0" collapsed="false">
      <c r="A830" s="23"/>
      <c r="B830" s="23"/>
      <c r="C830" s="23"/>
    </row>
    <row r="831" customFormat="false" ht="15" hidden="false" customHeight="false" outlineLevel="0" collapsed="false">
      <c r="A831" s="23"/>
      <c r="B831" s="23"/>
      <c r="C831" s="23"/>
    </row>
    <row r="832" customFormat="false" ht="15" hidden="false" customHeight="false" outlineLevel="0" collapsed="false">
      <c r="A832" s="23"/>
      <c r="B832" s="23"/>
      <c r="C832" s="23"/>
    </row>
    <row r="833" customFormat="false" ht="15" hidden="false" customHeight="false" outlineLevel="0" collapsed="false">
      <c r="A833" s="23"/>
      <c r="B833" s="23"/>
      <c r="C833" s="23"/>
    </row>
    <row r="834" customFormat="false" ht="15" hidden="false" customHeight="false" outlineLevel="0" collapsed="false">
      <c r="A834" s="23"/>
      <c r="B834" s="23"/>
      <c r="C834" s="23"/>
    </row>
    <row r="835" customFormat="false" ht="15" hidden="false" customHeight="false" outlineLevel="0" collapsed="false">
      <c r="A835" s="23"/>
      <c r="B835" s="23"/>
      <c r="C835" s="23"/>
    </row>
    <row r="836" customFormat="false" ht="15" hidden="false" customHeight="false" outlineLevel="0" collapsed="false">
      <c r="A836" s="23"/>
      <c r="B836" s="23"/>
      <c r="C836" s="23"/>
    </row>
    <row r="837" customFormat="false" ht="15" hidden="false" customHeight="false" outlineLevel="0" collapsed="false">
      <c r="A837" s="23"/>
      <c r="B837" s="23"/>
      <c r="C837" s="23"/>
    </row>
    <row r="838" customFormat="false" ht="15" hidden="false" customHeight="false" outlineLevel="0" collapsed="false">
      <c r="A838" s="23"/>
      <c r="B838" s="23"/>
      <c r="C838" s="23"/>
    </row>
    <row r="839" customFormat="false" ht="15" hidden="false" customHeight="false" outlineLevel="0" collapsed="false">
      <c r="A839" s="23"/>
      <c r="B839" s="23"/>
      <c r="C839" s="23"/>
    </row>
    <row r="840" customFormat="false" ht="15" hidden="false" customHeight="false" outlineLevel="0" collapsed="false">
      <c r="A840" s="23"/>
      <c r="B840" s="23"/>
      <c r="C840" s="23"/>
    </row>
    <row r="841" customFormat="false" ht="15" hidden="false" customHeight="false" outlineLevel="0" collapsed="false">
      <c r="A841" s="23"/>
      <c r="B841" s="23"/>
      <c r="C841" s="23"/>
    </row>
    <row r="842" customFormat="false" ht="15" hidden="false" customHeight="false" outlineLevel="0" collapsed="false">
      <c r="A842" s="23"/>
      <c r="B842" s="23"/>
      <c r="C842" s="23"/>
    </row>
    <row r="843" customFormat="false" ht="15" hidden="false" customHeight="false" outlineLevel="0" collapsed="false">
      <c r="A843" s="23"/>
      <c r="B843" s="23"/>
      <c r="C843" s="23"/>
    </row>
    <row r="844" customFormat="false" ht="15" hidden="false" customHeight="false" outlineLevel="0" collapsed="false">
      <c r="A844" s="23"/>
      <c r="B844" s="23"/>
      <c r="C844" s="23"/>
    </row>
    <row r="845" customFormat="false" ht="15" hidden="false" customHeight="false" outlineLevel="0" collapsed="false">
      <c r="A845" s="23"/>
      <c r="B845" s="23"/>
      <c r="C845" s="23"/>
    </row>
    <row r="846" customFormat="false" ht="15" hidden="false" customHeight="false" outlineLevel="0" collapsed="false">
      <c r="A846" s="23"/>
      <c r="B846" s="23"/>
      <c r="C846" s="23"/>
    </row>
    <row r="847" customFormat="false" ht="15" hidden="false" customHeight="false" outlineLevel="0" collapsed="false">
      <c r="A847" s="23"/>
      <c r="B847" s="23"/>
      <c r="C847" s="23"/>
    </row>
    <row r="848" customFormat="false" ht="15" hidden="false" customHeight="false" outlineLevel="0" collapsed="false">
      <c r="A848" s="23"/>
      <c r="B848" s="23"/>
      <c r="C848" s="23"/>
    </row>
    <row r="849" customFormat="false" ht="15" hidden="false" customHeight="false" outlineLevel="0" collapsed="false">
      <c r="A849" s="23"/>
      <c r="B849" s="23"/>
      <c r="C849" s="23"/>
    </row>
    <row r="850" customFormat="false" ht="15" hidden="false" customHeight="false" outlineLevel="0" collapsed="false">
      <c r="A850" s="23"/>
      <c r="B850" s="23"/>
      <c r="C850" s="23"/>
    </row>
    <row r="851" customFormat="false" ht="15" hidden="false" customHeight="false" outlineLevel="0" collapsed="false">
      <c r="A851" s="23"/>
      <c r="B851" s="23"/>
      <c r="C851" s="23"/>
    </row>
    <row r="852" customFormat="false" ht="15" hidden="false" customHeight="false" outlineLevel="0" collapsed="false">
      <c r="A852" s="23"/>
      <c r="B852" s="23"/>
      <c r="C852" s="23"/>
    </row>
    <row r="853" customFormat="false" ht="15" hidden="false" customHeight="false" outlineLevel="0" collapsed="false">
      <c r="A853" s="23"/>
      <c r="B853" s="23"/>
      <c r="C853" s="23"/>
    </row>
    <row r="854" customFormat="false" ht="15" hidden="false" customHeight="false" outlineLevel="0" collapsed="false">
      <c r="A854" s="23"/>
      <c r="B854" s="23"/>
      <c r="C854" s="23"/>
    </row>
    <row r="855" customFormat="false" ht="15" hidden="false" customHeight="false" outlineLevel="0" collapsed="false">
      <c r="A855" s="23"/>
      <c r="B855" s="23"/>
      <c r="C855" s="23"/>
    </row>
    <row r="856" customFormat="false" ht="15" hidden="false" customHeight="false" outlineLevel="0" collapsed="false">
      <c r="A856" s="23"/>
      <c r="B856" s="23"/>
      <c r="C856" s="23"/>
    </row>
    <row r="857" customFormat="false" ht="15" hidden="false" customHeight="false" outlineLevel="0" collapsed="false">
      <c r="A857" s="23"/>
      <c r="B857" s="23"/>
      <c r="C857" s="23"/>
    </row>
    <row r="858" customFormat="false" ht="15" hidden="false" customHeight="false" outlineLevel="0" collapsed="false">
      <c r="A858" s="23"/>
      <c r="B858" s="23"/>
      <c r="C858" s="23"/>
    </row>
    <row r="859" customFormat="false" ht="15" hidden="false" customHeight="false" outlineLevel="0" collapsed="false">
      <c r="A859" s="23"/>
      <c r="B859" s="23"/>
      <c r="C859" s="23"/>
    </row>
    <row r="860" customFormat="false" ht="15" hidden="false" customHeight="false" outlineLevel="0" collapsed="false">
      <c r="A860" s="23"/>
      <c r="B860" s="23"/>
      <c r="C860" s="23"/>
    </row>
    <row r="861" customFormat="false" ht="15" hidden="false" customHeight="false" outlineLevel="0" collapsed="false">
      <c r="A861" s="23"/>
      <c r="B861" s="23"/>
      <c r="C861" s="23"/>
    </row>
    <row r="862" customFormat="false" ht="15" hidden="false" customHeight="false" outlineLevel="0" collapsed="false">
      <c r="A862" s="23"/>
      <c r="B862" s="23"/>
      <c r="C862" s="23"/>
    </row>
    <row r="863" customFormat="false" ht="15" hidden="false" customHeight="false" outlineLevel="0" collapsed="false">
      <c r="A863" s="23"/>
      <c r="B863" s="23"/>
      <c r="C863" s="23"/>
    </row>
    <row r="864" customFormat="false" ht="15" hidden="false" customHeight="false" outlineLevel="0" collapsed="false">
      <c r="A864" s="23"/>
      <c r="B864" s="23"/>
      <c r="C864" s="23"/>
    </row>
    <row r="865" customFormat="false" ht="15" hidden="false" customHeight="false" outlineLevel="0" collapsed="false">
      <c r="A865" s="23"/>
      <c r="B865" s="23"/>
      <c r="C865" s="23"/>
    </row>
    <row r="866" customFormat="false" ht="15" hidden="false" customHeight="false" outlineLevel="0" collapsed="false">
      <c r="A866" s="23"/>
      <c r="B866" s="23"/>
      <c r="C866" s="23"/>
    </row>
    <row r="867" customFormat="false" ht="15" hidden="false" customHeight="false" outlineLevel="0" collapsed="false">
      <c r="A867" s="23"/>
      <c r="B867" s="23"/>
      <c r="C867" s="23"/>
    </row>
    <row r="868" customFormat="false" ht="15" hidden="false" customHeight="false" outlineLevel="0" collapsed="false">
      <c r="A868" s="23"/>
      <c r="B868" s="23"/>
      <c r="C868" s="23"/>
    </row>
    <row r="869" customFormat="false" ht="15" hidden="false" customHeight="false" outlineLevel="0" collapsed="false">
      <c r="A869" s="23"/>
      <c r="B869" s="23"/>
      <c r="C869" s="23"/>
    </row>
    <row r="870" customFormat="false" ht="15" hidden="false" customHeight="false" outlineLevel="0" collapsed="false">
      <c r="A870" s="23"/>
      <c r="B870" s="23"/>
      <c r="C870" s="23"/>
    </row>
    <row r="871" customFormat="false" ht="15" hidden="false" customHeight="false" outlineLevel="0" collapsed="false">
      <c r="A871" s="23"/>
      <c r="B871" s="23"/>
      <c r="C871" s="23"/>
    </row>
    <row r="872" customFormat="false" ht="15" hidden="false" customHeight="false" outlineLevel="0" collapsed="false">
      <c r="A872" s="23"/>
      <c r="B872" s="23"/>
      <c r="C872" s="23"/>
    </row>
    <row r="873" customFormat="false" ht="15" hidden="false" customHeight="false" outlineLevel="0" collapsed="false">
      <c r="A873" s="23"/>
      <c r="B873" s="23"/>
      <c r="C873" s="23"/>
    </row>
    <row r="874" customFormat="false" ht="15" hidden="false" customHeight="false" outlineLevel="0" collapsed="false">
      <c r="A874" s="23"/>
      <c r="B874" s="23"/>
      <c r="C874" s="23"/>
    </row>
    <row r="875" customFormat="false" ht="15" hidden="false" customHeight="false" outlineLevel="0" collapsed="false">
      <c r="A875" s="23"/>
      <c r="B875" s="23"/>
      <c r="C875" s="23"/>
    </row>
    <row r="876" customFormat="false" ht="15" hidden="false" customHeight="false" outlineLevel="0" collapsed="false">
      <c r="A876" s="23"/>
      <c r="B876" s="23"/>
      <c r="C876" s="23"/>
    </row>
    <row r="877" customFormat="false" ht="15" hidden="false" customHeight="false" outlineLevel="0" collapsed="false">
      <c r="A877" s="23"/>
      <c r="B877" s="23"/>
      <c r="C877" s="23"/>
    </row>
    <row r="878" customFormat="false" ht="15" hidden="false" customHeight="false" outlineLevel="0" collapsed="false">
      <c r="A878" s="23"/>
      <c r="B878" s="23"/>
      <c r="C878" s="23"/>
    </row>
    <row r="879" customFormat="false" ht="15" hidden="false" customHeight="false" outlineLevel="0" collapsed="false">
      <c r="A879" s="23"/>
      <c r="B879" s="23"/>
      <c r="C879" s="23"/>
    </row>
    <row r="880" customFormat="false" ht="15" hidden="false" customHeight="false" outlineLevel="0" collapsed="false">
      <c r="A880" s="23"/>
      <c r="B880" s="23"/>
      <c r="C880" s="23"/>
    </row>
    <row r="881" customFormat="false" ht="15" hidden="false" customHeight="false" outlineLevel="0" collapsed="false">
      <c r="A881" s="23"/>
      <c r="B881" s="23"/>
      <c r="C881" s="23"/>
    </row>
    <row r="882" customFormat="false" ht="15" hidden="false" customHeight="false" outlineLevel="0" collapsed="false">
      <c r="A882" s="23"/>
      <c r="B882" s="23"/>
      <c r="C882" s="23"/>
    </row>
    <row r="883" customFormat="false" ht="15" hidden="false" customHeight="false" outlineLevel="0" collapsed="false">
      <c r="A883" s="23"/>
      <c r="B883" s="23"/>
      <c r="C883" s="23"/>
    </row>
    <row r="884" customFormat="false" ht="15" hidden="false" customHeight="false" outlineLevel="0" collapsed="false">
      <c r="A884" s="23"/>
      <c r="B884" s="23"/>
      <c r="C884" s="23"/>
    </row>
    <row r="885" customFormat="false" ht="15" hidden="false" customHeight="false" outlineLevel="0" collapsed="false">
      <c r="A885" s="23"/>
      <c r="B885" s="23"/>
      <c r="C885" s="23"/>
    </row>
    <row r="886" customFormat="false" ht="15" hidden="false" customHeight="false" outlineLevel="0" collapsed="false">
      <c r="A886" s="23"/>
      <c r="B886" s="23"/>
      <c r="C886" s="23"/>
    </row>
    <row r="887" customFormat="false" ht="15" hidden="false" customHeight="false" outlineLevel="0" collapsed="false">
      <c r="A887" s="23"/>
      <c r="B887" s="23"/>
      <c r="C887" s="23"/>
    </row>
    <row r="888" customFormat="false" ht="15" hidden="false" customHeight="false" outlineLevel="0" collapsed="false">
      <c r="A888" s="23"/>
      <c r="B888" s="23"/>
      <c r="C888" s="23"/>
    </row>
    <row r="889" customFormat="false" ht="15" hidden="false" customHeight="false" outlineLevel="0" collapsed="false">
      <c r="A889" s="23"/>
      <c r="B889" s="23"/>
      <c r="C889" s="23"/>
    </row>
    <row r="890" customFormat="false" ht="15" hidden="false" customHeight="false" outlineLevel="0" collapsed="false">
      <c r="A890" s="23"/>
      <c r="B890" s="23"/>
      <c r="C890" s="23"/>
    </row>
    <row r="891" customFormat="false" ht="15" hidden="false" customHeight="false" outlineLevel="0" collapsed="false">
      <c r="A891" s="23"/>
      <c r="B891" s="23"/>
      <c r="C891" s="23"/>
    </row>
    <row r="892" customFormat="false" ht="15" hidden="false" customHeight="false" outlineLevel="0" collapsed="false">
      <c r="A892" s="23"/>
      <c r="B892" s="23"/>
      <c r="C892" s="23"/>
    </row>
    <row r="893" customFormat="false" ht="15" hidden="false" customHeight="false" outlineLevel="0" collapsed="false">
      <c r="A893" s="23"/>
      <c r="B893" s="23"/>
      <c r="C893" s="23"/>
    </row>
    <row r="894" customFormat="false" ht="15" hidden="false" customHeight="false" outlineLevel="0" collapsed="false">
      <c r="A894" s="23"/>
      <c r="B894" s="23"/>
      <c r="C894" s="23"/>
    </row>
    <row r="895" customFormat="false" ht="15" hidden="false" customHeight="false" outlineLevel="0" collapsed="false">
      <c r="A895" s="23"/>
      <c r="B895" s="23"/>
      <c r="C895" s="23"/>
    </row>
    <row r="896" customFormat="false" ht="15" hidden="false" customHeight="false" outlineLevel="0" collapsed="false">
      <c r="A896" s="23"/>
      <c r="B896" s="23"/>
      <c r="C896" s="23"/>
    </row>
    <row r="897" customFormat="false" ht="15" hidden="false" customHeight="false" outlineLevel="0" collapsed="false">
      <c r="A897" s="23"/>
      <c r="B897" s="23"/>
      <c r="C897" s="23"/>
    </row>
    <row r="898" customFormat="false" ht="15" hidden="false" customHeight="false" outlineLevel="0" collapsed="false">
      <c r="A898" s="23"/>
      <c r="B898" s="23"/>
      <c r="C898" s="23"/>
    </row>
    <row r="899" customFormat="false" ht="15" hidden="false" customHeight="false" outlineLevel="0" collapsed="false">
      <c r="A899" s="23"/>
      <c r="B899" s="23"/>
      <c r="C899" s="23"/>
    </row>
    <row r="900" customFormat="false" ht="15" hidden="false" customHeight="false" outlineLevel="0" collapsed="false">
      <c r="A900" s="23"/>
      <c r="B900" s="23"/>
      <c r="C900" s="23"/>
    </row>
    <row r="901" customFormat="false" ht="15" hidden="false" customHeight="false" outlineLevel="0" collapsed="false">
      <c r="A901" s="23"/>
      <c r="B901" s="23"/>
      <c r="C901" s="23"/>
    </row>
    <row r="902" customFormat="false" ht="15" hidden="false" customHeight="false" outlineLevel="0" collapsed="false">
      <c r="A902" s="23"/>
      <c r="B902" s="23"/>
      <c r="C902" s="23"/>
    </row>
    <row r="903" customFormat="false" ht="15" hidden="false" customHeight="false" outlineLevel="0" collapsed="false">
      <c r="A903" s="23"/>
      <c r="B903" s="23"/>
      <c r="C903" s="23"/>
    </row>
    <row r="904" customFormat="false" ht="15" hidden="false" customHeight="false" outlineLevel="0" collapsed="false">
      <c r="A904" s="23"/>
      <c r="B904" s="23"/>
      <c r="C904" s="23"/>
    </row>
    <row r="905" customFormat="false" ht="15" hidden="false" customHeight="false" outlineLevel="0" collapsed="false">
      <c r="A905" s="23"/>
      <c r="B905" s="23"/>
      <c r="C905" s="23"/>
    </row>
    <row r="906" customFormat="false" ht="15" hidden="false" customHeight="false" outlineLevel="0" collapsed="false">
      <c r="A906" s="23"/>
      <c r="B906" s="23"/>
      <c r="C906" s="23"/>
    </row>
    <row r="907" customFormat="false" ht="15" hidden="false" customHeight="false" outlineLevel="0" collapsed="false">
      <c r="A907" s="23"/>
      <c r="B907" s="23"/>
      <c r="C907" s="23"/>
    </row>
    <row r="908" customFormat="false" ht="15" hidden="false" customHeight="false" outlineLevel="0" collapsed="false">
      <c r="A908" s="23"/>
      <c r="B908" s="23"/>
      <c r="C908" s="23"/>
    </row>
    <row r="909" customFormat="false" ht="15" hidden="false" customHeight="false" outlineLevel="0" collapsed="false">
      <c r="A909" s="23"/>
      <c r="B909" s="23"/>
      <c r="C909" s="23"/>
    </row>
    <row r="910" customFormat="false" ht="15" hidden="false" customHeight="false" outlineLevel="0" collapsed="false">
      <c r="A910" s="23"/>
      <c r="B910" s="23"/>
      <c r="C910" s="23"/>
    </row>
    <row r="911" customFormat="false" ht="15" hidden="false" customHeight="false" outlineLevel="0" collapsed="false">
      <c r="A911" s="23"/>
      <c r="B911" s="23"/>
      <c r="C911" s="23"/>
    </row>
    <row r="912" customFormat="false" ht="15" hidden="false" customHeight="false" outlineLevel="0" collapsed="false">
      <c r="A912" s="23"/>
      <c r="B912" s="23"/>
      <c r="C912" s="23"/>
    </row>
    <row r="913" customFormat="false" ht="15" hidden="false" customHeight="false" outlineLevel="0" collapsed="false">
      <c r="A913" s="23"/>
      <c r="B913" s="23"/>
      <c r="C913" s="23"/>
    </row>
    <row r="914" customFormat="false" ht="15" hidden="false" customHeight="false" outlineLevel="0" collapsed="false">
      <c r="A914" s="23"/>
      <c r="B914" s="23"/>
      <c r="C914" s="23"/>
    </row>
    <row r="915" customFormat="false" ht="15" hidden="false" customHeight="false" outlineLevel="0" collapsed="false">
      <c r="A915" s="23"/>
      <c r="B915" s="23"/>
      <c r="C915" s="23"/>
    </row>
    <row r="916" customFormat="false" ht="15" hidden="false" customHeight="false" outlineLevel="0" collapsed="false">
      <c r="A916" s="23"/>
      <c r="B916" s="23"/>
      <c r="C916" s="23"/>
    </row>
    <row r="917" customFormat="false" ht="15" hidden="false" customHeight="false" outlineLevel="0" collapsed="false">
      <c r="A917" s="23"/>
      <c r="B917" s="23"/>
      <c r="C917" s="23"/>
    </row>
    <row r="918" customFormat="false" ht="15" hidden="false" customHeight="false" outlineLevel="0" collapsed="false">
      <c r="A918" s="23"/>
      <c r="B918" s="23"/>
      <c r="C918" s="23"/>
    </row>
    <row r="919" customFormat="false" ht="15" hidden="false" customHeight="false" outlineLevel="0" collapsed="false">
      <c r="A919" s="23"/>
      <c r="B919" s="23"/>
      <c r="C919" s="23"/>
    </row>
    <row r="920" customFormat="false" ht="15" hidden="false" customHeight="false" outlineLevel="0" collapsed="false">
      <c r="A920" s="23"/>
      <c r="B920" s="23"/>
      <c r="C920" s="23"/>
    </row>
    <row r="921" customFormat="false" ht="15" hidden="false" customHeight="false" outlineLevel="0" collapsed="false">
      <c r="A921" s="23"/>
      <c r="B921" s="23"/>
      <c r="C921" s="23"/>
    </row>
    <row r="922" customFormat="false" ht="15" hidden="false" customHeight="false" outlineLevel="0" collapsed="false">
      <c r="A922" s="23"/>
      <c r="B922" s="23"/>
      <c r="C922" s="23"/>
    </row>
    <row r="923" customFormat="false" ht="15" hidden="false" customHeight="false" outlineLevel="0" collapsed="false">
      <c r="A923" s="23"/>
      <c r="B923" s="23"/>
      <c r="C923" s="23"/>
    </row>
    <row r="924" customFormat="false" ht="15" hidden="false" customHeight="false" outlineLevel="0" collapsed="false">
      <c r="A924" s="23"/>
      <c r="B924" s="23"/>
      <c r="C924" s="23"/>
    </row>
    <row r="925" customFormat="false" ht="15" hidden="false" customHeight="false" outlineLevel="0" collapsed="false">
      <c r="A925" s="23"/>
      <c r="B925" s="23"/>
      <c r="C925" s="23"/>
    </row>
    <row r="926" customFormat="false" ht="15" hidden="false" customHeight="false" outlineLevel="0" collapsed="false">
      <c r="A926" s="23"/>
      <c r="B926" s="23"/>
      <c r="C926" s="23"/>
    </row>
    <row r="927" customFormat="false" ht="15" hidden="false" customHeight="false" outlineLevel="0" collapsed="false">
      <c r="A927" s="23"/>
      <c r="B927" s="23"/>
      <c r="C927" s="23"/>
    </row>
    <row r="928" customFormat="false" ht="15" hidden="false" customHeight="false" outlineLevel="0" collapsed="false">
      <c r="A928" s="23"/>
      <c r="B928" s="23"/>
      <c r="C928" s="23"/>
    </row>
    <row r="929" customFormat="false" ht="15" hidden="false" customHeight="false" outlineLevel="0" collapsed="false">
      <c r="A929" s="23"/>
      <c r="B929" s="23"/>
      <c r="C929" s="23"/>
    </row>
    <row r="930" customFormat="false" ht="15" hidden="false" customHeight="false" outlineLevel="0" collapsed="false">
      <c r="A930" s="23"/>
      <c r="B930" s="23"/>
      <c r="C930" s="23"/>
    </row>
    <row r="931" customFormat="false" ht="15" hidden="false" customHeight="false" outlineLevel="0" collapsed="false">
      <c r="A931" s="23"/>
      <c r="B931" s="23"/>
      <c r="C931" s="23"/>
    </row>
    <row r="932" customFormat="false" ht="15" hidden="false" customHeight="false" outlineLevel="0" collapsed="false">
      <c r="A932" s="23"/>
      <c r="B932" s="23"/>
      <c r="C932" s="23"/>
    </row>
    <row r="933" customFormat="false" ht="15" hidden="false" customHeight="false" outlineLevel="0" collapsed="false">
      <c r="A933" s="23"/>
      <c r="B933" s="23"/>
      <c r="C933" s="23"/>
    </row>
    <row r="934" customFormat="false" ht="15" hidden="false" customHeight="false" outlineLevel="0" collapsed="false">
      <c r="A934" s="23"/>
      <c r="B934" s="23"/>
      <c r="C934" s="23"/>
    </row>
    <row r="935" customFormat="false" ht="15" hidden="false" customHeight="false" outlineLevel="0" collapsed="false">
      <c r="A935" s="23"/>
      <c r="B935" s="23"/>
      <c r="C935" s="23"/>
    </row>
    <row r="936" customFormat="false" ht="15" hidden="false" customHeight="false" outlineLevel="0" collapsed="false">
      <c r="A936" s="23"/>
      <c r="B936" s="23"/>
      <c r="C936" s="23"/>
    </row>
    <row r="937" customFormat="false" ht="15" hidden="false" customHeight="false" outlineLevel="0" collapsed="false">
      <c r="A937" s="23"/>
      <c r="B937" s="23"/>
      <c r="C937" s="23"/>
    </row>
    <row r="938" customFormat="false" ht="15" hidden="false" customHeight="false" outlineLevel="0" collapsed="false">
      <c r="A938" s="23"/>
      <c r="B938" s="23"/>
      <c r="C938" s="23"/>
    </row>
    <row r="939" customFormat="false" ht="15" hidden="false" customHeight="false" outlineLevel="0" collapsed="false">
      <c r="A939" s="23"/>
      <c r="B939" s="23"/>
      <c r="C939" s="23"/>
    </row>
    <row r="940" customFormat="false" ht="15" hidden="false" customHeight="false" outlineLevel="0" collapsed="false">
      <c r="A940" s="23"/>
      <c r="B940" s="23"/>
      <c r="C940" s="23"/>
    </row>
    <row r="941" customFormat="false" ht="15" hidden="false" customHeight="false" outlineLevel="0" collapsed="false">
      <c r="A941" s="23"/>
      <c r="B941" s="23"/>
      <c r="C941" s="23"/>
    </row>
    <row r="942" customFormat="false" ht="15" hidden="false" customHeight="false" outlineLevel="0" collapsed="false">
      <c r="A942" s="23"/>
      <c r="B942" s="23"/>
      <c r="C942" s="23"/>
    </row>
    <row r="943" customFormat="false" ht="15" hidden="false" customHeight="false" outlineLevel="0" collapsed="false">
      <c r="A943" s="23"/>
      <c r="B943" s="23"/>
      <c r="C943" s="23"/>
    </row>
    <row r="944" customFormat="false" ht="15" hidden="false" customHeight="false" outlineLevel="0" collapsed="false">
      <c r="A944" s="23"/>
      <c r="B944" s="23"/>
      <c r="C944" s="23"/>
    </row>
    <row r="945" customFormat="false" ht="15" hidden="false" customHeight="false" outlineLevel="0" collapsed="false">
      <c r="A945" s="23"/>
      <c r="B945" s="23"/>
      <c r="C945" s="23"/>
    </row>
    <row r="946" customFormat="false" ht="15" hidden="false" customHeight="false" outlineLevel="0" collapsed="false">
      <c r="A946" s="23"/>
      <c r="B946" s="23"/>
      <c r="C946" s="23"/>
    </row>
    <row r="947" customFormat="false" ht="15" hidden="false" customHeight="false" outlineLevel="0" collapsed="false">
      <c r="A947" s="23"/>
      <c r="B947" s="23"/>
      <c r="C947" s="23"/>
    </row>
    <row r="948" customFormat="false" ht="15" hidden="false" customHeight="false" outlineLevel="0" collapsed="false">
      <c r="A948" s="23"/>
      <c r="B948" s="23"/>
      <c r="C948" s="23"/>
    </row>
    <row r="949" customFormat="false" ht="15" hidden="false" customHeight="false" outlineLevel="0" collapsed="false">
      <c r="A949" s="23"/>
      <c r="B949" s="23"/>
      <c r="C949" s="23"/>
    </row>
    <row r="950" customFormat="false" ht="15" hidden="false" customHeight="false" outlineLevel="0" collapsed="false">
      <c r="A950" s="23"/>
      <c r="B950" s="23"/>
      <c r="C950" s="23"/>
    </row>
    <row r="951" customFormat="false" ht="15" hidden="false" customHeight="false" outlineLevel="0" collapsed="false">
      <c r="A951" s="23"/>
      <c r="B951" s="23"/>
      <c r="C951" s="23"/>
    </row>
    <row r="952" customFormat="false" ht="15" hidden="false" customHeight="false" outlineLevel="0" collapsed="false">
      <c r="A952" s="23"/>
      <c r="B952" s="23"/>
      <c r="C952" s="23"/>
    </row>
    <row r="953" customFormat="false" ht="15" hidden="false" customHeight="false" outlineLevel="0" collapsed="false">
      <c r="A953" s="23"/>
      <c r="B953" s="23"/>
      <c r="C953" s="23"/>
    </row>
    <row r="954" customFormat="false" ht="15" hidden="false" customHeight="false" outlineLevel="0" collapsed="false">
      <c r="A954" s="23"/>
      <c r="B954" s="23"/>
      <c r="C954" s="23"/>
    </row>
    <row r="955" customFormat="false" ht="15" hidden="false" customHeight="false" outlineLevel="0" collapsed="false">
      <c r="A955" s="23"/>
      <c r="B955" s="23"/>
      <c r="C955" s="23"/>
    </row>
    <row r="956" customFormat="false" ht="15" hidden="false" customHeight="false" outlineLevel="0" collapsed="false">
      <c r="A956" s="23"/>
      <c r="B956" s="23"/>
      <c r="C956" s="23"/>
    </row>
    <row r="957" customFormat="false" ht="15" hidden="false" customHeight="false" outlineLevel="0" collapsed="false">
      <c r="A957" s="23"/>
      <c r="B957" s="23"/>
      <c r="C957" s="23"/>
    </row>
    <row r="958" customFormat="false" ht="15" hidden="false" customHeight="false" outlineLevel="0" collapsed="false">
      <c r="A958" s="23"/>
      <c r="B958" s="23"/>
      <c r="C958" s="23"/>
    </row>
    <row r="959" customFormat="false" ht="15" hidden="false" customHeight="false" outlineLevel="0" collapsed="false">
      <c r="A959" s="23"/>
      <c r="B959" s="23"/>
      <c r="C959" s="23"/>
    </row>
    <row r="960" customFormat="false" ht="15" hidden="false" customHeight="false" outlineLevel="0" collapsed="false">
      <c r="A960" s="23"/>
      <c r="B960" s="23"/>
      <c r="C960" s="23"/>
    </row>
    <row r="961" customFormat="false" ht="15" hidden="false" customHeight="false" outlineLevel="0" collapsed="false">
      <c r="A961" s="23"/>
      <c r="B961" s="23"/>
      <c r="C961" s="23"/>
    </row>
    <row r="962" customFormat="false" ht="15" hidden="false" customHeight="false" outlineLevel="0" collapsed="false">
      <c r="A962" s="23"/>
      <c r="B962" s="23"/>
      <c r="C962" s="23"/>
    </row>
    <row r="963" customFormat="false" ht="15" hidden="false" customHeight="false" outlineLevel="0" collapsed="false">
      <c r="A963" s="23"/>
      <c r="B963" s="23"/>
      <c r="C963" s="23"/>
    </row>
    <row r="964" customFormat="false" ht="15" hidden="false" customHeight="false" outlineLevel="0" collapsed="false">
      <c r="A964" s="23"/>
      <c r="B964" s="23"/>
      <c r="C964" s="23"/>
    </row>
    <row r="965" customFormat="false" ht="15" hidden="false" customHeight="false" outlineLevel="0" collapsed="false">
      <c r="A965" s="23"/>
      <c r="B965" s="23"/>
      <c r="C965" s="23"/>
    </row>
    <row r="966" customFormat="false" ht="15" hidden="false" customHeight="false" outlineLevel="0" collapsed="false">
      <c r="A966" s="23"/>
      <c r="B966" s="23"/>
      <c r="C966" s="23"/>
    </row>
    <row r="967" customFormat="false" ht="15" hidden="false" customHeight="false" outlineLevel="0" collapsed="false">
      <c r="A967" s="23"/>
      <c r="B967" s="23"/>
      <c r="C967" s="23"/>
    </row>
    <row r="968" customFormat="false" ht="15" hidden="false" customHeight="false" outlineLevel="0" collapsed="false">
      <c r="A968" s="23"/>
      <c r="B968" s="23"/>
      <c r="C968" s="23"/>
    </row>
    <row r="969" customFormat="false" ht="15" hidden="false" customHeight="false" outlineLevel="0" collapsed="false">
      <c r="A969" s="23"/>
      <c r="B969" s="23"/>
      <c r="C969" s="23"/>
    </row>
    <row r="970" customFormat="false" ht="15" hidden="false" customHeight="false" outlineLevel="0" collapsed="false">
      <c r="A970" s="23"/>
      <c r="B970" s="23"/>
      <c r="C970" s="23"/>
    </row>
    <row r="971" customFormat="false" ht="15" hidden="false" customHeight="false" outlineLevel="0" collapsed="false">
      <c r="A971" s="23"/>
      <c r="B971" s="23"/>
      <c r="C971" s="23"/>
    </row>
    <row r="972" customFormat="false" ht="15" hidden="false" customHeight="false" outlineLevel="0" collapsed="false">
      <c r="A972" s="23"/>
      <c r="B972" s="23"/>
      <c r="C972" s="23"/>
    </row>
    <row r="973" customFormat="false" ht="15" hidden="false" customHeight="false" outlineLevel="0" collapsed="false">
      <c r="A973" s="23"/>
      <c r="B973" s="23"/>
      <c r="C973" s="23"/>
    </row>
    <row r="974" customFormat="false" ht="15" hidden="false" customHeight="false" outlineLevel="0" collapsed="false">
      <c r="A974" s="23"/>
      <c r="B974" s="23"/>
      <c r="C974" s="23"/>
    </row>
    <row r="975" customFormat="false" ht="15" hidden="false" customHeight="false" outlineLevel="0" collapsed="false">
      <c r="A975" s="23"/>
      <c r="B975" s="23"/>
      <c r="C975" s="23"/>
    </row>
    <row r="976" customFormat="false" ht="15" hidden="false" customHeight="false" outlineLevel="0" collapsed="false">
      <c r="A976" s="23"/>
      <c r="B976" s="23"/>
      <c r="C976" s="23"/>
    </row>
    <row r="977" customFormat="false" ht="15" hidden="false" customHeight="false" outlineLevel="0" collapsed="false">
      <c r="A977" s="23"/>
      <c r="B977" s="23"/>
      <c r="C977" s="23"/>
    </row>
    <row r="978" customFormat="false" ht="15" hidden="false" customHeight="false" outlineLevel="0" collapsed="false">
      <c r="A978" s="23"/>
      <c r="B978" s="23"/>
      <c r="C978" s="23"/>
    </row>
    <row r="979" customFormat="false" ht="15" hidden="false" customHeight="false" outlineLevel="0" collapsed="false">
      <c r="A979" s="23"/>
      <c r="B979" s="23"/>
      <c r="C979" s="23"/>
    </row>
    <row r="980" customFormat="false" ht="15" hidden="false" customHeight="false" outlineLevel="0" collapsed="false">
      <c r="A980" s="23"/>
      <c r="B980" s="23"/>
      <c r="C980" s="23"/>
    </row>
    <row r="981" customFormat="false" ht="15" hidden="false" customHeight="false" outlineLevel="0" collapsed="false">
      <c r="A981" s="23"/>
      <c r="B981" s="23"/>
      <c r="C981" s="23"/>
    </row>
    <row r="982" customFormat="false" ht="15" hidden="false" customHeight="false" outlineLevel="0" collapsed="false">
      <c r="A982" s="23"/>
      <c r="B982" s="23"/>
      <c r="C982" s="23"/>
    </row>
    <row r="983" customFormat="false" ht="15" hidden="false" customHeight="false" outlineLevel="0" collapsed="false">
      <c r="A983" s="23"/>
      <c r="B983" s="23"/>
      <c r="C983" s="23"/>
    </row>
    <row r="984" customFormat="false" ht="15" hidden="false" customHeight="false" outlineLevel="0" collapsed="false">
      <c r="A984" s="23"/>
      <c r="B984" s="23"/>
      <c r="C984" s="23"/>
    </row>
    <row r="985" customFormat="false" ht="15" hidden="false" customHeight="false" outlineLevel="0" collapsed="false">
      <c r="A985" s="23"/>
      <c r="B985" s="23"/>
      <c r="C985" s="23"/>
    </row>
    <row r="986" customFormat="false" ht="15" hidden="false" customHeight="false" outlineLevel="0" collapsed="false">
      <c r="A986" s="23"/>
      <c r="B986" s="23"/>
      <c r="C986" s="23"/>
    </row>
    <row r="987" customFormat="false" ht="15" hidden="false" customHeight="false" outlineLevel="0" collapsed="false">
      <c r="A987" s="23"/>
      <c r="B987" s="23"/>
      <c r="C987" s="23"/>
    </row>
    <row r="988" customFormat="false" ht="15" hidden="false" customHeight="false" outlineLevel="0" collapsed="false">
      <c r="A988" s="23"/>
      <c r="B988" s="23"/>
      <c r="C988" s="23"/>
    </row>
    <row r="989" customFormat="false" ht="15" hidden="false" customHeight="false" outlineLevel="0" collapsed="false">
      <c r="A989" s="23"/>
      <c r="B989" s="23"/>
      <c r="C989" s="23"/>
    </row>
    <row r="990" customFormat="false" ht="15" hidden="false" customHeight="false" outlineLevel="0" collapsed="false">
      <c r="A990" s="23"/>
      <c r="B990" s="23"/>
      <c r="C990" s="23"/>
    </row>
    <row r="991" customFormat="false" ht="15" hidden="false" customHeight="false" outlineLevel="0" collapsed="false">
      <c r="A991" s="23"/>
      <c r="B991" s="23"/>
      <c r="C991" s="23"/>
    </row>
    <row r="992" customFormat="false" ht="15" hidden="false" customHeight="false" outlineLevel="0" collapsed="false">
      <c r="A992" s="23"/>
      <c r="B992" s="23"/>
      <c r="C992" s="23"/>
    </row>
    <row r="993" customFormat="false" ht="15" hidden="false" customHeight="false" outlineLevel="0" collapsed="false">
      <c r="A993" s="23"/>
      <c r="B993" s="23"/>
      <c r="C993" s="23"/>
    </row>
    <row r="994" customFormat="false" ht="15" hidden="false" customHeight="false" outlineLevel="0" collapsed="false">
      <c r="A994" s="23"/>
      <c r="B994" s="23"/>
      <c r="C994" s="23"/>
    </row>
    <row r="995" customFormat="false" ht="15" hidden="false" customHeight="false" outlineLevel="0" collapsed="false">
      <c r="A995" s="23"/>
      <c r="B995" s="23"/>
      <c r="C995" s="23"/>
    </row>
    <row r="996" customFormat="false" ht="15" hidden="false" customHeight="false" outlineLevel="0" collapsed="false">
      <c r="A996" s="23"/>
      <c r="B996" s="23"/>
      <c r="C996" s="23"/>
    </row>
    <row r="997" customFormat="false" ht="15" hidden="false" customHeight="false" outlineLevel="0" collapsed="false">
      <c r="A997" s="23"/>
      <c r="B997" s="23"/>
      <c r="C997" s="23"/>
    </row>
    <row r="998" customFormat="false" ht="15" hidden="false" customHeight="false" outlineLevel="0" collapsed="false">
      <c r="A998" s="23"/>
      <c r="B998" s="23"/>
      <c r="C998" s="23"/>
    </row>
    <row r="999" customFormat="false" ht="15" hidden="false" customHeight="false" outlineLevel="0" collapsed="false">
      <c r="A999" s="23"/>
      <c r="B999" s="23"/>
      <c r="C999" s="23"/>
    </row>
    <row r="1000" customFormat="false" ht="15" hidden="false" customHeight="false" outlineLevel="0" collapsed="false">
      <c r="A1000" s="23"/>
      <c r="B1000" s="23"/>
      <c r="C1000" s="23"/>
    </row>
    <row r="1001" customFormat="false" ht="15" hidden="false" customHeight="false" outlineLevel="0" collapsed="false">
      <c r="A1001" s="23"/>
      <c r="B1001" s="23"/>
      <c r="C1001" s="23"/>
    </row>
    <row r="1002" customFormat="false" ht="15" hidden="false" customHeight="false" outlineLevel="0" collapsed="false">
      <c r="A1002" s="23"/>
      <c r="B1002" s="23"/>
      <c r="C1002" s="23"/>
    </row>
    <row r="1003" customFormat="false" ht="15" hidden="false" customHeight="false" outlineLevel="0" collapsed="false">
      <c r="A1003" s="23"/>
      <c r="B1003" s="23"/>
      <c r="C1003" s="23"/>
    </row>
    <row r="1004" customFormat="false" ht="15" hidden="false" customHeight="false" outlineLevel="0" collapsed="false">
      <c r="A1004" s="23"/>
      <c r="B1004" s="23"/>
      <c r="C1004" s="23"/>
    </row>
    <row r="1006" customFormat="false" ht="19.5" hidden="false" customHeight="true" outlineLevel="0" collapsed="false">
      <c r="A1006" s="11" t="s">
        <v>58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A6:C6">
    <cfRule type="expression" priority="2" aboveAverage="0" equalAverage="0" bottom="0" percent="0" rank="0" text="" dxfId="0">
      <formula>$B6&lt;SinirDeger</formula>
    </cfRule>
    <cfRule type="expression" priority="3" aboveAverage="0" equalAverage="0" bottom="0" percent="0" rank="0" text="" dxfId="2">
      <formula>$B6&gt;=SinirDeger</formula>
    </cfRule>
  </conditionalFormatting>
  <conditionalFormatting sqref="A7:C7">
    <cfRule type="expression" priority="4" aboveAverage="0" equalAverage="0" bottom="0" percent="0" rank="0" text="" dxfId="0">
      <formula>$B7&lt;SinirDeger</formula>
    </cfRule>
    <cfRule type="expression" priority="5" aboveAverage="0" equalAverage="0" bottom="0" percent="0" rank="0" text="" dxfId="2">
      <formula>$B7&gt;=SinirDeger</formula>
    </cfRule>
  </conditionalFormatting>
  <conditionalFormatting sqref="A8:C8">
    <cfRule type="expression" priority="6" aboveAverage="0" equalAverage="0" bottom="0" percent="0" rank="0" text="" dxfId="0">
      <formula>$B8&lt;SinirDeger</formula>
    </cfRule>
    <cfRule type="expression" priority="7" aboveAverage="0" equalAverage="0" bottom="0" percent="0" rank="0" text="" dxfId="2">
      <formula>$B8&gt;=SinirDeger</formula>
    </cfRule>
  </conditionalFormatting>
  <conditionalFormatting sqref="A9:C9">
    <cfRule type="expression" priority="8" aboveAverage="0" equalAverage="0" bottom="0" percent="0" rank="0" text="" dxfId="0">
      <formula>$B9&lt;SinirDeger</formula>
    </cfRule>
    <cfRule type="expression" priority="9" aboveAverage="0" equalAverage="0" bottom="0" percent="0" rank="0" text="" dxfId="2">
      <formula>$B9&gt;=SinirDeger</formula>
    </cfRule>
  </conditionalFormatting>
  <conditionalFormatting sqref="A10:C10">
    <cfRule type="expression" priority="10" aboveAverage="0" equalAverage="0" bottom="0" percent="0" rank="0" text="" dxfId="0">
      <formula>$B10&lt;SinirDeger</formula>
    </cfRule>
    <cfRule type="expression" priority="11" aboveAverage="0" equalAverage="0" bottom="0" percent="0" rank="0" text="" dxfId="2">
      <formula>$B10&gt;=SinirDeger</formula>
    </cfRule>
  </conditionalFormatting>
  <conditionalFormatting sqref="A11:C11">
    <cfRule type="expression" priority="12" aboveAverage="0" equalAverage="0" bottom="0" percent="0" rank="0" text="" dxfId="0">
      <formula>$B11&lt;SinirDeger</formula>
    </cfRule>
    <cfRule type="expression" priority="13" aboveAverage="0" equalAverage="0" bottom="0" percent="0" rank="0" text="" dxfId="2">
      <formula>$B11&gt;=SinirDeger</formula>
    </cfRule>
  </conditionalFormatting>
  <conditionalFormatting sqref="A12:C12">
    <cfRule type="expression" priority="14" aboveAverage="0" equalAverage="0" bottom="0" percent="0" rank="0" text="" dxfId="0">
      <formula>$B12&lt;SinirDeger</formula>
    </cfRule>
    <cfRule type="expression" priority="15" aboveAverage="0" equalAverage="0" bottom="0" percent="0" rank="0" text="" dxfId="2">
      <formula>$B12&gt;=SinirDeger</formula>
    </cfRule>
  </conditionalFormatting>
  <conditionalFormatting sqref="A13:C13">
    <cfRule type="expression" priority="16" aboveAverage="0" equalAverage="0" bottom="0" percent="0" rank="0" text="" dxfId="0">
      <formula>$B13&lt;SinirDeger</formula>
    </cfRule>
    <cfRule type="expression" priority="17" aboveAverage="0" equalAverage="0" bottom="0" percent="0" rank="0" text="" dxfId="2">
      <formula>$B13&gt;=SinirDeger</formula>
    </cfRule>
  </conditionalFormatting>
  <conditionalFormatting sqref="A14:C14">
    <cfRule type="expression" priority="18" aboveAverage="0" equalAverage="0" bottom="0" percent="0" rank="0" text="" dxfId="0">
      <formula>$B14&lt;SinirDeger</formula>
    </cfRule>
    <cfRule type="expression" priority="19" aboveAverage="0" equalAverage="0" bottom="0" percent="0" rank="0" text="" dxfId="2">
      <formula>$B14&gt;=SinirDeger</formula>
    </cfRule>
  </conditionalFormatting>
  <conditionalFormatting sqref="A15:C15">
    <cfRule type="expression" priority="20" aboveAverage="0" equalAverage="0" bottom="0" percent="0" rank="0" text="" dxfId="0">
      <formula>$B15&lt;SinirDeger</formula>
    </cfRule>
    <cfRule type="expression" priority="21" aboveAverage="0" equalAverage="0" bottom="0" percent="0" rank="0" text="" dxfId="2">
      <formula>$B15&gt;=SinirDeger</formula>
    </cfRule>
  </conditionalFormatting>
  <conditionalFormatting sqref="A16:C16">
    <cfRule type="expression" priority="22" aboveAverage="0" equalAverage="0" bottom="0" percent="0" rank="0" text="" dxfId="0">
      <formula>$B16&lt;SinirDeger</formula>
    </cfRule>
    <cfRule type="expression" priority="23" aboveAverage="0" equalAverage="0" bottom="0" percent="0" rank="0" text="" dxfId="2">
      <formula>$B16&gt;=SinirDeger</formula>
    </cfRule>
  </conditionalFormatting>
  <conditionalFormatting sqref="A17:C17">
    <cfRule type="expression" priority="24" aboveAverage="0" equalAverage="0" bottom="0" percent="0" rank="0" text="" dxfId="0">
      <formula>$B17&lt;SinirDeger</formula>
    </cfRule>
    <cfRule type="expression" priority="25" aboveAverage="0" equalAverage="0" bottom="0" percent="0" rank="0" text="" dxfId="2">
      <formula>$B17&gt;=SinirDeger</formula>
    </cfRule>
  </conditionalFormatting>
  <conditionalFormatting sqref="A18:C18">
    <cfRule type="expression" priority="26" aboveAverage="0" equalAverage="0" bottom="0" percent="0" rank="0" text="" dxfId="0">
      <formula>$B18&lt;SinirDeger</formula>
    </cfRule>
    <cfRule type="expression" priority="27" aboveAverage="0" equalAverage="0" bottom="0" percent="0" rank="0" text="" dxfId="2">
      <formula>$B18&gt;=SinirDeger</formula>
    </cfRule>
  </conditionalFormatting>
  <conditionalFormatting sqref="A19:C19">
    <cfRule type="expression" priority="28" aboveAverage="0" equalAverage="0" bottom="0" percent="0" rank="0" text="" dxfId="0">
      <formula>$B19&lt;SinirDeger</formula>
    </cfRule>
    <cfRule type="expression" priority="29" aboveAverage="0" equalAverage="0" bottom="0" percent="0" rank="0" text="" dxfId="2">
      <formula>$B19&gt;=SinirDeger</formula>
    </cfRule>
  </conditionalFormatting>
  <conditionalFormatting sqref="A20:C20">
    <cfRule type="expression" priority="30" aboveAverage="0" equalAverage="0" bottom="0" percent="0" rank="0" text="" dxfId="0">
      <formula>$B20&lt;SinirDeger</formula>
    </cfRule>
    <cfRule type="expression" priority="31" aboveAverage="0" equalAverage="0" bottom="0" percent="0" rank="0" text="" dxfId="2">
      <formula>$B20&gt;=SinirDeger</formula>
    </cfRule>
  </conditionalFormatting>
  <conditionalFormatting sqref="A21:C21">
    <cfRule type="expression" priority="32" aboveAverage="0" equalAverage="0" bottom="0" percent="0" rank="0" text="" dxfId="0">
      <formula>$B21&lt;SinirDeger</formula>
    </cfRule>
    <cfRule type="expression" priority="33" aboveAverage="0" equalAverage="0" bottom="0" percent="0" rank="0" text="" dxfId="2">
      <formula>$B21&gt;=SinirDeger</formula>
    </cfRule>
  </conditionalFormatting>
  <conditionalFormatting sqref="A22:C22">
    <cfRule type="expression" priority="34" aboveAverage="0" equalAverage="0" bottom="0" percent="0" rank="0" text="" dxfId="0">
      <formula>$B22&lt;SinirDeger</formula>
    </cfRule>
    <cfRule type="expression" priority="35" aboveAverage="0" equalAverage="0" bottom="0" percent="0" rank="0" text="" dxfId="2">
      <formula>$B22&gt;=SinirDeger</formula>
    </cfRule>
  </conditionalFormatting>
  <conditionalFormatting sqref="A23:C23">
    <cfRule type="expression" priority="36" aboveAverage="0" equalAverage="0" bottom="0" percent="0" rank="0" text="" dxfId="0">
      <formula>$B23&lt;SinirDeger</formula>
    </cfRule>
    <cfRule type="expression" priority="37" aboveAverage="0" equalAverage="0" bottom="0" percent="0" rank="0" text="" dxfId="2">
      <formula>$B23&gt;=SinirDeger</formula>
    </cfRule>
  </conditionalFormatting>
  <conditionalFormatting sqref="A24:C24">
    <cfRule type="expression" priority="38" aboveAverage="0" equalAverage="0" bottom="0" percent="0" rank="0" text="" dxfId="0">
      <formula>$B24&lt;SinirDeger</formula>
    </cfRule>
    <cfRule type="expression" priority="39" aboveAverage="0" equalAverage="0" bottom="0" percent="0" rank="0" text="" dxfId="2">
      <formula>$B24&gt;=SinirDeger</formula>
    </cfRule>
  </conditionalFormatting>
  <conditionalFormatting sqref="A25:C25">
    <cfRule type="expression" priority="40" aboveAverage="0" equalAverage="0" bottom="0" percent="0" rank="0" text="" dxfId="0">
      <formula>$B25&lt;SinirDeger</formula>
    </cfRule>
    <cfRule type="expression" priority="41" aboveAverage="0" equalAverage="0" bottom="0" percent="0" rank="0" text="" dxfId="2">
      <formula>$B25&gt;=SinirDeger</formula>
    </cfRule>
  </conditionalFormatting>
  <conditionalFormatting sqref="A26:C26">
    <cfRule type="expression" priority="42" aboveAverage="0" equalAverage="0" bottom="0" percent="0" rank="0" text="" dxfId="0">
      <formula>$B26&lt;SinirDeger</formula>
    </cfRule>
    <cfRule type="expression" priority="43" aboveAverage="0" equalAverage="0" bottom="0" percent="0" rank="0" text="" dxfId="2">
      <formula>$B26&gt;=SinirDeger</formula>
    </cfRule>
  </conditionalFormatting>
  <conditionalFormatting sqref="A27:C27">
    <cfRule type="expression" priority="44" aboveAverage="0" equalAverage="0" bottom="0" percent="0" rank="0" text="" dxfId="0">
      <formula>$B27&lt;SinirDeger</formula>
    </cfRule>
    <cfRule type="expression" priority="45" aboveAverage="0" equalAverage="0" bottom="0" percent="0" rank="0" text="" dxfId="2">
      <formula>$B27&gt;=SinirDeger</formula>
    </cfRule>
  </conditionalFormatting>
  <conditionalFormatting sqref="A28:C28">
    <cfRule type="expression" priority="46" aboveAverage="0" equalAverage="0" bottom="0" percent="0" rank="0" text="" dxfId="0">
      <formula>$B28&lt;SinirDeger</formula>
    </cfRule>
    <cfRule type="expression" priority="47" aboveAverage="0" equalAverage="0" bottom="0" percent="0" rank="0" text="" dxfId="2">
      <formula>$B28&gt;=SinirDeger</formula>
    </cfRule>
  </conditionalFormatting>
  <conditionalFormatting sqref="A29:C29">
    <cfRule type="expression" priority="48" aboveAverage="0" equalAverage="0" bottom="0" percent="0" rank="0" text="" dxfId="0">
      <formula>$B29&lt;SinirDeger</formula>
    </cfRule>
    <cfRule type="expression" priority="49" aboveAverage="0" equalAverage="0" bottom="0" percent="0" rank="0" text="" dxfId="2">
      <formula>$B29&gt;=SinirDeger</formula>
    </cfRule>
  </conditionalFormatting>
  <conditionalFormatting sqref="A30:C30">
    <cfRule type="expression" priority="50" aboveAverage="0" equalAverage="0" bottom="0" percent="0" rank="0" text="" dxfId="0">
      <formula>$B30&lt;SinirDeger</formula>
    </cfRule>
    <cfRule type="expression" priority="51" aboveAverage="0" equalAverage="0" bottom="0" percent="0" rank="0" text="" dxfId="2">
      <formula>$B30&gt;=SinirDeger</formula>
    </cfRule>
  </conditionalFormatting>
  <conditionalFormatting sqref="A31:C31">
    <cfRule type="expression" priority="52" aboveAverage="0" equalAverage="0" bottom="0" percent="0" rank="0" text="" dxfId="0">
      <formula>$B31&lt;SinirDeger</formula>
    </cfRule>
    <cfRule type="expression" priority="53" aboveAverage="0" equalAverage="0" bottom="0" percent="0" rank="0" text="" dxfId="2">
      <formula>$B31&gt;=SinirDeger</formula>
    </cfRule>
  </conditionalFormatting>
  <conditionalFormatting sqref="A32:C32">
    <cfRule type="expression" priority="54" aboveAverage="0" equalAverage="0" bottom="0" percent="0" rank="0" text="" dxfId="0">
      <formula>$B32&lt;SinirDeger</formula>
    </cfRule>
    <cfRule type="expression" priority="55" aboveAverage="0" equalAverage="0" bottom="0" percent="0" rank="0" text="" dxfId="2">
      <formula>$B32&gt;=SinirDeger</formula>
    </cfRule>
  </conditionalFormatting>
  <conditionalFormatting sqref="A33:C33">
    <cfRule type="expression" priority="56" aboveAverage="0" equalAverage="0" bottom="0" percent="0" rank="0" text="" dxfId="0">
      <formula>$B33&lt;SinirDeger</formula>
    </cfRule>
    <cfRule type="expression" priority="57" aboveAverage="0" equalAverage="0" bottom="0" percent="0" rank="0" text="" dxfId="2">
      <formula>$B33&gt;=SinirDeger</formula>
    </cfRule>
  </conditionalFormatting>
  <conditionalFormatting sqref="A34:C34">
    <cfRule type="expression" priority="58" aboveAverage="0" equalAverage="0" bottom="0" percent="0" rank="0" text="" dxfId="0">
      <formula>$B34&lt;SinirDeger</formula>
    </cfRule>
    <cfRule type="expression" priority="59" aboveAverage="0" equalAverage="0" bottom="0" percent="0" rank="0" text="" dxfId="2">
      <formula>$B34&gt;=SinirDeger</formula>
    </cfRule>
  </conditionalFormatting>
  <conditionalFormatting sqref="A35:C35">
    <cfRule type="expression" priority="60" aboveAverage="0" equalAverage="0" bottom="0" percent="0" rank="0" text="" dxfId="0">
      <formula>$B35&lt;SinirDeger</formula>
    </cfRule>
    <cfRule type="expression" priority="61" aboveAverage="0" equalAverage="0" bottom="0" percent="0" rank="0" text="" dxfId="2">
      <formula>$B35&gt;=SinirDeger</formula>
    </cfRule>
  </conditionalFormatting>
  <conditionalFormatting sqref="A36:C36">
    <cfRule type="expression" priority="62" aboveAverage="0" equalAverage="0" bottom="0" percent="0" rank="0" text="" dxfId="0">
      <formula>$B36&lt;SinirDeger</formula>
    </cfRule>
    <cfRule type="expression" priority="63" aboveAverage="0" equalAverage="0" bottom="0" percent="0" rank="0" text="" dxfId="2">
      <formula>$B36&gt;=SinirDeger</formula>
    </cfRule>
  </conditionalFormatting>
  <conditionalFormatting sqref="A37:C37">
    <cfRule type="expression" priority="64" aboveAverage="0" equalAverage="0" bottom="0" percent="0" rank="0" text="" dxfId="0">
      <formula>$B37&lt;SinirDeger</formula>
    </cfRule>
    <cfRule type="expression" priority="65" aboveAverage="0" equalAverage="0" bottom="0" percent="0" rank="0" text="" dxfId="2">
      <formula>$B37&gt;=SinirDeger</formula>
    </cfRule>
  </conditionalFormatting>
  <conditionalFormatting sqref="A38:C38">
    <cfRule type="expression" priority="66" aboveAverage="0" equalAverage="0" bottom="0" percent="0" rank="0" text="" dxfId="0">
      <formula>$B38&lt;SinirDeger</formula>
    </cfRule>
    <cfRule type="expression" priority="67" aboveAverage="0" equalAverage="0" bottom="0" percent="0" rank="0" text="" dxfId="2">
      <formula>$B38&gt;=SinirDeger</formula>
    </cfRule>
  </conditionalFormatting>
  <conditionalFormatting sqref="A39:C39">
    <cfRule type="expression" priority="68" aboveAverage="0" equalAverage="0" bottom="0" percent="0" rank="0" text="" dxfId="0">
      <formula>$B39&lt;SinirDeger</formula>
    </cfRule>
    <cfRule type="expression" priority="69" aboveAverage="0" equalAverage="0" bottom="0" percent="0" rank="0" text="" dxfId="2">
      <formula>$B39&gt;=SinirDeger</formula>
    </cfRule>
  </conditionalFormatting>
  <conditionalFormatting sqref="A40:C40">
    <cfRule type="expression" priority="70" aboveAverage="0" equalAverage="0" bottom="0" percent="0" rank="0" text="" dxfId="0">
      <formula>$B40&lt;SinirDeger</formula>
    </cfRule>
    <cfRule type="expression" priority="71" aboveAverage="0" equalAverage="0" bottom="0" percent="0" rank="0" text="" dxfId="2">
      <formula>$B40&gt;=SinirDeger</formula>
    </cfRule>
  </conditionalFormatting>
  <conditionalFormatting sqref="A41:C41">
    <cfRule type="expression" priority="72" aboveAverage="0" equalAverage="0" bottom="0" percent="0" rank="0" text="" dxfId="0">
      <formula>$B41&lt;SinirDeger</formula>
    </cfRule>
    <cfRule type="expression" priority="73" aboveAverage="0" equalAverage="0" bottom="0" percent="0" rank="0" text="" dxfId="2">
      <formula>$B41&gt;=SinirDeger</formula>
    </cfRule>
  </conditionalFormatting>
  <conditionalFormatting sqref="A42:C42">
    <cfRule type="expression" priority="74" aboveAverage="0" equalAverage="0" bottom="0" percent="0" rank="0" text="" dxfId="0">
      <formula>$B42&lt;SinirDeger</formula>
    </cfRule>
    <cfRule type="expression" priority="75" aboveAverage="0" equalAverage="0" bottom="0" percent="0" rank="0" text="" dxfId="2">
      <formula>$B42&gt;=SinirDeger</formula>
    </cfRule>
  </conditionalFormatting>
  <conditionalFormatting sqref="A43:C43">
    <cfRule type="expression" priority="76" aboveAverage="0" equalAverage="0" bottom="0" percent="0" rank="0" text="" dxfId="0">
      <formula>$B43&lt;SinirDeger</formula>
    </cfRule>
    <cfRule type="expression" priority="77" aboveAverage="0" equalAverage="0" bottom="0" percent="0" rank="0" text="" dxfId="2">
      <formula>$B43&gt;=SinirDeger</formula>
    </cfRule>
  </conditionalFormatting>
  <conditionalFormatting sqref="A44:C44">
    <cfRule type="expression" priority="78" aboveAverage="0" equalAverage="0" bottom="0" percent="0" rank="0" text="" dxfId="0">
      <formula>$B44&lt;SinirDeger</formula>
    </cfRule>
    <cfRule type="expression" priority="79" aboveAverage="0" equalAverage="0" bottom="0" percent="0" rank="0" text="" dxfId="2">
      <formula>$B44&gt;=SinirDeger</formula>
    </cfRule>
  </conditionalFormatting>
  <conditionalFormatting sqref="A45:C45">
    <cfRule type="expression" priority="80" aboveAverage="0" equalAverage="0" bottom="0" percent="0" rank="0" text="" dxfId="0">
      <formula>$B45&lt;SinirDeger</formula>
    </cfRule>
    <cfRule type="expression" priority="81" aboveAverage="0" equalAverage="0" bottom="0" percent="0" rank="0" text="" dxfId="2">
      <formula>$B45&gt;=SinirDeger</formula>
    </cfRule>
  </conditionalFormatting>
  <conditionalFormatting sqref="A46:C46">
    <cfRule type="expression" priority="82" aboveAverage="0" equalAverage="0" bottom="0" percent="0" rank="0" text="" dxfId="0">
      <formula>$B46&lt;SinirDeger</formula>
    </cfRule>
    <cfRule type="expression" priority="83" aboveAverage="0" equalAverage="0" bottom="0" percent="0" rank="0" text="" dxfId="2">
      <formula>$B46&gt;=SinirDeger</formula>
    </cfRule>
  </conditionalFormatting>
  <conditionalFormatting sqref="A47:C47">
    <cfRule type="expression" priority="84" aboveAverage="0" equalAverage="0" bottom="0" percent="0" rank="0" text="" dxfId="0">
      <formula>$B47&lt;SinirDeger</formula>
    </cfRule>
    <cfRule type="expression" priority="85" aboveAverage="0" equalAverage="0" bottom="0" percent="0" rank="0" text="" dxfId="2">
      <formula>$B47&gt;=SinirDeger</formula>
    </cfRule>
  </conditionalFormatting>
  <conditionalFormatting sqref="A48:C48">
    <cfRule type="expression" priority="86" aboveAverage="0" equalAverage="0" bottom="0" percent="0" rank="0" text="" dxfId="0">
      <formula>$B48&lt;SinirDeger</formula>
    </cfRule>
    <cfRule type="expression" priority="87" aboveAverage="0" equalAverage="0" bottom="0" percent="0" rank="0" text="" dxfId="2">
      <formula>$B48&gt;=SinirDeger</formula>
    </cfRule>
  </conditionalFormatting>
  <conditionalFormatting sqref="A49:C49">
    <cfRule type="expression" priority="88" aboveAverage="0" equalAverage="0" bottom="0" percent="0" rank="0" text="" dxfId="0">
      <formula>$B49&lt;SinirDeger</formula>
    </cfRule>
    <cfRule type="expression" priority="89" aboveAverage="0" equalAverage="0" bottom="0" percent="0" rank="0" text="" dxfId="2">
      <formula>$B49&gt;=SinirDeger</formula>
    </cfRule>
  </conditionalFormatting>
  <conditionalFormatting sqref="A50:C50">
    <cfRule type="expression" priority="90" aboveAverage="0" equalAverage="0" bottom="0" percent="0" rank="0" text="" dxfId="0">
      <formula>$B50&lt;SinirDeger</formula>
    </cfRule>
    <cfRule type="expression" priority="91" aboveAverage="0" equalAverage="0" bottom="0" percent="0" rank="0" text="" dxfId="2">
      <formula>$B50&gt;=SinirDeger</formula>
    </cfRule>
  </conditionalFormatting>
  <conditionalFormatting sqref="A51:C51">
    <cfRule type="expression" priority="92" aboveAverage="0" equalAverage="0" bottom="0" percent="0" rank="0" text="" dxfId="0">
      <formula>$B51&lt;SinirDeger</formula>
    </cfRule>
    <cfRule type="expression" priority="93" aboveAverage="0" equalAverage="0" bottom="0" percent="0" rank="0" text="" dxfId="2">
      <formula>$B51&gt;=SinirDeger</formula>
    </cfRule>
  </conditionalFormatting>
  <conditionalFormatting sqref="A52:C52">
    <cfRule type="expression" priority="94" aboveAverage="0" equalAverage="0" bottom="0" percent="0" rank="0" text="" dxfId="0">
      <formula>$B52&lt;SinirDeger</formula>
    </cfRule>
    <cfRule type="expression" priority="95" aboveAverage="0" equalAverage="0" bottom="0" percent="0" rank="0" text="" dxfId="2">
      <formula>$B52&gt;=SinirDeger</formula>
    </cfRule>
  </conditionalFormatting>
  <conditionalFormatting sqref="A53:C53">
    <cfRule type="expression" priority="96" aboveAverage="0" equalAverage="0" bottom="0" percent="0" rank="0" text="" dxfId="0">
      <formula>$B53&lt;SinirDeger</formula>
    </cfRule>
    <cfRule type="expression" priority="97" aboveAverage="0" equalAverage="0" bottom="0" percent="0" rank="0" text="" dxfId="2">
      <formula>$B53&gt;=SinirDeger</formula>
    </cfRule>
  </conditionalFormatting>
  <conditionalFormatting sqref="A54:C54">
    <cfRule type="expression" priority="98" aboveAverage="0" equalAverage="0" bottom="0" percent="0" rank="0" text="" dxfId="0">
      <formula>$B54&lt;SinirDeger</formula>
    </cfRule>
    <cfRule type="expression" priority="99" aboveAverage="0" equalAverage="0" bottom="0" percent="0" rank="0" text="" dxfId="2">
      <formula>$B54&gt;=SinirDeger</formula>
    </cfRule>
  </conditionalFormatting>
  <conditionalFormatting sqref="A55:C55">
    <cfRule type="expression" priority="100" aboveAverage="0" equalAverage="0" bottom="0" percent="0" rank="0" text="" dxfId="0">
      <formula>$B55&lt;SinirDeger</formula>
    </cfRule>
    <cfRule type="expression" priority="101" aboveAverage="0" equalAverage="0" bottom="0" percent="0" rank="0" text="" dxfId="2">
      <formula>$B55&gt;=SinirDeger</formula>
    </cfRule>
  </conditionalFormatting>
  <conditionalFormatting sqref="A56:C56">
    <cfRule type="expression" priority="102" aboveAverage="0" equalAverage="0" bottom="0" percent="0" rank="0" text="" dxfId="0">
      <formula>$B56&lt;SinirDeger</formula>
    </cfRule>
    <cfRule type="expression" priority="103" aboveAverage="0" equalAverage="0" bottom="0" percent="0" rank="0" text="" dxfId="2">
      <formula>$B56&gt;=SinirDeger</formula>
    </cfRule>
  </conditionalFormatting>
  <conditionalFormatting sqref="A57:C57">
    <cfRule type="expression" priority="104" aboveAverage="0" equalAverage="0" bottom="0" percent="0" rank="0" text="" dxfId="0">
      <formula>$B57&lt;SinirDeger</formula>
    </cfRule>
    <cfRule type="expression" priority="105" aboveAverage="0" equalAverage="0" bottom="0" percent="0" rank="0" text="" dxfId="2">
      <formula>$B57&gt;=SinirDeger</formula>
    </cfRule>
  </conditionalFormatting>
  <conditionalFormatting sqref="A58:C58">
    <cfRule type="expression" priority="106" aboveAverage="0" equalAverage="0" bottom="0" percent="0" rank="0" text="" dxfId="0">
      <formula>$B58&lt;SinirDeger</formula>
    </cfRule>
    <cfRule type="expression" priority="107" aboveAverage="0" equalAverage="0" bottom="0" percent="0" rank="0" text="" dxfId="2">
      <formula>$B58&gt;=SinirDeger</formula>
    </cfRule>
  </conditionalFormatting>
  <conditionalFormatting sqref="A59:C59">
    <cfRule type="expression" priority="108" aboveAverage="0" equalAverage="0" bottom="0" percent="0" rank="0" text="" dxfId="0">
      <formula>$B59&lt;SinirDeger</formula>
    </cfRule>
    <cfRule type="expression" priority="109" aboveAverage="0" equalAverage="0" bottom="0" percent="0" rank="0" text="" dxfId="2">
      <formula>$B59&gt;=SinirDeger</formula>
    </cfRule>
  </conditionalFormatting>
  <conditionalFormatting sqref="A60:C60">
    <cfRule type="expression" priority="110" aboveAverage="0" equalAverage="0" bottom="0" percent="0" rank="0" text="" dxfId="0">
      <formula>$B60&lt;SinirDeger</formula>
    </cfRule>
    <cfRule type="expression" priority="111" aboveAverage="0" equalAverage="0" bottom="0" percent="0" rank="0" text="" dxfId="2">
      <formula>$B60&gt;=SinirDeger</formula>
    </cfRule>
  </conditionalFormatting>
  <conditionalFormatting sqref="A61:C61">
    <cfRule type="expression" priority="112" aboveAverage="0" equalAverage="0" bottom="0" percent="0" rank="0" text="" dxfId="0">
      <formula>$B61&lt;SinirDeger</formula>
    </cfRule>
    <cfRule type="expression" priority="113" aboveAverage="0" equalAverage="0" bottom="0" percent="0" rank="0" text="" dxfId="2">
      <formula>$B61&gt;=SinirDeger</formula>
    </cfRule>
  </conditionalFormatting>
  <conditionalFormatting sqref="A62:C62">
    <cfRule type="expression" priority="114" aboveAverage="0" equalAverage="0" bottom="0" percent="0" rank="0" text="" dxfId="0">
      <formula>$B62&lt;SinirDeger</formula>
    </cfRule>
    <cfRule type="expression" priority="115" aboveAverage="0" equalAverage="0" bottom="0" percent="0" rank="0" text="" dxfId="2">
      <formula>$B62&gt;=SinirDeger</formula>
    </cfRule>
  </conditionalFormatting>
  <conditionalFormatting sqref="A63:C63">
    <cfRule type="expression" priority="116" aboveAverage="0" equalAverage="0" bottom="0" percent="0" rank="0" text="" dxfId="0">
      <formula>$B63&lt;SinirDeger</formula>
    </cfRule>
    <cfRule type="expression" priority="117" aboveAverage="0" equalAverage="0" bottom="0" percent="0" rank="0" text="" dxfId="2">
      <formula>$B63&gt;=SinirDeger</formula>
    </cfRule>
  </conditionalFormatting>
  <conditionalFormatting sqref="A64:C64">
    <cfRule type="expression" priority="118" aboveAverage="0" equalAverage="0" bottom="0" percent="0" rank="0" text="" dxfId="0">
      <formula>$B64&lt;SinirDeger</formula>
    </cfRule>
    <cfRule type="expression" priority="119" aboveAverage="0" equalAverage="0" bottom="0" percent="0" rank="0" text="" dxfId="2">
      <formula>$B64&gt;=SinirDeger</formula>
    </cfRule>
  </conditionalFormatting>
  <conditionalFormatting sqref="A65:C65">
    <cfRule type="expression" priority="120" aboveAverage="0" equalAverage="0" bottom="0" percent="0" rank="0" text="" dxfId="0">
      <formula>$B65&lt;SinirDeger</formula>
    </cfRule>
    <cfRule type="expression" priority="121" aboveAverage="0" equalAverage="0" bottom="0" percent="0" rank="0" text="" dxfId="2">
      <formula>$B65&gt;=SinirDeger</formula>
    </cfRule>
  </conditionalFormatting>
  <conditionalFormatting sqref="A66:C66">
    <cfRule type="expression" priority="122" aboveAverage="0" equalAverage="0" bottom="0" percent="0" rank="0" text="" dxfId="0">
      <formula>$B66&lt;SinirDeger</formula>
    </cfRule>
    <cfRule type="expression" priority="123" aboveAverage="0" equalAverage="0" bottom="0" percent="0" rank="0" text="" dxfId="2">
      <formula>$B66&gt;=SinirDeger</formula>
    </cfRule>
  </conditionalFormatting>
  <conditionalFormatting sqref="A67:C67">
    <cfRule type="expression" priority="124" aboveAverage="0" equalAverage="0" bottom="0" percent="0" rank="0" text="" dxfId="0">
      <formula>$B67&lt;SinirDeger</formula>
    </cfRule>
    <cfRule type="expression" priority="125" aboveAverage="0" equalAverage="0" bottom="0" percent="0" rank="0" text="" dxfId="2">
      <formula>$B67&gt;=SinirDeger</formula>
    </cfRule>
  </conditionalFormatting>
  <conditionalFormatting sqref="A68:C68">
    <cfRule type="expression" priority="126" aboveAverage="0" equalAverage="0" bottom="0" percent="0" rank="0" text="" dxfId="0">
      <formula>$B68&lt;SinirDeger</formula>
    </cfRule>
    <cfRule type="expression" priority="127" aboveAverage="0" equalAverage="0" bottom="0" percent="0" rank="0" text="" dxfId="2">
      <formula>$B68&gt;=SinirDeger</formula>
    </cfRule>
  </conditionalFormatting>
  <conditionalFormatting sqref="A69:C69">
    <cfRule type="expression" priority="128" aboveAverage="0" equalAverage="0" bottom="0" percent="0" rank="0" text="" dxfId="0">
      <formula>$B69&lt;SinirDeger</formula>
    </cfRule>
    <cfRule type="expression" priority="129" aboveAverage="0" equalAverage="0" bottom="0" percent="0" rank="0" text="" dxfId="2">
      <formula>$B69&gt;=SinirDeger</formula>
    </cfRule>
  </conditionalFormatting>
  <conditionalFormatting sqref="A70:C70">
    <cfRule type="expression" priority="130" aboveAverage="0" equalAverage="0" bottom="0" percent="0" rank="0" text="" dxfId="0">
      <formula>$B70&lt;SinirDeger</formula>
    </cfRule>
    <cfRule type="expression" priority="131" aboveAverage="0" equalAverage="0" bottom="0" percent="0" rank="0" text="" dxfId="2">
      <formula>$B70&gt;=SinirDeger</formula>
    </cfRule>
  </conditionalFormatting>
  <conditionalFormatting sqref="A71:C71">
    <cfRule type="expression" priority="132" aboveAverage="0" equalAverage="0" bottom="0" percent="0" rank="0" text="" dxfId="0">
      <formula>$B71&lt;SinirDeger</formula>
    </cfRule>
    <cfRule type="expression" priority="133" aboveAverage="0" equalAverage="0" bottom="0" percent="0" rank="0" text="" dxfId="2">
      <formula>$B71&gt;=SinirDeger</formula>
    </cfRule>
  </conditionalFormatting>
  <conditionalFormatting sqref="A72:C72">
    <cfRule type="expression" priority="134" aboveAverage="0" equalAverage="0" bottom="0" percent="0" rank="0" text="" dxfId="0">
      <formula>$B72&lt;SinirDeger</formula>
    </cfRule>
    <cfRule type="expression" priority="135" aboveAverage="0" equalAverage="0" bottom="0" percent="0" rank="0" text="" dxfId="2">
      <formula>$B72&gt;=SinirDeger</formula>
    </cfRule>
  </conditionalFormatting>
  <conditionalFormatting sqref="A73:C73">
    <cfRule type="expression" priority="136" aboveAverage="0" equalAverage="0" bottom="0" percent="0" rank="0" text="" dxfId="0">
      <formula>$B73&lt;SinirDeger</formula>
    </cfRule>
    <cfRule type="expression" priority="137" aboveAverage="0" equalAverage="0" bottom="0" percent="0" rank="0" text="" dxfId="2">
      <formula>$B73&gt;=SinirDeger</formula>
    </cfRule>
  </conditionalFormatting>
  <conditionalFormatting sqref="A74:C74">
    <cfRule type="expression" priority="138" aboveAverage="0" equalAverage="0" bottom="0" percent="0" rank="0" text="" dxfId="0">
      <formula>$B74&lt;SinirDeger</formula>
    </cfRule>
    <cfRule type="expression" priority="139" aboveAverage="0" equalAverage="0" bottom="0" percent="0" rank="0" text="" dxfId="2">
      <formula>$B74&gt;=SinirDeger</formula>
    </cfRule>
  </conditionalFormatting>
  <conditionalFormatting sqref="A75:C75">
    <cfRule type="expression" priority="140" aboveAverage="0" equalAverage="0" bottom="0" percent="0" rank="0" text="" dxfId="0">
      <formula>$B75&lt;SinirDeger</formula>
    </cfRule>
    <cfRule type="expression" priority="141" aboveAverage="0" equalAverage="0" bottom="0" percent="0" rank="0" text="" dxfId="2">
      <formula>$B75&gt;=SinirDeger</formula>
    </cfRule>
  </conditionalFormatting>
  <conditionalFormatting sqref="A76:C76">
    <cfRule type="expression" priority="142" aboveAverage="0" equalAverage="0" bottom="0" percent="0" rank="0" text="" dxfId="0">
      <formula>$B76&lt;SinirDeger</formula>
    </cfRule>
    <cfRule type="expression" priority="143" aboveAverage="0" equalAverage="0" bottom="0" percent="0" rank="0" text="" dxfId="2">
      <formula>$B76&gt;=SinirDeger</formula>
    </cfRule>
  </conditionalFormatting>
  <conditionalFormatting sqref="A77:C77">
    <cfRule type="expression" priority="144" aboveAverage="0" equalAverage="0" bottom="0" percent="0" rank="0" text="" dxfId="0">
      <formula>$B77&lt;SinirDeger</formula>
    </cfRule>
    <cfRule type="expression" priority="145" aboveAverage="0" equalAverage="0" bottom="0" percent="0" rank="0" text="" dxfId="2">
      <formula>$B77&gt;=SinirDeger</formula>
    </cfRule>
  </conditionalFormatting>
  <conditionalFormatting sqref="A78:C78">
    <cfRule type="expression" priority="146" aboveAverage="0" equalAverage="0" bottom="0" percent="0" rank="0" text="" dxfId="0">
      <formula>$B78&lt;SinirDeger</formula>
    </cfRule>
    <cfRule type="expression" priority="147" aboveAverage="0" equalAverage="0" bottom="0" percent="0" rank="0" text="" dxfId="2">
      <formula>$B78&gt;=SinirDeger</formula>
    </cfRule>
  </conditionalFormatting>
  <conditionalFormatting sqref="A79:C79">
    <cfRule type="expression" priority="148" aboveAverage="0" equalAverage="0" bottom="0" percent="0" rank="0" text="" dxfId="0">
      <formula>$B79&lt;SinirDeger</formula>
    </cfRule>
    <cfRule type="expression" priority="149" aboveAverage="0" equalAverage="0" bottom="0" percent="0" rank="0" text="" dxfId="2">
      <formula>$B79&gt;=SinirDeger</formula>
    </cfRule>
  </conditionalFormatting>
  <conditionalFormatting sqref="A80:C80">
    <cfRule type="expression" priority="150" aboveAverage="0" equalAverage="0" bottom="0" percent="0" rank="0" text="" dxfId="0">
      <formula>$B80&lt;SinirDeger</formula>
    </cfRule>
    <cfRule type="expression" priority="151" aboveAverage="0" equalAverage="0" bottom="0" percent="0" rank="0" text="" dxfId="2">
      <formula>$B80&gt;=SinirDeger</formula>
    </cfRule>
  </conditionalFormatting>
  <conditionalFormatting sqref="A81:C81">
    <cfRule type="expression" priority="152" aboveAverage="0" equalAverage="0" bottom="0" percent="0" rank="0" text="" dxfId="0">
      <formula>$B81&lt;SinirDeger</formula>
    </cfRule>
    <cfRule type="expression" priority="153" aboveAverage="0" equalAverage="0" bottom="0" percent="0" rank="0" text="" dxfId="2">
      <formula>$B81&gt;=SinirDeger</formula>
    </cfRule>
  </conditionalFormatting>
  <conditionalFormatting sqref="A82:C82">
    <cfRule type="expression" priority="154" aboveAverage="0" equalAverage="0" bottom="0" percent="0" rank="0" text="" dxfId="0">
      <formula>$B82&lt;SinirDeger</formula>
    </cfRule>
    <cfRule type="expression" priority="155" aboveAverage="0" equalAverage="0" bottom="0" percent="0" rank="0" text="" dxfId="2">
      <formula>$B82&gt;=SinirDeger</formula>
    </cfRule>
  </conditionalFormatting>
  <conditionalFormatting sqref="A83:C83">
    <cfRule type="expression" priority="156" aboveAverage="0" equalAverage="0" bottom="0" percent="0" rank="0" text="" dxfId="0">
      <formula>$B83&lt;SinirDeger</formula>
    </cfRule>
    <cfRule type="expression" priority="157" aboveAverage="0" equalAverage="0" bottom="0" percent="0" rank="0" text="" dxfId="2">
      <formula>$B83&gt;=SinirDeger</formula>
    </cfRule>
  </conditionalFormatting>
  <conditionalFormatting sqref="A84:C84">
    <cfRule type="expression" priority="158" aboveAverage="0" equalAverage="0" bottom="0" percent="0" rank="0" text="" dxfId="0">
      <formula>$B84&lt;SinirDeger</formula>
    </cfRule>
    <cfRule type="expression" priority="159" aboveAverage="0" equalAverage="0" bottom="0" percent="0" rank="0" text="" dxfId="2">
      <formula>$B84&gt;=SinirDeger</formula>
    </cfRule>
  </conditionalFormatting>
  <conditionalFormatting sqref="A85:C85">
    <cfRule type="expression" priority="160" aboveAverage="0" equalAverage="0" bottom="0" percent="0" rank="0" text="" dxfId="0">
      <formula>$B85&lt;SinirDeger</formula>
    </cfRule>
    <cfRule type="expression" priority="161" aboveAverage="0" equalAverage="0" bottom="0" percent="0" rank="0" text="" dxfId="2">
      <formula>$B85&gt;=SinirDeger</formula>
    </cfRule>
  </conditionalFormatting>
  <conditionalFormatting sqref="A86:C86">
    <cfRule type="expression" priority="162" aboveAverage="0" equalAverage="0" bottom="0" percent="0" rank="0" text="" dxfId="0">
      <formula>$B86&lt;SinirDeger</formula>
    </cfRule>
    <cfRule type="expression" priority="163" aboveAverage="0" equalAverage="0" bottom="0" percent="0" rank="0" text="" dxfId="2">
      <formula>$B86&gt;=SinirDeger</formula>
    </cfRule>
  </conditionalFormatting>
  <conditionalFormatting sqref="A87:C87">
    <cfRule type="expression" priority="164" aboveAverage="0" equalAverage="0" bottom="0" percent="0" rank="0" text="" dxfId="0">
      <formula>$B87&lt;SinirDeger</formula>
    </cfRule>
    <cfRule type="expression" priority="165" aboveAverage="0" equalAverage="0" bottom="0" percent="0" rank="0" text="" dxfId="2">
      <formula>$B87&gt;=SinirDeger</formula>
    </cfRule>
  </conditionalFormatting>
  <conditionalFormatting sqref="A88:C88">
    <cfRule type="expression" priority="166" aboveAverage="0" equalAverage="0" bottom="0" percent="0" rank="0" text="" dxfId="0">
      <formula>$B88&lt;SinirDeger</formula>
    </cfRule>
    <cfRule type="expression" priority="167" aboveAverage="0" equalAverage="0" bottom="0" percent="0" rank="0" text="" dxfId="2">
      <formula>$B88&gt;=SinirDeger</formula>
    </cfRule>
  </conditionalFormatting>
  <conditionalFormatting sqref="A89:C89">
    <cfRule type="expression" priority="168" aboveAverage="0" equalAverage="0" bottom="0" percent="0" rank="0" text="" dxfId="0">
      <formula>$B89&lt;SinirDeger</formula>
    </cfRule>
    <cfRule type="expression" priority="169" aboveAverage="0" equalAverage="0" bottom="0" percent="0" rank="0" text="" dxfId="2">
      <formula>$B89&gt;=SinirDeger</formula>
    </cfRule>
  </conditionalFormatting>
  <conditionalFormatting sqref="A90:C90">
    <cfRule type="expression" priority="170" aboveAverage="0" equalAverage="0" bottom="0" percent="0" rank="0" text="" dxfId="0">
      <formula>$B90&lt;SinirDeger</formula>
    </cfRule>
    <cfRule type="expression" priority="171" aboveAverage="0" equalAverage="0" bottom="0" percent="0" rank="0" text="" dxfId="2">
      <formula>$B90&gt;=SinirDeger</formula>
    </cfRule>
  </conditionalFormatting>
  <conditionalFormatting sqref="A91:C91">
    <cfRule type="expression" priority="172" aboveAverage="0" equalAverage="0" bottom="0" percent="0" rank="0" text="" dxfId="0">
      <formula>$B91&lt;SinirDeger</formula>
    </cfRule>
    <cfRule type="expression" priority="173" aboveAverage="0" equalAverage="0" bottom="0" percent="0" rank="0" text="" dxfId="2">
      <formula>$B91&gt;=SinirDeger</formula>
    </cfRule>
  </conditionalFormatting>
  <conditionalFormatting sqref="A92:C92">
    <cfRule type="expression" priority="174" aboveAverage="0" equalAverage="0" bottom="0" percent="0" rank="0" text="" dxfId="0">
      <formula>$B92&lt;SinirDeger</formula>
    </cfRule>
    <cfRule type="expression" priority="175" aboveAverage="0" equalAverage="0" bottom="0" percent="0" rank="0" text="" dxfId="2">
      <formula>$B92&gt;=SinirDeger</formula>
    </cfRule>
  </conditionalFormatting>
  <conditionalFormatting sqref="A93:C93">
    <cfRule type="expression" priority="176" aboveAverage="0" equalAverage="0" bottom="0" percent="0" rank="0" text="" dxfId="0">
      <formula>$B93&lt;SinirDeger</formula>
    </cfRule>
    <cfRule type="expression" priority="177" aboveAverage="0" equalAverage="0" bottom="0" percent="0" rank="0" text="" dxfId="2">
      <formula>$B93&gt;=SinirDeger</formula>
    </cfRule>
  </conditionalFormatting>
  <conditionalFormatting sqref="A94:C94">
    <cfRule type="expression" priority="178" aboveAverage="0" equalAverage="0" bottom="0" percent="0" rank="0" text="" dxfId="0">
      <formula>$B94&lt;SinirDeger</formula>
    </cfRule>
    <cfRule type="expression" priority="179" aboveAverage="0" equalAverage="0" bottom="0" percent="0" rank="0" text="" dxfId="2">
      <formula>$B94&gt;=SinirDeger</formula>
    </cfRule>
  </conditionalFormatting>
  <conditionalFormatting sqref="A95:C95">
    <cfRule type="expression" priority="180" aboveAverage="0" equalAverage="0" bottom="0" percent="0" rank="0" text="" dxfId="0">
      <formula>$B95&lt;SinirDeger</formula>
    </cfRule>
    <cfRule type="expression" priority="181" aboveAverage="0" equalAverage="0" bottom="0" percent="0" rank="0" text="" dxfId="2">
      <formula>$B95&gt;=SinirDeger</formula>
    </cfRule>
  </conditionalFormatting>
  <conditionalFormatting sqref="A96:C96">
    <cfRule type="expression" priority="182" aboveAverage="0" equalAverage="0" bottom="0" percent="0" rank="0" text="" dxfId="0">
      <formula>$B96&lt;SinirDeger</formula>
    </cfRule>
    <cfRule type="expression" priority="183" aboveAverage="0" equalAverage="0" bottom="0" percent="0" rank="0" text="" dxfId="2">
      <formula>$B96&gt;=SinirDeger</formula>
    </cfRule>
  </conditionalFormatting>
  <conditionalFormatting sqref="A97:C97">
    <cfRule type="expression" priority="184" aboveAverage="0" equalAverage="0" bottom="0" percent="0" rank="0" text="" dxfId="0">
      <formula>$B97&lt;SinirDeger</formula>
    </cfRule>
    <cfRule type="expression" priority="185" aboveAverage="0" equalAverage="0" bottom="0" percent="0" rank="0" text="" dxfId="2">
      <formula>$B97&gt;=SinirDeger</formula>
    </cfRule>
  </conditionalFormatting>
  <conditionalFormatting sqref="A98:C98">
    <cfRule type="expression" priority="186" aboveAverage="0" equalAverage="0" bottom="0" percent="0" rank="0" text="" dxfId="0">
      <formula>$B98&lt;SinirDeger</formula>
    </cfRule>
    <cfRule type="expression" priority="187" aboveAverage="0" equalAverage="0" bottom="0" percent="0" rank="0" text="" dxfId="2">
      <formula>$B98&gt;=SinirDeger</formula>
    </cfRule>
  </conditionalFormatting>
  <conditionalFormatting sqref="A99:C99">
    <cfRule type="expression" priority="188" aboveAverage="0" equalAverage="0" bottom="0" percent="0" rank="0" text="" dxfId="0">
      <formula>$B99&lt;SinirDeger</formula>
    </cfRule>
    <cfRule type="expression" priority="189" aboveAverage="0" equalAverage="0" bottom="0" percent="0" rank="0" text="" dxfId="2">
      <formula>$B99&gt;=SinirDeger</formula>
    </cfRule>
  </conditionalFormatting>
  <conditionalFormatting sqref="A100:C100">
    <cfRule type="expression" priority="190" aboveAverage="0" equalAverage="0" bottom="0" percent="0" rank="0" text="" dxfId="0">
      <formula>$B100&lt;SinirDeger</formula>
    </cfRule>
    <cfRule type="expression" priority="191" aboveAverage="0" equalAverage="0" bottom="0" percent="0" rank="0" text="" dxfId="2">
      <formula>$B100&gt;=SinirDeger</formula>
    </cfRule>
  </conditionalFormatting>
  <conditionalFormatting sqref="A101:C101">
    <cfRule type="expression" priority="192" aboveAverage="0" equalAverage="0" bottom="0" percent="0" rank="0" text="" dxfId="0">
      <formula>$B101&lt;SinirDeger</formula>
    </cfRule>
    <cfRule type="expression" priority="193" aboveAverage="0" equalAverage="0" bottom="0" percent="0" rank="0" text="" dxfId="2">
      <formula>$B101&gt;=SinirDeger</formula>
    </cfRule>
  </conditionalFormatting>
  <conditionalFormatting sqref="A102:C102">
    <cfRule type="expression" priority="194" aboveAverage="0" equalAverage="0" bottom="0" percent="0" rank="0" text="" dxfId="0">
      <formula>$B102&lt;SinirDeger</formula>
    </cfRule>
    <cfRule type="expression" priority="195" aboveAverage="0" equalAverage="0" bottom="0" percent="0" rank="0" text="" dxfId="2">
      <formula>$B102&gt;=SinirDeger</formula>
    </cfRule>
  </conditionalFormatting>
  <conditionalFormatting sqref="A103:C103">
    <cfRule type="expression" priority="196" aboveAverage="0" equalAverage="0" bottom="0" percent="0" rank="0" text="" dxfId="0">
      <formula>$B103&lt;SinirDeger</formula>
    </cfRule>
    <cfRule type="expression" priority="197" aboveAverage="0" equalAverage="0" bottom="0" percent="0" rank="0" text="" dxfId="2">
      <formula>$B103&gt;=SinirDeger</formula>
    </cfRule>
  </conditionalFormatting>
  <conditionalFormatting sqref="A104:C104">
    <cfRule type="expression" priority="198" aboveAverage="0" equalAverage="0" bottom="0" percent="0" rank="0" text="" dxfId="0">
      <formula>$B104&lt;SinirDeger</formula>
    </cfRule>
    <cfRule type="expression" priority="199" aboveAverage="0" equalAverage="0" bottom="0" percent="0" rank="0" text="" dxfId="2">
      <formula>$B104&gt;=SinirDeger</formula>
    </cfRule>
  </conditionalFormatting>
  <conditionalFormatting sqref="A105:C105">
    <cfRule type="expression" priority="200" aboveAverage="0" equalAverage="0" bottom="0" percent="0" rank="0" text="" dxfId="0">
      <formula>$B105&lt;SinirDeger</formula>
    </cfRule>
    <cfRule type="expression" priority="201" aboveAverage="0" equalAverage="0" bottom="0" percent="0" rank="0" text="" dxfId="2">
      <formula>$B105&gt;=SinirDeger</formula>
    </cfRule>
  </conditionalFormatting>
  <conditionalFormatting sqref="A106:C106">
    <cfRule type="expression" priority="202" aboveAverage="0" equalAverage="0" bottom="0" percent="0" rank="0" text="" dxfId="0">
      <formula>$B106&lt;SinirDeger</formula>
    </cfRule>
    <cfRule type="expression" priority="203" aboveAverage="0" equalAverage="0" bottom="0" percent="0" rank="0" text="" dxfId="2">
      <formula>$B106&gt;=SinirDeger</formula>
    </cfRule>
  </conditionalFormatting>
  <conditionalFormatting sqref="A107:C107">
    <cfRule type="expression" priority="204" aboveAverage="0" equalAverage="0" bottom="0" percent="0" rank="0" text="" dxfId="0">
      <formula>$B107&lt;SinirDeger</formula>
    </cfRule>
    <cfRule type="expression" priority="205" aboveAverage="0" equalAverage="0" bottom="0" percent="0" rank="0" text="" dxfId="2">
      <formula>$B107&gt;=SinirDeger</formula>
    </cfRule>
  </conditionalFormatting>
  <conditionalFormatting sqref="A108:C108">
    <cfRule type="expression" priority="206" aboveAverage="0" equalAverage="0" bottom="0" percent="0" rank="0" text="" dxfId="0">
      <formula>$B108&lt;SinirDeger</formula>
    </cfRule>
    <cfRule type="expression" priority="207" aboveAverage="0" equalAverage="0" bottom="0" percent="0" rank="0" text="" dxfId="2">
      <formula>$B108&gt;=SinirDeger</formula>
    </cfRule>
  </conditionalFormatting>
  <conditionalFormatting sqref="A109:C109">
    <cfRule type="expression" priority="208" aboveAverage="0" equalAverage="0" bottom="0" percent="0" rank="0" text="" dxfId="0">
      <formula>$B109&lt;SinirDeger</formula>
    </cfRule>
    <cfRule type="expression" priority="209" aboveAverage="0" equalAverage="0" bottom="0" percent="0" rank="0" text="" dxfId="2">
      <formula>$B109&gt;=SinirDeger</formula>
    </cfRule>
  </conditionalFormatting>
  <conditionalFormatting sqref="A110:C110">
    <cfRule type="expression" priority="210" aboveAverage="0" equalAverage="0" bottom="0" percent="0" rank="0" text="" dxfId="0">
      <formula>$B110&lt;SinirDeger</formula>
    </cfRule>
    <cfRule type="expression" priority="211" aboveAverage="0" equalAverage="0" bottom="0" percent="0" rank="0" text="" dxfId="2">
      <formula>$B110&gt;=SinirDeger</formula>
    </cfRule>
  </conditionalFormatting>
  <conditionalFormatting sqref="A111:C111">
    <cfRule type="expression" priority="212" aboveAverage="0" equalAverage="0" bottom="0" percent="0" rank="0" text="" dxfId="0">
      <formula>$B111&lt;SinirDeger</formula>
    </cfRule>
    <cfRule type="expression" priority="213" aboveAverage="0" equalAverage="0" bottom="0" percent="0" rank="0" text="" dxfId="2">
      <formula>$B111&gt;=SinirDeger</formula>
    </cfRule>
  </conditionalFormatting>
  <conditionalFormatting sqref="A112:C112">
    <cfRule type="expression" priority="214" aboveAverage="0" equalAverage="0" bottom="0" percent="0" rank="0" text="" dxfId="0">
      <formula>$B112&lt;SinirDeger</formula>
    </cfRule>
    <cfRule type="expression" priority="215" aboveAverage="0" equalAverage="0" bottom="0" percent="0" rank="0" text="" dxfId="2">
      <formula>$B112&gt;=SinirDeger</formula>
    </cfRule>
  </conditionalFormatting>
  <conditionalFormatting sqref="A113:C113">
    <cfRule type="expression" priority="216" aboveAverage="0" equalAverage="0" bottom="0" percent="0" rank="0" text="" dxfId="0">
      <formula>$B113&lt;SinirDeger</formula>
    </cfRule>
    <cfRule type="expression" priority="217" aboveAverage="0" equalAverage="0" bottom="0" percent="0" rank="0" text="" dxfId="2">
      <formula>$B113&gt;=SinirDeger</formula>
    </cfRule>
  </conditionalFormatting>
  <conditionalFormatting sqref="A114:C114">
    <cfRule type="expression" priority="218" aboveAverage="0" equalAverage="0" bottom="0" percent="0" rank="0" text="" dxfId="0">
      <formula>$B114&lt;SinirDeger</formula>
    </cfRule>
    <cfRule type="expression" priority="219" aboveAverage="0" equalAverage="0" bottom="0" percent="0" rank="0" text="" dxfId="2">
      <formula>$B114&gt;=SinirDeger</formula>
    </cfRule>
  </conditionalFormatting>
  <conditionalFormatting sqref="A115:C115">
    <cfRule type="expression" priority="220" aboveAverage="0" equalAverage="0" bottom="0" percent="0" rank="0" text="" dxfId="0">
      <formula>$B115&lt;SinirDeger</formula>
    </cfRule>
    <cfRule type="expression" priority="221" aboveAverage="0" equalAverage="0" bottom="0" percent="0" rank="0" text="" dxfId="2">
      <formula>$B115&gt;=SinirDeger</formula>
    </cfRule>
  </conditionalFormatting>
  <conditionalFormatting sqref="A116:C116">
    <cfRule type="expression" priority="222" aboveAverage="0" equalAverage="0" bottom="0" percent="0" rank="0" text="" dxfId="0">
      <formula>$B116&lt;SinirDeger</formula>
    </cfRule>
    <cfRule type="expression" priority="223" aboveAverage="0" equalAverage="0" bottom="0" percent="0" rank="0" text="" dxfId="2">
      <formula>$B116&gt;=SinirDeger</formula>
    </cfRule>
  </conditionalFormatting>
  <conditionalFormatting sqref="A117:C117">
    <cfRule type="expression" priority="224" aboveAverage="0" equalAverage="0" bottom="0" percent="0" rank="0" text="" dxfId="0">
      <formula>$B117&lt;SinirDeger</formula>
    </cfRule>
    <cfRule type="expression" priority="225" aboveAverage="0" equalAverage="0" bottom="0" percent="0" rank="0" text="" dxfId="2">
      <formula>$B117&gt;=SinirDeger</formula>
    </cfRule>
  </conditionalFormatting>
  <conditionalFormatting sqref="A118:C118">
    <cfRule type="expression" priority="226" aboveAverage="0" equalAverage="0" bottom="0" percent="0" rank="0" text="" dxfId="0">
      <formula>$B118&lt;SinirDeger</formula>
    </cfRule>
    <cfRule type="expression" priority="227" aboveAverage="0" equalAverage="0" bottom="0" percent="0" rank="0" text="" dxfId="2">
      <formula>$B118&gt;=SinirDeger</formula>
    </cfRule>
  </conditionalFormatting>
  <conditionalFormatting sqref="A119:C119">
    <cfRule type="expression" priority="228" aboveAverage="0" equalAverage="0" bottom="0" percent="0" rank="0" text="" dxfId="0">
      <formula>$B119&lt;SinirDeger</formula>
    </cfRule>
    <cfRule type="expression" priority="229" aboveAverage="0" equalAverage="0" bottom="0" percent="0" rank="0" text="" dxfId="2">
      <formula>$B119&gt;=SinirDeger</formula>
    </cfRule>
  </conditionalFormatting>
  <conditionalFormatting sqref="A120:C120">
    <cfRule type="expression" priority="230" aboveAverage="0" equalAverage="0" bottom="0" percent="0" rank="0" text="" dxfId="0">
      <formula>$B120&lt;SinirDeger</formula>
    </cfRule>
    <cfRule type="expression" priority="231" aboveAverage="0" equalAverage="0" bottom="0" percent="0" rank="0" text="" dxfId="2">
      <formula>$B120&gt;=SinirDeger</formula>
    </cfRule>
  </conditionalFormatting>
  <conditionalFormatting sqref="A121:C121">
    <cfRule type="expression" priority="232" aboveAverage="0" equalAverage="0" bottom="0" percent="0" rank="0" text="" dxfId="0">
      <formula>$B121&lt;SinirDeger</formula>
    </cfRule>
    <cfRule type="expression" priority="233" aboveAverage="0" equalAverage="0" bottom="0" percent="0" rank="0" text="" dxfId="2">
      <formula>$B121&gt;=SinirDeger</formula>
    </cfRule>
  </conditionalFormatting>
  <conditionalFormatting sqref="A122:C122">
    <cfRule type="expression" priority="234" aboveAverage="0" equalAverage="0" bottom="0" percent="0" rank="0" text="" dxfId="0">
      <formula>$B122&lt;SinirDeger</formula>
    </cfRule>
    <cfRule type="expression" priority="235" aboveAverage="0" equalAverage="0" bottom="0" percent="0" rank="0" text="" dxfId="2">
      <formula>$B122&gt;=SinirDeger</formula>
    </cfRule>
  </conditionalFormatting>
  <conditionalFormatting sqref="A123:C123">
    <cfRule type="expression" priority="236" aboveAverage="0" equalAverage="0" bottom="0" percent="0" rank="0" text="" dxfId="0">
      <formula>$B123&lt;SinirDeger</formula>
    </cfRule>
    <cfRule type="expression" priority="237" aboveAverage="0" equalAverage="0" bottom="0" percent="0" rank="0" text="" dxfId="2">
      <formula>$B123&gt;=SinirDeger</formula>
    </cfRule>
  </conditionalFormatting>
  <conditionalFormatting sqref="A124:C124">
    <cfRule type="expression" priority="238" aboveAverage="0" equalAverage="0" bottom="0" percent="0" rank="0" text="" dxfId="0">
      <formula>$B124&lt;SinirDeger</formula>
    </cfRule>
    <cfRule type="expression" priority="239" aboveAverage="0" equalAverage="0" bottom="0" percent="0" rank="0" text="" dxfId="2">
      <formula>$B124&gt;=SinirDeger</formula>
    </cfRule>
  </conditionalFormatting>
  <conditionalFormatting sqref="A125:C125">
    <cfRule type="expression" priority="240" aboveAverage="0" equalAverage="0" bottom="0" percent="0" rank="0" text="" dxfId="0">
      <formula>$B125&lt;SinirDeger</formula>
    </cfRule>
    <cfRule type="expression" priority="241" aboveAverage="0" equalAverage="0" bottom="0" percent="0" rank="0" text="" dxfId="2">
      <formula>$B125&gt;=SinirDeger</formula>
    </cfRule>
  </conditionalFormatting>
  <conditionalFormatting sqref="A126:C126">
    <cfRule type="expression" priority="242" aboveAverage="0" equalAverage="0" bottom="0" percent="0" rank="0" text="" dxfId="0">
      <formula>$B126&lt;SinirDeger</formula>
    </cfRule>
    <cfRule type="expression" priority="243" aboveAverage="0" equalAverage="0" bottom="0" percent="0" rank="0" text="" dxfId="2">
      <formula>$B126&gt;=SinirDeger</formula>
    </cfRule>
  </conditionalFormatting>
  <conditionalFormatting sqref="A127:C127">
    <cfRule type="expression" priority="244" aboveAverage="0" equalAverage="0" bottom="0" percent="0" rank="0" text="" dxfId="0">
      <formula>$B127&lt;SinirDeger</formula>
    </cfRule>
    <cfRule type="expression" priority="245" aboveAverage="0" equalAverage="0" bottom="0" percent="0" rank="0" text="" dxfId="2">
      <formula>$B127&gt;=SinirDeger</formula>
    </cfRule>
  </conditionalFormatting>
  <conditionalFormatting sqref="A128:C128">
    <cfRule type="expression" priority="246" aboveAverage="0" equalAverage="0" bottom="0" percent="0" rank="0" text="" dxfId="0">
      <formula>$B128&lt;SinirDeger</formula>
    </cfRule>
    <cfRule type="expression" priority="247" aboveAverage="0" equalAverage="0" bottom="0" percent="0" rank="0" text="" dxfId="2">
      <formula>$B128&gt;=SinirDeger</formula>
    </cfRule>
  </conditionalFormatting>
  <conditionalFormatting sqref="A129:C129">
    <cfRule type="expression" priority="248" aboveAverage="0" equalAverage="0" bottom="0" percent="0" rank="0" text="" dxfId="0">
      <formula>$B129&lt;SinirDeger</formula>
    </cfRule>
    <cfRule type="expression" priority="249" aboveAverage="0" equalAverage="0" bottom="0" percent="0" rank="0" text="" dxfId="2">
      <formula>$B129&gt;=SinirDeger</formula>
    </cfRule>
  </conditionalFormatting>
  <conditionalFormatting sqref="A130:C130">
    <cfRule type="expression" priority="250" aboveAverage="0" equalAverage="0" bottom="0" percent="0" rank="0" text="" dxfId="0">
      <formula>$B130&lt;SinirDeger</formula>
    </cfRule>
    <cfRule type="expression" priority="251" aboveAverage="0" equalAverage="0" bottom="0" percent="0" rank="0" text="" dxfId="2">
      <formula>$B130&gt;=SinirDeger</formula>
    </cfRule>
  </conditionalFormatting>
  <conditionalFormatting sqref="A131:C131">
    <cfRule type="expression" priority="252" aboveAverage="0" equalAverage="0" bottom="0" percent="0" rank="0" text="" dxfId="0">
      <formula>$B131&lt;SinirDeger</formula>
    </cfRule>
    <cfRule type="expression" priority="253" aboveAverage="0" equalAverage="0" bottom="0" percent="0" rank="0" text="" dxfId="2">
      <formula>$B131&gt;=SinirDeger</formula>
    </cfRule>
  </conditionalFormatting>
  <conditionalFormatting sqref="A132:C132">
    <cfRule type="expression" priority="254" aboveAverage="0" equalAverage="0" bottom="0" percent="0" rank="0" text="" dxfId="0">
      <formula>$B132&lt;SinirDeger</formula>
    </cfRule>
    <cfRule type="expression" priority="255" aboveAverage="0" equalAverage="0" bottom="0" percent="0" rank="0" text="" dxfId="2">
      <formula>$B132&gt;=SinirDeger</formula>
    </cfRule>
  </conditionalFormatting>
  <conditionalFormatting sqref="A133:C133">
    <cfRule type="expression" priority="256" aboveAverage="0" equalAverage="0" bottom="0" percent="0" rank="0" text="" dxfId="0">
      <formula>$B133&lt;SinirDeger</formula>
    </cfRule>
    <cfRule type="expression" priority="257" aboveAverage="0" equalAverage="0" bottom="0" percent="0" rank="0" text="" dxfId="2">
      <formula>$B133&gt;=SinirDeger</formula>
    </cfRule>
  </conditionalFormatting>
  <conditionalFormatting sqref="A134:C134">
    <cfRule type="expression" priority="258" aboveAverage="0" equalAverage="0" bottom="0" percent="0" rank="0" text="" dxfId="0">
      <formula>$B134&lt;SinirDeger</formula>
    </cfRule>
    <cfRule type="expression" priority="259" aboveAverage="0" equalAverage="0" bottom="0" percent="0" rank="0" text="" dxfId="2">
      <formula>$B134&gt;=SinirDeger</formula>
    </cfRule>
  </conditionalFormatting>
  <conditionalFormatting sqref="A135:C135">
    <cfRule type="expression" priority="260" aboveAverage="0" equalAverage="0" bottom="0" percent="0" rank="0" text="" dxfId="0">
      <formula>$B135&lt;SinirDeger</formula>
    </cfRule>
    <cfRule type="expression" priority="261" aboveAverage="0" equalAverage="0" bottom="0" percent="0" rank="0" text="" dxfId="2">
      <formula>$B135&gt;=SinirDeger</formula>
    </cfRule>
  </conditionalFormatting>
  <conditionalFormatting sqref="A136:C136">
    <cfRule type="expression" priority="262" aboveAverage="0" equalAverage="0" bottom="0" percent="0" rank="0" text="" dxfId="0">
      <formula>$B136&lt;SinirDeger</formula>
    </cfRule>
    <cfRule type="expression" priority="263" aboveAverage="0" equalAverage="0" bottom="0" percent="0" rank="0" text="" dxfId="2">
      <formula>$B136&gt;=SinirDeger</formula>
    </cfRule>
  </conditionalFormatting>
  <conditionalFormatting sqref="A137:C137">
    <cfRule type="expression" priority="264" aboveAverage="0" equalAverage="0" bottom="0" percent="0" rank="0" text="" dxfId="0">
      <formula>$B137&lt;SinirDeger</formula>
    </cfRule>
    <cfRule type="expression" priority="265" aboveAverage="0" equalAverage="0" bottom="0" percent="0" rank="0" text="" dxfId="2">
      <formula>$B137&gt;=SinirDeger</formula>
    </cfRule>
  </conditionalFormatting>
  <conditionalFormatting sqref="A138:C138">
    <cfRule type="expression" priority="266" aboveAverage="0" equalAverage="0" bottom="0" percent="0" rank="0" text="" dxfId="0">
      <formula>$B138&lt;SinirDeger</formula>
    </cfRule>
    <cfRule type="expression" priority="267" aboveAverage="0" equalAverage="0" bottom="0" percent="0" rank="0" text="" dxfId="2">
      <formula>$B138&gt;=SinirDeger</formula>
    </cfRule>
  </conditionalFormatting>
  <conditionalFormatting sqref="A139:C139">
    <cfRule type="expression" priority="268" aboveAverage="0" equalAverage="0" bottom="0" percent="0" rank="0" text="" dxfId="0">
      <formula>$B139&lt;SinirDeger</formula>
    </cfRule>
    <cfRule type="expression" priority="269" aboveAverage="0" equalAverage="0" bottom="0" percent="0" rank="0" text="" dxfId="2">
      <formula>$B139&gt;=SinirDeger</formula>
    </cfRule>
  </conditionalFormatting>
  <conditionalFormatting sqref="A140:C140">
    <cfRule type="expression" priority="270" aboveAverage="0" equalAverage="0" bottom="0" percent="0" rank="0" text="" dxfId="0">
      <formula>$B140&lt;SinirDeger</formula>
    </cfRule>
    <cfRule type="expression" priority="271" aboveAverage="0" equalAverage="0" bottom="0" percent="0" rank="0" text="" dxfId="2">
      <formula>$B140&gt;=SinirDeger</formula>
    </cfRule>
  </conditionalFormatting>
  <conditionalFormatting sqref="A141:C141">
    <cfRule type="expression" priority="272" aboveAverage="0" equalAverage="0" bottom="0" percent="0" rank="0" text="" dxfId="0">
      <formula>$B141&lt;SinirDeger</formula>
    </cfRule>
    <cfRule type="expression" priority="273" aboveAverage="0" equalAverage="0" bottom="0" percent="0" rank="0" text="" dxfId="2">
      <formula>$B141&gt;=SinirDeger</formula>
    </cfRule>
  </conditionalFormatting>
  <conditionalFormatting sqref="A142:C142">
    <cfRule type="expression" priority="274" aboveAverage="0" equalAverage="0" bottom="0" percent="0" rank="0" text="" dxfId="0">
      <formula>$B142&lt;SinirDeger</formula>
    </cfRule>
    <cfRule type="expression" priority="275" aboveAverage="0" equalAverage="0" bottom="0" percent="0" rank="0" text="" dxfId="2">
      <formula>$B142&gt;=SinirDeger</formula>
    </cfRule>
  </conditionalFormatting>
  <conditionalFormatting sqref="A143:C143">
    <cfRule type="expression" priority="276" aboveAverage="0" equalAverage="0" bottom="0" percent="0" rank="0" text="" dxfId="0">
      <formula>$B143&lt;SinirDeger</formula>
    </cfRule>
    <cfRule type="expression" priority="277" aboveAverage="0" equalAverage="0" bottom="0" percent="0" rank="0" text="" dxfId="2">
      <formula>$B143&gt;=SinirDeger</formula>
    </cfRule>
  </conditionalFormatting>
  <conditionalFormatting sqref="A144:C144">
    <cfRule type="expression" priority="278" aboveAverage="0" equalAverage="0" bottom="0" percent="0" rank="0" text="" dxfId="0">
      <formula>$B144&lt;SinirDeger</formula>
    </cfRule>
    <cfRule type="expression" priority="279" aboveAverage="0" equalAverage="0" bottom="0" percent="0" rank="0" text="" dxfId="2">
      <formula>$B144&gt;=SinirDeger</formula>
    </cfRule>
  </conditionalFormatting>
  <conditionalFormatting sqref="A145:C145">
    <cfRule type="expression" priority="280" aboveAverage="0" equalAverage="0" bottom="0" percent="0" rank="0" text="" dxfId="0">
      <formula>$B145&lt;SinirDeger</formula>
    </cfRule>
    <cfRule type="expression" priority="281" aboveAverage="0" equalAverage="0" bottom="0" percent="0" rank="0" text="" dxfId="2">
      <formula>$B145&gt;=SinirDeger</formula>
    </cfRule>
  </conditionalFormatting>
  <conditionalFormatting sqref="A146:C146">
    <cfRule type="expression" priority="282" aboveAverage="0" equalAverage="0" bottom="0" percent="0" rank="0" text="" dxfId="0">
      <formula>$B146&lt;SinirDeger</formula>
    </cfRule>
    <cfRule type="expression" priority="283" aboveAverage="0" equalAverage="0" bottom="0" percent="0" rank="0" text="" dxfId="2">
      <formula>$B146&gt;=SinirDeger</formula>
    </cfRule>
  </conditionalFormatting>
  <conditionalFormatting sqref="A147:C147">
    <cfRule type="expression" priority="284" aboveAverage="0" equalAverage="0" bottom="0" percent="0" rank="0" text="" dxfId="0">
      <formula>$B147&lt;SinirDeger</formula>
    </cfRule>
    <cfRule type="expression" priority="285" aboveAverage="0" equalAverage="0" bottom="0" percent="0" rank="0" text="" dxfId="2">
      <formula>$B147&gt;=SinirDeger</formula>
    </cfRule>
  </conditionalFormatting>
  <conditionalFormatting sqref="A148:C148">
    <cfRule type="expression" priority="286" aboveAverage="0" equalAverage="0" bottom="0" percent="0" rank="0" text="" dxfId="0">
      <formula>$B148&lt;SinirDeger</formula>
    </cfRule>
    <cfRule type="expression" priority="287" aboveAverage="0" equalAverage="0" bottom="0" percent="0" rank="0" text="" dxfId="2">
      <formula>$B148&gt;=SinirDeger</formula>
    </cfRule>
  </conditionalFormatting>
  <conditionalFormatting sqref="A149:C149">
    <cfRule type="expression" priority="288" aboveAverage="0" equalAverage="0" bottom="0" percent="0" rank="0" text="" dxfId="0">
      <formula>$B149&lt;SinirDeger</formula>
    </cfRule>
    <cfRule type="expression" priority="289" aboveAverage="0" equalAverage="0" bottom="0" percent="0" rank="0" text="" dxfId="2">
      <formula>$B149&gt;=SinirDeger</formula>
    </cfRule>
  </conditionalFormatting>
  <conditionalFormatting sqref="A150:C150">
    <cfRule type="expression" priority="290" aboveAverage="0" equalAverage="0" bottom="0" percent="0" rank="0" text="" dxfId="0">
      <formula>$B150&lt;SinirDeger</formula>
    </cfRule>
    <cfRule type="expression" priority="291" aboveAverage="0" equalAverage="0" bottom="0" percent="0" rank="0" text="" dxfId="2">
      <formula>$B150&gt;=SinirDeger</formula>
    </cfRule>
  </conditionalFormatting>
  <conditionalFormatting sqref="A151:C151">
    <cfRule type="expression" priority="292" aboveAverage="0" equalAverage="0" bottom="0" percent="0" rank="0" text="" dxfId="0">
      <formula>$B151&lt;SinirDeger</formula>
    </cfRule>
    <cfRule type="expression" priority="293" aboveAverage="0" equalAverage="0" bottom="0" percent="0" rank="0" text="" dxfId="2">
      <formula>$B151&gt;=SinirDeger</formula>
    </cfRule>
  </conditionalFormatting>
  <conditionalFormatting sqref="A152:C152">
    <cfRule type="expression" priority="294" aboveAverage="0" equalAverage="0" bottom="0" percent="0" rank="0" text="" dxfId="0">
      <formula>$B152&lt;SinirDeger</formula>
    </cfRule>
    <cfRule type="expression" priority="295" aboveAverage="0" equalAverage="0" bottom="0" percent="0" rank="0" text="" dxfId="2">
      <formula>$B152&gt;=SinirDeger</formula>
    </cfRule>
  </conditionalFormatting>
  <conditionalFormatting sqref="A153:C153">
    <cfRule type="expression" priority="296" aboveAverage="0" equalAverage="0" bottom="0" percent="0" rank="0" text="" dxfId="0">
      <formula>$B153&lt;SinirDeger</formula>
    </cfRule>
    <cfRule type="expression" priority="297" aboveAverage="0" equalAverage="0" bottom="0" percent="0" rank="0" text="" dxfId="2">
      <formula>$B153&gt;=SinirDeger</formula>
    </cfRule>
  </conditionalFormatting>
  <conditionalFormatting sqref="A154:C154">
    <cfRule type="expression" priority="298" aboveAverage="0" equalAverage="0" bottom="0" percent="0" rank="0" text="" dxfId="0">
      <formula>$B154&lt;SinirDeger</formula>
    </cfRule>
    <cfRule type="expression" priority="299" aboveAverage="0" equalAverage="0" bottom="0" percent="0" rank="0" text="" dxfId="2">
      <formula>$B154&gt;=SinirDeger</formula>
    </cfRule>
  </conditionalFormatting>
  <conditionalFormatting sqref="A155:C155">
    <cfRule type="expression" priority="300" aboveAverage="0" equalAverage="0" bottom="0" percent="0" rank="0" text="" dxfId="0">
      <formula>$B155&lt;SinirDeger</formula>
    </cfRule>
    <cfRule type="expression" priority="301" aboveAverage="0" equalAverage="0" bottom="0" percent="0" rank="0" text="" dxfId="2">
      <formula>$B155&gt;=SinirDeger</formula>
    </cfRule>
  </conditionalFormatting>
  <conditionalFormatting sqref="A156:C156">
    <cfRule type="expression" priority="302" aboveAverage="0" equalAverage="0" bottom="0" percent="0" rank="0" text="" dxfId="0">
      <formula>$B156&lt;SinirDeger</formula>
    </cfRule>
    <cfRule type="expression" priority="303" aboveAverage="0" equalAverage="0" bottom="0" percent="0" rank="0" text="" dxfId="2">
      <formula>$B156&gt;=SinirDeger</formula>
    </cfRule>
  </conditionalFormatting>
  <conditionalFormatting sqref="A157:C157">
    <cfRule type="expression" priority="304" aboveAverage="0" equalAverage="0" bottom="0" percent="0" rank="0" text="" dxfId="0">
      <formula>$B157&lt;SinirDeger</formula>
    </cfRule>
    <cfRule type="expression" priority="305" aboveAverage="0" equalAverage="0" bottom="0" percent="0" rank="0" text="" dxfId="2">
      <formula>$B157&gt;=SinirDeger</formula>
    </cfRule>
  </conditionalFormatting>
  <conditionalFormatting sqref="A158:C158">
    <cfRule type="expression" priority="306" aboveAverage="0" equalAverage="0" bottom="0" percent="0" rank="0" text="" dxfId="0">
      <formula>$B158&lt;SinirDeger</formula>
    </cfRule>
    <cfRule type="expression" priority="307" aboveAverage="0" equalAverage="0" bottom="0" percent="0" rank="0" text="" dxfId="2">
      <formula>$B158&gt;=SinirDeger</formula>
    </cfRule>
  </conditionalFormatting>
  <conditionalFormatting sqref="A159:C159">
    <cfRule type="expression" priority="308" aboveAverage="0" equalAverage="0" bottom="0" percent="0" rank="0" text="" dxfId="0">
      <formula>$B159&lt;SinirDeger</formula>
    </cfRule>
    <cfRule type="expression" priority="309" aboveAverage="0" equalAverage="0" bottom="0" percent="0" rank="0" text="" dxfId="2">
      <formula>$B159&gt;=SinirDeger</formula>
    </cfRule>
  </conditionalFormatting>
  <conditionalFormatting sqref="A160:C160">
    <cfRule type="expression" priority="310" aboveAverage="0" equalAverage="0" bottom="0" percent="0" rank="0" text="" dxfId="0">
      <formula>$B160&lt;SinirDeger</formula>
    </cfRule>
    <cfRule type="expression" priority="311" aboveAverage="0" equalAverage="0" bottom="0" percent="0" rank="0" text="" dxfId="2">
      <formula>$B160&gt;=SinirDeger</formula>
    </cfRule>
  </conditionalFormatting>
  <conditionalFormatting sqref="A161:C161">
    <cfRule type="expression" priority="312" aboveAverage="0" equalAverage="0" bottom="0" percent="0" rank="0" text="" dxfId="0">
      <formula>$B161&lt;SinirDeger</formula>
    </cfRule>
    <cfRule type="expression" priority="313" aboveAverage="0" equalAverage="0" bottom="0" percent="0" rank="0" text="" dxfId="2">
      <formula>$B161&gt;=SinirDeger</formula>
    </cfRule>
  </conditionalFormatting>
  <conditionalFormatting sqref="A162:C162">
    <cfRule type="expression" priority="314" aboveAverage="0" equalAverage="0" bottom="0" percent="0" rank="0" text="" dxfId="0">
      <formula>$B162&lt;SinirDeger</formula>
    </cfRule>
    <cfRule type="expression" priority="315" aboveAverage="0" equalAverage="0" bottom="0" percent="0" rank="0" text="" dxfId="2">
      <formula>$B162&gt;=SinirDeger</formula>
    </cfRule>
  </conditionalFormatting>
  <conditionalFormatting sqref="A163:C163">
    <cfRule type="expression" priority="316" aboveAverage="0" equalAverage="0" bottom="0" percent="0" rank="0" text="" dxfId="0">
      <formula>$B163&lt;SinirDeger</formula>
    </cfRule>
    <cfRule type="expression" priority="317" aboveAverage="0" equalAverage="0" bottom="0" percent="0" rank="0" text="" dxfId="2">
      <formula>$B163&gt;=SinirDeger</formula>
    </cfRule>
  </conditionalFormatting>
  <conditionalFormatting sqref="A164:C164">
    <cfRule type="expression" priority="318" aboveAverage="0" equalAverage="0" bottom="0" percent="0" rank="0" text="" dxfId="0">
      <formula>$B164&lt;SinirDeger</formula>
    </cfRule>
    <cfRule type="expression" priority="319" aboveAverage="0" equalAverage="0" bottom="0" percent="0" rank="0" text="" dxfId="2">
      <formula>$B164&gt;=SinirDeger</formula>
    </cfRule>
  </conditionalFormatting>
  <conditionalFormatting sqref="A165:C165">
    <cfRule type="expression" priority="320" aboveAverage="0" equalAverage="0" bottom="0" percent="0" rank="0" text="" dxfId="0">
      <formula>$B165&lt;SinirDeger</formula>
    </cfRule>
    <cfRule type="expression" priority="321" aboveAverage="0" equalAverage="0" bottom="0" percent="0" rank="0" text="" dxfId="2">
      <formula>$B165&gt;=SinirDeger</formula>
    </cfRule>
  </conditionalFormatting>
  <conditionalFormatting sqref="A166:C166">
    <cfRule type="expression" priority="322" aboveAverage="0" equalAverage="0" bottom="0" percent="0" rank="0" text="" dxfId="0">
      <formula>$B166&lt;SinirDeger</formula>
    </cfRule>
    <cfRule type="expression" priority="323" aboveAverage="0" equalAverage="0" bottom="0" percent="0" rank="0" text="" dxfId="2">
      <formula>$B166&gt;=SinirDeger</formula>
    </cfRule>
  </conditionalFormatting>
  <conditionalFormatting sqref="A167:C167">
    <cfRule type="expression" priority="324" aboveAverage="0" equalAverage="0" bottom="0" percent="0" rank="0" text="" dxfId="0">
      <formula>$B167&lt;SinirDeger</formula>
    </cfRule>
    <cfRule type="expression" priority="325" aboveAverage="0" equalAverage="0" bottom="0" percent="0" rank="0" text="" dxfId="2">
      <formula>$B167&gt;=SinirDeger</formula>
    </cfRule>
  </conditionalFormatting>
  <conditionalFormatting sqref="A168:C168">
    <cfRule type="expression" priority="326" aboveAverage="0" equalAverage="0" bottom="0" percent="0" rank="0" text="" dxfId="0">
      <formula>$B168&lt;SinirDeger</formula>
    </cfRule>
    <cfRule type="expression" priority="327" aboveAverage="0" equalAverage="0" bottom="0" percent="0" rank="0" text="" dxfId="2">
      <formula>$B168&gt;=SinirDeger</formula>
    </cfRule>
  </conditionalFormatting>
  <conditionalFormatting sqref="A169:C169">
    <cfRule type="expression" priority="328" aboveAverage="0" equalAverage="0" bottom="0" percent="0" rank="0" text="" dxfId="0">
      <formula>$B169&lt;SinirDeger</formula>
    </cfRule>
    <cfRule type="expression" priority="329" aboveAverage="0" equalAverage="0" bottom="0" percent="0" rank="0" text="" dxfId="2">
      <formula>$B169&gt;=SinirDeger</formula>
    </cfRule>
  </conditionalFormatting>
  <conditionalFormatting sqref="A170:C170">
    <cfRule type="expression" priority="330" aboveAverage="0" equalAverage="0" bottom="0" percent="0" rank="0" text="" dxfId="0">
      <formula>$B170&lt;SinirDeger</formula>
    </cfRule>
    <cfRule type="expression" priority="331" aboveAverage="0" equalAverage="0" bottom="0" percent="0" rank="0" text="" dxfId="2">
      <formula>$B170&gt;=SinirDeger</formula>
    </cfRule>
  </conditionalFormatting>
  <conditionalFormatting sqref="A171:C171">
    <cfRule type="expression" priority="332" aboveAverage="0" equalAverage="0" bottom="0" percent="0" rank="0" text="" dxfId="0">
      <formula>$B171&lt;SinirDeger</formula>
    </cfRule>
    <cfRule type="expression" priority="333" aboveAverage="0" equalAverage="0" bottom="0" percent="0" rank="0" text="" dxfId="2">
      <formula>$B171&gt;=SinirDeger</formula>
    </cfRule>
  </conditionalFormatting>
  <conditionalFormatting sqref="A172:C172">
    <cfRule type="expression" priority="334" aboveAverage="0" equalAverage="0" bottom="0" percent="0" rank="0" text="" dxfId="0">
      <formula>$B172&lt;SinirDeger</formula>
    </cfRule>
    <cfRule type="expression" priority="335" aboveAverage="0" equalAverage="0" bottom="0" percent="0" rank="0" text="" dxfId="2">
      <formula>$B172&gt;=SinirDeger</formula>
    </cfRule>
  </conditionalFormatting>
  <conditionalFormatting sqref="A173:C173">
    <cfRule type="expression" priority="336" aboveAverage="0" equalAverage="0" bottom="0" percent="0" rank="0" text="" dxfId="0">
      <formula>$B173&lt;SinirDeger</formula>
    </cfRule>
    <cfRule type="expression" priority="337" aboveAverage="0" equalAverage="0" bottom="0" percent="0" rank="0" text="" dxfId="2">
      <formula>$B173&gt;=SinirDeger</formula>
    </cfRule>
  </conditionalFormatting>
  <conditionalFormatting sqref="A174:C174">
    <cfRule type="expression" priority="338" aboveAverage="0" equalAverage="0" bottom="0" percent="0" rank="0" text="" dxfId="0">
      <formula>$B174&lt;SinirDeger</formula>
    </cfRule>
    <cfRule type="expression" priority="339" aboveAverage="0" equalAverage="0" bottom="0" percent="0" rank="0" text="" dxfId="2">
      <formula>$B174&gt;=SinirDeger</formula>
    </cfRule>
  </conditionalFormatting>
  <conditionalFormatting sqref="A175:C175">
    <cfRule type="expression" priority="340" aboveAverage="0" equalAverage="0" bottom="0" percent="0" rank="0" text="" dxfId="0">
      <formula>$B175&lt;SinirDeger</formula>
    </cfRule>
    <cfRule type="expression" priority="341" aboveAverage="0" equalAverage="0" bottom="0" percent="0" rank="0" text="" dxfId="2">
      <formula>$B175&gt;=SinirDeger</formula>
    </cfRule>
  </conditionalFormatting>
  <conditionalFormatting sqref="A176:C176">
    <cfRule type="expression" priority="342" aboveAverage="0" equalAverage="0" bottom="0" percent="0" rank="0" text="" dxfId="0">
      <formula>$B176&lt;SinirDeger</formula>
    </cfRule>
    <cfRule type="expression" priority="343" aboveAverage="0" equalAverage="0" bottom="0" percent="0" rank="0" text="" dxfId="2">
      <formula>$B176&gt;=SinirDeger</formula>
    </cfRule>
  </conditionalFormatting>
  <conditionalFormatting sqref="A177:C177">
    <cfRule type="expression" priority="344" aboveAverage="0" equalAverage="0" bottom="0" percent="0" rank="0" text="" dxfId="0">
      <formula>$B177&lt;SinirDeger</formula>
    </cfRule>
    <cfRule type="expression" priority="345" aboveAverage="0" equalAverage="0" bottom="0" percent="0" rank="0" text="" dxfId="2">
      <formula>$B177&gt;=SinirDeger</formula>
    </cfRule>
  </conditionalFormatting>
  <conditionalFormatting sqref="A178:C178">
    <cfRule type="expression" priority="346" aboveAverage="0" equalAverage="0" bottom="0" percent="0" rank="0" text="" dxfId="0">
      <formula>$B178&lt;SinirDeger</formula>
    </cfRule>
    <cfRule type="expression" priority="347" aboveAverage="0" equalAverage="0" bottom="0" percent="0" rank="0" text="" dxfId="2">
      <formula>$B178&gt;=SinirDeger</formula>
    </cfRule>
  </conditionalFormatting>
  <conditionalFormatting sqref="A179:C179">
    <cfRule type="expression" priority="348" aboveAverage="0" equalAverage="0" bottom="0" percent="0" rank="0" text="" dxfId="0">
      <formula>$B179&lt;SinirDeger</formula>
    </cfRule>
    <cfRule type="expression" priority="349" aboveAverage="0" equalAverage="0" bottom="0" percent="0" rank="0" text="" dxfId="2">
      <formula>$B179&gt;=SinirDeger</formula>
    </cfRule>
  </conditionalFormatting>
  <conditionalFormatting sqref="A180:C180">
    <cfRule type="expression" priority="350" aboveAverage="0" equalAverage="0" bottom="0" percent="0" rank="0" text="" dxfId="0">
      <formula>$B180&lt;SinirDeger</formula>
    </cfRule>
    <cfRule type="expression" priority="351" aboveAverage="0" equalAverage="0" bottom="0" percent="0" rank="0" text="" dxfId="2">
      <formula>$B180&gt;=SinirDeger</formula>
    </cfRule>
  </conditionalFormatting>
  <conditionalFormatting sqref="A181:C181">
    <cfRule type="expression" priority="352" aboveAverage="0" equalAverage="0" bottom="0" percent="0" rank="0" text="" dxfId="0">
      <formula>$B181&lt;SinirDeger</formula>
    </cfRule>
    <cfRule type="expression" priority="353" aboveAverage="0" equalAverage="0" bottom="0" percent="0" rank="0" text="" dxfId="2">
      <formula>$B181&gt;=SinirDeger</formula>
    </cfRule>
  </conditionalFormatting>
  <conditionalFormatting sqref="A182:C182">
    <cfRule type="expression" priority="354" aboveAverage="0" equalAverage="0" bottom="0" percent="0" rank="0" text="" dxfId="0">
      <formula>$B182&lt;SinirDeger</formula>
    </cfRule>
    <cfRule type="expression" priority="355" aboveAverage="0" equalAverage="0" bottom="0" percent="0" rank="0" text="" dxfId="2">
      <formula>$B182&gt;=SinirDeger</formula>
    </cfRule>
  </conditionalFormatting>
  <conditionalFormatting sqref="A183:C183">
    <cfRule type="expression" priority="356" aboveAverage="0" equalAverage="0" bottom="0" percent="0" rank="0" text="" dxfId="0">
      <formula>$B183&lt;SinirDeger</formula>
    </cfRule>
    <cfRule type="expression" priority="357" aboveAverage="0" equalAverage="0" bottom="0" percent="0" rank="0" text="" dxfId="2">
      <formula>$B183&gt;=SinirDeger</formula>
    </cfRule>
  </conditionalFormatting>
  <conditionalFormatting sqref="A184:C184">
    <cfRule type="expression" priority="358" aboveAverage="0" equalAverage="0" bottom="0" percent="0" rank="0" text="" dxfId="0">
      <formula>$B184&lt;SinirDeger</formula>
    </cfRule>
    <cfRule type="expression" priority="359" aboveAverage="0" equalAverage="0" bottom="0" percent="0" rank="0" text="" dxfId="2">
      <formula>$B184&gt;=SinirDeger</formula>
    </cfRule>
  </conditionalFormatting>
  <conditionalFormatting sqref="A185:C185">
    <cfRule type="expression" priority="360" aboveAverage="0" equalAverage="0" bottom="0" percent="0" rank="0" text="" dxfId="0">
      <formula>$B185&lt;SinirDeger</formula>
    </cfRule>
    <cfRule type="expression" priority="361" aboveAverage="0" equalAverage="0" bottom="0" percent="0" rank="0" text="" dxfId="2">
      <formula>$B185&gt;=SinirDeger</formula>
    </cfRule>
  </conditionalFormatting>
  <conditionalFormatting sqref="A186:C186">
    <cfRule type="expression" priority="362" aboveAverage="0" equalAverage="0" bottom="0" percent="0" rank="0" text="" dxfId="0">
      <formula>$B186&lt;SinirDeger</formula>
    </cfRule>
    <cfRule type="expression" priority="363" aboveAverage="0" equalAverage="0" bottom="0" percent="0" rank="0" text="" dxfId="2">
      <formula>$B186&gt;=SinirDeger</formula>
    </cfRule>
  </conditionalFormatting>
  <conditionalFormatting sqref="A187:C187">
    <cfRule type="expression" priority="364" aboveAverage="0" equalAverage="0" bottom="0" percent="0" rank="0" text="" dxfId="0">
      <formula>$B187&lt;SinirDeger</formula>
    </cfRule>
    <cfRule type="expression" priority="365" aboveAverage="0" equalAverage="0" bottom="0" percent="0" rank="0" text="" dxfId="2">
      <formula>$B187&gt;=SinirDeger</formula>
    </cfRule>
  </conditionalFormatting>
  <conditionalFormatting sqref="A188:C188">
    <cfRule type="expression" priority="366" aboveAverage="0" equalAverage="0" bottom="0" percent="0" rank="0" text="" dxfId="0">
      <formula>$B188&lt;SinirDeger</formula>
    </cfRule>
    <cfRule type="expression" priority="367" aboveAverage="0" equalAverage="0" bottom="0" percent="0" rank="0" text="" dxfId="2">
      <formula>$B188&gt;=SinirDeger</formula>
    </cfRule>
  </conditionalFormatting>
  <conditionalFormatting sqref="A189:C189">
    <cfRule type="expression" priority="368" aboveAverage="0" equalAverage="0" bottom="0" percent="0" rank="0" text="" dxfId="0">
      <formula>$B189&lt;SinirDeger</formula>
    </cfRule>
    <cfRule type="expression" priority="369" aboveAverage="0" equalAverage="0" bottom="0" percent="0" rank="0" text="" dxfId="2">
      <formula>$B189&gt;=SinirDeger</formula>
    </cfRule>
  </conditionalFormatting>
  <conditionalFormatting sqref="A190:C190">
    <cfRule type="expression" priority="370" aboveAverage="0" equalAverage="0" bottom="0" percent="0" rank="0" text="" dxfId="0">
      <formula>$B190&lt;SinirDeger</formula>
    </cfRule>
    <cfRule type="expression" priority="371" aboveAverage="0" equalAverage="0" bottom="0" percent="0" rank="0" text="" dxfId="2">
      <formula>$B190&gt;=SinirDeger</formula>
    </cfRule>
  </conditionalFormatting>
  <conditionalFormatting sqref="A191:C191">
    <cfRule type="expression" priority="372" aboveAverage="0" equalAverage="0" bottom="0" percent="0" rank="0" text="" dxfId="0">
      <formula>$B191&lt;SinirDeger</formula>
    </cfRule>
    <cfRule type="expression" priority="373" aboveAverage="0" equalAverage="0" bottom="0" percent="0" rank="0" text="" dxfId="2">
      <formula>$B191&gt;=SinirDeger</formula>
    </cfRule>
  </conditionalFormatting>
  <conditionalFormatting sqref="A192:C192">
    <cfRule type="expression" priority="374" aboveAverage="0" equalAverage="0" bottom="0" percent="0" rank="0" text="" dxfId="0">
      <formula>$B192&lt;SinirDeger</formula>
    </cfRule>
    <cfRule type="expression" priority="375" aboveAverage="0" equalAverage="0" bottom="0" percent="0" rank="0" text="" dxfId="2">
      <formula>$B192&gt;=SinirDeger</formula>
    </cfRule>
  </conditionalFormatting>
  <conditionalFormatting sqref="A193:C193">
    <cfRule type="expression" priority="376" aboveAverage="0" equalAverage="0" bottom="0" percent="0" rank="0" text="" dxfId="0">
      <formula>$B193&lt;SinirDeger</formula>
    </cfRule>
    <cfRule type="expression" priority="377" aboveAverage="0" equalAverage="0" bottom="0" percent="0" rank="0" text="" dxfId="2">
      <formula>$B193&gt;=SinirDeger</formula>
    </cfRule>
  </conditionalFormatting>
  <conditionalFormatting sqref="A194:C194">
    <cfRule type="expression" priority="378" aboveAverage="0" equalAverage="0" bottom="0" percent="0" rank="0" text="" dxfId="0">
      <formula>$B194&lt;SinirDeger</formula>
    </cfRule>
    <cfRule type="expression" priority="379" aboveAverage="0" equalAverage="0" bottom="0" percent="0" rank="0" text="" dxfId="2">
      <formula>$B194&gt;=SinirDeger</formula>
    </cfRule>
  </conditionalFormatting>
  <conditionalFormatting sqref="A195:C195">
    <cfRule type="expression" priority="380" aboveAverage="0" equalAverage="0" bottom="0" percent="0" rank="0" text="" dxfId="0">
      <formula>$B195&lt;SinirDeger</formula>
    </cfRule>
    <cfRule type="expression" priority="381" aboveAverage="0" equalAverage="0" bottom="0" percent="0" rank="0" text="" dxfId="2">
      <formula>$B195&gt;=SinirDeger</formula>
    </cfRule>
  </conditionalFormatting>
  <conditionalFormatting sqref="A196:C196">
    <cfRule type="expression" priority="382" aboveAverage="0" equalAverage="0" bottom="0" percent="0" rank="0" text="" dxfId="0">
      <formula>$B196&lt;SinirDeger</formula>
    </cfRule>
    <cfRule type="expression" priority="383" aboveAverage="0" equalAverage="0" bottom="0" percent="0" rank="0" text="" dxfId="2">
      <formula>$B196&gt;=SinirDeger</formula>
    </cfRule>
  </conditionalFormatting>
  <conditionalFormatting sqref="A197:C197">
    <cfRule type="expression" priority="384" aboveAverage="0" equalAverage="0" bottom="0" percent="0" rank="0" text="" dxfId="0">
      <formula>$B197&lt;SinirDeger</formula>
    </cfRule>
    <cfRule type="expression" priority="385" aboveAverage="0" equalAverage="0" bottom="0" percent="0" rank="0" text="" dxfId="2">
      <formula>$B197&gt;=SinirDeger</formula>
    </cfRule>
  </conditionalFormatting>
  <conditionalFormatting sqref="A198:C198">
    <cfRule type="expression" priority="386" aboveAverage="0" equalAverage="0" bottom="0" percent="0" rank="0" text="" dxfId="0">
      <formula>$B198&lt;SinirDeger</formula>
    </cfRule>
    <cfRule type="expression" priority="387" aboveAverage="0" equalAverage="0" bottom="0" percent="0" rank="0" text="" dxfId="2">
      <formula>$B198&gt;=SinirDeger</formula>
    </cfRule>
  </conditionalFormatting>
  <conditionalFormatting sqref="A199:C199">
    <cfRule type="expression" priority="388" aboveAverage="0" equalAverage="0" bottom="0" percent="0" rank="0" text="" dxfId="0">
      <formula>$B199&lt;SinirDeger</formula>
    </cfRule>
    <cfRule type="expression" priority="389" aboveAverage="0" equalAverage="0" bottom="0" percent="0" rank="0" text="" dxfId="2">
      <formula>$B199&gt;=SinirDeger</formula>
    </cfRule>
  </conditionalFormatting>
  <conditionalFormatting sqref="A200:C200">
    <cfRule type="expression" priority="390" aboveAverage="0" equalAverage="0" bottom="0" percent="0" rank="0" text="" dxfId="0">
      <formula>$B200&lt;SinirDeger</formula>
    </cfRule>
    <cfRule type="expression" priority="391" aboveAverage="0" equalAverage="0" bottom="0" percent="0" rank="0" text="" dxfId="2">
      <formula>$B200&gt;=SinirDeger</formula>
    </cfRule>
  </conditionalFormatting>
  <conditionalFormatting sqref="A201:C201">
    <cfRule type="expression" priority="392" aboveAverage="0" equalAverage="0" bottom="0" percent="0" rank="0" text="" dxfId="0">
      <formula>$B201&lt;SinirDeger</formula>
    </cfRule>
    <cfRule type="expression" priority="393" aboveAverage="0" equalAverage="0" bottom="0" percent="0" rank="0" text="" dxfId="2">
      <formula>$B201&gt;=SinirDeger</formula>
    </cfRule>
  </conditionalFormatting>
  <conditionalFormatting sqref="A202:C202">
    <cfRule type="expression" priority="394" aboveAverage="0" equalAverage="0" bottom="0" percent="0" rank="0" text="" dxfId="0">
      <formula>$B202&lt;SinirDeger</formula>
    </cfRule>
    <cfRule type="expression" priority="395" aboveAverage="0" equalAverage="0" bottom="0" percent="0" rank="0" text="" dxfId="2">
      <formula>$B202&gt;=SinirDeger</formula>
    </cfRule>
  </conditionalFormatting>
  <conditionalFormatting sqref="A203:C203">
    <cfRule type="expression" priority="396" aboveAverage="0" equalAverage="0" bottom="0" percent="0" rank="0" text="" dxfId="0">
      <formula>$B203&lt;SinirDeger</formula>
    </cfRule>
    <cfRule type="expression" priority="397" aboveAverage="0" equalAverage="0" bottom="0" percent="0" rank="0" text="" dxfId="2">
      <formula>$B203&gt;=SinirDeger</formula>
    </cfRule>
  </conditionalFormatting>
  <conditionalFormatting sqref="A204:C204">
    <cfRule type="expression" priority="398" aboveAverage="0" equalAverage="0" bottom="0" percent="0" rank="0" text="" dxfId="0">
      <formula>$B204&lt;SinirDeger</formula>
    </cfRule>
    <cfRule type="expression" priority="399" aboveAverage="0" equalAverage="0" bottom="0" percent="0" rank="0" text="" dxfId="2">
      <formula>$B204&gt;=SinirDeger</formula>
    </cfRule>
  </conditionalFormatting>
  <conditionalFormatting sqref="A205:C205">
    <cfRule type="expression" priority="400" aboveAverage="0" equalAverage="0" bottom="0" percent="0" rank="0" text="" dxfId="0">
      <formula>$B205&lt;SinirDeger</formula>
    </cfRule>
    <cfRule type="expression" priority="401" aboveAverage="0" equalAverage="0" bottom="0" percent="0" rank="0" text="" dxfId="2">
      <formula>$B205&gt;=SinirDeger</formula>
    </cfRule>
  </conditionalFormatting>
  <conditionalFormatting sqref="A206:C206">
    <cfRule type="expression" priority="402" aboveAverage="0" equalAverage="0" bottom="0" percent="0" rank="0" text="" dxfId="0">
      <formula>$B206&lt;SinirDeger</formula>
    </cfRule>
    <cfRule type="expression" priority="403" aboveAverage="0" equalAverage="0" bottom="0" percent="0" rank="0" text="" dxfId="2">
      <formula>$B206&gt;=SinirDeger</formula>
    </cfRule>
  </conditionalFormatting>
  <conditionalFormatting sqref="A207:C207">
    <cfRule type="expression" priority="404" aboveAverage="0" equalAverage="0" bottom="0" percent="0" rank="0" text="" dxfId="0">
      <formula>$B207&lt;SinirDeger</formula>
    </cfRule>
    <cfRule type="expression" priority="405" aboveAverage="0" equalAverage="0" bottom="0" percent="0" rank="0" text="" dxfId="2">
      <formula>$B207&gt;=SinirDeger</formula>
    </cfRule>
  </conditionalFormatting>
  <conditionalFormatting sqref="A208:C208">
    <cfRule type="expression" priority="406" aboveAverage="0" equalAverage="0" bottom="0" percent="0" rank="0" text="" dxfId="0">
      <formula>$B208&lt;SinirDeger</formula>
    </cfRule>
    <cfRule type="expression" priority="407" aboveAverage="0" equalAverage="0" bottom="0" percent="0" rank="0" text="" dxfId="2">
      <formula>$B208&gt;=SinirDeger</formula>
    </cfRule>
  </conditionalFormatting>
  <conditionalFormatting sqref="A209:C209">
    <cfRule type="expression" priority="408" aboveAverage="0" equalAverage="0" bottom="0" percent="0" rank="0" text="" dxfId="0">
      <formula>$B209&lt;SinirDeger</formula>
    </cfRule>
    <cfRule type="expression" priority="409" aboveAverage="0" equalAverage="0" bottom="0" percent="0" rank="0" text="" dxfId="2">
      <formula>$B209&gt;=SinirDeger</formula>
    </cfRule>
  </conditionalFormatting>
  <conditionalFormatting sqref="A210:C210">
    <cfRule type="expression" priority="410" aboveAverage="0" equalAverage="0" bottom="0" percent="0" rank="0" text="" dxfId="0">
      <formula>$B210&lt;SinirDeger</formula>
    </cfRule>
    <cfRule type="expression" priority="411" aboveAverage="0" equalAverage="0" bottom="0" percent="0" rank="0" text="" dxfId="2">
      <formula>$B210&gt;=SinirDeger</formula>
    </cfRule>
  </conditionalFormatting>
  <conditionalFormatting sqref="A211:C211">
    <cfRule type="expression" priority="412" aboveAverage="0" equalAverage="0" bottom="0" percent="0" rank="0" text="" dxfId="0">
      <formula>$B211&lt;SinirDeger</formula>
    </cfRule>
    <cfRule type="expression" priority="413" aboveAverage="0" equalAverage="0" bottom="0" percent="0" rank="0" text="" dxfId="2">
      <formula>$B211&gt;=SinirDeger</formula>
    </cfRule>
  </conditionalFormatting>
  <conditionalFormatting sqref="A212:C212">
    <cfRule type="expression" priority="414" aboveAverage="0" equalAverage="0" bottom="0" percent="0" rank="0" text="" dxfId="0">
      <formula>$B212&lt;SinirDeger</formula>
    </cfRule>
    <cfRule type="expression" priority="415" aboveAverage="0" equalAverage="0" bottom="0" percent="0" rank="0" text="" dxfId="2">
      <formula>$B212&gt;=SinirDeger</formula>
    </cfRule>
  </conditionalFormatting>
  <conditionalFormatting sqref="A213:C213">
    <cfRule type="expression" priority="416" aboveAverage="0" equalAverage="0" bottom="0" percent="0" rank="0" text="" dxfId="0">
      <formula>$B213&lt;SinirDeger</formula>
    </cfRule>
    <cfRule type="expression" priority="417" aboveAverage="0" equalAverage="0" bottom="0" percent="0" rank="0" text="" dxfId="2">
      <formula>$B213&gt;=SinirDeger</formula>
    </cfRule>
  </conditionalFormatting>
  <conditionalFormatting sqref="A214:C214">
    <cfRule type="expression" priority="418" aboveAverage="0" equalAverage="0" bottom="0" percent="0" rank="0" text="" dxfId="0">
      <formula>$B214&lt;SinirDeger</formula>
    </cfRule>
    <cfRule type="expression" priority="419" aboveAverage="0" equalAverage="0" bottom="0" percent="0" rank="0" text="" dxfId="2">
      <formula>$B214&gt;=SinirDeger</formula>
    </cfRule>
  </conditionalFormatting>
  <conditionalFormatting sqref="A215:C215">
    <cfRule type="expression" priority="420" aboveAverage="0" equalAverage="0" bottom="0" percent="0" rank="0" text="" dxfId="0">
      <formula>$B215&lt;SinirDeger</formula>
    </cfRule>
    <cfRule type="expression" priority="421" aboveAverage="0" equalAverage="0" bottom="0" percent="0" rank="0" text="" dxfId="2">
      <formula>$B215&gt;=SinirDeger</formula>
    </cfRule>
  </conditionalFormatting>
  <conditionalFormatting sqref="A216:C216">
    <cfRule type="expression" priority="422" aboveAverage="0" equalAverage="0" bottom="0" percent="0" rank="0" text="" dxfId="0">
      <formula>$B216&lt;SinirDeger</formula>
    </cfRule>
    <cfRule type="expression" priority="423" aboveAverage="0" equalAverage="0" bottom="0" percent="0" rank="0" text="" dxfId="2">
      <formula>$B216&gt;=SinirDeger</formula>
    </cfRule>
  </conditionalFormatting>
  <conditionalFormatting sqref="A217:C217">
    <cfRule type="expression" priority="424" aboveAverage="0" equalAverage="0" bottom="0" percent="0" rank="0" text="" dxfId="0">
      <formula>$B217&lt;SinirDeger</formula>
    </cfRule>
    <cfRule type="expression" priority="425" aboveAverage="0" equalAverage="0" bottom="0" percent="0" rank="0" text="" dxfId="2">
      <formula>$B217&gt;=SinirDeger</formula>
    </cfRule>
  </conditionalFormatting>
  <conditionalFormatting sqref="A218:C218">
    <cfRule type="expression" priority="426" aboveAverage="0" equalAverage="0" bottom="0" percent="0" rank="0" text="" dxfId="0">
      <formula>$B218&lt;SinirDeger</formula>
    </cfRule>
    <cfRule type="expression" priority="427" aboveAverage="0" equalAverage="0" bottom="0" percent="0" rank="0" text="" dxfId="2">
      <formula>$B218&gt;=SinirDeger</formula>
    </cfRule>
  </conditionalFormatting>
  <conditionalFormatting sqref="A219:C219">
    <cfRule type="expression" priority="428" aboveAverage="0" equalAverage="0" bottom="0" percent="0" rank="0" text="" dxfId="0">
      <formula>$B219&lt;SinirDeger</formula>
    </cfRule>
    <cfRule type="expression" priority="429" aboveAverage="0" equalAverage="0" bottom="0" percent="0" rank="0" text="" dxfId="2">
      <formula>$B219&gt;=SinirDeger</formula>
    </cfRule>
  </conditionalFormatting>
  <conditionalFormatting sqref="A220:C220">
    <cfRule type="expression" priority="430" aboveAverage="0" equalAverage="0" bottom="0" percent="0" rank="0" text="" dxfId="0">
      <formula>$B220&lt;SinirDeger</formula>
    </cfRule>
    <cfRule type="expression" priority="431" aboveAverage="0" equalAverage="0" bottom="0" percent="0" rank="0" text="" dxfId="2">
      <formula>$B220&gt;=SinirDeger</formula>
    </cfRule>
  </conditionalFormatting>
  <conditionalFormatting sqref="A221:C221">
    <cfRule type="expression" priority="432" aboveAverage="0" equalAverage="0" bottom="0" percent="0" rank="0" text="" dxfId="0">
      <formula>$B221&lt;SinirDeger</formula>
    </cfRule>
    <cfRule type="expression" priority="433" aboveAverage="0" equalAverage="0" bottom="0" percent="0" rank="0" text="" dxfId="2">
      <formula>$B221&gt;=SinirDeger</formula>
    </cfRule>
  </conditionalFormatting>
  <conditionalFormatting sqref="A222:C222">
    <cfRule type="expression" priority="434" aboveAverage="0" equalAverage="0" bottom="0" percent="0" rank="0" text="" dxfId="0">
      <formula>$B222&lt;SinirDeger</formula>
    </cfRule>
    <cfRule type="expression" priority="435" aboveAverage="0" equalAverage="0" bottom="0" percent="0" rank="0" text="" dxfId="2">
      <formula>$B222&gt;=SinirDeger</formula>
    </cfRule>
  </conditionalFormatting>
  <conditionalFormatting sqref="A223:C223">
    <cfRule type="expression" priority="436" aboveAverage="0" equalAverage="0" bottom="0" percent="0" rank="0" text="" dxfId="0">
      <formula>$B223&lt;SinirDeger</formula>
    </cfRule>
    <cfRule type="expression" priority="437" aboveAverage="0" equalAverage="0" bottom="0" percent="0" rank="0" text="" dxfId="2">
      <formula>$B223&gt;=SinirDeger</formula>
    </cfRule>
  </conditionalFormatting>
  <conditionalFormatting sqref="A224:C224">
    <cfRule type="expression" priority="438" aboveAverage="0" equalAverage="0" bottom="0" percent="0" rank="0" text="" dxfId="0">
      <formula>$B224&lt;SinirDeger</formula>
    </cfRule>
    <cfRule type="expression" priority="439" aboveAverage="0" equalAverage="0" bottom="0" percent="0" rank="0" text="" dxfId="2">
      <formula>$B224&gt;=SinirDeger</formula>
    </cfRule>
  </conditionalFormatting>
  <conditionalFormatting sqref="A225:C225">
    <cfRule type="expression" priority="440" aboveAverage="0" equalAverage="0" bottom="0" percent="0" rank="0" text="" dxfId="0">
      <formula>$B225&lt;SinirDeger</formula>
    </cfRule>
    <cfRule type="expression" priority="441" aboveAverage="0" equalAverage="0" bottom="0" percent="0" rank="0" text="" dxfId="2">
      <formula>$B225&gt;=SinirDeger</formula>
    </cfRule>
  </conditionalFormatting>
  <conditionalFormatting sqref="A226:C226">
    <cfRule type="expression" priority="442" aboveAverage="0" equalAverage="0" bottom="0" percent="0" rank="0" text="" dxfId="0">
      <formula>$B226&lt;SinirDeger</formula>
    </cfRule>
    <cfRule type="expression" priority="443" aboveAverage="0" equalAverage="0" bottom="0" percent="0" rank="0" text="" dxfId="2">
      <formula>$B226&gt;=SinirDeger</formula>
    </cfRule>
  </conditionalFormatting>
  <conditionalFormatting sqref="A227:C227">
    <cfRule type="expression" priority="444" aboveAverage="0" equalAverage="0" bottom="0" percent="0" rank="0" text="" dxfId="0">
      <formula>$B227&lt;SinirDeger</formula>
    </cfRule>
    <cfRule type="expression" priority="445" aboveAverage="0" equalAverage="0" bottom="0" percent="0" rank="0" text="" dxfId="2">
      <formula>$B227&gt;=SinirDeger</formula>
    </cfRule>
  </conditionalFormatting>
  <conditionalFormatting sqref="A228:C228">
    <cfRule type="expression" priority="446" aboveAverage="0" equalAverage="0" bottom="0" percent="0" rank="0" text="" dxfId="0">
      <formula>$B228&lt;SinirDeger</formula>
    </cfRule>
    <cfRule type="expression" priority="447" aboveAverage="0" equalAverage="0" bottom="0" percent="0" rank="0" text="" dxfId="2">
      <formula>$B228&gt;=SinirDeger</formula>
    </cfRule>
  </conditionalFormatting>
  <conditionalFormatting sqref="A229:C229">
    <cfRule type="expression" priority="448" aboveAverage="0" equalAverage="0" bottom="0" percent="0" rank="0" text="" dxfId="0">
      <formula>$B229&lt;SinirDeger</formula>
    </cfRule>
    <cfRule type="expression" priority="449" aboveAverage="0" equalAverage="0" bottom="0" percent="0" rank="0" text="" dxfId="2">
      <formula>$B229&gt;=SinirDeger</formula>
    </cfRule>
  </conditionalFormatting>
  <conditionalFormatting sqref="A230:C230">
    <cfRule type="expression" priority="450" aboveAverage="0" equalAverage="0" bottom="0" percent="0" rank="0" text="" dxfId="0">
      <formula>$B230&lt;SinirDeger</formula>
    </cfRule>
    <cfRule type="expression" priority="451" aboveAverage="0" equalAverage="0" bottom="0" percent="0" rank="0" text="" dxfId="2">
      <formula>$B230&gt;=SinirDeger</formula>
    </cfRule>
  </conditionalFormatting>
  <conditionalFormatting sqref="A231:C231">
    <cfRule type="expression" priority="452" aboveAverage="0" equalAverage="0" bottom="0" percent="0" rank="0" text="" dxfId="0">
      <formula>$B231&lt;SinirDeger</formula>
    </cfRule>
    <cfRule type="expression" priority="453" aboveAverage="0" equalAverage="0" bottom="0" percent="0" rank="0" text="" dxfId="2">
      <formula>$B231&gt;=SinirDeger</formula>
    </cfRule>
  </conditionalFormatting>
  <conditionalFormatting sqref="A232:C232">
    <cfRule type="expression" priority="454" aboveAverage="0" equalAverage="0" bottom="0" percent="0" rank="0" text="" dxfId="0">
      <formula>$B232&lt;SinirDeger</formula>
    </cfRule>
    <cfRule type="expression" priority="455" aboveAverage="0" equalAverage="0" bottom="0" percent="0" rank="0" text="" dxfId="2">
      <formula>$B232&gt;=SinirDeger</formula>
    </cfRule>
  </conditionalFormatting>
  <conditionalFormatting sqref="A233:C233">
    <cfRule type="expression" priority="456" aboveAverage="0" equalAverage="0" bottom="0" percent="0" rank="0" text="" dxfId="0">
      <formula>$B233&lt;SinirDeger</formula>
    </cfRule>
    <cfRule type="expression" priority="457" aboveAverage="0" equalAverage="0" bottom="0" percent="0" rank="0" text="" dxfId="2">
      <formula>$B233&gt;=SinirDeger</formula>
    </cfRule>
  </conditionalFormatting>
  <conditionalFormatting sqref="A234:C234">
    <cfRule type="expression" priority="458" aboveAverage="0" equalAverage="0" bottom="0" percent="0" rank="0" text="" dxfId="0">
      <formula>$B234&lt;SinirDeger</formula>
    </cfRule>
    <cfRule type="expression" priority="459" aboveAverage="0" equalAverage="0" bottom="0" percent="0" rank="0" text="" dxfId="2">
      <formula>$B234&gt;=SinirDeger</formula>
    </cfRule>
  </conditionalFormatting>
  <conditionalFormatting sqref="A235:C235">
    <cfRule type="expression" priority="460" aboveAverage="0" equalAverage="0" bottom="0" percent="0" rank="0" text="" dxfId="0">
      <formula>$B235&lt;SinirDeger</formula>
    </cfRule>
    <cfRule type="expression" priority="461" aboveAverage="0" equalAverage="0" bottom="0" percent="0" rank="0" text="" dxfId="2">
      <formula>$B235&gt;=SinirDeger</formula>
    </cfRule>
  </conditionalFormatting>
  <conditionalFormatting sqref="A236:C236">
    <cfRule type="expression" priority="462" aboveAverage="0" equalAverage="0" bottom="0" percent="0" rank="0" text="" dxfId="0">
      <formula>$B236&lt;SinirDeger</formula>
    </cfRule>
    <cfRule type="expression" priority="463" aboveAverage="0" equalAverage="0" bottom="0" percent="0" rank="0" text="" dxfId="2">
      <formula>$B236&gt;=SinirDeger</formula>
    </cfRule>
  </conditionalFormatting>
  <conditionalFormatting sqref="A237:C237">
    <cfRule type="expression" priority="464" aboveAverage="0" equalAverage="0" bottom="0" percent="0" rank="0" text="" dxfId="0">
      <formula>$B237&lt;SinirDeger</formula>
    </cfRule>
    <cfRule type="expression" priority="465" aboveAverage="0" equalAverage="0" bottom="0" percent="0" rank="0" text="" dxfId="2">
      <formula>$B237&gt;=SinirDeger</formula>
    </cfRule>
  </conditionalFormatting>
  <conditionalFormatting sqref="A238:C238">
    <cfRule type="expression" priority="466" aboveAverage="0" equalAverage="0" bottom="0" percent="0" rank="0" text="" dxfId="0">
      <formula>$B238&lt;SinirDeger</formula>
    </cfRule>
    <cfRule type="expression" priority="467" aboveAverage="0" equalAverage="0" bottom="0" percent="0" rank="0" text="" dxfId="2">
      <formula>$B238&gt;=SinirDeger</formula>
    </cfRule>
  </conditionalFormatting>
  <conditionalFormatting sqref="A239:C239">
    <cfRule type="expression" priority="468" aboveAverage="0" equalAverage="0" bottom="0" percent="0" rank="0" text="" dxfId="0">
      <formula>$B239&lt;SinirDeger</formula>
    </cfRule>
    <cfRule type="expression" priority="469" aboveAverage="0" equalAverage="0" bottom="0" percent="0" rank="0" text="" dxfId="2">
      <formula>$B239&gt;=SinirDeger</formula>
    </cfRule>
  </conditionalFormatting>
  <conditionalFormatting sqref="A240:C240">
    <cfRule type="expression" priority="470" aboveAverage="0" equalAverage="0" bottom="0" percent="0" rank="0" text="" dxfId="0">
      <formula>$B240&lt;SinirDeger</formula>
    </cfRule>
    <cfRule type="expression" priority="471" aboveAverage="0" equalAverage="0" bottom="0" percent="0" rank="0" text="" dxfId="2">
      <formula>$B240&gt;=SinirDeger</formula>
    </cfRule>
  </conditionalFormatting>
  <conditionalFormatting sqref="A241:C241">
    <cfRule type="expression" priority="472" aboveAverage="0" equalAverage="0" bottom="0" percent="0" rank="0" text="" dxfId="0">
      <formula>$B241&lt;SinirDeger</formula>
    </cfRule>
    <cfRule type="expression" priority="473" aboveAverage="0" equalAverage="0" bottom="0" percent="0" rank="0" text="" dxfId="2">
      <formula>$B241&gt;=SinirDeger</formula>
    </cfRule>
  </conditionalFormatting>
  <conditionalFormatting sqref="A242:C242">
    <cfRule type="expression" priority="474" aboveAverage="0" equalAverage="0" bottom="0" percent="0" rank="0" text="" dxfId="0">
      <formula>$B242&lt;SinirDeger</formula>
    </cfRule>
    <cfRule type="expression" priority="475" aboveAverage="0" equalAverage="0" bottom="0" percent="0" rank="0" text="" dxfId="2">
      <formula>$B242&gt;=SinirDeger</formula>
    </cfRule>
  </conditionalFormatting>
  <conditionalFormatting sqref="A243:C243">
    <cfRule type="expression" priority="476" aboveAverage="0" equalAverage="0" bottom="0" percent="0" rank="0" text="" dxfId="0">
      <formula>$B243&lt;SinirDeger</formula>
    </cfRule>
    <cfRule type="expression" priority="477" aboveAverage="0" equalAverage="0" bottom="0" percent="0" rank="0" text="" dxfId="2">
      <formula>$B243&gt;=SinirDeger</formula>
    </cfRule>
  </conditionalFormatting>
  <conditionalFormatting sqref="A244:C244">
    <cfRule type="expression" priority="478" aboveAverage="0" equalAverage="0" bottom="0" percent="0" rank="0" text="" dxfId="0">
      <formula>$B244&lt;SinirDeger</formula>
    </cfRule>
    <cfRule type="expression" priority="479" aboveAverage="0" equalAverage="0" bottom="0" percent="0" rank="0" text="" dxfId="2">
      <formula>$B244&gt;=SinirDeger</formula>
    </cfRule>
  </conditionalFormatting>
  <conditionalFormatting sqref="A245:C245">
    <cfRule type="expression" priority="480" aboveAverage="0" equalAverage="0" bottom="0" percent="0" rank="0" text="" dxfId="0">
      <formula>$B245&lt;SinirDeger</formula>
    </cfRule>
    <cfRule type="expression" priority="481" aboveAverage="0" equalAverage="0" bottom="0" percent="0" rank="0" text="" dxfId="2">
      <formula>$B245&gt;=SinirDeger</formula>
    </cfRule>
  </conditionalFormatting>
  <conditionalFormatting sqref="A246:C246">
    <cfRule type="expression" priority="482" aboveAverage="0" equalAverage="0" bottom="0" percent="0" rank="0" text="" dxfId="0">
      <formula>$B246&lt;SinirDeger</formula>
    </cfRule>
    <cfRule type="expression" priority="483" aboveAverage="0" equalAverage="0" bottom="0" percent="0" rank="0" text="" dxfId="2">
      <formula>$B246&gt;=SinirDeger</formula>
    </cfRule>
  </conditionalFormatting>
  <conditionalFormatting sqref="A247:C247">
    <cfRule type="expression" priority="484" aboveAverage="0" equalAverage="0" bottom="0" percent="0" rank="0" text="" dxfId="0">
      <formula>$B247&lt;SinirDeger</formula>
    </cfRule>
    <cfRule type="expression" priority="485" aboveAverage="0" equalAverage="0" bottom="0" percent="0" rank="0" text="" dxfId="2">
      <formula>$B247&gt;=SinirDeger</formula>
    </cfRule>
  </conditionalFormatting>
  <conditionalFormatting sqref="A248:C248">
    <cfRule type="expression" priority="486" aboveAverage="0" equalAverage="0" bottom="0" percent="0" rank="0" text="" dxfId="0">
      <formula>$B248&lt;SinirDeger</formula>
    </cfRule>
    <cfRule type="expression" priority="487" aboveAverage="0" equalAverage="0" bottom="0" percent="0" rank="0" text="" dxfId="2">
      <formula>$B248&gt;=SinirDeger</formula>
    </cfRule>
  </conditionalFormatting>
  <conditionalFormatting sqref="A249:C249">
    <cfRule type="expression" priority="488" aboveAverage="0" equalAverage="0" bottom="0" percent="0" rank="0" text="" dxfId="0">
      <formula>$B249&lt;SinirDeger</formula>
    </cfRule>
    <cfRule type="expression" priority="489" aboveAverage="0" equalAverage="0" bottom="0" percent="0" rank="0" text="" dxfId="2">
      <formula>$B249&gt;=SinirDeger</formula>
    </cfRule>
  </conditionalFormatting>
  <conditionalFormatting sqref="A250:C250">
    <cfRule type="expression" priority="490" aboveAverage="0" equalAverage="0" bottom="0" percent="0" rank="0" text="" dxfId="0">
      <formula>$B250&lt;SinirDeger</formula>
    </cfRule>
    <cfRule type="expression" priority="491" aboveAverage="0" equalAverage="0" bottom="0" percent="0" rank="0" text="" dxfId="2">
      <formula>$B250&gt;=SinirDeger</formula>
    </cfRule>
  </conditionalFormatting>
  <conditionalFormatting sqref="A251:C251">
    <cfRule type="expression" priority="492" aboveAverage="0" equalAverage="0" bottom="0" percent="0" rank="0" text="" dxfId="0">
      <formula>$B251&lt;SinirDeger</formula>
    </cfRule>
    <cfRule type="expression" priority="493" aboveAverage="0" equalAverage="0" bottom="0" percent="0" rank="0" text="" dxfId="2">
      <formula>$B251&gt;=SinirDeger</formula>
    </cfRule>
  </conditionalFormatting>
  <conditionalFormatting sqref="A252:C252">
    <cfRule type="expression" priority="494" aboveAverage="0" equalAverage="0" bottom="0" percent="0" rank="0" text="" dxfId="0">
      <formula>$B252&lt;SinirDeger</formula>
    </cfRule>
    <cfRule type="expression" priority="495" aboveAverage="0" equalAverage="0" bottom="0" percent="0" rank="0" text="" dxfId="2">
      <formula>$B252&gt;=SinirDeger</formula>
    </cfRule>
  </conditionalFormatting>
  <conditionalFormatting sqref="A253:C253">
    <cfRule type="expression" priority="496" aboveAverage="0" equalAverage="0" bottom="0" percent="0" rank="0" text="" dxfId="0">
      <formula>$B253&lt;SinirDeger</formula>
    </cfRule>
    <cfRule type="expression" priority="497" aboveAverage="0" equalAverage="0" bottom="0" percent="0" rank="0" text="" dxfId="2">
      <formula>$B253&gt;=SinirDeger</formula>
    </cfRule>
  </conditionalFormatting>
  <conditionalFormatting sqref="A254:C254">
    <cfRule type="expression" priority="498" aboveAverage="0" equalAverage="0" bottom="0" percent="0" rank="0" text="" dxfId="0">
      <formula>$B254&lt;SinirDeger</formula>
    </cfRule>
    <cfRule type="expression" priority="499" aboveAverage="0" equalAverage="0" bottom="0" percent="0" rank="0" text="" dxfId="2">
      <formula>$B254&gt;=SinirDeger</formula>
    </cfRule>
  </conditionalFormatting>
  <conditionalFormatting sqref="A255:C255">
    <cfRule type="expression" priority="500" aboveAverage="0" equalAverage="0" bottom="0" percent="0" rank="0" text="" dxfId="0">
      <formula>$B255&lt;SinirDeger</formula>
    </cfRule>
    <cfRule type="expression" priority="501" aboveAverage="0" equalAverage="0" bottom="0" percent="0" rank="0" text="" dxfId="2">
      <formula>$B255&gt;=SinirDeger</formula>
    </cfRule>
  </conditionalFormatting>
  <conditionalFormatting sqref="A256:C256">
    <cfRule type="expression" priority="502" aboveAverage="0" equalAverage="0" bottom="0" percent="0" rank="0" text="" dxfId="0">
      <formula>$B256&lt;SinirDeger</formula>
    </cfRule>
    <cfRule type="expression" priority="503" aboveAverage="0" equalAverage="0" bottom="0" percent="0" rank="0" text="" dxfId="2">
      <formula>$B256&gt;=SinirDeger</formula>
    </cfRule>
  </conditionalFormatting>
  <conditionalFormatting sqref="A257:C257">
    <cfRule type="expression" priority="504" aboveAverage="0" equalAverage="0" bottom="0" percent="0" rank="0" text="" dxfId="0">
      <formula>$B257&lt;SinirDeger</formula>
    </cfRule>
    <cfRule type="expression" priority="505" aboveAverage="0" equalAverage="0" bottom="0" percent="0" rank="0" text="" dxfId="2">
      <formula>$B257&gt;=SinirDeger</formula>
    </cfRule>
  </conditionalFormatting>
  <conditionalFormatting sqref="A258:C258">
    <cfRule type="expression" priority="506" aboveAverage="0" equalAverage="0" bottom="0" percent="0" rank="0" text="" dxfId="0">
      <formula>$B258&lt;SinirDeger</formula>
    </cfRule>
    <cfRule type="expression" priority="507" aboveAverage="0" equalAverage="0" bottom="0" percent="0" rank="0" text="" dxfId="2">
      <formula>$B258&gt;=SinirDeger</formula>
    </cfRule>
  </conditionalFormatting>
  <conditionalFormatting sqref="A259:C259">
    <cfRule type="expression" priority="508" aboveAverage="0" equalAverage="0" bottom="0" percent="0" rank="0" text="" dxfId="0">
      <formula>$B259&lt;SinirDeger</formula>
    </cfRule>
    <cfRule type="expression" priority="509" aboveAverage="0" equalAverage="0" bottom="0" percent="0" rank="0" text="" dxfId="2">
      <formula>$B259&gt;=SinirDeger</formula>
    </cfRule>
  </conditionalFormatting>
  <conditionalFormatting sqref="A260:C260">
    <cfRule type="expression" priority="510" aboveAverage="0" equalAverage="0" bottom="0" percent="0" rank="0" text="" dxfId="0">
      <formula>$B260&lt;SinirDeger</formula>
    </cfRule>
    <cfRule type="expression" priority="511" aboveAverage="0" equalAverage="0" bottom="0" percent="0" rank="0" text="" dxfId="2">
      <formula>$B260&gt;=SinirDeger</formula>
    </cfRule>
  </conditionalFormatting>
  <conditionalFormatting sqref="A261:C261">
    <cfRule type="expression" priority="512" aboveAverage="0" equalAverage="0" bottom="0" percent="0" rank="0" text="" dxfId="0">
      <formula>$B261&lt;SinirDeger</formula>
    </cfRule>
    <cfRule type="expression" priority="513" aboveAverage="0" equalAverage="0" bottom="0" percent="0" rank="0" text="" dxfId="2">
      <formula>$B261&gt;=SinirDeger</formula>
    </cfRule>
  </conditionalFormatting>
  <conditionalFormatting sqref="A262:C262">
    <cfRule type="expression" priority="514" aboveAverage="0" equalAverage="0" bottom="0" percent="0" rank="0" text="" dxfId="0">
      <formula>$B262&lt;SinirDeger</formula>
    </cfRule>
    <cfRule type="expression" priority="515" aboveAverage="0" equalAverage="0" bottom="0" percent="0" rank="0" text="" dxfId="2">
      <formula>$B262&gt;=SinirDeger</formula>
    </cfRule>
  </conditionalFormatting>
  <conditionalFormatting sqref="A263:C263">
    <cfRule type="expression" priority="516" aboveAverage="0" equalAverage="0" bottom="0" percent="0" rank="0" text="" dxfId="0">
      <formula>$B263&lt;SinirDeger</formula>
    </cfRule>
    <cfRule type="expression" priority="517" aboveAverage="0" equalAverage="0" bottom="0" percent="0" rank="0" text="" dxfId="2">
      <formula>$B263&gt;=SinirDeger</formula>
    </cfRule>
  </conditionalFormatting>
  <conditionalFormatting sqref="A264:C264">
    <cfRule type="expression" priority="518" aboveAverage="0" equalAverage="0" bottom="0" percent="0" rank="0" text="" dxfId="0">
      <formula>$B264&lt;SinirDeger</formula>
    </cfRule>
    <cfRule type="expression" priority="519" aboveAverage="0" equalAverage="0" bottom="0" percent="0" rank="0" text="" dxfId="2">
      <formula>$B264&gt;=SinirDeger</formula>
    </cfRule>
  </conditionalFormatting>
  <conditionalFormatting sqref="A265:C265">
    <cfRule type="expression" priority="520" aboveAverage="0" equalAverage="0" bottom="0" percent="0" rank="0" text="" dxfId="0">
      <formula>$B265&lt;SinirDeger</formula>
    </cfRule>
    <cfRule type="expression" priority="521" aboveAverage="0" equalAverage="0" bottom="0" percent="0" rank="0" text="" dxfId="2">
      <formula>$B265&gt;=SinirDeger</formula>
    </cfRule>
  </conditionalFormatting>
  <conditionalFormatting sqref="A266:C266">
    <cfRule type="expression" priority="522" aboveAverage="0" equalAverage="0" bottom="0" percent="0" rank="0" text="" dxfId="0">
      <formula>$B266&lt;SinirDeger</formula>
    </cfRule>
    <cfRule type="expression" priority="523" aboveAverage="0" equalAverage="0" bottom="0" percent="0" rank="0" text="" dxfId="2">
      <formula>$B266&gt;=SinirDeger</formula>
    </cfRule>
  </conditionalFormatting>
  <conditionalFormatting sqref="A267:C267">
    <cfRule type="expression" priority="524" aboveAverage="0" equalAverage="0" bottom="0" percent="0" rank="0" text="" dxfId="0">
      <formula>$B267&lt;SinirDeger</formula>
    </cfRule>
    <cfRule type="expression" priority="525" aboveAverage="0" equalAverage="0" bottom="0" percent="0" rank="0" text="" dxfId="2">
      <formula>$B267&gt;=SinirDeger</formula>
    </cfRule>
  </conditionalFormatting>
  <conditionalFormatting sqref="A268:C268">
    <cfRule type="expression" priority="526" aboveAverage="0" equalAverage="0" bottom="0" percent="0" rank="0" text="" dxfId="0">
      <formula>$B268&lt;SinirDeger</formula>
    </cfRule>
    <cfRule type="expression" priority="527" aboveAverage="0" equalAverage="0" bottom="0" percent="0" rank="0" text="" dxfId="2">
      <formula>$B268&gt;=SinirDeger</formula>
    </cfRule>
  </conditionalFormatting>
  <conditionalFormatting sqref="A269:C269">
    <cfRule type="expression" priority="528" aboveAverage="0" equalAverage="0" bottom="0" percent="0" rank="0" text="" dxfId="0">
      <formula>$B269&lt;SinirDeger</formula>
    </cfRule>
    <cfRule type="expression" priority="529" aboveAverage="0" equalAverage="0" bottom="0" percent="0" rank="0" text="" dxfId="2">
      <formula>$B269&gt;=SinirDeger</formula>
    </cfRule>
  </conditionalFormatting>
  <conditionalFormatting sqref="A270:C270">
    <cfRule type="expression" priority="530" aboveAverage="0" equalAverage="0" bottom="0" percent="0" rank="0" text="" dxfId="0">
      <formula>$B270&lt;SinirDeger</formula>
    </cfRule>
    <cfRule type="expression" priority="531" aboveAverage="0" equalAverage="0" bottom="0" percent="0" rank="0" text="" dxfId="2">
      <formula>$B270&gt;=SinirDeger</formula>
    </cfRule>
  </conditionalFormatting>
  <conditionalFormatting sqref="A271:C271">
    <cfRule type="expression" priority="532" aboveAverage="0" equalAverage="0" bottom="0" percent="0" rank="0" text="" dxfId="0">
      <formula>$B271&lt;SinirDeger</formula>
    </cfRule>
    <cfRule type="expression" priority="533" aboveAverage="0" equalAverage="0" bottom="0" percent="0" rank="0" text="" dxfId="2">
      <formula>$B271&gt;=SinirDeger</formula>
    </cfRule>
  </conditionalFormatting>
  <conditionalFormatting sqref="A272:C272">
    <cfRule type="expression" priority="534" aboveAverage="0" equalAverage="0" bottom="0" percent="0" rank="0" text="" dxfId="0">
      <formula>$B272&lt;SinirDeger</formula>
    </cfRule>
    <cfRule type="expression" priority="535" aboveAverage="0" equalAverage="0" bottom="0" percent="0" rank="0" text="" dxfId="2">
      <formula>$B272&gt;=SinirDeger</formula>
    </cfRule>
  </conditionalFormatting>
  <conditionalFormatting sqref="A273:C273">
    <cfRule type="expression" priority="536" aboveAverage="0" equalAverage="0" bottom="0" percent="0" rank="0" text="" dxfId="0">
      <formula>$B273&lt;SinirDeger</formula>
    </cfRule>
    <cfRule type="expression" priority="537" aboveAverage="0" equalAverage="0" bottom="0" percent="0" rank="0" text="" dxfId="2">
      <formula>$B273&gt;=SinirDeger</formula>
    </cfRule>
  </conditionalFormatting>
  <conditionalFormatting sqref="A274:C274">
    <cfRule type="expression" priority="538" aboveAverage="0" equalAverage="0" bottom="0" percent="0" rank="0" text="" dxfId="0">
      <formula>$B274&lt;SinirDeger</formula>
    </cfRule>
    <cfRule type="expression" priority="539" aboveAverage="0" equalAverage="0" bottom="0" percent="0" rank="0" text="" dxfId="2">
      <formula>$B274&gt;=SinirDeger</formula>
    </cfRule>
  </conditionalFormatting>
  <conditionalFormatting sqref="A275:C275">
    <cfRule type="expression" priority="540" aboveAverage="0" equalAverage="0" bottom="0" percent="0" rank="0" text="" dxfId="0">
      <formula>$B275&lt;SinirDeger</formula>
    </cfRule>
    <cfRule type="expression" priority="541" aboveAverage="0" equalAverage="0" bottom="0" percent="0" rank="0" text="" dxfId="2">
      <formula>$B275&gt;=SinirDeger</formula>
    </cfRule>
  </conditionalFormatting>
  <conditionalFormatting sqref="A276:C276">
    <cfRule type="expression" priority="542" aboveAverage="0" equalAverage="0" bottom="0" percent="0" rank="0" text="" dxfId="0">
      <formula>$B276&lt;SinirDeger</formula>
    </cfRule>
    <cfRule type="expression" priority="543" aboveAverage="0" equalAverage="0" bottom="0" percent="0" rank="0" text="" dxfId="2">
      <formula>$B276&gt;=SinirDeger</formula>
    </cfRule>
  </conditionalFormatting>
  <conditionalFormatting sqref="A277:C277">
    <cfRule type="expression" priority="544" aboveAverage="0" equalAverage="0" bottom="0" percent="0" rank="0" text="" dxfId="0">
      <formula>$B277&lt;SinirDeger</formula>
    </cfRule>
    <cfRule type="expression" priority="545" aboveAverage="0" equalAverage="0" bottom="0" percent="0" rank="0" text="" dxfId="2">
      <formula>$B277&gt;=SinirDeger</formula>
    </cfRule>
  </conditionalFormatting>
  <conditionalFormatting sqref="A278:C278">
    <cfRule type="expression" priority="546" aboveAverage="0" equalAverage="0" bottom="0" percent="0" rank="0" text="" dxfId="0">
      <formula>$B278&lt;SinirDeger</formula>
    </cfRule>
    <cfRule type="expression" priority="547" aboveAverage="0" equalAverage="0" bottom="0" percent="0" rank="0" text="" dxfId="2">
      <formula>$B278&gt;=SinirDeger</formula>
    </cfRule>
  </conditionalFormatting>
  <conditionalFormatting sqref="A279:C279">
    <cfRule type="expression" priority="548" aboveAverage="0" equalAverage="0" bottom="0" percent="0" rank="0" text="" dxfId="0">
      <formula>$B279&lt;SinirDeger</formula>
    </cfRule>
    <cfRule type="expression" priority="549" aboveAverage="0" equalAverage="0" bottom="0" percent="0" rank="0" text="" dxfId="2">
      <formula>$B279&gt;=SinirDeger</formula>
    </cfRule>
  </conditionalFormatting>
  <conditionalFormatting sqref="A280:C280">
    <cfRule type="expression" priority="550" aboveAverage="0" equalAverage="0" bottom="0" percent="0" rank="0" text="" dxfId="0">
      <formula>$B280&lt;SinirDeger</formula>
    </cfRule>
    <cfRule type="expression" priority="551" aboveAverage="0" equalAverage="0" bottom="0" percent="0" rank="0" text="" dxfId="2">
      <formula>$B280&gt;=SinirDeger</formula>
    </cfRule>
  </conditionalFormatting>
  <conditionalFormatting sqref="A281:C281">
    <cfRule type="expression" priority="552" aboveAverage="0" equalAverage="0" bottom="0" percent="0" rank="0" text="" dxfId="0">
      <formula>$B281&lt;SinirDeger</formula>
    </cfRule>
    <cfRule type="expression" priority="553" aboveAverage="0" equalAverage="0" bottom="0" percent="0" rank="0" text="" dxfId="2">
      <formula>$B281&gt;=SinirDeger</formula>
    </cfRule>
  </conditionalFormatting>
  <conditionalFormatting sqref="A282:C282">
    <cfRule type="expression" priority="554" aboveAverage="0" equalAverage="0" bottom="0" percent="0" rank="0" text="" dxfId="0">
      <formula>$B282&lt;SinirDeger</formula>
    </cfRule>
    <cfRule type="expression" priority="555" aboveAverage="0" equalAverage="0" bottom="0" percent="0" rank="0" text="" dxfId="2">
      <formula>$B282&gt;=SinirDeger</formula>
    </cfRule>
  </conditionalFormatting>
  <conditionalFormatting sqref="A283:C283">
    <cfRule type="expression" priority="556" aboveAverage="0" equalAverage="0" bottom="0" percent="0" rank="0" text="" dxfId="0">
      <formula>$B283&lt;SinirDeger</formula>
    </cfRule>
    <cfRule type="expression" priority="557" aboveAverage="0" equalAverage="0" bottom="0" percent="0" rank="0" text="" dxfId="2">
      <formula>$B283&gt;=SinirDeger</formula>
    </cfRule>
  </conditionalFormatting>
  <conditionalFormatting sqref="A284:C284">
    <cfRule type="expression" priority="558" aboveAverage="0" equalAverage="0" bottom="0" percent="0" rank="0" text="" dxfId="0">
      <formula>$B284&lt;SinirDeger</formula>
    </cfRule>
    <cfRule type="expression" priority="559" aboveAverage="0" equalAverage="0" bottom="0" percent="0" rank="0" text="" dxfId="2">
      <formula>$B284&gt;=SinirDeger</formula>
    </cfRule>
  </conditionalFormatting>
  <conditionalFormatting sqref="A285:C285">
    <cfRule type="expression" priority="560" aboveAverage="0" equalAverage="0" bottom="0" percent="0" rank="0" text="" dxfId="0">
      <formula>$B285&lt;SinirDeger</formula>
    </cfRule>
    <cfRule type="expression" priority="561" aboveAverage="0" equalAverage="0" bottom="0" percent="0" rank="0" text="" dxfId="2">
      <formula>$B285&gt;=SinirDeger</formula>
    </cfRule>
  </conditionalFormatting>
  <conditionalFormatting sqref="A286:C286">
    <cfRule type="expression" priority="562" aboveAverage="0" equalAverage="0" bottom="0" percent="0" rank="0" text="" dxfId="0">
      <formula>$B286&lt;SinirDeger</formula>
    </cfRule>
    <cfRule type="expression" priority="563" aboveAverage="0" equalAverage="0" bottom="0" percent="0" rank="0" text="" dxfId="2">
      <formula>$B286&gt;=SinirDeger</formula>
    </cfRule>
  </conditionalFormatting>
  <conditionalFormatting sqref="A287:C287">
    <cfRule type="expression" priority="564" aboveAverage="0" equalAverage="0" bottom="0" percent="0" rank="0" text="" dxfId="0">
      <formula>$B287&lt;SinirDeger</formula>
    </cfRule>
    <cfRule type="expression" priority="565" aboveAverage="0" equalAverage="0" bottom="0" percent="0" rank="0" text="" dxfId="2">
      <formula>$B287&gt;=SinirDeger</formula>
    </cfRule>
  </conditionalFormatting>
  <conditionalFormatting sqref="A288:C288">
    <cfRule type="expression" priority="566" aboveAverage="0" equalAverage="0" bottom="0" percent="0" rank="0" text="" dxfId="0">
      <formula>$B288&lt;SinirDeger</formula>
    </cfRule>
    <cfRule type="expression" priority="567" aboveAverage="0" equalAverage="0" bottom="0" percent="0" rank="0" text="" dxfId="2">
      <formula>$B288&gt;=SinirDeger</formula>
    </cfRule>
  </conditionalFormatting>
  <conditionalFormatting sqref="A289:C289">
    <cfRule type="expression" priority="568" aboveAverage="0" equalAverage="0" bottom="0" percent="0" rank="0" text="" dxfId="0">
      <formula>$B289&lt;SinirDeger</formula>
    </cfRule>
    <cfRule type="expression" priority="569" aboveAverage="0" equalAverage="0" bottom="0" percent="0" rank="0" text="" dxfId="2">
      <formula>$B289&gt;=SinirDeger</formula>
    </cfRule>
  </conditionalFormatting>
  <conditionalFormatting sqref="A290:C290">
    <cfRule type="expression" priority="570" aboveAverage="0" equalAverage="0" bottom="0" percent="0" rank="0" text="" dxfId="0">
      <formula>$B290&lt;SinirDeger</formula>
    </cfRule>
    <cfRule type="expression" priority="571" aboveAverage="0" equalAverage="0" bottom="0" percent="0" rank="0" text="" dxfId="2">
      <formula>$B290&gt;=SinirDeger</formula>
    </cfRule>
  </conditionalFormatting>
  <conditionalFormatting sqref="A291:C291">
    <cfRule type="expression" priority="572" aboveAverage="0" equalAverage="0" bottom="0" percent="0" rank="0" text="" dxfId="0">
      <formula>$B291&lt;SinirDeger</formula>
    </cfRule>
    <cfRule type="expression" priority="573" aboveAverage="0" equalAverage="0" bottom="0" percent="0" rank="0" text="" dxfId="2">
      <formula>$B291&gt;=SinirDeger</formula>
    </cfRule>
  </conditionalFormatting>
  <conditionalFormatting sqref="A292:C292">
    <cfRule type="expression" priority="574" aboveAverage="0" equalAverage="0" bottom="0" percent="0" rank="0" text="" dxfId="0">
      <formula>$B292&lt;SinirDeger</formula>
    </cfRule>
    <cfRule type="expression" priority="575" aboveAverage="0" equalAverage="0" bottom="0" percent="0" rank="0" text="" dxfId="2">
      <formula>$B292&gt;=SinirDeger</formula>
    </cfRule>
  </conditionalFormatting>
  <conditionalFormatting sqref="A293:C293">
    <cfRule type="expression" priority="576" aboveAverage="0" equalAverage="0" bottom="0" percent="0" rank="0" text="" dxfId="0">
      <formula>$B293&lt;SinirDeger</formula>
    </cfRule>
    <cfRule type="expression" priority="577" aboveAverage="0" equalAverage="0" bottom="0" percent="0" rank="0" text="" dxfId="2">
      <formula>$B293&gt;=SinirDeger</formula>
    </cfRule>
  </conditionalFormatting>
  <conditionalFormatting sqref="A294:C294">
    <cfRule type="expression" priority="578" aboveAverage="0" equalAverage="0" bottom="0" percent="0" rank="0" text="" dxfId="0">
      <formula>$B294&lt;SinirDeger</formula>
    </cfRule>
    <cfRule type="expression" priority="579" aboveAverage="0" equalAverage="0" bottom="0" percent="0" rank="0" text="" dxfId="2">
      <formula>$B294&gt;=SinirDeger</formula>
    </cfRule>
  </conditionalFormatting>
  <conditionalFormatting sqref="A295:C295">
    <cfRule type="expression" priority="580" aboveAverage="0" equalAverage="0" bottom="0" percent="0" rank="0" text="" dxfId="0">
      <formula>$B295&lt;SinirDeger</formula>
    </cfRule>
    <cfRule type="expression" priority="581" aboveAverage="0" equalAverage="0" bottom="0" percent="0" rank="0" text="" dxfId="2">
      <formula>$B295&gt;=SinirDeger</formula>
    </cfRule>
  </conditionalFormatting>
  <conditionalFormatting sqref="A296:C296">
    <cfRule type="expression" priority="582" aboveAverage="0" equalAverage="0" bottom="0" percent="0" rank="0" text="" dxfId="0">
      <formula>$B296&lt;SinirDeger</formula>
    </cfRule>
    <cfRule type="expression" priority="583" aboveAverage="0" equalAverage="0" bottom="0" percent="0" rank="0" text="" dxfId="2">
      <formula>$B296&gt;=SinirDeger</formula>
    </cfRule>
  </conditionalFormatting>
  <conditionalFormatting sqref="A297:C297">
    <cfRule type="expression" priority="584" aboveAverage="0" equalAverage="0" bottom="0" percent="0" rank="0" text="" dxfId="0">
      <formula>$B297&lt;SinirDeger</formula>
    </cfRule>
    <cfRule type="expression" priority="585" aboveAverage="0" equalAverage="0" bottom="0" percent="0" rank="0" text="" dxfId="2">
      <formula>$B297&gt;=SinirDeger</formula>
    </cfRule>
  </conditionalFormatting>
  <conditionalFormatting sqref="A298:C298">
    <cfRule type="expression" priority="586" aboveAverage="0" equalAverage="0" bottom="0" percent="0" rank="0" text="" dxfId="0">
      <formula>$B298&lt;SinirDeger</formula>
    </cfRule>
    <cfRule type="expression" priority="587" aboveAverage="0" equalAverage="0" bottom="0" percent="0" rank="0" text="" dxfId="2">
      <formula>$B298&gt;=SinirDeger</formula>
    </cfRule>
  </conditionalFormatting>
  <conditionalFormatting sqref="A299:C299">
    <cfRule type="expression" priority="588" aboveAverage="0" equalAverage="0" bottom="0" percent="0" rank="0" text="" dxfId="0">
      <formula>$B299&lt;SinirDeger</formula>
    </cfRule>
    <cfRule type="expression" priority="589" aboveAverage="0" equalAverage="0" bottom="0" percent="0" rank="0" text="" dxfId="2">
      <formula>$B299&gt;=SinirDeger</formula>
    </cfRule>
  </conditionalFormatting>
  <conditionalFormatting sqref="A300:C300">
    <cfRule type="expression" priority="590" aboveAverage="0" equalAverage="0" bottom="0" percent="0" rank="0" text="" dxfId="0">
      <formula>$B300&lt;SinirDeger</formula>
    </cfRule>
    <cfRule type="expression" priority="591" aboveAverage="0" equalAverage="0" bottom="0" percent="0" rank="0" text="" dxfId="2">
      <formula>$B300&gt;=SinirDeger</formula>
    </cfRule>
  </conditionalFormatting>
  <conditionalFormatting sqref="A301:C301">
    <cfRule type="expression" priority="592" aboveAverage="0" equalAverage="0" bottom="0" percent="0" rank="0" text="" dxfId="0">
      <formula>$B301&lt;SinirDeger</formula>
    </cfRule>
    <cfRule type="expression" priority="593" aboveAverage="0" equalAverage="0" bottom="0" percent="0" rank="0" text="" dxfId="2">
      <formula>$B301&gt;=SinirDeger</formula>
    </cfRule>
  </conditionalFormatting>
  <conditionalFormatting sqref="A302:C302">
    <cfRule type="expression" priority="594" aboveAverage="0" equalAverage="0" bottom="0" percent="0" rank="0" text="" dxfId="0">
      <formula>$B302&lt;SinirDeger</formula>
    </cfRule>
    <cfRule type="expression" priority="595" aboveAverage="0" equalAverage="0" bottom="0" percent="0" rank="0" text="" dxfId="2">
      <formula>$B302&gt;=SinirDeger</formula>
    </cfRule>
  </conditionalFormatting>
  <conditionalFormatting sqref="A303:C303">
    <cfRule type="expression" priority="596" aboveAverage="0" equalAverage="0" bottom="0" percent="0" rank="0" text="" dxfId="0">
      <formula>$B303&lt;SinirDeger</formula>
    </cfRule>
    <cfRule type="expression" priority="597" aboveAverage="0" equalAverage="0" bottom="0" percent="0" rank="0" text="" dxfId="2">
      <formula>$B303&gt;=SinirDeger</formula>
    </cfRule>
  </conditionalFormatting>
  <conditionalFormatting sqref="A304:C304">
    <cfRule type="expression" priority="598" aboveAverage="0" equalAverage="0" bottom="0" percent="0" rank="0" text="" dxfId="0">
      <formula>$B304&lt;SinirDeger</formula>
    </cfRule>
    <cfRule type="expression" priority="599" aboveAverage="0" equalAverage="0" bottom="0" percent="0" rank="0" text="" dxfId="2">
      <formula>$B304&gt;=SinirDeger</formula>
    </cfRule>
  </conditionalFormatting>
  <conditionalFormatting sqref="A305:C305">
    <cfRule type="expression" priority="600" aboveAverage="0" equalAverage="0" bottom="0" percent="0" rank="0" text="" dxfId="0">
      <formula>$B305&lt;SinirDeger</formula>
    </cfRule>
    <cfRule type="expression" priority="601" aboveAverage="0" equalAverage="0" bottom="0" percent="0" rank="0" text="" dxfId="2">
      <formula>$B305&gt;=SinirDeger</formula>
    </cfRule>
  </conditionalFormatting>
  <conditionalFormatting sqref="A306:C306">
    <cfRule type="expression" priority="602" aboveAverage="0" equalAverage="0" bottom="0" percent="0" rank="0" text="" dxfId="0">
      <formula>$B306&lt;SinirDeger</formula>
    </cfRule>
    <cfRule type="expression" priority="603" aboveAverage="0" equalAverage="0" bottom="0" percent="0" rank="0" text="" dxfId="2">
      <formula>$B306&gt;=SinirDeger</formula>
    </cfRule>
  </conditionalFormatting>
  <conditionalFormatting sqref="A307:C307">
    <cfRule type="expression" priority="604" aboveAverage="0" equalAverage="0" bottom="0" percent="0" rank="0" text="" dxfId="0">
      <formula>$B307&lt;SinirDeger</formula>
    </cfRule>
    <cfRule type="expression" priority="605" aboveAverage="0" equalAverage="0" bottom="0" percent="0" rank="0" text="" dxfId="2">
      <formula>$B307&gt;=SinirDeger</formula>
    </cfRule>
  </conditionalFormatting>
  <conditionalFormatting sqref="A308:C308">
    <cfRule type="expression" priority="606" aboveAverage="0" equalAverage="0" bottom="0" percent="0" rank="0" text="" dxfId="0">
      <formula>$B308&lt;SinirDeger</formula>
    </cfRule>
    <cfRule type="expression" priority="607" aboveAverage="0" equalAverage="0" bottom="0" percent="0" rank="0" text="" dxfId="2">
      <formula>$B308&gt;=SinirDeger</formula>
    </cfRule>
  </conditionalFormatting>
  <conditionalFormatting sqref="A309:C309">
    <cfRule type="expression" priority="608" aboveAverage="0" equalAverage="0" bottom="0" percent="0" rank="0" text="" dxfId="0">
      <formula>$B309&lt;SinirDeger</formula>
    </cfRule>
    <cfRule type="expression" priority="609" aboveAverage="0" equalAverage="0" bottom="0" percent="0" rank="0" text="" dxfId="2">
      <formula>$B309&gt;=SinirDeger</formula>
    </cfRule>
  </conditionalFormatting>
  <conditionalFormatting sqref="A310:C310">
    <cfRule type="expression" priority="610" aboveAverage="0" equalAverage="0" bottom="0" percent="0" rank="0" text="" dxfId="0">
      <formula>$B310&lt;SinirDeger</formula>
    </cfRule>
    <cfRule type="expression" priority="611" aboveAverage="0" equalAverage="0" bottom="0" percent="0" rank="0" text="" dxfId="2">
      <formula>$B310&gt;=SinirDeger</formula>
    </cfRule>
  </conditionalFormatting>
  <conditionalFormatting sqref="A311:C311">
    <cfRule type="expression" priority="612" aboveAverage="0" equalAverage="0" bottom="0" percent="0" rank="0" text="" dxfId="0">
      <formula>$B311&lt;SinirDeger</formula>
    </cfRule>
    <cfRule type="expression" priority="613" aboveAverage="0" equalAverage="0" bottom="0" percent="0" rank="0" text="" dxfId="2">
      <formula>$B311&gt;=SinirDeger</formula>
    </cfRule>
  </conditionalFormatting>
  <conditionalFormatting sqref="A312:C312">
    <cfRule type="expression" priority="614" aboveAverage="0" equalAverage="0" bottom="0" percent="0" rank="0" text="" dxfId="0">
      <formula>$B312&lt;SinirDeger</formula>
    </cfRule>
    <cfRule type="expression" priority="615" aboveAverage="0" equalAverage="0" bottom="0" percent="0" rank="0" text="" dxfId="2">
      <formula>$B312&gt;=SinirDeger</formula>
    </cfRule>
  </conditionalFormatting>
  <conditionalFormatting sqref="A313:C313">
    <cfRule type="expression" priority="616" aboveAverage="0" equalAverage="0" bottom="0" percent="0" rank="0" text="" dxfId="0">
      <formula>$B313&lt;SinirDeger</formula>
    </cfRule>
    <cfRule type="expression" priority="617" aboveAverage="0" equalAverage="0" bottom="0" percent="0" rank="0" text="" dxfId="2">
      <formula>$B313&gt;=SinirDeger</formula>
    </cfRule>
  </conditionalFormatting>
  <conditionalFormatting sqref="A314:C314">
    <cfRule type="expression" priority="618" aboveAverage="0" equalAverage="0" bottom="0" percent="0" rank="0" text="" dxfId="0">
      <formula>$B314&lt;SinirDeger</formula>
    </cfRule>
    <cfRule type="expression" priority="619" aboveAverage="0" equalAverage="0" bottom="0" percent="0" rank="0" text="" dxfId="2">
      <formula>$B314&gt;=SinirDeger</formula>
    </cfRule>
  </conditionalFormatting>
  <conditionalFormatting sqref="A315:C315">
    <cfRule type="expression" priority="620" aboveAverage="0" equalAverage="0" bottom="0" percent="0" rank="0" text="" dxfId="0">
      <formula>$B315&lt;SinirDeger</formula>
    </cfRule>
    <cfRule type="expression" priority="621" aboveAverage="0" equalAverage="0" bottom="0" percent="0" rank="0" text="" dxfId="2">
      <formula>$B315&gt;=SinirDeger</formula>
    </cfRule>
  </conditionalFormatting>
  <conditionalFormatting sqref="A316:C316">
    <cfRule type="expression" priority="622" aboveAverage="0" equalAverage="0" bottom="0" percent="0" rank="0" text="" dxfId="0">
      <formula>$B316&lt;SinirDeger</formula>
    </cfRule>
    <cfRule type="expression" priority="623" aboveAverage="0" equalAverage="0" bottom="0" percent="0" rank="0" text="" dxfId="2">
      <formula>$B316&gt;=SinirDeger</formula>
    </cfRule>
  </conditionalFormatting>
  <conditionalFormatting sqref="A317:C317">
    <cfRule type="expression" priority="624" aboveAverage="0" equalAverage="0" bottom="0" percent="0" rank="0" text="" dxfId="0">
      <formula>$B317&lt;SinirDeger</formula>
    </cfRule>
    <cfRule type="expression" priority="625" aboveAverage="0" equalAverage="0" bottom="0" percent="0" rank="0" text="" dxfId="2">
      <formula>$B317&gt;=SinirDeger</formula>
    </cfRule>
  </conditionalFormatting>
  <conditionalFormatting sqref="A318:C318">
    <cfRule type="expression" priority="626" aboveAverage="0" equalAverage="0" bottom="0" percent="0" rank="0" text="" dxfId="0">
      <formula>$B318&lt;SinirDeger</formula>
    </cfRule>
    <cfRule type="expression" priority="627" aboveAverage="0" equalAverage="0" bottom="0" percent="0" rank="0" text="" dxfId="2">
      <formula>$B318&gt;=SinirDeger</formula>
    </cfRule>
  </conditionalFormatting>
  <conditionalFormatting sqref="A319:C319">
    <cfRule type="expression" priority="628" aboveAverage="0" equalAverage="0" bottom="0" percent="0" rank="0" text="" dxfId="0">
      <formula>$B319&lt;SinirDeger</formula>
    </cfRule>
    <cfRule type="expression" priority="629" aboveAverage="0" equalAverage="0" bottom="0" percent="0" rank="0" text="" dxfId="2">
      <formula>$B319&gt;=SinirDeger</formula>
    </cfRule>
  </conditionalFormatting>
  <conditionalFormatting sqref="A320:C320">
    <cfRule type="expression" priority="630" aboveAverage="0" equalAverage="0" bottom="0" percent="0" rank="0" text="" dxfId="0">
      <formula>$B320&lt;SinirDeger</formula>
    </cfRule>
    <cfRule type="expression" priority="631" aboveAverage="0" equalAverage="0" bottom="0" percent="0" rank="0" text="" dxfId="2">
      <formula>$B320&gt;=SinirDeger</formula>
    </cfRule>
  </conditionalFormatting>
  <conditionalFormatting sqref="A321:C321">
    <cfRule type="expression" priority="632" aboveAverage="0" equalAverage="0" bottom="0" percent="0" rank="0" text="" dxfId="0">
      <formula>$B321&lt;SinirDeger</formula>
    </cfRule>
    <cfRule type="expression" priority="633" aboveAverage="0" equalAverage="0" bottom="0" percent="0" rank="0" text="" dxfId="2">
      <formula>$B321&gt;=SinirDeger</formula>
    </cfRule>
  </conditionalFormatting>
  <conditionalFormatting sqref="A322:C322">
    <cfRule type="expression" priority="634" aboveAverage="0" equalAverage="0" bottom="0" percent="0" rank="0" text="" dxfId="0">
      <formula>$B322&lt;SinirDeger</formula>
    </cfRule>
    <cfRule type="expression" priority="635" aboveAverage="0" equalAverage="0" bottom="0" percent="0" rank="0" text="" dxfId="2">
      <formula>$B322&gt;=SinirDeger</formula>
    </cfRule>
  </conditionalFormatting>
  <conditionalFormatting sqref="A323:C323">
    <cfRule type="expression" priority="636" aboveAverage="0" equalAverage="0" bottom="0" percent="0" rank="0" text="" dxfId="0">
      <formula>$B323&lt;SinirDeger</formula>
    </cfRule>
    <cfRule type="expression" priority="637" aboveAverage="0" equalAverage="0" bottom="0" percent="0" rank="0" text="" dxfId="2">
      <formula>$B323&gt;=SinirDeger</formula>
    </cfRule>
  </conditionalFormatting>
  <conditionalFormatting sqref="A324:C324">
    <cfRule type="expression" priority="638" aboveAverage="0" equalAverage="0" bottom="0" percent="0" rank="0" text="" dxfId="0">
      <formula>$B324&lt;SinirDeger</formula>
    </cfRule>
    <cfRule type="expression" priority="639" aboveAverage="0" equalAverage="0" bottom="0" percent="0" rank="0" text="" dxfId="2">
      <formula>$B324&gt;=SinirDeger</formula>
    </cfRule>
  </conditionalFormatting>
  <conditionalFormatting sqref="A325:C325">
    <cfRule type="expression" priority="640" aboveAverage="0" equalAverage="0" bottom="0" percent="0" rank="0" text="" dxfId="0">
      <formula>$B325&lt;SinirDeger</formula>
    </cfRule>
    <cfRule type="expression" priority="641" aboveAverage="0" equalAverage="0" bottom="0" percent="0" rank="0" text="" dxfId="2">
      <formula>$B325&gt;=SinirDeger</formula>
    </cfRule>
  </conditionalFormatting>
  <conditionalFormatting sqref="A326:C326">
    <cfRule type="expression" priority="642" aboveAverage="0" equalAverage="0" bottom="0" percent="0" rank="0" text="" dxfId="0">
      <formula>$B326&lt;SinirDeger</formula>
    </cfRule>
    <cfRule type="expression" priority="643" aboveAverage="0" equalAverage="0" bottom="0" percent="0" rank="0" text="" dxfId="2">
      <formula>$B326&gt;=SinirDeger</formula>
    </cfRule>
  </conditionalFormatting>
  <conditionalFormatting sqref="A327:C327">
    <cfRule type="expression" priority="644" aboveAverage="0" equalAverage="0" bottom="0" percent="0" rank="0" text="" dxfId="0">
      <formula>$B327&lt;SinirDeger</formula>
    </cfRule>
    <cfRule type="expression" priority="645" aboveAverage="0" equalAverage="0" bottom="0" percent="0" rank="0" text="" dxfId="2">
      <formula>$B327&gt;=SinirDeger</formula>
    </cfRule>
  </conditionalFormatting>
  <conditionalFormatting sqref="A328:C328">
    <cfRule type="expression" priority="646" aboveAverage="0" equalAverage="0" bottom="0" percent="0" rank="0" text="" dxfId="0">
      <formula>$B328&lt;SinirDeger</formula>
    </cfRule>
    <cfRule type="expression" priority="647" aboveAverage="0" equalAverage="0" bottom="0" percent="0" rank="0" text="" dxfId="2">
      <formula>$B328&gt;=SinirDeger</formula>
    </cfRule>
  </conditionalFormatting>
  <conditionalFormatting sqref="A329:C329">
    <cfRule type="expression" priority="648" aboveAverage="0" equalAverage="0" bottom="0" percent="0" rank="0" text="" dxfId="0">
      <formula>$B329&lt;SinirDeger</formula>
    </cfRule>
    <cfRule type="expression" priority="649" aboveAverage="0" equalAverage="0" bottom="0" percent="0" rank="0" text="" dxfId="2">
      <formula>$B329&gt;=SinirDeger</formula>
    </cfRule>
  </conditionalFormatting>
  <conditionalFormatting sqref="A330:C330">
    <cfRule type="expression" priority="650" aboveAverage="0" equalAverage="0" bottom="0" percent="0" rank="0" text="" dxfId="0">
      <formula>$B330&lt;SinirDeger</formula>
    </cfRule>
    <cfRule type="expression" priority="651" aboveAverage="0" equalAverage="0" bottom="0" percent="0" rank="0" text="" dxfId="2">
      <formula>$B330&gt;=SinirDeger</formula>
    </cfRule>
  </conditionalFormatting>
  <conditionalFormatting sqref="A331:C331">
    <cfRule type="expression" priority="652" aboveAverage="0" equalAverage="0" bottom="0" percent="0" rank="0" text="" dxfId="0">
      <formula>$B331&lt;SinirDeger</formula>
    </cfRule>
    <cfRule type="expression" priority="653" aboveAverage="0" equalAverage="0" bottom="0" percent="0" rank="0" text="" dxfId="2">
      <formula>$B331&gt;=SinirDeger</formula>
    </cfRule>
  </conditionalFormatting>
  <conditionalFormatting sqref="A332:C332">
    <cfRule type="expression" priority="654" aboveAverage="0" equalAverage="0" bottom="0" percent="0" rank="0" text="" dxfId="0">
      <formula>$B332&lt;SinirDeger</formula>
    </cfRule>
    <cfRule type="expression" priority="655" aboveAverage="0" equalAverage="0" bottom="0" percent="0" rank="0" text="" dxfId="2">
      <formula>$B332&gt;=SinirDeger</formula>
    </cfRule>
  </conditionalFormatting>
  <conditionalFormatting sqref="A333:C333">
    <cfRule type="expression" priority="656" aboveAverage="0" equalAverage="0" bottom="0" percent="0" rank="0" text="" dxfId="0">
      <formula>$B333&lt;SinirDeger</formula>
    </cfRule>
    <cfRule type="expression" priority="657" aboveAverage="0" equalAverage="0" bottom="0" percent="0" rank="0" text="" dxfId="2">
      <formula>$B333&gt;=SinirDeger</formula>
    </cfRule>
  </conditionalFormatting>
  <conditionalFormatting sqref="A334:C334">
    <cfRule type="expression" priority="658" aboveAverage="0" equalAverage="0" bottom="0" percent="0" rank="0" text="" dxfId="0">
      <formula>$B334&lt;SinirDeger</formula>
    </cfRule>
    <cfRule type="expression" priority="659" aboveAverage="0" equalAverage="0" bottom="0" percent="0" rank="0" text="" dxfId="2">
      <formula>$B334&gt;=SinirDeger</formula>
    </cfRule>
  </conditionalFormatting>
  <conditionalFormatting sqref="A335:C335">
    <cfRule type="expression" priority="660" aboveAverage="0" equalAverage="0" bottom="0" percent="0" rank="0" text="" dxfId="0">
      <formula>$B335&lt;SinirDeger</formula>
    </cfRule>
    <cfRule type="expression" priority="661" aboveAverage="0" equalAverage="0" bottom="0" percent="0" rank="0" text="" dxfId="2">
      <formula>$B335&gt;=SinirDeger</formula>
    </cfRule>
  </conditionalFormatting>
  <conditionalFormatting sqref="A336:C336">
    <cfRule type="expression" priority="662" aboveAverage="0" equalAverage="0" bottom="0" percent="0" rank="0" text="" dxfId="0">
      <formula>$B336&lt;SinirDeger</formula>
    </cfRule>
    <cfRule type="expression" priority="663" aboveAverage="0" equalAverage="0" bottom="0" percent="0" rank="0" text="" dxfId="2">
      <formula>$B336&gt;=SinirDeger</formula>
    </cfRule>
  </conditionalFormatting>
  <conditionalFormatting sqref="A337:C337">
    <cfRule type="expression" priority="664" aboveAverage="0" equalAverage="0" bottom="0" percent="0" rank="0" text="" dxfId="0">
      <formula>$B337&lt;SinirDeger</formula>
    </cfRule>
    <cfRule type="expression" priority="665" aboveAverage="0" equalAverage="0" bottom="0" percent="0" rank="0" text="" dxfId="2">
      <formula>$B337&gt;=SinirDeger</formula>
    </cfRule>
  </conditionalFormatting>
  <conditionalFormatting sqref="A338:C338">
    <cfRule type="expression" priority="666" aboveAverage="0" equalAverage="0" bottom="0" percent="0" rank="0" text="" dxfId="0">
      <formula>$B338&lt;SinirDeger</formula>
    </cfRule>
    <cfRule type="expression" priority="667" aboveAverage="0" equalAverage="0" bottom="0" percent="0" rank="0" text="" dxfId="2">
      <formula>$B338&gt;=SinirDeger</formula>
    </cfRule>
  </conditionalFormatting>
  <conditionalFormatting sqref="A339:C339">
    <cfRule type="expression" priority="668" aboveAverage="0" equalAverage="0" bottom="0" percent="0" rank="0" text="" dxfId="0">
      <formula>$B339&lt;SinirDeger</formula>
    </cfRule>
    <cfRule type="expression" priority="669" aboveAverage="0" equalAverage="0" bottom="0" percent="0" rank="0" text="" dxfId="2">
      <formula>$B339&gt;=SinirDeger</formula>
    </cfRule>
  </conditionalFormatting>
  <conditionalFormatting sqref="A340:C340">
    <cfRule type="expression" priority="670" aboveAverage="0" equalAverage="0" bottom="0" percent="0" rank="0" text="" dxfId="0">
      <formula>$B340&lt;SinirDeger</formula>
    </cfRule>
    <cfRule type="expression" priority="671" aboveAverage="0" equalAverage="0" bottom="0" percent="0" rank="0" text="" dxfId="2">
      <formula>$B340&gt;=SinirDeger</formula>
    </cfRule>
  </conditionalFormatting>
  <conditionalFormatting sqref="A341:C341">
    <cfRule type="expression" priority="672" aboveAverage="0" equalAverage="0" bottom="0" percent="0" rank="0" text="" dxfId="0">
      <formula>$B341&lt;SinirDeger</formula>
    </cfRule>
    <cfRule type="expression" priority="673" aboveAverage="0" equalAverage="0" bottom="0" percent="0" rank="0" text="" dxfId="2">
      <formula>$B341&gt;=SinirDeger</formula>
    </cfRule>
  </conditionalFormatting>
  <conditionalFormatting sqref="A342:C342">
    <cfRule type="expression" priority="674" aboveAverage="0" equalAverage="0" bottom="0" percent="0" rank="0" text="" dxfId="0">
      <formula>$B342&lt;SinirDeger</formula>
    </cfRule>
    <cfRule type="expression" priority="675" aboveAverage="0" equalAverage="0" bottom="0" percent="0" rank="0" text="" dxfId="2">
      <formula>$B342&gt;=SinirDeger</formula>
    </cfRule>
  </conditionalFormatting>
  <conditionalFormatting sqref="A343:C343">
    <cfRule type="expression" priority="676" aboveAverage="0" equalAverage="0" bottom="0" percent="0" rank="0" text="" dxfId="0">
      <formula>$B343&lt;SinirDeger</formula>
    </cfRule>
    <cfRule type="expression" priority="677" aboveAverage="0" equalAverage="0" bottom="0" percent="0" rank="0" text="" dxfId="2">
      <formula>$B343&gt;=SinirDeger</formula>
    </cfRule>
  </conditionalFormatting>
  <conditionalFormatting sqref="A344:C344">
    <cfRule type="expression" priority="678" aboveAverage="0" equalAverage="0" bottom="0" percent="0" rank="0" text="" dxfId="0">
      <formula>$B344&lt;SinirDeger</formula>
    </cfRule>
    <cfRule type="expression" priority="679" aboveAverage="0" equalAverage="0" bottom="0" percent="0" rank="0" text="" dxfId="2">
      <formula>$B344&gt;=SinirDeger</formula>
    </cfRule>
  </conditionalFormatting>
  <conditionalFormatting sqref="A345:C345">
    <cfRule type="expression" priority="680" aboveAverage="0" equalAverage="0" bottom="0" percent="0" rank="0" text="" dxfId="0">
      <formula>$B345&lt;SinirDeger</formula>
    </cfRule>
    <cfRule type="expression" priority="681" aboveAverage="0" equalAverage="0" bottom="0" percent="0" rank="0" text="" dxfId="2">
      <formula>$B345&gt;=SinirDeger</formula>
    </cfRule>
  </conditionalFormatting>
  <conditionalFormatting sqref="A346:C346">
    <cfRule type="expression" priority="682" aboveAverage="0" equalAverage="0" bottom="0" percent="0" rank="0" text="" dxfId="0">
      <formula>$B346&lt;SinirDeger</formula>
    </cfRule>
    <cfRule type="expression" priority="683" aboveAverage="0" equalAverage="0" bottom="0" percent="0" rank="0" text="" dxfId="2">
      <formula>$B346&gt;=SinirDeger</formula>
    </cfRule>
  </conditionalFormatting>
  <conditionalFormatting sqref="A347:C347">
    <cfRule type="expression" priority="684" aboveAverage="0" equalAverage="0" bottom="0" percent="0" rank="0" text="" dxfId="0">
      <formula>$B347&lt;SinirDeger</formula>
    </cfRule>
    <cfRule type="expression" priority="685" aboveAverage="0" equalAverage="0" bottom="0" percent="0" rank="0" text="" dxfId="2">
      <formula>$B347&gt;=SinirDeger</formula>
    </cfRule>
  </conditionalFormatting>
  <conditionalFormatting sqref="A348:C348">
    <cfRule type="expression" priority="686" aboveAverage="0" equalAverage="0" bottom="0" percent="0" rank="0" text="" dxfId="0">
      <formula>$B348&lt;SinirDeger</formula>
    </cfRule>
    <cfRule type="expression" priority="687" aboveAverage="0" equalAverage="0" bottom="0" percent="0" rank="0" text="" dxfId="2">
      <formula>$B348&gt;=SinirDeger</formula>
    </cfRule>
  </conditionalFormatting>
  <conditionalFormatting sqref="A349:C349">
    <cfRule type="expression" priority="688" aboveAverage="0" equalAverage="0" bottom="0" percent="0" rank="0" text="" dxfId="0">
      <formula>$B349&lt;SinirDeger</formula>
    </cfRule>
    <cfRule type="expression" priority="689" aboveAverage="0" equalAverage="0" bottom="0" percent="0" rank="0" text="" dxfId="2">
      <formula>$B349&gt;=SinirDeger</formula>
    </cfRule>
  </conditionalFormatting>
  <conditionalFormatting sqref="A350:C350">
    <cfRule type="expression" priority="690" aboveAverage="0" equalAverage="0" bottom="0" percent="0" rank="0" text="" dxfId="0">
      <formula>$B350&lt;SinirDeger</formula>
    </cfRule>
    <cfRule type="expression" priority="691" aboveAverage="0" equalAverage="0" bottom="0" percent="0" rank="0" text="" dxfId="2">
      <formula>$B350&gt;=SinirDeger</formula>
    </cfRule>
  </conditionalFormatting>
  <conditionalFormatting sqref="A351:C351">
    <cfRule type="expression" priority="692" aboveAverage="0" equalAverage="0" bottom="0" percent="0" rank="0" text="" dxfId="0">
      <formula>$B351&lt;SinirDeger</formula>
    </cfRule>
    <cfRule type="expression" priority="693" aboveAverage="0" equalAverage="0" bottom="0" percent="0" rank="0" text="" dxfId="2">
      <formula>$B351&gt;=SinirDeger</formula>
    </cfRule>
  </conditionalFormatting>
  <conditionalFormatting sqref="A352:C352">
    <cfRule type="expression" priority="694" aboveAverage="0" equalAverage="0" bottom="0" percent="0" rank="0" text="" dxfId="0">
      <formula>$B352&lt;SinirDeger</formula>
    </cfRule>
    <cfRule type="expression" priority="695" aboveAverage="0" equalAverage="0" bottom="0" percent="0" rank="0" text="" dxfId="2">
      <formula>$B352&gt;=SinirDeger</formula>
    </cfRule>
  </conditionalFormatting>
  <conditionalFormatting sqref="A353:C353">
    <cfRule type="expression" priority="696" aboveAverage="0" equalAverage="0" bottom="0" percent="0" rank="0" text="" dxfId="0">
      <formula>$B353&lt;SinirDeger</formula>
    </cfRule>
    <cfRule type="expression" priority="697" aboveAverage="0" equalAverage="0" bottom="0" percent="0" rank="0" text="" dxfId="2">
      <formula>$B353&gt;=SinirDeger</formula>
    </cfRule>
  </conditionalFormatting>
  <conditionalFormatting sqref="A354:C354">
    <cfRule type="expression" priority="698" aboveAverage="0" equalAverage="0" bottom="0" percent="0" rank="0" text="" dxfId="0">
      <formula>$B354&lt;SinirDeger</formula>
    </cfRule>
    <cfRule type="expression" priority="699" aboveAverage="0" equalAverage="0" bottom="0" percent="0" rank="0" text="" dxfId="2">
      <formula>$B354&gt;=SinirDeger</formula>
    </cfRule>
  </conditionalFormatting>
  <conditionalFormatting sqref="A355:C355">
    <cfRule type="expression" priority="700" aboveAverage="0" equalAverage="0" bottom="0" percent="0" rank="0" text="" dxfId="0">
      <formula>$B355&lt;SinirDeger</formula>
    </cfRule>
    <cfRule type="expression" priority="701" aboveAverage="0" equalAverage="0" bottom="0" percent="0" rank="0" text="" dxfId="2">
      <formula>$B355&gt;=SinirDeger</formula>
    </cfRule>
  </conditionalFormatting>
  <conditionalFormatting sqref="A356:C356">
    <cfRule type="expression" priority="702" aboveAverage="0" equalAverage="0" bottom="0" percent="0" rank="0" text="" dxfId="0">
      <formula>$B356&lt;SinirDeger</formula>
    </cfRule>
    <cfRule type="expression" priority="703" aboveAverage="0" equalAverage="0" bottom="0" percent="0" rank="0" text="" dxfId="2">
      <formula>$B356&gt;=SinirDeger</formula>
    </cfRule>
  </conditionalFormatting>
  <conditionalFormatting sqref="A357:C357">
    <cfRule type="expression" priority="704" aboveAverage="0" equalAverage="0" bottom="0" percent="0" rank="0" text="" dxfId="0">
      <formula>$B357&lt;SinirDeger</formula>
    </cfRule>
    <cfRule type="expression" priority="705" aboveAverage="0" equalAverage="0" bottom="0" percent="0" rank="0" text="" dxfId="2">
      <formula>$B357&gt;=SinirDeger</formula>
    </cfRule>
  </conditionalFormatting>
  <conditionalFormatting sqref="A358:C358">
    <cfRule type="expression" priority="706" aboveAverage="0" equalAverage="0" bottom="0" percent="0" rank="0" text="" dxfId="0">
      <formula>$B358&lt;SinirDeger</formula>
    </cfRule>
    <cfRule type="expression" priority="707" aboveAverage="0" equalAverage="0" bottom="0" percent="0" rank="0" text="" dxfId="2">
      <formula>$B358&gt;=SinirDeger</formula>
    </cfRule>
  </conditionalFormatting>
  <conditionalFormatting sqref="A359:C359">
    <cfRule type="expression" priority="708" aboveAverage="0" equalAverage="0" bottom="0" percent="0" rank="0" text="" dxfId="0">
      <formula>$B359&lt;SinirDeger</formula>
    </cfRule>
    <cfRule type="expression" priority="709" aboveAverage="0" equalAverage="0" bottom="0" percent="0" rank="0" text="" dxfId="2">
      <formula>$B359&gt;=SinirDeger</formula>
    </cfRule>
  </conditionalFormatting>
  <conditionalFormatting sqref="A360:C360">
    <cfRule type="expression" priority="710" aboveAverage="0" equalAverage="0" bottom="0" percent="0" rank="0" text="" dxfId="0">
      <formula>$B360&lt;SinirDeger</formula>
    </cfRule>
    <cfRule type="expression" priority="711" aboveAverage="0" equalAverage="0" bottom="0" percent="0" rank="0" text="" dxfId="2">
      <formula>$B360&gt;=SinirDeger</formula>
    </cfRule>
  </conditionalFormatting>
  <conditionalFormatting sqref="A361:C361">
    <cfRule type="expression" priority="712" aboveAverage="0" equalAverage="0" bottom="0" percent="0" rank="0" text="" dxfId="0">
      <formula>$B361&lt;SinirDeger</formula>
    </cfRule>
    <cfRule type="expression" priority="713" aboveAverage="0" equalAverage="0" bottom="0" percent="0" rank="0" text="" dxfId="2">
      <formula>$B361&gt;=SinirDeger</formula>
    </cfRule>
  </conditionalFormatting>
  <conditionalFormatting sqref="A362:C362">
    <cfRule type="expression" priority="714" aboveAverage="0" equalAverage="0" bottom="0" percent="0" rank="0" text="" dxfId="0">
      <formula>$B362&lt;SinirDeger</formula>
    </cfRule>
    <cfRule type="expression" priority="715" aboveAverage="0" equalAverage="0" bottom="0" percent="0" rank="0" text="" dxfId="2">
      <formula>$B362&gt;=SinirDeger</formula>
    </cfRule>
  </conditionalFormatting>
  <conditionalFormatting sqref="A363:C363">
    <cfRule type="expression" priority="716" aboveAverage="0" equalAverage="0" bottom="0" percent="0" rank="0" text="" dxfId="0">
      <formula>$B363&lt;SinirDeger</formula>
    </cfRule>
    <cfRule type="expression" priority="717" aboveAverage="0" equalAverage="0" bottom="0" percent="0" rank="0" text="" dxfId="2">
      <formula>$B363&gt;=SinirDeger</formula>
    </cfRule>
  </conditionalFormatting>
  <conditionalFormatting sqref="A364:C364">
    <cfRule type="expression" priority="718" aboveAverage="0" equalAverage="0" bottom="0" percent="0" rank="0" text="" dxfId="0">
      <formula>$B364&lt;SinirDeger</formula>
    </cfRule>
    <cfRule type="expression" priority="719" aboveAverage="0" equalAverage="0" bottom="0" percent="0" rank="0" text="" dxfId="2">
      <formula>$B364&gt;=SinirDeger</formula>
    </cfRule>
  </conditionalFormatting>
  <conditionalFormatting sqref="A365:C365">
    <cfRule type="expression" priority="720" aboveAverage="0" equalAverage="0" bottom="0" percent="0" rank="0" text="" dxfId="0">
      <formula>$B365&lt;SinirDeger</formula>
    </cfRule>
    <cfRule type="expression" priority="721" aboveAverage="0" equalAverage="0" bottom="0" percent="0" rank="0" text="" dxfId="2">
      <formula>$B365&gt;=SinirDeger</formula>
    </cfRule>
  </conditionalFormatting>
  <conditionalFormatting sqref="A366:C366">
    <cfRule type="expression" priority="722" aboveAverage="0" equalAverage="0" bottom="0" percent="0" rank="0" text="" dxfId="0">
      <formula>$B366&lt;SinirDeger</formula>
    </cfRule>
    <cfRule type="expression" priority="723" aboveAverage="0" equalAverage="0" bottom="0" percent="0" rank="0" text="" dxfId="2">
      <formula>$B366&gt;=SinirDeger</formula>
    </cfRule>
  </conditionalFormatting>
  <conditionalFormatting sqref="A367:C367">
    <cfRule type="expression" priority="724" aboveAverage="0" equalAverage="0" bottom="0" percent="0" rank="0" text="" dxfId="0">
      <formula>$B367&lt;SinirDeger</formula>
    </cfRule>
    <cfRule type="expression" priority="725" aboveAverage="0" equalAverage="0" bottom="0" percent="0" rank="0" text="" dxfId="2">
      <formula>$B367&gt;=SinirDeger</formula>
    </cfRule>
  </conditionalFormatting>
  <conditionalFormatting sqref="A368:C368">
    <cfRule type="expression" priority="726" aboveAverage="0" equalAverage="0" bottom="0" percent="0" rank="0" text="" dxfId="0">
      <formula>$B368&lt;SinirDeger</formula>
    </cfRule>
    <cfRule type="expression" priority="727" aboveAverage="0" equalAverage="0" bottom="0" percent="0" rank="0" text="" dxfId="2">
      <formula>$B368&gt;=SinirDeger</formula>
    </cfRule>
  </conditionalFormatting>
  <conditionalFormatting sqref="A369:C369">
    <cfRule type="expression" priority="728" aboveAverage="0" equalAverage="0" bottom="0" percent="0" rank="0" text="" dxfId="0">
      <formula>$B369&lt;SinirDeger</formula>
    </cfRule>
    <cfRule type="expression" priority="729" aboveAverage="0" equalAverage="0" bottom="0" percent="0" rank="0" text="" dxfId="2">
      <formula>$B369&gt;=SinirDeger</formula>
    </cfRule>
  </conditionalFormatting>
  <conditionalFormatting sqref="A370:C370">
    <cfRule type="expression" priority="730" aboveAverage="0" equalAverage="0" bottom="0" percent="0" rank="0" text="" dxfId="0">
      <formula>$B370&lt;SinirDeger</formula>
    </cfRule>
    <cfRule type="expression" priority="731" aboveAverage="0" equalAverage="0" bottom="0" percent="0" rank="0" text="" dxfId="2">
      <formula>$B370&gt;=SinirDeger</formula>
    </cfRule>
  </conditionalFormatting>
  <conditionalFormatting sqref="A371:C371">
    <cfRule type="expression" priority="732" aboveAverage="0" equalAverage="0" bottom="0" percent="0" rank="0" text="" dxfId="0">
      <formula>$B371&lt;SinirDeger</formula>
    </cfRule>
    <cfRule type="expression" priority="733" aboveAverage="0" equalAverage="0" bottom="0" percent="0" rank="0" text="" dxfId="2">
      <formula>$B371&gt;=SinirDeger</formula>
    </cfRule>
  </conditionalFormatting>
  <conditionalFormatting sqref="A372:C372">
    <cfRule type="expression" priority="734" aboveAverage="0" equalAverage="0" bottom="0" percent="0" rank="0" text="" dxfId="0">
      <formula>$B372&lt;SinirDeger</formula>
    </cfRule>
    <cfRule type="expression" priority="735" aboveAverage="0" equalAverage="0" bottom="0" percent="0" rank="0" text="" dxfId="2">
      <formula>$B372&gt;=SinirDeger</formula>
    </cfRule>
  </conditionalFormatting>
  <conditionalFormatting sqref="A373:C373">
    <cfRule type="expression" priority="736" aboveAverage="0" equalAverage="0" bottom="0" percent="0" rank="0" text="" dxfId="0">
      <formula>$B373&lt;SinirDeger</formula>
    </cfRule>
    <cfRule type="expression" priority="737" aboveAverage="0" equalAverage="0" bottom="0" percent="0" rank="0" text="" dxfId="2">
      <formula>$B373&gt;=SinirDeger</formula>
    </cfRule>
  </conditionalFormatting>
  <conditionalFormatting sqref="A374:C374">
    <cfRule type="expression" priority="738" aboveAverage="0" equalAverage="0" bottom="0" percent="0" rank="0" text="" dxfId="0">
      <formula>$B374&lt;SinirDeger</formula>
    </cfRule>
    <cfRule type="expression" priority="739" aboveAverage="0" equalAverage="0" bottom="0" percent="0" rank="0" text="" dxfId="2">
      <formula>$B374&gt;=SinirDeger</formula>
    </cfRule>
  </conditionalFormatting>
  <conditionalFormatting sqref="A375:C375">
    <cfRule type="expression" priority="740" aboveAverage="0" equalAverage="0" bottom="0" percent="0" rank="0" text="" dxfId="0">
      <formula>$B375&lt;SinirDeger</formula>
    </cfRule>
    <cfRule type="expression" priority="741" aboveAverage="0" equalAverage="0" bottom="0" percent="0" rank="0" text="" dxfId="2">
      <formula>$B375&gt;=SinirDeger</formula>
    </cfRule>
  </conditionalFormatting>
  <conditionalFormatting sqref="A376:C376">
    <cfRule type="expression" priority="742" aboveAverage="0" equalAverage="0" bottom="0" percent="0" rank="0" text="" dxfId="0">
      <formula>$B376&lt;SinirDeger</formula>
    </cfRule>
    <cfRule type="expression" priority="743" aboveAverage="0" equalAverage="0" bottom="0" percent="0" rank="0" text="" dxfId="2">
      <formula>$B376&gt;=SinirDeger</formula>
    </cfRule>
  </conditionalFormatting>
  <conditionalFormatting sqref="A377:C377">
    <cfRule type="expression" priority="744" aboveAverage="0" equalAverage="0" bottom="0" percent="0" rank="0" text="" dxfId="0">
      <formula>$B377&lt;SinirDeger</formula>
    </cfRule>
    <cfRule type="expression" priority="745" aboveAverage="0" equalAverage="0" bottom="0" percent="0" rank="0" text="" dxfId="2">
      <formula>$B377&gt;=SinirDeger</formula>
    </cfRule>
  </conditionalFormatting>
  <conditionalFormatting sqref="A378:C378">
    <cfRule type="expression" priority="746" aboveAverage="0" equalAverage="0" bottom="0" percent="0" rank="0" text="" dxfId="0">
      <formula>$B378&lt;SinirDeger</formula>
    </cfRule>
    <cfRule type="expression" priority="747" aboveAverage="0" equalAverage="0" bottom="0" percent="0" rank="0" text="" dxfId="2">
      <formula>$B378&gt;=SinirDeger</formula>
    </cfRule>
  </conditionalFormatting>
  <conditionalFormatting sqref="A379:C379">
    <cfRule type="expression" priority="748" aboveAverage="0" equalAverage="0" bottom="0" percent="0" rank="0" text="" dxfId="0">
      <formula>$B379&lt;SinirDeger</formula>
    </cfRule>
    <cfRule type="expression" priority="749" aboveAverage="0" equalAverage="0" bottom="0" percent="0" rank="0" text="" dxfId="2">
      <formula>$B379&gt;=SinirDeger</formula>
    </cfRule>
  </conditionalFormatting>
  <conditionalFormatting sqref="A380:C380">
    <cfRule type="expression" priority="750" aboveAverage="0" equalAverage="0" bottom="0" percent="0" rank="0" text="" dxfId="0">
      <formula>$B380&lt;SinirDeger</formula>
    </cfRule>
    <cfRule type="expression" priority="751" aboveAverage="0" equalAverage="0" bottom="0" percent="0" rank="0" text="" dxfId="2">
      <formula>$B380&gt;=SinirDeger</formula>
    </cfRule>
  </conditionalFormatting>
  <conditionalFormatting sqref="A381:C381">
    <cfRule type="expression" priority="752" aboveAverage="0" equalAverage="0" bottom="0" percent="0" rank="0" text="" dxfId="0">
      <formula>$B381&lt;SinirDeger</formula>
    </cfRule>
    <cfRule type="expression" priority="753" aboveAverage="0" equalAverage="0" bottom="0" percent="0" rank="0" text="" dxfId="2">
      <formula>$B381&gt;=SinirDeger</formula>
    </cfRule>
  </conditionalFormatting>
  <conditionalFormatting sqref="A382:C382">
    <cfRule type="expression" priority="754" aboveAverage="0" equalAverage="0" bottom="0" percent="0" rank="0" text="" dxfId="0">
      <formula>$B382&lt;SinirDeger</formula>
    </cfRule>
    <cfRule type="expression" priority="755" aboveAverage="0" equalAverage="0" bottom="0" percent="0" rank="0" text="" dxfId="2">
      <formula>$B382&gt;=SinirDeger</formula>
    </cfRule>
  </conditionalFormatting>
  <conditionalFormatting sqref="A383:C383">
    <cfRule type="expression" priority="756" aboveAverage="0" equalAverage="0" bottom="0" percent="0" rank="0" text="" dxfId="0">
      <formula>$B383&lt;SinirDeger</formula>
    </cfRule>
    <cfRule type="expression" priority="757" aboveAverage="0" equalAverage="0" bottom="0" percent="0" rank="0" text="" dxfId="2">
      <formula>$B383&gt;=SinirDeger</formula>
    </cfRule>
  </conditionalFormatting>
  <conditionalFormatting sqref="A384:C384">
    <cfRule type="expression" priority="758" aboveAverage="0" equalAverage="0" bottom="0" percent="0" rank="0" text="" dxfId="0">
      <formula>$B384&lt;SinirDeger</formula>
    </cfRule>
    <cfRule type="expression" priority="759" aboveAverage="0" equalAverage="0" bottom="0" percent="0" rank="0" text="" dxfId="2">
      <formula>$B384&gt;=SinirDeger</formula>
    </cfRule>
  </conditionalFormatting>
  <conditionalFormatting sqref="A385:C385">
    <cfRule type="expression" priority="760" aboveAverage="0" equalAverage="0" bottom="0" percent="0" rank="0" text="" dxfId="0">
      <formula>$B385&lt;SinirDeger</formula>
    </cfRule>
    <cfRule type="expression" priority="761" aboveAverage="0" equalAverage="0" bottom="0" percent="0" rank="0" text="" dxfId="2">
      <formula>$B385&gt;=SinirDeger</formula>
    </cfRule>
  </conditionalFormatting>
  <conditionalFormatting sqref="A386:C386">
    <cfRule type="expression" priority="762" aboveAverage="0" equalAverage="0" bottom="0" percent="0" rank="0" text="" dxfId="0">
      <formula>$B386&lt;SinirDeger</formula>
    </cfRule>
    <cfRule type="expression" priority="763" aboveAverage="0" equalAverage="0" bottom="0" percent="0" rank="0" text="" dxfId="2">
      <formula>$B386&gt;=SinirDeger</formula>
    </cfRule>
  </conditionalFormatting>
  <conditionalFormatting sqref="A387:C387">
    <cfRule type="expression" priority="764" aboveAverage="0" equalAverage="0" bottom="0" percent="0" rank="0" text="" dxfId="0">
      <formula>$B387&lt;SinirDeger</formula>
    </cfRule>
    <cfRule type="expression" priority="765" aboveAverage="0" equalAverage="0" bottom="0" percent="0" rank="0" text="" dxfId="2">
      <formula>$B387&gt;=SinirDeger</formula>
    </cfRule>
  </conditionalFormatting>
  <conditionalFormatting sqref="A388:C388">
    <cfRule type="expression" priority="766" aboveAverage="0" equalAverage="0" bottom="0" percent="0" rank="0" text="" dxfId="0">
      <formula>$B388&lt;SinirDeger</formula>
    </cfRule>
    <cfRule type="expression" priority="767" aboveAverage="0" equalAverage="0" bottom="0" percent="0" rank="0" text="" dxfId="2">
      <formula>$B388&gt;=SinirDeger</formula>
    </cfRule>
  </conditionalFormatting>
  <conditionalFormatting sqref="A389:C389">
    <cfRule type="expression" priority="768" aboveAverage="0" equalAverage="0" bottom="0" percent="0" rank="0" text="" dxfId="0">
      <formula>$B389&lt;SinirDeger</formula>
    </cfRule>
    <cfRule type="expression" priority="769" aboveAverage="0" equalAverage="0" bottom="0" percent="0" rank="0" text="" dxfId="2">
      <formula>$B389&gt;=SinirDeger</formula>
    </cfRule>
  </conditionalFormatting>
  <conditionalFormatting sqref="A390:C390">
    <cfRule type="expression" priority="770" aboveAverage="0" equalAverage="0" bottom="0" percent="0" rank="0" text="" dxfId="0">
      <formula>$B390&lt;SinirDeger</formula>
    </cfRule>
    <cfRule type="expression" priority="771" aboveAverage="0" equalAverage="0" bottom="0" percent="0" rank="0" text="" dxfId="2">
      <formula>$B390&gt;=SinirDeger</formula>
    </cfRule>
  </conditionalFormatting>
  <conditionalFormatting sqref="A391:C391">
    <cfRule type="expression" priority="772" aboveAverage="0" equalAverage="0" bottom="0" percent="0" rank="0" text="" dxfId="0">
      <formula>$B391&lt;SinirDeger</formula>
    </cfRule>
    <cfRule type="expression" priority="773" aboveAverage="0" equalAverage="0" bottom="0" percent="0" rank="0" text="" dxfId="2">
      <formula>$B391&gt;=SinirDeger</formula>
    </cfRule>
  </conditionalFormatting>
  <conditionalFormatting sqref="A392:C392">
    <cfRule type="expression" priority="774" aboveAverage="0" equalAverage="0" bottom="0" percent="0" rank="0" text="" dxfId="0">
      <formula>$B392&lt;SinirDeger</formula>
    </cfRule>
    <cfRule type="expression" priority="775" aboveAverage="0" equalAverage="0" bottom="0" percent="0" rank="0" text="" dxfId="2">
      <formula>$B392&gt;=SinirDeger</formula>
    </cfRule>
  </conditionalFormatting>
  <conditionalFormatting sqref="A393:C393">
    <cfRule type="expression" priority="776" aboveAverage="0" equalAverage="0" bottom="0" percent="0" rank="0" text="" dxfId="0">
      <formula>$B393&lt;SinirDeger</formula>
    </cfRule>
    <cfRule type="expression" priority="777" aboveAverage="0" equalAverage="0" bottom="0" percent="0" rank="0" text="" dxfId="2">
      <formula>$B393&gt;=SinirDeger</formula>
    </cfRule>
  </conditionalFormatting>
  <conditionalFormatting sqref="A394:C394">
    <cfRule type="expression" priority="778" aboveAverage="0" equalAverage="0" bottom="0" percent="0" rank="0" text="" dxfId="0">
      <formula>$B394&lt;SinirDeger</formula>
    </cfRule>
    <cfRule type="expression" priority="779" aboveAverage="0" equalAverage="0" bottom="0" percent="0" rank="0" text="" dxfId="2">
      <formula>$B394&gt;=SinirDeger</formula>
    </cfRule>
  </conditionalFormatting>
  <conditionalFormatting sqref="A395:C395">
    <cfRule type="expression" priority="780" aboveAverage="0" equalAverage="0" bottom="0" percent="0" rank="0" text="" dxfId="0">
      <formula>$B395&lt;SinirDeger</formula>
    </cfRule>
    <cfRule type="expression" priority="781" aboveAverage="0" equalAverage="0" bottom="0" percent="0" rank="0" text="" dxfId="2">
      <formula>$B395&gt;=SinirDeger</formula>
    </cfRule>
  </conditionalFormatting>
  <conditionalFormatting sqref="A396:C396">
    <cfRule type="expression" priority="782" aboveAverage="0" equalAverage="0" bottom="0" percent="0" rank="0" text="" dxfId="0">
      <formula>$B396&lt;SinirDeger</formula>
    </cfRule>
    <cfRule type="expression" priority="783" aboveAverage="0" equalAverage="0" bottom="0" percent="0" rank="0" text="" dxfId="2">
      <formula>$B396&gt;=SinirDeger</formula>
    </cfRule>
  </conditionalFormatting>
  <conditionalFormatting sqref="A397:C397">
    <cfRule type="expression" priority="784" aboveAverage="0" equalAverage="0" bottom="0" percent="0" rank="0" text="" dxfId="0">
      <formula>$B397&lt;SinirDeger</formula>
    </cfRule>
    <cfRule type="expression" priority="785" aboveAverage="0" equalAverage="0" bottom="0" percent="0" rank="0" text="" dxfId="2">
      <formula>$B397&gt;=SinirDeger</formula>
    </cfRule>
  </conditionalFormatting>
  <conditionalFormatting sqref="A398:C398">
    <cfRule type="expression" priority="786" aboveAverage="0" equalAverage="0" bottom="0" percent="0" rank="0" text="" dxfId="0">
      <formula>$B398&lt;SinirDeger</formula>
    </cfRule>
    <cfRule type="expression" priority="787" aboveAverage="0" equalAverage="0" bottom="0" percent="0" rank="0" text="" dxfId="2">
      <formula>$B398&gt;=SinirDeger</formula>
    </cfRule>
  </conditionalFormatting>
  <conditionalFormatting sqref="A399:C399">
    <cfRule type="expression" priority="788" aboveAverage="0" equalAverage="0" bottom="0" percent="0" rank="0" text="" dxfId="0">
      <formula>$B399&lt;SinirDeger</formula>
    </cfRule>
    <cfRule type="expression" priority="789" aboveAverage="0" equalAverage="0" bottom="0" percent="0" rank="0" text="" dxfId="2">
      <formula>$B399&gt;=SinirDeger</formula>
    </cfRule>
  </conditionalFormatting>
  <conditionalFormatting sqref="A400:C400">
    <cfRule type="expression" priority="790" aboveAverage="0" equalAverage="0" bottom="0" percent="0" rank="0" text="" dxfId="0">
      <formula>$B400&lt;SinirDeger</formula>
    </cfRule>
    <cfRule type="expression" priority="791" aboveAverage="0" equalAverage="0" bottom="0" percent="0" rank="0" text="" dxfId="2">
      <formula>$B400&gt;=SinirDeger</formula>
    </cfRule>
  </conditionalFormatting>
  <conditionalFormatting sqref="A401:C401">
    <cfRule type="expression" priority="792" aboveAverage="0" equalAverage="0" bottom="0" percent="0" rank="0" text="" dxfId="0">
      <formula>$B401&lt;SinirDeger</formula>
    </cfRule>
    <cfRule type="expression" priority="793" aboveAverage="0" equalAverage="0" bottom="0" percent="0" rank="0" text="" dxfId="2">
      <formula>$B401&gt;=SinirDeger</formula>
    </cfRule>
  </conditionalFormatting>
  <conditionalFormatting sqref="A402:C402">
    <cfRule type="expression" priority="794" aboveAverage="0" equalAverage="0" bottom="0" percent="0" rank="0" text="" dxfId="0">
      <formula>$B402&lt;SinirDeger</formula>
    </cfRule>
    <cfRule type="expression" priority="795" aboveAverage="0" equalAverage="0" bottom="0" percent="0" rank="0" text="" dxfId="2">
      <formula>$B402&gt;=SinirDeger</formula>
    </cfRule>
  </conditionalFormatting>
  <conditionalFormatting sqref="A403:C403">
    <cfRule type="expression" priority="796" aboveAverage="0" equalAverage="0" bottom="0" percent="0" rank="0" text="" dxfId="0">
      <formula>$B403&lt;SinirDeger</formula>
    </cfRule>
    <cfRule type="expression" priority="797" aboveAverage="0" equalAverage="0" bottom="0" percent="0" rank="0" text="" dxfId="2">
      <formula>$B403&gt;=SinirDeger</formula>
    </cfRule>
  </conditionalFormatting>
  <conditionalFormatting sqref="A404:C404">
    <cfRule type="expression" priority="798" aboveAverage="0" equalAverage="0" bottom="0" percent="0" rank="0" text="" dxfId="0">
      <formula>$B404&lt;SinirDeger</formula>
    </cfRule>
    <cfRule type="expression" priority="799" aboveAverage="0" equalAverage="0" bottom="0" percent="0" rank="0" text="" dxfId="2">
      <formula>$B404&gt;=SinirDeger</formula>
    </cfRule>
  </conditionalFormatting>
  <conditionalFormatting sqref="A405:C405">
    <cfRule type="expression" priority="800" aboveAverage="0" equalAverage="0" bottom="0" percent="0" rank="0" text="" dxfId="0">
      <formula>$B405&lt;SinirDeger</formula>
    </cfRule>
    <cfRule type="expression" priority="801" aboveAverage="0" equalAverage="0" bottom="0" percent="0" rank="0" text="" dxfId="2">
      <formula>$B405&gt;=SinirDeger</formula>
    </cfRule>
  </conditionalFormatting>
  <conditionalFormatting sqref="A406:C406">
    <cfRule type="expression" priority="802" aboveAverage="0" equalAverage="0" bottom="0" percent="0" rank="0" text="" dxfId="0">
      <formula>$B406&lt;SinirDeger</formula>
    </cfRule>
    <cfRule type="expression" priority="803" aboveAverage="0" equalAverage="0" bottom="0" percent="0" rank="0" text="" dxfId="2">
      <formula>$B406&gt;=SinirDeger</formula>
    </cfRule>
  </conditionalFormatting>
  <conditionalFormatting sqref="A407:C407">
    <cfRule type="expression" priority="804" aboveAverage="0" equalAverage="0" bottom="0" percent="0" rank="0" text="" dxfId="0">
      <formula>$B407&lt;SinirDeger</formula>
    </cfRule>
    <cfRule type="expression" priority="805" aboveAverage="0" equalAverage="0" bottom="0" percent="0" rank="0" text="" dxfId="2">
      <formula>$B407&gt;=SinirDeger</formula>
    </cfRule>
  </conditionalFormatting>
  <conditionalFormatting sqref="A408:C408">
    <cfRule type="expression" priority="806" aboveAverage="0" equalAverage="0" bottom="0" percent="0" rank="0" text="" dxfId="0">
      <formula>$B408&lt;SinirDeger</formula>
    </cfRule>
    <cfRule type="expression" priority="807" aboveAverage="0" equalAverage="0" bottom="0" percent="0" rank="0" text="" dxfId="2">
      <formula>$B408&gt;=SinirDeger</formula>
    </cfRule>
  </conditionalFormatting>
  <conditionalFormatting sqref="A409:C409">
    <cfRule type="expression" priority="808" aboveAverage="0" equalAverage="0" bottom="0" percent="0" rank="0" text="" dxfId="0">
      <formula>$B409&lt;SinirDeger</formula>
    </cfRule>
    <cfRule type="expression" priority="809" aboveAverage="0" equalAverage="0" bottom="0" percent="0" rank="0" text="" dxfId="2">
      <formula>$B409&gt;=SinirDeger</formula>
    </cfRule>
  </conditionalFormatting>
  <conditionalFormatting sqref="A410:C410">
    <cfRule type="expression" priority="810" aboveAverage="0" equalAverage="0" bottom="0" percent="0" rank="0" text="" dxfId="0">
      <formula>$B410&lt;SinirDeger</formula>
    </cfRule>
    <cfRule type="expression" priority="811" aboveAverage="0" equalAverage="0" bottom="0" percent="0" rank="0" text="" dxfId="2">
      <formula>$B410&gt;=SinirDeger</formula>
    </cfRule>
  </conditionalFormatting>
  <conditionalFormatting sqref="A411:C411">
    <cfRule type="expression" priority="812" aboveAverage="0" equalAverage="0" bottom="0" percent="0" rank="0" text="" dxfId="0">
      <formula>$B411&lt;SinirDeger</formula>
    </cfRule>
    <cfRule type="expression" priority="813" aboveAverage="0" equalAverage="0" bottom="0" percent="0" rank="0" text="" dxfId="2">
      <formula>$B411&gt;=SinirDeger</formula>
    </cfRule>
  </conditionalFormatting>
  <conditionalFormatting sqref="A412:C412">
    <cfRule type="expression" priority="814" aboveAverage="0" equalAverage="0" bottom="0" percent="0" rank="0" text="" dxfId="0">
      <formula>$B412&lt;SinirDeger</formula>
    </cfRule>
    <cfRule type="expression" priority="815" aboveAverage="0" equalAverage="0" bottom="0" percent="0" rank="0" text="" dxfId="2">
      <formula>$B412&gt;=SinirDeger</formula>
    </cfRule>
  </conditionalFormatting>
  <conditionalFormatting sqref="A413:C413">
    <cfRule type="expression" priority="816" aboveAverage="0" equalAverage="0" bottom="0" percent="0" rank="0" text="" dxfId="0">
      <formula>$B413&lt;SinirDeger</formula>
    </cfRule>
    <cfRule type="expression" priority="817" aboveAverage="0" equalAverage="0" bottom="0" percent="0" rank="0" text="" dxfId="2">
      <formula>$B413&gt;=SinirDeger</formula>
    </cfRule>
  </conditionalFormatting>
  <conditionalFormatting sqref="A414:C414">
    <cfRule type="expression" priority="818" aboveAverage="0" equalAverage="0" bottom="0" percent="0" rank="0" text="" dxfId="0">
      <formula>$B414&lt;SinirDeger</formula>
    </cfRule>
    <cfRule type="expression" priority="819" aboveAverage="0" equalAverage="0" bottom="0" percent="0" rank="0" text="" dxfId="2">
      <formula>$B414&gt;=SinirDeger</formula>
    </cfRule>
  </conditionalFormatting>
  <conditionalFormatting sqref="A415:C415">
    <cfRule type="expression" priority="820" aboveAverage="0" equalAverage="0" bottom="0" percent="0" rank="0" text="" dxfId="0">
      <formula>$B415&lt;SinirDeger</formula>
    </cfRule>
    <cfRule type="expression" priority="821" aboveAverage="0" equalAverage="0" bottom="0" percent="0" rank="0" text="" dxfId="2">
      <formula>$B415&gt;=SinirDeger</formula>
    </cfRule>
  </conditionalFormatting>
  <conditionalFormatting sqref="A416:C416">
    <cfRule type="expression" priority="822" aboveAverage="0" equalAverage="0" bottom="0" percent="0" rank="0" text="" dxfId="0">
      <formula>$B416&lt;SinirDeger</formula>
    </cfRule>
    <cfRule type="expression" priority="823" aboveAverage="0" equalAverage="0" bottom="0" percent="0" rank="0" text="" dxfId="2">
      <formula>$B416&gt;=SinirDeger</formula>
    </cfRule>
  </conditionalFormatting>
  <conditionalFormatting sqref="A417:C417">
    <cfRule type="expression" priority="824" aboveAverage="0" equalAverage="0" bottom="0" percent="0" rank="0" text="" dxfId="0">
      <formula>$B417&lt;SinirDeger</formula>
    </cfRule>
    <cfRule type="expression" priority="825" aboveAverage="0" equalAverage="0" bottom="0" percent="0" rank="0" text="" dxfId="2">
      <formula>$B417&gt;=SinirDeger</formula>
    </cfRule>
  </conditionalFormatting>
  <conditionalFormatting sqref="A418:C418">
    <cfRule type="expression" priority="826" aboveAverage="0" equalAverage="0" bottom="0" percent="0" rank="0" text="" dxfId="0">
      <formula>$B418&lt;SinirDeger</formula>
    </cfRule>
    <cfRule type="expression" priority="827" aboveAverage="0" equalAverage="0" bottom="0" percent="0" rank="0" text="" dxfId="2">
      <formula>$B418&gt;=SinirDeger</formula>
    </cfRule>
  </conditionalFormatting>
  <conditionalFormatting sqref="A419:C419">
    <cfRule type="expression" priority="828" aboveAverage="0" equalAverage="0" bottom="0" percent="0" rank="0" text="" dxfId="0">
      <formula>$B419&lt;SinirDeger</formula>
    </cfRule>
    <cfRule type="expression" priority="829" aboveAverage="0" equalAverage="0" bottom="0" percent="0" rank="0" text="" dxfId="2">
      <formula>$B419&gt;=SinirDeger</formula>
    </cfRule>
  </conditionalFormatting>
  <conditionalFormatting sqref="A420:C420">
    <cfRule type="expression" priority="830" aboveAverage="0" equalAverage="0" bottom="0" percent="0" rank="0" text="" dxfId="0">
      <formula>$B420&lt;SinirDeger</formula>
    </cfRule>
    <cfRule type="expression" priority="831" aboveAverage="0" equalAverage="0" bottom="0" percent="0" rank="0" text="" dxfId="2">
      <formula>$B420&gt;=SinirDeger</formula>
    </cfRule>
  </conditionalFormatting>
  <conditionalFormatting sqref="A421:C421">
    <cfRule type="expression" priority="832" aboveAverage="0" equalAverage="0" bottom="0" percent="0" rank="0" text="" dxfId="0">
      <formula>$B421&lt;SinirDeger</formula>
    </cfRule>
    <cfRule type="expression" priority="833" aboveAverage="0" equalAverage="0" bottom="0" percent="0" rank="0" text="" dxfId="2">
      <formula>$B421&gt;=SinirDeger</formula>
    </cfRule>
  </conditionalFormatting>
  <conditionalFormatting sqref="A422:C422">
    <cfRule type="expression" priority="834" aboveAverage="0" equalAverage="0" bottom="0" percent="0" rank="0" text="" dxfId="0">
      <formula>$B422&lt;SinirDeger</formula>
    </cfRule>
    <cfRule type="expression" priority="835" aboveAverage="0" equalAverage="0" bottom="0" percent="0" rank="0" text="" dxfId="2">
      <formula>$B422&gt;=SinirDeger</formula>
    </cfRule>
  </conditionalFormatting>
  <conditionalFormatting sqref="A423:C423">
    <cfRule type="expression" priority="836" aboveAverage="0" equalAverage="0" bottom="0" percent="0" rank="0" text="" dxfId="0">
      <formula>$B423&lt;SinirDeger</formula>
    </cfRule>
    <cfRule type="expression" priority="837" aboveAverage="0" equalAverage="0" bottom="0" percent="0" rank="0" text="" dxfId="2">
      <formula>$B423&gt;=SinirDeger</formula>
    </cfRule>
  </conditionalFormatting>
  <conditionalFormatting sqref="A424:C424">
    <cfRule type="expression" priority="838" aboveAverage="0" equalAverage="0" bottom="0" percent="0" rank="0" text="" dxfId="0">
      <formula>$B424&lt;SinirDeger</formula>
    </cfRule>
    <cfRule type="expression" priority="839" aboveAverage="0" equalAverage="0" bottom="0" percent="0" rank="0" text="" dxfId="2">
      <formula>$B424&gt;=SinirDeger</formula>
    </cfRule>
  </conditionalFormatting>
  <conditionalFormatting sqref="A425:C425">
    <cfRule type="expression" priority="840" aboveAverage="0" equalAverage="0" bottom="0" percent="0" rank="0" text="" dxfId="0">
      <formula>$B425&lt;SinirDeger</formula>
    </cfRule>
    <cfRule type="expression" priority="841" aboveAverage="0" equalAverage="0" bottom="0" percent="0" rank="0" text="" dxfId="2">
      <formula>$B425&gt;=SinirDeger</formula>
    </cfRule>
  </conditionalFormatting>
  <conditionalFormatting sqref="A426:C426">
    <cfRule type="expression" priority="842" aboveAverage="0" equalAverage="0" bottom="0" percent="0" rank="0" text="" dxfId="0">
      <formula>$B426&lt;SinirDeger</formula>
    </cfRule>
    <cfRule type="expression" priority="843" aboveAverage="0" equalAverage="0" bottom="0" percent="0" rank="0" text="" dxfId="2">
      <formula>$B426&gt;=SinirDeger</formula>
    </cfRule>
  </conditionalFormatting>
  <conditionalFormatting sqref="A427:C427">
    <cfRule type="expression" priority="844" aboveAverage="0" equalAverage="0" bottom="0" percent="0" rank="0" text="" dxfId="0">
      <formula>$B427&lt;SinirDeger</formula>
    </cfRule>
    <cfRule type="expression" priority="845" aboveAverage="0" equalAverage="0" bottom="0" percent="0" rank="0" text="" dxfId="2">
      <formula>$B427&gt;=SinirDeger</formula>
    </cfRule>
  </conditionalFormatting>
  <conditionalFormatting sqref="A428:C428">
    <cfRule type="expression" priority="846" aboveAverage="0" equalAverage="0" bottom="0" percent="0" rank="0" text="" dxfId="0">
      <formula>$B428&lt;SinirDeger</formula>
    </cfRule>
    <cfRule type="expression" priority="847" aboveAverage="0" equalAverage="0" bottom="0" percent="0" rank="0" text="" dxfId="2">
      <formula>$B428&gt;=SinirDeger</formula>
    </cfRule>
  </conditionalFormatting>
  <conditionalFormatting sqref="A429:C429">
    <cfRule type="expression" priority="848" aboveAverage="0" equalAverage="0" bottom="0" percent="0" rank="0" text="" dxfId="0">
      <formula>$B429&lt;SinirDeger</formula>
    </cfRule>
    <cfRule type="expression" priority="849" aboveAverage="0" equalAverage="0" bottom="0" percent="0" rank="0" text="" dxfId="2">
      <formula>$B429&gt;=SinirDeger</formula>
    </cfRule>
  </conditionalFormatting>
  <conditionalFormatting sqref="A430:C430">
    <cfRule type="expression" priority="850" aboveAverage="0" equalAverage="0" bottom="0" percent="0" rank="0" text="" dxfId="0">
      <formula>$B430&lt;SinirDeger</formula>
    </cfRule>
    <cfRule type="expression" priority="851" aboveAverage="0" equalAverage="0" bottom="0" percent="0" rank="0" text="" dxfId="2">
      <formula>$B430&gt;=SinirDeger</formula>
    </cfRule>
  </conditionalFormatting>
  <conditionalFormatting sqref="A431:C431">
    <cfRule type="expression" priority="852" aboveAverage="0" equalAverage="0" bottom="0" percent="0" rank="0" text="" dxfId="0">
      <formula>$B431&lt;SinirDeger</formula>
    </cfRule>
    <cfRule type="expression" priority="853" aboveAverage="0" equalAverage="0" bottom="0" percent="0" rank="0" text="" dxfId="2">
      <formula>$B431&gt;=SinirDeger</formula>
    </cfRule>
  </conditionalFormatting>
  <conditionalFormatting sqref="A432:C432">
    <cfRule type="expression" priority="854" aboveAverage="0" equalAverage="0" bottom="0" percent="0" rank="0" text="" dxfId="0">
      <formula>$B432&lt;SinirDeger</formula>
    </cfRule>
    <cfRule type="expression" priority="855" aboveAverage="0" equalAverage="0" bottom="0" percent="0" rank="0" text="" dxfId="2">
      <formula>$B432&gt;=SinirDeger</formula>
    </cfRule>
  </conditionalFormatting>
  <conditionalFormatting sqref="A433:C433">
    <cfRule type="expression" priority="856" aboveAverage="0" equalAverage="0" bottom="0" percent="0" rank="0" text="" dxfId="0">
      <formula>$B433&lt;SinirDeger</formula>
    </cfRule>
    <cfRule type="expression" priority="857" aboveAverage="0" equalAverage="0" bottom="0" percent="0" rank="0" text="" dxfId="2">
      <formula>$B433&gt;=SinirDeger</formula>
    </cfRule>
  </conditionalFormatting>
  <conditionalFormatting sqref="A434:C434">
    <cfRule type="expression" priority="858" aboveAverage="0" equalAverage="0" bottom="0" percent="0" rank="0" text="" dxfId="0">
      <formula>$B434&lt;SinirDeger</formula>
    </cfRule>
    <cfRule type="expression" priority="859" aboveAverage="0" equalAverage="0" bottom="0" percent="0" rank="0" text="" dxfId="2">
      <formula>$B434&gt;=SinirDeger</formula>
    </cfRule>
  </conditionalFormatting>
  <conditionalFormatting sqref="A435:C435">
    <cfRule type="expression" priority="860" aboveAverage="0" equalAverage="0" bottom="0" percent="0" rank="0" text="" dxfId="0">
      <formula>$B435&lt;SinirDeger</formula>
    </cfRule>
    <cfRule type="expression" priority="861" aboveAverage="0" equalAverage="0" bottom="0" percent="0" rank="0" text="" dxfId="2">
      <formula>$B435&gt;=SinirDeger</formula>
    </cfRule>
  </conditionalFormatting>
  <conditionalFormatting sqref="A436:C436">
    <cfRule type="expression" priority="862" aboveAverage="0" equalAverage="0" bottom="0" percent="0" rank="0" text="" dxfId="0">
      <formula>$B436&lt;SinirDeger</formula>
    </cfRule>
    <cfRule type="expression" priority="863" aboveAverage="0" equalAverage="0" bottom="0" percent="0" rank="0" text="" dxfId="2">
      <formula>$B436&gt;=SinirDeger</formula>
    </cfRule>
  </conditionalFormatting>
  <conditionalFormatting sqref="A437:C437">
    <cfRule type="expression" priority="864" aboveAverage="0" equalAverage="0" bottom="0" percent="0" rank="0" text="" dxfId="0">
      <formula>$B437&lt;SinirDeger</formula>
    </cfRule>
    <cfRule type="expression" priority="865" aboveAverage="0" equalAverage="0" bottom="0" percent="0" rank="0" text="" dxfId="2">
      <formula>$B437&gt;=SinirDeger</formula>
    </cfRule>
  </conditionalFormatting>
  <conditionalFormatting sqref="A438:C438">
    <cfRule type="expression" priority="866" aboveAverage="0" equalAverage="0" bottom="0" percent="0" rank="0" text="" dxfId="0">
      <formula>$B438&lt;SinirDeger</formula>
    </cfRule>
    <cfRule type="expression" priority="867" aboveAverage="0" equalAverage="0" bottom="0" percent="0" rank="0" text="" dxfId="2">
      <formula>$B438&gt;=SinirDeger</formula>
    </cfRule>
  </conditionalFormatting>
  <conditionalFormatting sqref="A439:C439">
    <cfRule type="expression" priority="868" aboveAverage="0" equalAverage="0" bottom="0" percent="0" rank="0" text="" dxfId="0">
      <formula>$B439&lt;SinirDeger</formula>
    </cfRule>
    <cfRule type="expression" priority="869" aboveAverage="0" equalAverage="0" bottom="0" percent="0" rank="0" text="" dxfId="2">
      <formula>$B439&gt;=SinirDeger</formula>
    </cfRule>
  </conditionalFormatting>
  <conditionalFormatting sqref="A440:C440">
    <cfRule type="expression" priority="870" aboveAverage="0" equalAverage="0" bottom="0" percent="0" rank="0" text="" dxfId="0">
      <formula>$B440&lt;SinirDeger</formula>
    </cfRule>
    <cfRule type="expression" priority="871" aboveAverage="0" equalAverage="0" bottom="0" percent="0" rank="0" text="" dxfId="2">
      <formula>$B440&gt;=SinirDeger</formula>
    </cfRule>
  </conditionalFormatting>
  <conditionalFormatting sqref="A441:C441">
    <cfRule type="expression" priority="872" aboveAverage="0" equalAverage="0" bottom="0" percent="0" rank="0" text="" dxfId="0">
      <formula>$B441&lt;SinirDeger</formula>
    </cfRule>
    <cfRule type="expression" priority="873" aboveAverage="0" equalAverage="0" bottom="0" percent="0" rank="0" text="" dxfId="2">
      <formula>$B441&gt;=SinirDeger</formula>
    </cfRule>
  </conditionalFormatting>
  <conditionalFormatting sqref="A442:C442">
    <cfRule type="expression" priority="874" aboveAverage="0" equalAverage="0" bottom="0" percent="0" rank="0" text="" dxfId="0">
      <formula>$B442&lt;SinirDeger</formula>
    </cfRule>
    <cfRule type="expression" priority="875" aboveAverage="0" equalAverage="0" bottom="0" percent="0" rank="0" text="" dxfId="2">
      <formula>$B442&gt;=SinirDeger</formula>
    </cfRule>
  </conditionalFormatting>
  <conditionalFormatting sqref="A443:C443">
    <cfRule type="expression" priority="876" aboveAverage="0" equalAverage="0" bottom="0" percent="0" rank="0" text="" dxfId="0">
      <formula>$B443&lt;SinirDeger</formula>
    </cfRule>
    <cfRule type="expression" priority="877" aboveAverage="0" equalAverage="0" bottom="0" percent="0" rank="0" text="" dxfId="2">
      <formula>$B443&gt;=SinirDeger</formula>
    </cfRule>
  </conditionalFormatting>
  <conditionalFormatting sqref="A444:C444">
    <cfRule type="expression" priority="878" aboveAverage="0" equalAverage="0" bottom="0" percent="0" rank="0" text="" dxfId="0">
      <formula>$B444&lt;SinirDeger</formula>
    </cfRule>
    <cfRule type="expression" priority="879" aboveAverage="0" equalAverage="0" bottom="0" percent="0" rank="0" text="" dxfId="2">
      <formula>$B444&gt;=SinirDeger</formula>
    </cfRule>
  </conditionalFormatting>
  <conditionalFormatting sqref="A445:C445">
    <cfRule type="expression" priority="880" aboveAverage="0" equalAverage="0" bottom="0" percent="0" rank="0" text="" dxfId="0">
      <formula>$B445&lt;SinirDeger</formula>
    </cfRule>
    <cfRule type="expression" priority="881" aboveAverage="0" equalAverage="0" bottom="0" percent="0" rank="0" text="" dxfId="2">
      <formula>$B445&gt;=SinirDeger</formula>
    </cfRule>
  </conditionalFormatting>
  <conditionalFormatting sqref="A446:C446">
    <cfRule type="expression" priority="882" aboveAverage="0" equalAverage="0" bottom="0" percent="0" rank="0" text="" dxfId="0">
      <formula>$B446&lt;SinirDeger</formula>
    </cfRule>
    <cfRule type="expression" priority="883" aboveAverage="0" equalAverage="0" bottom="0" percent="0" rank="0" text="" dxfId="2">
      <formula>$B446&gt;=SinirDeger</formula>
    </cfRule>
  </conditionalFormatting>
  <conditionalFormatting sqref="A447:C447">
    <cfRule type="expression" priority="884" aboveAverage="0" equalAverage="0" bottom="0" percent="0" rank="0" text="" dxfId="0">
      <formula>$B447&lt;SinirDeger</formula>
    </cfRule>
    <cfRule type="expression" priority="885" aboveAverage="0" equalAverage="0" bottom="0" percent="0" rank="0" text="" dxfId="2">
      <formula>$B447&gt;=SinirDeger</formula>
    </cfRule>
  </conditionalFormatting>
  <conditionalFormatting sqref="A448:C448">
    <cfRule type="expression" priority="886" aboveAverage="0" equalAverage="0" bottom="0" percent="0" rank="0" text="" dxfId="0">
      <formula>$B448&lt;SinirDeger</formula>
    </cfRule>
    <cfRule type="expression" priority="887" aboveAverage="0" equalAverage="0" bottom="0" percent="0" rank="0" text="" dxfId="2">
      <formula>$B448&gt;=SinirDeger</formula>
    </cfRule>
  </conditionalFormatting>
  <conditionalFormatting sqref="A449:C449">
    <cfRule type="expression" priority="888" aboveAverage="0" equalAverage="0" bottom="0" percent="0" rank="0" text="" dxfId="0">
      <formula>$B449&lt;SinirDeger</formula>
    </cfRule>
    <cfRule type="expression" priority="889" aboveAverage="0" equalAverage="0" bottom="0" percent="0" rank="0" text="" dxfId="2">
      <formula>$B449&gt;=SinirDeger</formula>
    </cfRule>
  </conditionalFormatting>
  <conditionalFormatting sqref="A450:C450">
    <cfRule type="expression" priority="890" aboveAverage="0" equalAverage="0" bottom="0" percent="0" rank="0" text="" dxfId="0">
      <formula>$B450&lt;SinirDeger</formula>
    </cfRule>
    <cfRule type="expression" priority="891" aboveAverage="0" equalAverage="0" bottom="0" percent="0" rank="0" text="" dxfId="2">
      <formula>$B450&gt;=SinirDeger</formula>
    </cfRule>
  </conditionalFormatting>
  <conditionalFormatting sqref="A451:C451">
    <cfRule type="expression" priority="892" aboveAverage="0" equalAverage="0" bottom="0" percent="0" rank="0" text="" dxfId="0">
      <formula>$B451&lt;SinirDeger</formula>
    </cfRule>
    <cfRule type="expression" priority="893" aboveAverage="0" equalAverage="0" bottom="0" percent="0" rank="0" text="" dxfId="2">
      <formula>$B451&gt;=SinirDeger</formula>
    </cfRule>
  </conditionalFormatting>
  <conditionalFormatting sqref="A452:C452">
    <cfRule type="expression" priority="894" aboveAverage="0" equalAverage="0" bottom="0" percent="0" rank="0" text="" dxfId="0">
      <formula>$B452&lt;SinirDeger</formula>
    </cfRule>
    <cfRule type="expression" priority="895" aboveAverage="0" equalAverage="0" bottom="0" percent="0" rank="0" text="" dxfId="2">
      <formula>$B452&gt;=SinirDeger</formula>
    </cfRule>
  </conditionalFormatting>
  <conditionalFormatting sqref="A453:C453">
    <cfRule type="expression" priority="896" aboveAverage="0" equalAverage="0" bottom="0" percent="0" rank="0" text="" dxfId="0">
      <formula>$B453&lt;SinirDeger</formula>
    </cfRule>
    <cfRule type="expression" priority="897" aboveAverage="0" equalAverage="0" bottom="0" percent="0" rank="0" text="" dxfId="2">
      <formula>$B453&gt;=SinirDeger</formula>
    </cfRule>
  </conditionalFormatting>
  <conditionalFormatting sqref="A454:C454">
    <cfRule type="expression" priority="898" aboveAverage="0" equalAverage="0" bottom="0" percent="0" rank="0" text="" dxfId="0">
      <formula>$B454&lt;SinirDeger</formula>
    </cfRule>
    <cfRule type="expression" priority="899" aboveAverage="0" equalAverage="0" bottom="0" percent="0" rank="0" text="" dxfId="2">
      <formula>$B454&gt;=SinirDeger</formula>
    </cfRule>
  </conditionalFormatting>
  <conditionalFormatting sqref="A455:C455">
    <cfRule type="expression" priority="900" aboveAverage="0" equalAverage="0" bottom="0" percent="0" rank="0" text="" dxfId="0">
      <formula>$B455&lt;SinirDeger</formula>
    </cfRule>
    <cfRule type="expression" priority="901" aboveAverage="0" equalAverage="0" bottom="0" percent="0" rank="0" text="" dxfId="2">
      <formula>$B455&gt;=SinirDeger</formula>
    </cfRule>
  </conditionalFormatting>
  <conditionalFormatting sqref="A456:C456">
    <cfRule type="expression" priority="902" aboveAverage="0" equalAverage="0" bottom="0" percent="0" rank="0" text="" dxfId="0">
      <formula>$B456&lt;SinirDeger</formula>
    </cfRule>
    <cfRule type="expression" priority="903" aboveAverage="0" equalAverage="0" bottom="0" percent="0" rank="0" text="" dxfId="2">
      <formula>$B456&gt;=SinirDeger</formula>
    </cfRule>
  </conditionalFormatting>
  <conditionalFormatting sqref="A457:C457">
    <cfRule type="expression" priority="904" aboveAverage="0" equalAverage="0" bottom="0" percent="0" rank="0" text="" dxfId="0">
      <formula>$B457&lt;SinirDeger</formula>
    </cfRule>
    <cfRule type="expression" priority="905" aboveAverage="0" equalAverage="0" bottom="0" percent="0" rank="0" text="" dxfId="2">
      <formula>$B457&gt;=SinirDeger</formula>
    </cfRule>
  </conditionalFormatting>
  <conditionalFormatting sqref="A458:C458">
    <cfRule type="expression" priority="906" aboveAverage="0" equalAverage="0" bottom="0" percent="0" rank="0" text="" dxfId="0">
      <formula>$B458&lt;SinirDeger</formula>
    </cfRule>
    <cfRule type="expression" priority="907" aboveAverage="0" equalAverage="0" bottom="0" percent="0" rank="0" text="" dxfId="2">
      <formula>$B458&gt;=SinirDeger</formula>
    </cfRule>
  </conditionalFormatting>
  <conditionalFormatting sqref="A459:C459">
    <cfRule type="expression" priority="908" aboveAverage="0" equalAverage="0" bottom="0" percent="0" rank="0" text="" dxfId="0">
      <formula>$B459&lt;SinirDeger</formula>
    </cfRule>
    <cfRule type="expression" priority="909" aboveAverage="0" equalAverage="0" bottom="0" percent="0" rank="0" text="" dxfId="2">
      <formula>$B459&gt;=SinirDeger</formula>
    </cfRule>
  </conditionalFormatting>
  <conditionalFormatting sqref="A460:C460">
    <cfRule type="expression" priority="910" aboveAverage="0" equalAverage="0" bottom="0" percent="0" rank="0" text="" dxfId="0">
      <formula>$B460&lt;SinirDeger</formula>
    </cfRule>
    <cfRule type="expression" priority="911" aboveAverage="0" equalAverage="0" bottom="0" percent="0" rank="0" text="" dxfId="2">
      <formula>$B460&gt;=SinirDeger</formula>
    </cfRule>
  </conditionalFormatting>
  <conditionalFormatting sqref="A461:C461">
    <cfRule type="expression" priority="912" aboveAverage="0" equalAverage="0" bottom="0" percent="0" rank="0" text="" dxfId="0">
      <formula>$B461&lt;SinirDeger</formula>
    </cfRule>
    <cfRule type="expression" priority="913" aboveAverage="0" equalAverage="0" bottom="0" percent="0" rank="0" text="" dxfId="2">
      <formula>$B461&gt;=SinirDeger</formula>
    </cfRule>
  </conditionalFormatting>
  <conditionalFormatting sqref="A462:C462">
    <cfRule type="expression" priority="914" aboveAverage="0" equalAverage="0" bottom="0" percent="0" rank="0" text="" dxfId="0">
      <formula>$B462&lt;SinirDeger</formula>
    </cfRule>
    <cfRule type="expression" priority="915" aboveAverage="0" equalAverage="0" bottom="0" percent="0" rank="0" text="" dxfId="2">
      <formula>$B462&gt;=SinirDeger</formula>
    </cfRule>
  </conditionalFormatting>
  <conditionalFormatting sqref="A463:C463">
    <cfRule type="expression" priority="916" aboveAverage="0" equalAverage="0" bottom="0" percent="0" rank="0" text="" dxfId="0">
      <formula>$B463&lt;SinirDeger</formula>
    </cfRule>
    <cfRule type="expression" priority="917" aboveAverage="0" equalAverage="0" bottom="0" percent="0" rank="0" text="" dxfId="2">
      <formula>$B463&gt;=SinirDeger</formula>
    </cfRule>
  </conditionalFormatting>
  <conditionalFormatting sqref="A464:C464">
    <cfRule type="expression" priority="918" aboveAverage="0" equalAverage="0" bottom="0" percent="0" rank="0" text="" dxfId="0">
      <formula>$B464&lt;SinirDeger</formula>
    </cfRule>
    <cfRule type="expression" priority="919" aboveAverage="0" equalAverage="0" bottom="0" percent="0" rank="0" text="" dxfId="2">
      <formula>$B464&gt;=SinirDeger</formula>
    </cfRule>
  </conditionalFormatting>
  <conditionalFormatting sqref="A465:C465">
    <cfRule type="expression" priority="920" aboveAverage="0" equalAverage="0" bottom="0" percent="0" rank="0" text="" dxfId="0">
      <formula>$B465&lt;SinirDeger</formula>
    </cfRule>
    <cfRule type="expression" priority="921" aboveAverage="0" equalAverage="0" bottom="0" percent="0" rank="0" text="" dxfId="2">
      <formula>$B465&gt;=SinirDeger</formula>
    </cfRule>
  </conditionalFormatting>
  <conditionalFormatting sqref="A466:C466">
    <cfRule type="expression" priority="922" aboveAverage="0" equalAverage="0" bottom="0" percent="0" rank="0" text="" dxfId="0">
      <formula>$B466&lt;SinirDeger</formula>
    </cfRule>
    <cfRule type="expression" priority="923" aboveAverage="0" equalAverage="0" bottom="0" percent="0" rank="0" text="" dxfId="2">
      <formula>$B466&gt;=SinirDeger</formula>
    </cfRule>
  </conditionalFormatting>
  <conditionalFormatting sqref="A467:C467">
    <cfRule type="expression" priority="924" aboveAverage="0" equalAverage="0" bottom="0" percent="0" rank="0" text="" dxfId="0">
      <formula>$B467&lt;SinirDeger</formula>
    </cfRule>
    <cfRule type="expression" priority="925" aboveAverage="0" equalAverage="0" bottom="0" percent="0" rank="0" text="" dxfId="2">
      <formula>$B467&gt;=SinirDeger</formula>
    </cfRule>
  </conditionalFormatting>
  <conditionalFormatting sqref="A468:C468">
    <cfRule type="expression" priority="926" aboveAverage="0" equalAverage="0" bottom="0" percent="0" rank="0" text="" dxfId="0">
      <formula>$B468&lt;SinirDeger</formula>
    </cfRule>
    <cfRule type="expression" priority="927" aboveAverage="0" equalAverage="0" bottom="0" percent="0" rank="0" text="" dxfId="2">
      <formula>$B468&gt;=SinirDeger</formula>
    </cfRule>
  </conditionalFormatting>
  <conditionalFormatting sqref="A469:C469">
    <cfRule type="expression" priority="928" aboveAverage="0" equalAverage="0" bottom="0" percent="0" rank="0" text="" dxfId="0">
      <formula>$B469&lt;SinirDeger</formula>
    </cfRule>
    <cfRule type="expression" priority="929" aboveAverage="0" equalAverage="0" bottom="0" percent="0" rank="0" text="" dxfId="2">
      <formula>$B469&gt;=SinirDeger</formula>
    </cfRule>
  </conditionalFormatting>
  <conditionalFormatting sqref="A470:C470">
    <cfRule type="expression" priority="930" aboveAverage="0" equalAverage="0" bottom="0" percent="0" rank="0" text="" dxfId="0">
      <formula>$B470&lt;SinirDeger</formula>
    </cfRule>
    <cfRule type="expression" priority="931" aboveAverage="0" equalAverage="0" bottom="0" percent="0" rank="0" text="" dxfId="2">
      <formula>$B470&gt;=SinirDeger</formula>
    </cfRule>
  </conditionalFormatting>
  <conditionalFormatting sqref="A471:C471">
    <cfRule type="expression" priority="932" aboveAverage="0" equalAverage="0" bottom="0" percent="0" rank="0" text="" dxfId="0">
      <formula>$B471&lt;SinirDeger</formula>
    </cfRule>
    <cfRule type="expression" priority="933" aboveAverage="0" equalAverage="0" bottom="0" percent="0" rank="0" text="" dxfId="2">
      <formula>$B471&gt;=SinirDeger</formula>
    </cfRule>
  </conditionalFormatting>
  <conditionalFormatting sqref="A472:C472">
    <cfRule type="expression" priority="934" aboveAverage="0" equalAverage="0" bottom="0" percent="0" rank="0" text="" dxfId="0">
      <formula>$B472&lt;SinirDeger</formula>
    </cfRule>
    <cfRule type="expression" priority="935" aboveAverage="0" equalAverage="0" bottom="0" percent="0" rank="0" text="" dxfId="2">
      <formula>$B472&gt;=SinirDeger</formula>
    </cfRule>
  </conditionalFormatting>
  <conditionalFormatting sqref="A473:C473">
    <cfRule type="expression" priority="936" aboveAverage="0" equalAverage="0" bottom="0" percent="0" rank="0" text="" dxfId="0">
      <formula>$B473&lt;SinirDeger</formula>
    </cfRule>
    <cfRule type="expression" priority="937" aboveAverage="0" equalAverage="0" bottom="0" percent="0" rank="0" text="" dxfId="2">
      <formula>$B473&gt;=SinirDeger</formula>
    </cfRule>
  </conditionalFormatting>
  <conditionalFormatting sqref="A474:C474">
    <cfRule type="expression" priority="938" aboveAverage="0" equalAverage="0" bottom="0" percent="0" rank="0" text="" dxfId="0">
      <formula>$B474&lt;SinirDeger</formula>
    </cfRule>
    <cfRule type="expression" priority="939" aboveAverage="0" equalAverage="0" bottom="0" percent="0" rank="0" text="" dxfId="2">
      <formula>$B474&gt;=SinirDeger</formula>
    </cfRule>
  </conditionalFormatting>
  <conditionalFormatting sqref="A475:C475">
    <cfRule type="expression" priority="940" aboveAverage="0" equalAverage="0" bottom="0" percent="0" rank="0" text="" dxfId="0">
      <formula>$B475&lt;SinirDeger</formula>
    </cfRule>
    <cfRule type="expression" priority="941" aboveAverage="0" equalAverage="0" bottom="0" percent="0" rank="0" text="" dxfId="2">
      <formula>$B475&gt;=SinirDeger</formula>
    </cfRule>
  </conditionalFormatting>
  <conditionalFormatting sqref="A476:C476">
    <cfRule type="expression" priority="942" aboveAverage="0" equalAverage="0" bottom="0" percent="0" rank="0" text="" dxfId="0">
      <formula>$B476&lt;SinirDeger</formula>
    </cfRule>
    <cfRule type="expression" priority="943" aboveAverage="0" equalAverage="0" bottom="0" percent="0" rank="0" text="" dxfId="2">
      <formula>$B476&gt;=SinirDeger</formula>
    </cfRule>
  </conditionalFormatting>
  <conditionalFormatting sqref="A477:C477">
    <cfRule type="expression" priority="944" aboveAverage="0" equalAverage="0" bottom="0" percent="0" rank="0" text="" dxfId="0">
      <formula>$B477&lt;SinirDeger</formula>
    </cfRule>
    <cfRule type="expression" priority="945" aboveAverage="0" equalAverage="0" bottom="0" percent="0" rank="0" text="" dxfId="2">
      <formula>$B477&gt;=SinirDeger</formula>
    </cfRule>
  </conditionalFormatting>
  <conditionalFormatting sqref="A478:C478">
    <cfRule type="expression" priority="946" aboveAverage="0" equalAverage="0" bottom="0" percent="0" rank="0" text="" dxfId="0">
      <formula>$B478&lt;SinirDeger</formula>
    </cfRule>
    <cfRule type="expression" priority="947" aboveAverage="0" equalAverage="0" bottom="0" percent="0" rank="0" text="" dxfId="2">
      <formula>$B478&gt;=SinirDeger</formula>
    </cfRule>
  </conditionalFormatting>
  <conditionalFormatting sqref="A479:C479">
    <cfRule type="expression" priority="948" aboveAverage="0" equalAverage="0" bottom="0" percent="0" rank="0" text="" dxfId="0">
      <formula>$B479&lt;SinirDeger</formula>
    </cfRule>
    <cfRule type="expression" priority="949" aboveAverage="0" equalAverage="0" bottom="0" percent="0" rank="0" text="" dxfId="2">
      <formula>$B479&gt;=SinirDeger</formula>
    </cfRule>
  </conditionalFormatting>
  <conditionalFormatting sqref="A480:C480">
    <cfRule type="expression" priority="950" aboveAverage="0" equalAverage="0" bottom="0" percent="0" rank="0" text="" dxfId="0">
      <formula>$B480&lt;SinirDeger</formula>
    </cfRule>
    <cfRule type="expression" priority="951" aboveAverage="0" equalAverage="0" bottom="0" percent="0" rank="0" text="" dxfId="2">
      <formula>$B480&gt;=SinirDeger</formula>
    </cfRule>
  </conditionalFormatting>
  <conditionalFormatting sqref="A481:C481">
    <cfRule type="expression" priority="952" aboveAverage="0" equalAverage="0" bottom="0" percent="0" rank="0" text="" dxfId="0">
      <formula>$B481&lt;SinirDeger</formula>
    </cfRule>
    <cfRule type="expression" priority="953" aboveAverage="0" equalAverage="0" bottom="0" percent="0" rank="0" text="" dxfId="2">
      <formula>$B481&gt;=SinirDeger</formula>
    </cfRule>
  </conditionalFormatting>
  <conditionalFormatting sqref="A482:C482">
    <cfRule type="expression" priority="954" aboveAverage="0" equalAverage="0" bottom="0" percent="0" rank="0" text="" dxfId="0">
      <formula>$B482&lt;SinirDeger</formula>
    </cfRule>
    <cfRule type="expression" priority="955" aboveAverage="0" equalAverage="0" bottom="0" percent="0" rank="0" text="" dxfId="2">
      <formula>$B482&gt;=SinirDeger</formula>
    </cfRule>
  </conditionalFormatting>
  <conditionalFormatting sqref="A483:C483">
    <cfRule type="expression" priority="956" aboveAverage="0" equalAverage="0" bottom="0" percent="0" rank="0" text="" dxfId="0">
      <formula>$B483&lt;SinirDeger</formula>
    </cfRule>
    <cfRule type="expression" priority="957" aboveAverage="0" equalAverage="0" bottom="0" percent="0" rank="0" text="" dxfId="2">
      <formula>$B483&gt;=SinirDeger</formula>
    </cfRule>
  </conditionalFormatting>
  <conditionalFormatting sqref="A484:C484">
    <cfRule type="expression" priority="958" aboveAverage="0" equalAverage="0" bottom="0" percent="0" rank="0" text="" dxfId="0">
      <formula>$B484&lt;SinirDeger</formula>
    </cfRule>
    <cfRule type="expression" priority="959" aboveAverage="0" equalAverage="0" bottom="0" percent="0" rank="0" text="" dxfId="2">
      <formula>$B484&gt;=SinirDeger</formula>
    </cfRule>
  </conditionalFormatting>
  <conditionalFormatting sqref="A485:C485">
    <cfRule type="expression" priority="960" aboveAverage="0" equalAverage="0" bottom="0" percent="0" rank="0" text="" dxfId="0">
      <formula>$B485&lt;SinirDeger</formula>
    </cfRule>
    <cfRule type="expression" priority="961" aboveAverage="0" equalAverage="0" bottom="0" percent="0" rank="0" text="" dxfId="2">
      <formula>$B485&gt;=SinirDeger</formula>
    </cfRule>
  </conditionalFormatting>
  <conditionalFormatting sqref="A486:C486">
    <cfRule type="expression" priority="962" aboveAverage="0" equalAverage="0" bottom="0" percent="0" rank="0" text="" dxfId="0">
      <formula>$B486&lt;SinirDeger</formula>
    </cfRule>
    <cfRule type="expression" priority="963" aboveAverage="0" equalAverage="0" bottom="0" percent="0" rank="0" text="" dxfId="2">
      <formula>$B486&gt;=SinirDeger</formula>
    </cfRule>
  </conditionalFormatting>
  <conditionalFormatting sqref="A487:C487">
    <cfRule type="expression" priority="964" aboveAverage="0" equalAverage="0" bottom="0" percent="0" rank="0" text="" dxfId="0">
      <formula>$B487&lt;SinirDeger</formula>
    </cfRule>
    <cfRule type="expression" priority="965" aboveAverage="0" equalAverage="0" bottom="0" percent="0" rank="0" text="" dxfId="2">
      <formula>$B487&gt;=SinirDeger</formula>
    </cfRule>
  </conditionalFormatting>
  <conditionalFormatting sqref="A488:C488">
    <cfRule type="expression" priority="966" aboveAverage="0" equalAverage="0" bottom="0" percent="0" rank="0" text="" dxfId="0">
      <formula>$B488&lt;SinirDeger</formula>
    </cfRule>
    <cfRule type="expression" priority="967" aboveAverage="0" equalAverage="0" bottom="0" percent="0" rank="0" text="" dxfId="2">
      <formula>$B488&gt;=SinirDeger</formula>
    </cfRule>
  </conditionalFormatting>
  <conditionalFormatting sqref="A489:C489">
    <cfRule type="expression" priority="968" aboveAverage="0" equalAverage="0" bottom="0" percent="0" rank="0" text="" dxfId="0">
      <formula>$B489&lt;SinirDeger</formula>
    </cfRule>
    <cfRule type="expression" priority="969" aboveAverage="0" equalAverage="0" bottom="0" percent="0" rank="0" text="" dxfId="2">
      <formula>$B489&gt;=SinirDeger</formula>
    </cfRule>
  </conditionalFormatting>
  <conditionalFormatting sqref="A490:C490">
    <cfRule type="expression" priority="970" aboveAverage="0" equalAverage="0" bottom="0" percent="0" rank="0" text="" dxfId="0">
      <formula>$B490&lt;SinirDeger</formula>
    </cfRule>
    <cfRule type="expression" priority="971" aboveAverage="0" equalAverage="0" bottom="0" percent="0" rank="0" text="" dxfId="2">
      <formula>$B490&gt;=SinirDeger</formula>
    </cfRule>
  </conditionalFormatting>
  <conditionalFormatting sqref="A491:C491">
    <cfRule type="expression" priority="972" aboveAverage="0" equalAverage="0" bottom="0" percent="0" rank="0" text="" dxfId="0">
      <formula>$B491&lt;SinirDeger</formula>
    </cfRule>
    <cfRule type="expression" priority="973" aboveAverage="0" equalAverage="0" bottom="0" percent="0" rank="0" text="" dxfId="2">
      <formula>$B491&gt;=SinirDeger</formula>
    </cfRule>
  </conditionalFormatting>
  <conditionalFormatting sqref="A492:C492">
    <cfRule type="expression" priority="974" aboveAverage="0" equalAverage="0" bottom="0" percent="0" rank="0" text="" dxfId="0">
      <formula>$B492&lt;SinirDeger</formula>
    </cfRule>
    <cfRule type="expression" priority="975" aboveAverage="0" equalAverage="0" bottom="0" percent="0" rank="0" text="" dxfId="2">
      <formula>$B492&gt;=SinirDeger</formula>
    </cfRule>
  </conditionalFormatting>
  <conditionalFormatting sqref="A493:C493">
    <cfRule type="expression" priority="976" aboveAverage="0" equalAverage="0" bottom="0" percent="0" rank="0" text="" dxfId="0">
      <formula>$B493&lt;SinirDeger</formula>
    </cfRule>
    <cfRule type="expression" priority="977" aboveAverage="0" equalAverage="0" bottom="0" percent="0" rank="0" text="" dxfId="2">
      <formula>$B493&gt;=SinirDeger</formula>
    </cfRule>
  </conditionalFormatting>
  <conditionalFormatting sqref="A494:C494">
    <cfRule type="expression" priority="978" aboveAverage="0" equalAverage="0" bottom="0" percent="0" rank="0" text="" dxfId="0">
      <formula>$B494&lt;SinirDeger</formula>
    </cfRule>
    <cfRule type="expression" priority="979" aboveAverage="0" equalAverage="0" bottom="0" percent="0" rank="0" text="" dxfId="2">
      <formula>$B494&gt;=SinirDeger</formula>
    </cfRule>
  </conditionalFormatting>
  <conditionalFormatting sqref="A495:C495">
    <cfRule type="expression" priority="980" aboveAverage="0" equalAverage="0" bottom="0" percent="0" rank="0" text="" dxfId="0">
      <formula>$B495&lt;SinirDeger</formula>
    </cfRule>
    <cfRule type="expression" priority="981" aboveAverage="0" equalAverage="0" bottom="0" percent="0" rank="0" text="" dxfId="2">
      <formula>$B495&gt;=SinirDeger</formula>
    </cfRule>
  </conditionalFormatting>
  <conditionalFormatting sqref="A496:C496">
    <cfRule type="expression" priority="982" aboveAverage="0" equalAverage="0" bottom="0" percent="0" rank="0" text="" dxfId="0">
      <formula>$B496&lt;SinirDeger</formula>
    </cfRule>
    <cfRule type="expression" priority="983" aboveAverage="0" equalAverage="0" bottom="0" percent="0" rank="0" text="" dxfId="2">
      <formula>$B496&gt;=SinirDeger</formula>
    </cfRule>
  </conditionalFormatting>
  <conditionalFormatting sqref="A497:C497">
    <cfRule type="expression" priority="984" aboveAverage="0" equalAverage="0" bottom="0" percent="0" rank="0" text="" dxfId="0">
      <formula>$B497&lt;SinirDeger</formula>
    </cfRule>
    <cfRule type="expression" priority="985" aboveAverage="0" equalAverage="0" bottom="0" percent="0" rank="0" text="" dxfId="2">
      <formula>$B497&gt;=SinirDeger</formula>
    </cfRule>
  </conditionalFormatting>
  <conditionalFormatting sqref="A498:C498">
    <cfRule type="expression" priority="986" aboveAverage="0" equalAverage="0" bottom="0" percent="0" rank="0" text="" dxfId="0">
      <formula>$B498&lt;SinirDeger</formula>
    </cfRule>
    <cfRule type="expression" priority="987" aboveAverage="0" equalAverage="0" bottom="0" percent="0" rank="0" text="" dxfId="2">
      <formula>$B498&gt;=SinirDeger</formula>
    </cfRule>
  </conditionalFormatting>
  <conditionalFormatting sqref="A499:C499">
    <cfRule type="expression" priority="988" aboveAverage="0" equalAverage="0" bottom="0" percent="0" rank="0" text="" dxfId="0">
      <formula>$B499&lt;SinirDeger</formula>
    </cfRule>
    <cfRule type="expression" priority="989" aboveAverage="0" equalAverage="0" bottom="0" percent="0" rank="0" text="" dxfId="2">
      <formula>$B499&gt;=SinirDeger</formula>
    </cfRule>
  </conditionalFormatting>
  <conditionalFormatting sqref="A500:C500">
    <cfRule type="expression" priority="990" aboveAverage="0" equalAverage="0" bottom="0" percent="0" rank="0" text="" dxfId="0">
      <formula>$B500&lt;SinirDeger</formula>
    </cfRule>
    <cfRule type="expression" priority="991" aboveAverage="0" equalAverage="0" bottom="0" percent="0" rank="0" text="" dxfId="2">
      <formula>$B500&gt;=SinirDeger</formula>
    </cfRule>
  </conditionalFormatting>
  <conditionalFormatting sqref="A501:C501">
    <cfRule type="expression" priority="992" aboveAverage="0" equalAverage="0" bottom="0" percent="0" rank="0" text="" dxfId="0">
      <formula>$B501&lt;SinirDeger</formula>
    </cfRule>
    <cfRule type="expression" priority="993" aboveAverage="0" equalAverage="0" bottom="0" percent="0" rank="0" text="" dxfId="2">
      <formula>$B501&gt;=SinirDeger</formula>
    </cfRule>
  </conditionalFormatting>
  <conditionalFormatting sqref="A502:C502">
    <cfRule type="expression" priority="994" aboveAverage="0" equalAverage="0" bottom="0" percent="0" rank="0" text="" dxfId="0">
      <formula>$B502&lt;SinirDeger</formula>
    </cfRule>
    <cfRule type="expression" priority="995" aboveAverage="0" equalAverage="0" bottom="0" percent="0" rank="0" text="" dxfId="2">
      <formula>$B502&gt;=SinirDeger</formula>
    </cfRule>
  </conditionalFormatting>
  <conditionalFormatting sqref="A503:C503">
    <cfRule type="expression" priority="996" aboveAverage="0" equalAverage="0" bottom="0" percent="0" rank="0" text="" dxfId="0">
      <formula>$B503&lt;SinirDeger</formula>
    </cfRule>
    <cfRule type="expression" priority="997" aboveAverage="0" equalAverage="0" bottom="0" percent="0" rank="0" text="" dxfId="2">
      <formula>$B503&gt;=SinirDeger</formula>
    </cfRule>
  </conditionalFormatting>
  <conditionalFormatting sqref="A504:C504">
    <cfRule type="expression" priority="998" aboveAverage="0" equalAverage="0" bottom="0" percent="0" rank="0" text="" dxfId="0">
      <formula>$B504&lt;SinirDeger</formula>
    </cfRule>
    <cfRule type="expression" priority="999" aboveAverage="0" equalAverage="0" bottom="0" percent="0" rank="0" text="" dxfId="2">
      <formula>$B504&gt;=SinirDeger</formula>
    </cfRule>
  </conditionalFormatting>
  <conditionalFormatting sqref="A505:C505">
    <cfRule type="expression" priority="1000" aboveAverage="0" equalAverage="0" bottom="0" percent="0" rank="0" text="" dxfId="0">
      <formula>$B505&lt;SinirDeger</formula>
    </cfRule>
    <cfRule type="expression" priority="1001" aboveAverage="0" equalAverage="0" bottom="0" percent="0" rank="0" text="" dxfId="2">
      <formula>$B505&gt;=SinirDeger</formula>
    </cfRule>
  </conditionalFormatting>
  <conditionalFormatting sqref="A506:C506">
    <cfRule type="expression" priority="1002" aboveAverage="0" equalAverage="0" bottom="0" percent="0" rank="0" text="" dxfId="0">
      <formula>$B506&lt;SinirDeger</formula>
    </cfRule>
    <cfRule type="expression" priority="1003" aboveAverage="0" equalAverage="0" bottom="0" percent="0" rank="0" text="" dxfId="2">
      <formula>$B506&gt;=SinirDeger</formula>
    </cfRule>
  </conditionalFormatting>
  <conditionalFormatting sqref="A507:C507">
    <cfRule type="expression" priority="1004" aboveAverage="0" equalAverage="0" bottom="0" percent="0" rank="0" text="" dxfId="0">
      <formula>$B507&lt;SinirDeger</formula>
    </cfRule>
    <cfRule type="expression" priority="1005" aboveAverage="0" equalAverage="0" bottom="0" percent="0" rank="0" text="" dxfId="2">
      <formula>$B507&gt;=SinirDeger</formula>
    </cfRule>
  </conditionalFormatting>
  <conditionalFormatting sqref="A508:C508">
    <cfRule type="expression" priority="1006" aboveAverage="0" equalAverage="0" bottom="0" percent="0" rank="0" text="" dxfId="0">
      <formula>$B508&lt;SinirDeger</formula>
    </cfRule>
    <cfRule type="expression" priority="1007" aboveAverage="0" equalAverage="0" bottom="0" percent="0" rank="0" text="" dxfId="2">
      <formula>$B508&gt;=SinirDeger</formula>
    </cfRule>
  </conditionalFormatting>
  <conditionalFormatting sqref="A509:C509">
    <cfRule type="expression" priority="1008" aboveAverage="0" equalAverage="0" bottom="0" percent="0" rank="0" text="" dxfId="0">
      <formula>$B509&lt;SinirDeger</formula>
    </cfRule>
    <cfRule type="expression" priority="1009" aboveAverage="0" equalAverage="0" bottom="0" percent="0" rank="0" text="" dxfId="2">
      <formula>$B509&gt;=SinirDeger</formula>
    </cfRule>
  </conditionalFormatting>
  <conditionalFormatting sqref="A510:C510">
    <cfRule type="expression" priority="1010" aboveAverage="0" equalAverage="0" bottom="0" percent="0" rank="0" text="" dxfId="0">
      <formula>$B510&lt;SinirDeger</formula>
    </cfRule>
    <cfRule type="expression" priority="1011" aboveAverage="0" equalAverage="0" bottom="0" percent="0" rank="0" text="" dxfId="2">
      <formula>$B510&gt;=SinirDeger</formula>
    </cfRule>
  </conditionalFormatting>
  <conditionalFormatting sqref="A511:C511">
    <cfRule type="expression" priority="1012" aboveAverage="0" equalAverage="0" bottom="0" percent="0" rank="0" text="" dxfId="0">
      <formula>$B511&lt;SinirDeger</formula>
    </cfRule>
    <cfRule type="expression" priority="1013" aboveAverage="0" equalAverage="0" bottom="0" percent="0" rank="0" text="" dxfId="2">
      <formula>$B511&gt;=SinirDeger</formula>
    </cfRule>
  </conditionalFormatting>
  <conditionalFormatting sqref="A512:C512">
    <cfRule type="expression" priority="1014" aboveAverage="0" equalAverage="0" bottom="0" percent="0" rank="0" text="" dxfId="0">
      <formula>$B512&lt;SinirDeger</formula>
    </cfRule>
    <cfRule type="expression" priority="1015" aboveAverage="0" equalAverage="0" bottom="0" percent="0" rank="0" text="" dxfId="2">
      <formula>$B512&gt;=SinirDeger</formula>
    </cfRule>
  </conditionalFormatting>
  <conditionalFormatting sqref="A513:C513">
    <cfRule type="expression" priority="1016" aboveAverage="0" equalAverage="0" bottom="0" percent="0" rank="0" text="" dxfId="0">
      <formula>$B513&lt;SinirDeger</formula>
    </cfRule>
    <cfRule type="expression" priority="1017" aboveAverage="0" equalAverage="0" bottom="0" percent="0" rank="0" text="" dxfId="2">
      <formula>$B513&gt;=SinirDeger</formula>
    </cfRule>
  </conditionalFormatting>
  <conditionalFormatting sqref="A514:C514">
    <cfRule type="expression" priority="1018" aboveAverage="0" equalAverage="0" bottom="0" percent="0" rank="0" text="" dxfId="0">
      <formula>$B514&lt;SinirDeger</formula>
    </cfRule>
    <cfRule type="expression" priority="1019" aboveAverage="0" equalAverage="0" bottom="0" percent="0" rank="0" text="" dxfId="2">
      <formula>$B514&gt;=SinirDeger</formula>
    </cfRule>
  </conditionalFormatting>
  <conditionalFormatting sqref="A515:C515">
    <cfRule type="expression" priority="1020" aboveAverage="0" equalAverage="0" bottom="0" percent="0" rank="0" text="" dxfId="0">
      <formula>$B515&lt;SinirDeger</formula>
    </cfRule>
    <cfRule type="expression" priority="1021" aboveAverage="0" equalAverage="0" bottom="0" percent="0" rank="0" text="" dxfId="2">
      <formula>$B515&gt;=SinirDeger</formula>
    </cfRule>
  </conditionalFormatting>
  <conditionalFormatting sqref="A516:C516">
    <cfRule type="expression" priority="1022" aboveAverage="0" equalAverage="0" bottom="0" percent="0" rank="0" text="" dxfId="0">
      <formula>$B516&lt;SinirDeger</formula>
    </cfRule>
    <cfRule type="expression" priority="1023" aboveAverage="0" equalAverage="0" bottom="0" percent="0" rank="0" text="" dxfId="2">
      <formula>$B516&gt;=SinirDeger</formula>
    </cfRule>
  </conditionalFormatting>
  <conditionalFormatting sqref="A517:C517">
    <cfRule type="expression" priority="1024" aboveAverage="0" equalAverage="0" bottom="0" percent="0" rank="0" text="" dxfId="0">
      <formula>$B517&lt;SinirDeger</formula>
    </cfRule>
    <cfRule type="expression" priority="1025" aboveAverage="0" equalAverage="0" bottom="0" percent="0" rank="0" text="" dxfId="2">
      <formula>$B517&gt;=SinirDeger</formula>
    </cfRule>
  </conditionalFormatting>
  <conditionalFormatting sqref="A518:C518">
    <cfRule type="expression" priority="1026" aboveAverage="0" equalAverage="0" bottom="0" percent="0" rank="0" text="" dxfId="0">
      <formula>$B518&lt;SinirDeger</formula>
    </cfRule>
    <cfRule type="expression" priority="1027" aboveAverage="0" equalAverage="0" bottom="0" percent="0" rank="0" text="" dxfId="2">
      <formula>$B518&gt;=SinirDeger</formula>
    </cfRule>
  </conditionalFormatting>
  <conditionalFormatting sqref="A519:C519">
    <cfRule type="expression" priority="1028" aboveAverage="0" equalAverage="0" bottom="0" percent="0" rank="0" text="" dxfId="0">
      <formula>$B519&lt;SinirDeger</formula>
    </cfRule>
    <cfRule type="expression" priority="1029" aboveAverage="0" equalAverage="0" bottom="0" percent="0" rank="0" text="" dxfId="2">
      <formula>$B519&gt;=SinirDeger</formula>
    </cfRule>
  </conditionalFormatting>
  <conditionalFormatting sqref="A520:C520">
    <cfRule type="expression" priority="1030" aboveAverage="0" equalAverage="0" bottom="0" percent="0" rank="0" text="" dxfId="0">
      <formula>$B520&lt;SinirDeger</formula>
    </cfRule>
    <cfRule type="expression" priority="1031" aboveAverage="0" equalAverage="0" bottom="0" percent="0" rank="0" text="" dxfId="2">
      <formula>$B520&gt;=SinirDeger</formula>
    </cfRule>
  </conditionalFormatting>
  <conditionalFormatting sqref="A521:C521">
    <cfRule type="expression" priority="1032" aboveAverage="0" equalAverage="0" bottom="0" percent="0" rank="0" text="" dxfId="0">
      <formula>$B521&lt;SinirDeger</formula>
    </cfRule>
    <cfRule type="expression" priority="1033" aboveAverage="0" equalAverage="0" bottom="0" percent="0" rank="0" text="" dxfId="2">
      <formula>$B521&gt;=SinirDeger</formula>
    </cfRule>
  </conditionalFormatting>
  <conditionalFormatting sqref="A522:C522">
    <cfRule type="expression" priority="1034" aboveAverage="0" equalAverage="0" bottom="0" percent="0" rank="0" text="" dxfId="0">
      <formula>$B522&lt;SinirDeger</formula>
    </cfRule>
    <cfRule type="expression" priority="1035" aboveAverage="0" equalAverage="0" bottom="0" percent="0" rank="0" text="" dxfId="2">
      <formula>$B522&gt;=SinirDeger</formula>
    </cfRule>
  </conditionalFormatting>
  <conditionalFormatting sqref="A523:C523">
    <cfRule type="expression" priority="1036" aboveAverage="0" equalAverage="0" bottom="0" percent="0" rank="0" text="" dxfId="0">
      <formula>$B523&lt;SinirDeger</formula>
    </cfRule>
    <cfRule type="expression" priority="1037" aboveAverage="0" equalAverage="0" bottom="0" percent="0" rank="0" text="" dxfId="2">
      <formula>$B523&gt;=SinirDeger</formula>
    </cfRule>
  </conditionalFormatting>
  <conditionalFormatting sqref="A524:C524">
    <cfRule type="expression" priority="1038" aboveAverage="0" equalAverage="0" bottom="0" percent="0" rank="0" text="" dxfId="0">
      <formula>$B524&lt;SinirDeger</formula>
    </cfRule>
    <cfRule type="expression" priority="1039" aboveAverage="0" equalAverage="0" bottom="0" percent="0" rank="0" text="" dxfId="2">
      <formula>$B524&gt;=SinirDeger</formula>
    </cfRule>
  </conditionalFormatting>
  <conditionalFormatting sqref="A525:C525">
    <cfRule type="expression" priority="1040" aboveAverage="0" equalAverage="0" bottom="0" percent="0" rank="0" text="" dxfId="0">
      <formula>$B525&lt;SinirDeger</formula>
    </cfRule>
    <cfRule type="expression" priority="1041" aboveAverage="0" equalAverage="0" bottom="0" percent="0" rank="0" text="" dxfId="2">
      <formula>$B525&gt;=SinirDeger</formula>
    </cfRule>
  </conditionalFormatting>
  <conditionalFormatting sqref="A526:C526">
    <cfRule type="expression" priority="1042" aboveAverage="0" equalAverage="0" bottom="0" percent="0" rank="0" text="" dxfId="0">
      <formula>$B526&lt;SinirDeger</formula>
    </cfRule>
    <cfRule type="expression" priority="1043" aboveAverage="0" equalAverage="0" bottom="0" percent="0" rank="0" text="" dxfId="2">
      <formula>$B526&gt;=SinirDeger</formula>
    </cfRule>
  </conditionalFormatting>
  <conditionalFormatting sqref="A527:C527">
    <cfRule type="expression" priority="1044" aboveAverage="0" equalAverage="0" bottom="0" percent="0" rank="0" text="" dxfId="0">
      <formula>$B527&lt;SinirDeger</formula>
    </cfRule>
    <cfRule type="expression" priority="1045" aboveAverage="0" equalAverage="0" bottom="0" percent="0" rank="0" text="" dxfId="2">
      <formula>$B527&gt;=SinirDeger</formula>
    </cfRule>
  </conditionalFormatting>
  <conditionalFormatting sqref="A528:C528">
    <cfRule type="expression" priority="1046" aboveAverage="0" equalAverage="0" bottom="0" percent="0" rank="0" text="" dxfId="0">
      <formula>$B528&lt;SinirDeger</formula>
    </cfRule>
    <cfRule type="expression" priority="1047" aboveAverage="0" equalAverage="0" bottom="0" percent="0" rank="0" text="" dxfId="2">
      <formula>$B528&gt;=SinirDeger</formula>
    </cfRule>
  </conditionalFormatting>
  <conditionalFormatting sqref="A529:C529">
    <cfRule type="expression" priority="1048" aboveAverage="0" equalAverage="0" bottom="0" percent="0" rank="0" text="" dxfId="0">
      <formula>$B529&lt;SinirDeger</formula>
    </cfRule>
    <cfRule type="expression" priority="1049" aboveAverage="0" equalAverage="0" bottom="0" percent="0" rank="0" text="" dxfId="2">
      <formula>$B529&gt;=SinirDeger</formula>
    </cfRule>
  </conditionalFormatting>
  <conditionalFormatting sqref="A530:C530">
    <cfRule type="expression" priority="1050" aboveAverage="0" equalAverage="0" bottom="0" percent="0" rank="0" text="" dxfId="0">
      <formula>$B530&lt;SinirDeger</formula>
    </cfRule>
    <cfRule type="expression" priority="1051" aboveAverage="0" equalAverage="0" bottom="0" percent="0" rank="0" text="" dxfId="2">
      <formula>$B530&gt;=SinirDeger</formula>
    </cfRule>
  </conditionalFormatting>
  <conditionalFormatting sqref="A531:C531">
    <cfRule type="expression" priority="1052" aboveAverage="0" equalAverage="0" bottom="0" percent="0" rank="0" text="" dxfId="0">
      <formula>$B531&lt;SinirDeger</formula>
    </cfRule>
    <cfRule type="expression" priority="1053" aboveAverage="0" equalAverage="0" bottom="0" percent="0" rank="0" text="" dxfId="2">
      <formula>$B531&gt;=SinirDeger</formula>
    </cfRule>
  </conditionalFormatting>
  <conditionalFormatting sqref="A532:C532">
    <cfRule type="expression" priority="1054" aboveAverage="0" equalAverage="0" bottom="0" percent="0" rank="0" text="" dxfId="0">
      <formula>$B532&lt;SinirDeger</formula>
    </cfRule>
    <cfRule type="expression" priority="1055" aboveAverage="0" equalAverage="0" bottom="0" percent="0" rank="0" text="" dxfId="2">
      <formula>$B532&gt;=SinirDeger</formula>
    </cfRule>
  </conditionalFormatting>
  <conditionalFormatting sqref="A533:C533">
    <cfRule type="expression" priority="1056" aboveAverage="0" equalAverage="0" bottom="0" percent="0" rank="0" text="" dxfId="0">
      <formula>$B533&lt;SinirDeger</formula>
    </cfRule>
    <cfRule type="expression" priority="1057" aboveAverage="0" equalAverage="0" bottom="0" percent="0" rank="0" text="" dxfId="2">
      <formula>$B533&gt;=SinirDeger</formula>
    </cfRule>
  </conditionalFormatting>
  <conditionalFormatting sqref="A534:C534">
    <cfRule type="expression" priority="1058" aboveAverage="0" equalAverage="0" bottom="0" percent="0" rank="0" text="" dxfId="0">
      <formula>$B534&lt;SinirDeger</formula>
    </cfRule>
    <cfRule type="expression" priority="1059" aboveAverage="0" equalAverage="0" bottom="0" percent="0" rank="0" text="" dxfId="2">
      <formula>$B534&gt;=SinirDeger</formula>
    </cfRule>
  </conditionalFormatting>
  <conditionalFormatting sqref="A535:C535">
    <cfRule type="expression" priority="1060" aboveAverage="0" equalAverage="0" bottom="0" percent="0" rank="0" text="" dxfId="0">
      <formula>$B535&lt;SinirDeger</formula>
    </cfRule>
    <cfRule type="expression" priority="1061" aboveAverage="0" equalAverage="0" bottom="0" percent="0" rank="0" text="" dxfId="2">
      <formula>$B535&gt;=SinirDeger</formula>
    </cfRule>
  </conditionalFormatting>
  <conditionalFormatting sqref="A536:C536">
    <cfRule type="expression" priority="1062" aboveAverage="0" equalAverage="0" bottom="0" percent="0" rank="0" text="" dxfId="0">
      <formula>$B536&lt;SinirDeger</formula>
    </cfRule>
    <cfRule type="expression" priority="1063" aboveAverage="0" equalAverage="0" bottom="0" percent="0" rank="0" text="" dxfId="2">
      <formula>$B536&gt;=SinirDeger</formula>
    </cfRule>
  </conditionalFormatting>
  <conditionalFormatting sqref="A537:C537">
    <cfRule type="expression" priority="1064" aboveAverage="0" equalAverage="0" bottom="0" percent="0" rank="0" text="" dxfId="0">
      <formula>$B537&lt;SinirDeger</formula>
    </cfRule>
    <cfRule type="expression" priority="1065" aboveAverage="0" equalAverage="0" bottom="0" percent="0" rank="0" text="" dxfId="2">
      <formula>$B537&gt;=SinirDeger</formula>
    </cfRule>
  </conditionalFormatting>
  <conditionalFormatting sqref="A538:C538">
    <cfRule type="expression" priority="1066" aboveAverage="0" equalAverage="0" bottom="0" percent="0" rank="0" text="" dxfId="0">
      <formula>$B538&lt;SinirDeger</formula>
    </cfRule>
    <cfRule type="expression" priority="1067" aboveAverage="0" equalAverage="0" bottom="0" percent="0" rank="0" text="" dxfId="2">
      <formula>$B538&gt;=SinirDeger</formula>
    </cfRule>
  </conditionalFormatting>
  <conditionalFormatting sqref="A539:C539">
    <cfRule type="expression" priority="1068" aboveAverage="0" equalAverage="0" bottom="0" percent="0" rank="0" text="" dxfId="0">
      <formula>$B539&lt;SinirDeger</formula>
    </cfRule>
    <cfRule type="expression" priority="1069" aboveAverage="0" equalAverage="0" bottom="0" percent="0" rank="0" text="" dxfId="2">
      <formula>$B539&gt;=SinirDeger</formula>
    </cfRule>
  </conditionalFormatting>
  <conditionalFormatting sqref="A540:C540">
    <cfRule type="expression" priority="1070" aboveAverage="0" equalAverage="0" bottom="0" percent="0" rank="0" text="" dxfId="0">
      <formula>$B540&lt;SinirDeger</formula>
    </cfRule>
    <cfRule type="expression" priority="1071" aboveAverage="0" equalAverage="0" bottom="0" percent="0" rank="0" text="" dxfId="2">
      <formula>$B540&gt;=SinirDeger</formula>
    </cfRule>
  </conditionalFormatting>
  <conditionalFormatting sqref="A541:C541">
    <cfRule type="expression" priority="1072" aboveAverage="0" equalAverage="0" bottom="0" percent="0" rank="0" text="" dxfId="0">
      <formula>$B541&lt;SinirDeger</formula>
    </cfRule>
    <cfRule type="expression" priority="1073" aboveAverage="0" equalAverage="0" bottom="0" percent="0" rank="0" text="" dxfId="2">
      <formula>$B541&gt;=SinirDeger</formula>
    </cfRule>
  </conditionalFormatting>
  <conditionalFormatting sqref="A542:C542">
    <cfRule type="expression" priority="1074" aboveAverage="0" equalAverage="0" bottom="0" percent="0" rank="0" text="" dxfId="0">
      <formula>$B542&lt;SinirDeger</formula>
    </cfRule>
    <cfRule type="expression" priority="1075" aboveAverage="0" equalAverage="0" bottom="0" percent="0" rank="0" text="" dxfId="2">
      <formula>$B542&gt;=SinirDeger</formula>
    </cfRule>
  </conditionalFormatting>
  <conditionalFormatting sqref="A543:C543">
    <cfRule type="expression" priority="1076" aboveAverage="0" equalAverage="0" bottom="0" percent="0" rank="0" text="" dxfId="0">
      <formula>$B543&lt;SinirDeger</formula>
    </cfRule>
    <cfRule type="expression" priority="1077" aboveAverage="0" equalAverage="0" bottom="0" percent="0" rank="0" text="" dxfId="2">
      <formula>$B543&gt;=SinirDeger</formula>
    </cfRule>
  </conditionalFormatting>
  <conditionalFormatting sqref="A544:C544">
    <cfRule type="expression" priority="1078" aboveAverage="0" equalAverage="0" bottom="0" percent="0" rank="0" text="" dxfId="0">
      <formula>$B544&lt;SinirDeger</formula>
    </cfRule>
    <cfRule type="expression" priority="1079" aboveAverage="0" equalAverage="0" bottom="0" percent="0" rank="0" text="" dxfId="2">
      <formula>$B544&gt;=SinirDeger</formula>
    </cfRule>
  </conditionalFormatting>
  <conditionalFormatting sqref="A545:C545">
    <cfRule type="expression" priority="1080" aboveAverage="0" equalAverage="0" bottom="0" percent="0" rank="0" text="" dxfId="0">
      <formula>$B545&lt;SinirDeger</formula>
    </cfRule>
    <cfRule type="expression" priority="1081" aboveAverage="0" equalAverage="0" bottom="0" percent="0" rank="0" text="" dxfId="2">
      <formula>$B545&gt;=SinirDeger</formula>
    </cfRule>
  </conditionalFormatting>
  <conditionalFormatting sqref="A546:C546">
    <cfRule type="expression" priority="1082" aboveAverage="0" equalAverage="0" bottom="0" percent="0" rank="0" text="" dxfId="0">
      <formula>$B546&lt;SinirDeger</formula>
    </cfRule>
    <cfRule type="expression" priority="1083" aboveAverage="0" equalAverage="0" bottom="0" percent="0" rank="0" text="" dxfId="2">
      <formula>$B546&gt;=SinirDeger</formula>
    </cfRule>
  </conditionalFormatting>
  <conditionalFormatting sqref="A547:C547">
    <cfRule type="expression" priority="1084" aboveAverage="0" equalAverage="0" bottom="0" percent="0" rank="0" text="" dxfId="0">
      <formula>$B547&lt;SinirDeger</formula>
    </cfRule>
    <cfRule type="expression" priority="1085" aboveAverage="0" equalAverage="0" bottom="0" percent="0" rank="0" text="" dxfId="2">
      <formula>$B547&gt;=SinirDeger</formula>
    </cfRule>
  </conditionalFormatting>
  <conditionalFormatting sqref="A548:C548">
    <cfRule type="expression" priority="1086" aboveAverage="0" equalAverage="0" bottom="0" percent="0" rank="0" text="" dxfId="0">
      <formula>$B548&lt;SinirDeger</formula>
    </cfRule>
    <cfRule type="expression" priority="1087" aboveAverage="0" equalAverage="0" bottom="0" percent="0" rank="0" text="" dxfId="2">
      <formula>$B548&gt;=SinirDeger</formula>
    </cfRule>
  </conditionalFormatting>
  <conditionalFormatting sqref="A549:C549">
    <cfRule type="expression" priority="1088" aboveAverage="0" equalAverage="0" bottom="0" percent="0" rank="0" text="" dxfId="0">
      <formula>$B549&lt;SinirDeger</formula>
    </cfRule>
    <cfRule type="expression" priority="1089" aboveAverage="0" equalAverage="0" bottom="0" percent="0" rank="0" text="" dxfId="2">
      <formula>$B549&gt;=SinirDeger</formula>
    </cfRule>
  </conditionalFormatting>
  <conditionalFormatting sqref="A550:C550">
    <cfRule type="expression" priority="1090" aboveAverage="0" equalAverage="0" bottom="0" percent="0" rank="0" text="" dxfId="0">
      <formula>$B550&lt;SinirDeger</formula>
    </cfRule>
    <cfRule type="expression" priority="1091" aboveAverage="0" equalAverage="0" bottom="0" percent="0" rank="0" text="" dxfId="2">
      <formula>$B550&gt;=SinirDeger</formula>
    </cfRule>
  </conditionalFormatting>
  <conditionalFormatting sqref="A551:C551">
    <cfRule type="expression" priority="1092" aboveAverage="0" equalAverage="0" bottom="0" percent="0" rank="0" text="" dxfId="0">
      <formula>$B551&lt;SinirDeger</formula>
    </cfRule>
    <cfRule type="expression" priority="1093" aboveAverage="0" equalAverage="0" bottom="0" percent="0" rank="0" text="" dxfId="2">
      <formula>$B551&gt;=SinirDeger</formula>
    </cfRule>
  </conditionalFormatting>
  <conditionalFormatting sqref="A552:C552">
    <cfRule type="expression" priority="1094" aboveAverage="0" equalAverage="0" bottom="0" percent="0" rank="0" text="" dxfId="0">
      <formula>$B552&lt;SinirDeger</formula>
    </cfRule>
    <cfRule type="expression" priority="1095" aboveAverage="0" equalAverage="0" bottom="0" percent="0" rank="0" text="" dxfId="2">
      <formula>$B552&gt;=SinirDeger</formula>
    </cfRule>
  </conditionalFormatting>
  <conditionalFormatting sqref="A553:C553">
    <cfRule type="expression" priority="1096" aboveAverage="0" equalAverage="0" bottom="0" percent="0" rank="0" text="" dxfId="0">
      <formula>$B553&lt;SinirDeger</formula>
    </cfRule>
    <cfRule type="expression" priority="1097" aboveAverage="0" equalAverage="0" bottom="0" percent="0" rank="0" text="" dxfId="2">
      <formula>$B553&gt;=SinirDeger</formula>
    </cfRule>
  </conditionalFormatting>
  <conditionalFormatting sqref="A554:C554">
    <cfRule type="expression" priority="1098" aboveAverage="0" equalAverage="0" bottom="0" percent="0" rank="0" text="" dxfId="0">
      <formula>$B554&lt;SinirDeger</formula>
    </cfRule>
    <cfRule type="expression" priority="1099" aboveAverage="0" equalAverage="0" bottom="0" percent="0" rank="0" text="" dxfId="2">
      <formula>$B554&gt;=SinirDeger</formula>
    </cfRule>
  </conditionalFormatting>
  <conditionalFormatting sqref="A555:C555">
    <cfRule type="expression" priority="1100" aboveAverage="0" equalAverage="0" bottom="0" percent="0" rank="0" text="" dxfId="0">
      <formula>$B555&lt;SinirDeger</formula>
    </cfRule>
    <cfRule type="expression" priority="1101" aboveAverage="0" equalAverage="0" bottom="0" percent="0" rank="0" text="" dxfId="2">
      <formula>$B555&gt;=SinirDeger</formula>
    </cfRule>
  </conditionalFormatting>
  <conditionalFormatting sqref="A556:C556">
    <cfRule type="expression" priority="1102" aboveAverage="0" equalAverage="0" bottom="0" percent="0" rank="0" text="" dxfId="0">
      <formula>$B556&lt;SinirDeger</formula>
    </cfRule>
    <cfRule type="expression" priority="1103" aboveAverage="0" equalAverage="0" bottom="0" percent="0" rank="0" text="" dxfId="2">
      <formula>$B556&gt;=SinirDeger</formula>
    </cfRule>
  </conditionalFormatting>
  <conditionalFormatting sqref="A557:C557">
    <cfRule type="expression" priority="1104" aboveAverage="0" equalAverage="0" bottom="0" percent="0" rank="0" text="" dxfId="0">
      <formula>$B557&lt;SinirDeger</formula>
    </cfRule>
    <cfRule type="expression" priority="1105" aboveAverage="0" equalAverage="0" bottom="0" percent="0" rank="0" text="" dxfId="2">
      <formula>$B557&gt;=SinirDeger</formula>
    </cfRule>
  </conditionalFormatting>
  <conditionalFormatting sqref="A558:C558">
    <cfRule type="expression" priority="1106" aboveAverage="0" equalAverage="0" bottom="0" percent="0" rank="0" text="" dxfId="0">
      <formula>$B558&lt;SinirDeger</formula>
    </cfRule>
    <cfRule type="expression" priority="1107" aboveAverage="0" equalAverage="0" bottom="0" percent="0" rank="0" text="" dxfId="2">
      <formula>$B558&gt;=SinirDeger</formula>
    </cfRule>
  </conditionalFormatting>
  <conditionalFormatting sqref="A559:C559">
    <cfRule type="expression" priority="1108" aboveAverage="0" equalAverage="0" bottom="0" percent="0" rank="0" text="" dxfId="0">
      <formula>$B559&lt;SinirDeger</formula>
    </cfRule>
    <cfRule type="expression" priority="1109" aboveAverage="0" equalAverage="0" bottom="0" percent="0" rank="0" text="" dxfId="2">
      <formula>$B559&gt;=SinirDeger</formula>
    </cfRule>
  </conditionalFormatting>
  <conditionalFormatting sqref="A560:C560">
    <cfRule type="expression" priority="1110" aboveAverage="0" equalAverage="0" bottom="0" percent="0" rank="0" text="" dxfId="0">
      <formula>$B560&lt;SinirDeger</formula>
    </cfRule>
    <cfRule type="expression" priority="1111" aboveAverage="0" equalAverage="0" bottom="0" percent="0" rank="0" text="" dxfId="2">
      <formula>$B560&gt;=SinirDeger</formula>
    </cfRule>
  </conditionalFormatting>
  <conditionalFormatting sqref="A561:C561">
    <cfRule type="expression" priority="1112" aboveAverage="0" equalAverage="0" bottom="0" percent="0" rank="0" text="" dxfId="0">
      <formula>$B561&lt;SinirDeger</formula>
    </cfRule>
    <cfRule type="expression" priority="1113" aboveAverage="0" equalAverage="0" bottom="0" percent="0" rank="0" text="" dxfId="2">
      <formula>$B561&gt;=SinirDeger</formula>
    </cfRule>
  </conditionalFormatting>
  <conditionalFormatting sqref="A562:C562">
    <cfRule type="expression" priority="1114" aboveAverage="0" equalAverage="0" bottom="0" percent="0" rank="0" text="" dxfId="0">
      <formula>$B562&lt;SinirDeger</formula>
    </cfRule>
    <cfRule type="expression" priority="1115" aboveAverage="0" equalAverage="0" bottom="0" percent="0" rank="0" text="" dxfId="2">
      <formula>$B562&gt;=SinirDeger</formula>
    </cfRule>
  </conditionalFormatting>
  <conditionalFormatting sqref="A563:C563">
    <cfRule type="expression" priority="1116" aboveAverage="0" equalAverage="0" bottom="0" percent="0" rank="0" text="" dxfId="0">
      <formula>$B563&lt;SinirDeger</formula>
    </cfRule>
    <cfRule type="expression" priority="1117" aboveAverage="0" equalAverage="0" bottom="0" percent="0" rank="0" text="" dxfId="2">
      <formula>$B563&gt;=SinirDeger</formula>
    </cfRule>
  </conditionalFormatting>
  <conditionalFormatting sqref="A564:C564">
    <cfRule type="expression" priority="1118" aboveAverage="0" equalAverage="0" bottom="0" percent="0" rank="0" text="" dxfId="0">
      <formula>$B564&lt;SinirDeger</formula>
    </cfRule>
    <cfRule type="expression" priority="1119" aboveAverage="0" equalAverage="0" bottom="0" percent="0" rank="0" text="" dxfId="2">
      <formula>$B564&gt;=SinirDeger</formula>
    </cfRule>
  </conditionalFormatting>
  <conditionalFormatting sqref="A565:C565">
    <cfRule type="expression" priority="1120" aboveAverage="0" equalAverage="0" bottom="0" percent="0" rank="0" text="" dxfId="0">
      <formula>$B565&lt;SinirDeger</formula>
    </cfRule>
    <cfRule type="expression" priority="1121" aboveAverage="0" equalAverage="0" bottom="0" percent="0" rank="0" text="" dxfId="2">
      <formula>$B565&gt;=SinirDeger</formula>
    </cfRule>
  </conditionalFormatting>
  <conditionalFormatting sqref="A566:C566">
    <cfRule type="expression" priority="1122" aboveAverage="0" equalAverage="0" bottom="0" percent="0" rank="0" text="" dxfId="0">
      <formula>$B566&lt;SinirDeger</formula>
    </cfRule>
    <cfRule type="expression" priority="1123" aboveAverage="0" equalAverage="0" bottom="0" percent="0" rank="0" text="" dxfId="2">
      <formula>$B566&gt;=SinirDeger</formula>
    </cfRule>
  </conditionalFormatting>
  <conditionalFormatting sqref="A567:C567">
    <cfRule type="expression" priority="1124" aboveAverage="0" equalAverage="0" bottom="0" percent="0" rank="0" text="" dxfId="0">
      <formula>$B567&lt;SinirDeger</formula>
    </cfRule>
    <cfRule type="expression" priority="1125" aboveAverage="0" equalAverage="0" bottom="0" percent="0" rank="0" text="" dxfId="2">
      <formula>$B567&gt;=SinirDeger</formula>
    </cfRule>
  </conditionalFormatting>
  <conditionalFormatting sqref="A568:C568">
    <cfRule type="expression" priority="1126" aboveAverage="0" equalAverage="0" bottom="0" percent="0" rank="0" text="" dxfId="0">
      <formula>$B568&lt;SinirDeger</formula>
    </cfRule>
    <cfRule type="expression" priority="1127" aboveAverage="0" equalAverage="0" bottom="0" percent="0" rank="0" text="" dxfId="2">
      <formula>$B568&gt;=SinirDeger</formula>
    </cfRule>
  </conditionalFormatting>
  <conditionalFormatting sqref="A569:C569">
    <cfRule type="expression" priority="1128" aboveAverage="0" equalAverage="0" bottom="0" percent="0" rank="0" text="" dxfId="0">
      <formula>$B569&lt;SinirDeger</formula>
    </cfRule>
    <cfRule type="expression" priority="1129" aboveAverage="0" equalAverage="0" bottom="0" percent="0" rank="0" text="" dxfId="2">
      <formula>$B569&gt;=SinirDeger</formula>
    </cfRule>
  </conditionalFormatting>
  <conditionalFormatting sqref="A570:C570">
    <cfRule type="expression" priority="1130" aboveAverage="0" equalAverage="0" bottom="0" percent="0" rank="0" text="" dxfId="0">
      <formula>$B570&lt;SinirDeger</formula>
    </cfRule>
    <cfRule type="expression" priority="1131" aboveAverage="0" equalAverage="0" bottom="0" percent="0" rank="0" text="" dxfId="2">
      <formula>$B570&gt;=SinirDeger</formula>
    </cfRule>
  </conditionalFormatting>
  <conditionalFormatting sqref="A571:C571">
    <cfRule type="expression" priority="1132" aboveAverage="0" equalAverage="0" bottom="0" percent="0" rank="0" text="" dxfId="0">
      <formula>$B571&lt;SinirDeger</formula>
    </cfRule>
    <cfRule type="expression" priority="1133" aboveAverage="0" equalAverage="0" bottom="0" percent="0" rank="0" text="" dxfId="2">
      <formula>$B571&gt;=SinirDeger</formula>
    </cfRule>
  </conditionalFormatting>
  <conditionalFormatting sqref="A572:C572">
    <cfRule type="expression" priority="1134" aboveAverage="0" equalAverage="0" bottom="0" percent="0" rank="0" text="" dxfId="0">
      <formula>$B572&lt;SinirDeger</formula>
    </cfRule>
    <cfRule type="expression" priority="1135" aboveAverage="0" equalAverage="0" bottom="0" percent="0" rank="0" text="" dxfId="2">
      <formula>$B572&gt;=SinirDeger</formula>
    </cfRule>
  </conditionalFormatting>
  <conditionalFormatting sqref="A573:C573">
    <cfRule type="expression" priority="1136" aboveAverage="0" equalAverage="0" bottom="0" percent="0" rank="0" text="" dxfId="0">
      <formula>$B573&lt;SinirDeger</formula>
    </cfRule>
    <cfRule type="expression" priority="1137" aboveAverage="0" equalAverage="0" bottom="0" percent="0" rank="0" text="" dxfId="2">
      <formula>$B573&gt;=SinirDeger</formula>
    </cfRule>
  </conditionalFormatting>
  <conditionalFormatting sqref="A574:C574">
    <cfRule type="expression" priority="1138" aboveAverage="0" equalAverage="0" bottom="0" percent="0" rank="0" text="" dxfId="0">
      <formula>$B574&lt;SinirDeger</formula>
    </cfRule>
    <cfRule type="expression" priority="1139" aboveAverage="0" equalAverage="0" bottom="0" percent="0" rank="0" text="" dxfId="2">
      <formula>$B574&gt;=SinirDeger</formula>
    </cfRule>
  </conditionalFormatting>
  <conditionalFormatting sqref="A575:C575">
    <cfRule type="expression" priority="1140" aboveAverage="0" equalAverage="0" bottom="0" percent="0" rank="0" text="" dxfId="0">
      <formula>$B575&lt;SinirDeger</formula>
    </cfRule>
    <cfRule type="expression" priority="1141" aboveAverage="0" equalAverage="0" bottom="0" percent="0" rank="0" text="" dxfId="2">
      <formula>$B575&gt;=SinirDeger</formula>
    </cfRule>
  </conditionalFormatting>
  <conditionalFormatting sqref="A576:C576">
    <cfRule type="expression" priority="1142" aboveAverage="0" equalAverage="0" bottom="0" percent="0" rank="0" text="" dxfId="0">
      <formula>$B576&lt;SinirDeger</formula>
    </cfRule>
    <cfRule type="expression" priority="1143" aboveAverage="0" equalAverage="0" bottom="0" percent="0" rank="0" text="" dxfId="2">
      <formula>$B576&gt;=SinirDeger</formula>
    </cfRule>
  </conditionalFormatting>
  <conditionalFormatting sqref="A577:C577">
    <cfRule type="expression" priority="1144" aboveAverage="0" equalAverage="0" bottom="0" percent="0" rank="0" text="" dxfId="0">
      <formula>$B577&lt;SinirDeger</formula>
    </cfRule>
    <cfRule type="expression" priority="1145" aboveAverage="0" equalAverage="0" bottom="0" percent="0" rank="0" text="" dxfId="2">
      <formula>$B577&gt;=SinirDeger</formula>
    </cfRule>
  </conditionalFormatting>
  <conditionalFormatting sqref="A578:C578">
    <cfRule type="expression" priority="1146" aboveAverage="0" equalAverage="0" bottom="0" percent="0" rank="0" text="" dxfId="0">
      <formula>$B578&lt;SinirDeger</formula>
    </cfRule>
    <cfRule type="expression" priority="1147" aboveAverage="0" equalAverage="0" bottom="0" percent="0" rank="0" text="" dxfId="2">
      <formula>$B578&gt;=SinirDeger</formula>
    </cfRule>
  </conditionalFormatting>
  <conditionalFormatting sqref="A579:C579">
    <cfRule type="expression" priority="1148" aboveAverage="0" equalAverage="0" bottom="0" percent="0" rank="0" text="" dxfId="0">
      <formula>$B579&lt;SinirDeger</formula>
    </cfRule>
    <cfRule type="expression" priority="1149" aboveAverage="0" equalAverage="0" bottom="0" percent="0" rank="0" text="" dxfId="2">
      <formula>$B579&gt;=SinirDeger</formula>
    </cfRule>
  </conditionalFormatting>
  <conditionalFormatting sqref="A580:C580">
    <cfRule type="expression" priority="1150" aboveAverage="0" equalAverage="0" bottom="0" percent="0" rank="0" text="" dxfId="0">
      <formula>$B580&lt;SinirDeger</formula>
    </cfRule>
    <cfRule type="expression" priority="1151" aboveAverage="0" equalAverage="0" bottom="0" percent="0" rank="0" text="" dxfId="2">
      <formula>$B580&gt;=SinirDeger</formula>
    </cfRule>
  </conditionalFormatting>
  <conditionalFormatting sqref="A581:C581">
    <cfRule type="expression" priority="1152" aboveAverage="0" equalAverage="0" bottom="0" percent="0" rank="0" text="" dxfId="0">
      <formula>$B581&lt;SinirDeger</formula>
    </cfRule>
    <cfRule type="expression" priority="1153" aboveAverage="0" equalAverage="0" bottom="0" percent="0" rank="0" text="" dxfId="2">
      <formula>$B581&gt;=SinirDeger</formula>
    </cfRule>
  </conditionalFormatting>
  <conditionalFormatting sqref="A582:C582">
    <cfRule type="expression" priority="1154" aboveAverage="0" equalAverage="0" bottom="0" percent="0" rank="0" text="" dxfId="0">
      <formula>$B582&lt;SinirDeger</formula>
    </cfRule>
    <cfRule type="expression" priority="1155" aboveAverage="0" equalAverage="0" bottom="0" percent="0" rank="0" text="" dxfId="2">
      <formula>$B582&gt;=SinirDeger</formula>
    </cfRule>
  </conditionalFormatting>
  <conditionalFormatting sqref="A583:C583">
    <cfRule type="expression" priority="1156" aboveAverage="0" equalAverage="0" bottom="0" percent="0" rank="0" text="" dxfId="0">
      <formula>$B583&lt;SinirDeger</formula>
    </cfRule>
    <cfRule type="expression" priority="1157" aboveAverage="0" equalAverage="0" bottom="0" percent="0" rank="0" text="" dxfId="2">
      <formula>$B583&gt;=SinirDeger</formula>
    </cfRule>
  </conditionalFormatting>
  <conditionalFormatting sqref="A584:C584">
    <cfRule type="expression" priority="1158" aboveAverage="0" equalAverage="0" bottom="0" percent="0" rank="0" text="" dxfId="0">
      <formula>$B584&lt;SinirDeger</formula>
    </cfRule>
    <cfRule type="expression" priority="1159" aboveAverage="0" equalAverage="0" bottom="0" percent="0" rank="0" text="" dxfId="2">
      <formula>$B584&gt;=SinirDeger</formula>
    </cfRule>
  </conditionalFormatting>
  <conditionalFormatting sqref="A585:C585">
    <cfRule type="expression" priority="1160" aboveAverage="0" equalAverage="0" bottom="0" percent="0" rank="0" text="" dxfId="0">
      <formula>$B585&lt;SinirDeger</formula>
    </cfRule>
    <cfRule type="expression" priority="1161" aboveAverage="0" equalAverage="0" bottom="0" percent="0" rank="0" text="" dxfId="2">
      <formula>$B585&gt;=SinirDeger</formula>
    </cfRule>
  </conditionalFormatting>
  <conditionalFormatting sqref="A586:C586">
    <cfRule type="expression" priority="1162" aboveAverage="0" equalAverage="0" bottom="0" percent="0" rank="0" text="" dxfId="0">
      <formula>$B586&lt;SinirDeger</formula>
    </cfRule>
    <cfRule type="expression" priority="1163" aboveAverage="0" equalAverage="0" bottom="0" percent="0" rank="0" text="" dxfId="2">
      <formula>$B586&gt;=SinirDeger</formula>
    </cfRule>
  </conditionalFormatting>
  <conditionalFormatting sqref="A587:C587">
    <cfRule type="expression" priority="1164" aboveAverage="0" equalAverage="0" bottom="0" percent="0" rank="0" text="" dxfId="0">
      <formula>$B587&lt;SinirDeger</formula>
    </cfRule>
    <cfRule type="expression" priority="1165" aboveAverage="0" equalAverage="0" bottom="0" percent="0" rank="0" text="" dxfId="2">
      <formula>$B587&gt;=SinirDeger</formula>
    </cfRule>
  </conditionalFormatting>
  <conditionalFormatting sqref="A588:C588">
    <cfRule type="expression" priority="1166" aboveAverage="0" equalAverage="0" bottom="0" percent="0" rank="0" text="" dxfId="0">
      <formula>$B588&lt;SinirDeger</formula>
    </cfRule>
    <cfRule type="expression" priority="1167" aboveAverage="0" equalAverage="0" bottom="0" percent="0" rank="0" text="" dxfId="2">
      <formula>$B588&gt;=SinirDeger</formula>
    </cfRule>
  </conditionalFormatting>
  <conditionalFormatting sqref="A589:C589">
    <cfRule type="expression" priority="1168" aboveAverage="0" equalAverage="0" bottom="0" percent="0" rank="0" text="" dxfId="0">
      <formula>$B589&lt;SinirDeger</formula>
    </cfRule>
    <cfRule type="expression" priority="1169" aboveAverage="0" equalAverage="0" bottom="0" percent="0" rank="0" text="" dxfId="2">
      <formula>$B589&gt;=SinirDeger</formula>
    </cfRule>
  </conditionalFormatting>
  <conditionalFormatting sqref="A590:C590">
    <cfRule type="expression" priority="1170" aboveAverage="0" equalAverage="0" bottom="0" percent="0" rank="0" text="" dxfId="0">
      <formula>$B590&lt;SinirDeger</formula>
    </cfRule>
    <cfRule type="expression" priority="1171" aboveAverage="0" equalAverage="0" bottom="0" percent="0" rank="0" text="" dxfId="2">
      <formula>$B590&gt;=SinirDeger</formula>
    </cfRule>
  </conditionalFormatting>
  <conditionalFormatting sqref="A591:C591">
    <cfRule type="expression" priority="1172" aboveAverage="0" equalAverage="0" bottom="0" percent="0" rank="0" text="" dxfId="0">
      <formula>$B591&lt;SinirDeger</formula>
    </cfRule>
    <cfRule type="expression" priority="1173" aboveAverage="0" equalAverage="0" bottom="0" percent="0" rank="0" text="" dxfId="2">
      <formula>$B591&gt;=SinirDeger</formula>
    </cfRule>
  </conditionalFormatting>
  <conditionalFormatting sqref="A592:C592">
    <cfRule type="expression" priority="1174" aboveAverage="0" equalAverage="0" bottom="0" percent="0" rank="0" text="" dxfId="0">
      <formula>$B592&lt;SinirDeger</formula>
    </cfRule>
    <cfRule type="expression" priority="1175" aboveAverage="0" equalAverage="0" bottom="0" percent="0" rank="0" text="" dxfId="2">
      <formula>$B592&gt;=SinirDeger</formula>
    </cfRule>
  </conditionalFormatting>
  <conditionalFormatting sqref="A593:C593">
    <cfRule type="expression" priority="1176" aboveAverage="0" equalAverage="0" bottom="0" percent="0" rank="0" text="" dxfId="0">
      <formula>$B593&lt;SinirDeger</formula>
    </cfRule>
    <cfRule type="expression" priority="1177" aboveAverage="0" equalAverage="0" bottom="0" percent="0" rank="0" text="" dxfId="2">
      <formula>$B593&gt;=SinirDeger</formula>
    </cfRule>
  </conditionalFormatting>
  <conditionalFormatting sqref="A594:C594">
    <cfRule type="expression" priority="1178" aboveAverage="0" equalAverage="0" bottom="0" percent="0" rank="0" text="" dxfId="0">
      <formula>$B594&lt;SinirDeger</formula>
    </cfRule>
    <cfRule type="expression" priority="1179" aboveAverage="0" equalAverage="0" bottom="0" percent="0" rank="0" text="" dxfId="2">
      <formula>$B594&gt;=SinirDeger</formula>
    </cfRule>
  </conditionalFormatting>
  <conditionalFormatting sqref="A595:C595">
    <cfRule type="expression" priority="1180" aboveAverage="0" equalAverage="0" bottom="0" percent="0" rank="0" text="" dxfId="0">
      <formula>$B595&lt;SinirDeger</formula>
    </cfRule>
    <cfRule type="expression" priority="1181" aboveAverage="0" equalAverage="0" bottom="0" percent="0" rank="0" text="" dxfId="2">
      <formula>$B595&gt;=SinirDeger</formula>
    </cfRule>
  </conditionalFormatting>
  <conditionalFormatting sqref="A596:C596">
    <cfRule type="expression" priority="1182" aboveAverage="0" equalAverage="0" bottom="0" percent="0" rank="0" text="" dxfId="0">
      <formula>$B596&lt;SinirDeger</formula>
    </cfRule>
    <cfRule type="expression" priority="1183" aboveAverage="0" equalAverage="0" bottom="0" percent="0" rank="0" text="" dxfId="2">
      <formula>$B596&gt;=SinirDeger</formula>
    </cfRule>
  </conditionalFormatting>
  <conditionalFormatting sqref="A597:C597">
    <cfRule type="expression" priority="1184" aboveAverage="0" equalAverage="0" bottom="0" percent="0" rank="0" text="" dxfId="0">
      <formula>$B597&lt;SinirDeger</formula>
    </cfRule>
    <cfRule type="expression" priority="1185" aboveAverage="0" equalAverage="0" bottom="0" percent="0" rank="0" text="" dxfId="2">
      <formula>$B597&gt;=SinirDeger</formula>
    </cfRule>
  </conditionalFormatting>
  <conditionalFormatting sqref="A598:C598">
    <cfRule type="expression" priority="1186" aboveAverage="0" equalAverage="0" bottom="0" percent="0" rank="0" text="" dxfId="0">
      <formula>$B598&lt;SinirDeger</formula>
    </cfRule>
    <cfRule type="expression" priority="1187" aboveAverage="0" equalAverage="0" bottom="0" percent="0" rank="0" text="" dxfId="2">
      <formula>$B598&gt;=SinirDeger</formula>
    </cfRule>
  </conditionalFormatting>
  <conditionalFormatting sqref="A599:C599">
    <cfRule type="expression" priority="1188" aboveAverage="0" equalAverage="0" bottom="0" percent="0" rank="0" text="" dxfId="0">
      <formula>$B599&lt;SinirDeger</formula>
    </cfRule>
    <cfRule type="expression" priority="1189" aboveAverage="0" equalAverage="0" bottom="0" percent="0" rank="0" text="" dxfId="2">
      <formula>$B599&gt;=SinirDeger</formula>
    </cfRule>
  </conditionalFormatting>
  <conditionalFormatting sqref="A600:C600">
    <cfRule type="expression" priority="1190" aboveAverage="0" equalAverage="0" bottom="0" percent="0" rank="0" text="" dxfId="0">
      <formula>$B600&lt;SinirDeger</formula>
    </cfRule>
    <cfRule type="expression" priority="1191" aboveAverage="0" equalAverage="0" bottom="0" percent="0" rank="0" text="" dxfId="2">
      <formula>$B600&gt;=SinirDeger</formula>
    </cfRule>
  </conditionalFormatting>
  <conditionalFormatting sqref="A601:C601">
    <cfRule type="expression" priority="1192" aboveAverage="0" equalAverage="0" bottom="0" percent="0" rank="0" text="" dxfId="0">
      <formula>$B601&lt;SinirDeger</formula>
    </cfRule>
    <cfRule type="expression" priority="1193" aboveAverage="0" equalAverage="0" bottom="0" percent="0" rank="0" text="" dxfId="2">
      <formula>$B601&gt;=SinirDeger</formula>
    </cfRule>
  </conditionalFormatting>
  <conditionalFormatting sqref="A602:C602">
    <cfRule type="expression" priority="1194" aboveAverage="0" equalAverage="0" bottom="0" percent="0" rank="0" text="" dxfId="0">
      <formula>$B602&lt;SinirDeger</formula>
    </cfRule>
    <cfRule type="expression" priority="1195" aboveAverage="0" equalAverage="0" bottom="0" percent="0" rank="0" text="" dxfId="2">
      <formula>$B602&gt;=SinirDeger</formula>
    </cfRule>
  </conditionalFormatting>
  <conditionalFormatting sqref="A603:C603">
    <cfRule type="expression" priority="1196" aboveAverage="0" equalAverage="0" bottom="0" percent="0" rank="0" text="" dxfId="0">
      <formula>$B603&lt;SinirDeger</formula>
    </cfRule>
    <cfRule type="expression" priority="1197" aboveAverage="0" equalAverage="0" bottom="0" percent="0" rank="0" text="" dxfId="2">
      <formula>$B603&gt;=SinirDeger</formula>
    </cfRule>
  </conditionalFormatting>
  <conditionalFormatting sqref="A604:C604">
    <cfRule type="expression" priority="1198" aboveAverage="0" equalAverage="0" bottom="0" percent="0" rank="0" text="" dxfId="0">
      <formula>$B604&lt;SinirDeger</formula>
    </cfRule>
    <cfRule type="expression" priority="1199" aboveAverage="0" equalAverage="0" bottom="0" percent="0" rank="0" text="" dxfId="2">
      <formula>$B604&gt;=SinirDeger</formula>
    </cfRule>
  </conditionalFormatting>
  <conditionalFormatting sqref="A605:C605">
    <cfRule type="expression" priority="1200" aboveAverage="0" equalAverage="0" bottom="0" percent="0" rank="0" text="" dxfId="0">
      <formula>$B605&lt;SinirDeger</formula>
    </cfRule>
    <cfRule type="expression" priority="1201" aboveAverage="0" equalAverage="0" bottom="0" percent="0" rank="0" text="" dxfId="2">
      <formula>$B605&gt;=SinirDeger</formula>
    </cfRule>
  </conditionalFormatting>
  <conditionalFormatting sqref="A606:C606">
    <cfRule type="expression" priority="1202" aboveAverage="0" equalAverage="0" bottom="0" percent="0" rank="0" text="" dxfId="0">
      <formula>$B606&lt;SinirDeger</formula>
    </cfRule>
    <cfRule type="expression" priority="1203" aboveAverage="0" equalAverage="0" bottom="0" percent="0" rank="0" text="" dxfId="2">
      <formula>$B606&gt;=SinirDeger</formula>
    </cfRule>
  </conditionalFormatting>
  <conditionalFormatting sqref="A607:C607">
    <cfRule type="expression" priority="1204" aboveAverage="0" equalAverage="0" bottom="0" percent="0" rank="0" text="" dxfId="0">
      <formula>$B607&lt;SinirDeger</formula>
    </cfRule>
    <cfRule type="expression" priority="1205" aboveAverage="0" equalAverage="0" bottom="0" percent="0" rank="0" text="" dxfId="2">
      <formula>$B607&gt;=SinirDeger</formula>
    </cfRule>
  </conditionalFormatting>
  <conditionalFormatting sqref="A608:C608">
    <cfRule type="expression" priority="1206" aboveAverage="0" equalAverage="0" bottom="0" percent="0" rank="0" text="" dxfId="0">
      <formula>$B608&lt;SinirDeger</formula>
    </cfRule>
    <cfRule type="expression" priority="1207" aboveAverage="0" equalAverage="0" bottom="0" percent="0" rank="0" text="" dxfId="2">
      <formula>$B608&gt;=SinirDeger</formula>
    </cfRule>
  </conditionalFormatting>
  <conditionalFormatting sqref="A609:C609">
    <cfRule type="expression" priority="1208" aboveAverage="0" equalAverage="0" bottom="0" percent="0" rank="0" text="" dxfId="0">
      <formula>$B609&lt;SinirDeger</formula>
    </cfRule>
    <cfRule type="expression" priority="1209" aboveAverage="0" equalAverage="0" bottom="0" percent="0" rank="0" text="" dxfId="2">
      <formula>$B609&gt;=SinirDeger</formula>
    </cfRule>
  </conditionalFormatting>
  <conditionalFormatting sqref="A610:C610">
    <cfRule type="expression" priority="1210" aboveAverage="0" equalAverage="0" bottom="0" percent="0" rank="0" text="" dxfId="0">
      <formula>$B610&lt;SinirDeger</formula>
    </cfRule>
    <cfRule type="expression" priority="1211" aboveAverage="0" equalAverage="0" bottom="0" percent="0" rank="0" text="" dxfId="2">
      <formula>$B610&gt;=SinirDeger</formula>
    </cfRule>
  </conditionalFormatting>
  <conditionalFormatting sqref="A611:C611">
    <cfRule type="expression" priority="1212" aboveAverage="0" equalAverage="0" bottom="0" percent="0" rank="0" text="" dxfId="0">
      <formula>$B611&lt;SinirDeger</formula>
    </cfRule>
    <cfRule type="expression" priority="1213" aboveAverage="0" equalAverage="0" bottom="0" percent="0" rank="0" text="" dxfId="2">
      <formula>$B611&gt;=SinirDeger</formula>
    </cfRule>
  </conditionalFormatting>
  <conditionalFormatting sqref="A612:C612">
    <cfRule type="expression" priority="1214" aboveAverage="0" equalAverage="0" bottom="0" percent="0" rank="0" text="" dxfId="0">
      <formula>$B612&lt;SinirDeger</formula>
    </cfRule>
    <cfRule type="expression" priority="1215" aboveAverage="0" equalAverage="0" bottom="0" percent="0" rank="0" text="" dxfId="2">
      <formula>$B612&gt;=SinirDeger</formula>
    </cfRule>
  </conditionalFormatting>
  <conditionalFormatting sqref="A613:C613">
    <cfRule type="expression" priority="1216" aboveAverage="0" equalAverage="0" bottom="0" percent="0" rank="0" text="" dxfId="0">
      <formula>$B613&lt;SinirDeger</formula>
    </cfRule>
    <cfRule type="expression" priority="1217" aboveAverage="0" equalAverage="0" bottom="0" percent="0" rank="0" text="" dxfId="2">
      <formula>$B613&gt;=SinirDeger</formula>
    </cfRule>
  </conditionalFormatting>
  <conditionalFormatting sqref="A614:C614">
    <cfRule type="expression" priority="1218" aboveAverage="0" equalAverage="0" bottom="0" percent="0" rank="0" text="" dxfId="0">
      <formula>$B614&lt;SinirDeger</formula>
    </cfRule>
    <cfRule type="expression" priority="1219" aboveAverage="0" equalAverage="0" bottom="0" percent="0" rank="0" text="" dxfId="2">
      <formula>$B614&gt;=SinirDeger</formula>
    </cfRule>
  </conditionalFormatting>
  <conditionalFormatting sqref="A615:C615">
    <cfRule type="expression" priority="1220" aboveAverage="0" equalAverage="0" bottom="0" percent="0" rank="0" text="" dxfId="0">
      <formula>$B615&lt;SinirDeger</formula>
    </cfRule>
    <cfRule type="expression" priority="1221" aboveAverage="0" equalAverage="0" bottom="0" percent="0" rank="0" text="" dxfId="2">
      <formula>$B615&gt;=SinirDeger</formula>
    </cfRule>
  </conditionalFormatting>
  <conditionalFormatting sqref="A616:C616">
    <cfRule type="expression" priority="1222" aboveAverage="0" equalAverage="0" bottom="0" percent="0" rank="0" text="" dxfId="0">
      <formula>$B616&lt;SinirDeger</formula>
    </cfRule>
    <cfRule type="expression" priority="1223" aboveAverage="0" equalAverage="0" bottom="0" percent="0" rank="0" text="" dxfId="2">
      <formula>$B616&gt;=SinirDeger</formula>
    </cfRule>
  </conditionalFormatting>
  <conditionalFormatting sqref="A617:C617">
    <cfRule type="expression" priority="1224" aboveAverage="0" equalAverage="0" bottom="0" percent="0" rank="0" text="" dxfId="0">
      <formula>$B617&lt;SinirDeger</formula>
    </cfRule>
    <cfRule type="expression" priority="1225" aboveAverage="0" equalAverage="0" bottom="0" percent="0" rank="0" text="" dxfId="2">
      <formula>$B617&gt;=SinirDeger</formula>
    </cfRule>
  </conditionalFormatting>
  <conditionalFormatting sqref="A618:C618">
    <cfRule type="expression" priority="1226" aboveAverage="0" equalAverage="0" bottom="0" percent="0" rank="0" text="" dxfId="0">
      <formula>$B618&lt;SinirDeger</formula>
    </cfRule>
    <cfRule type="expression" priority="1227" aboveAverage="0" equalAverage="0" bottom="0" percent="0" rank="0" text="" dxfId="2">
      <formula>$B618&gt;=SinirDeger</formula>
    </cfRule>
  </conditionalFormatting>
  <conditionalFormatting sqref="A619:C619">
    <cfRule type="expression" priority="1228" aboveAverage="0" equalAverage="0" bottom="0" percent="0" rank="0" text="" dxfId="0">
      <formula>$B619&lt;SinirDeger</formula>
    </cfRule>
    <cfRule type="expression" priority="1229" aboveAverage="0" equalAverage="0" bottom="0" percent="0" rank="0" text="" dxfId="2">
      <formula>$B619&gt;=SinirDeger</formula>
    </cfRule>
  </conditionalFormatting>
  <conditionalFormatting sqref="A620:C620">
    <cfRule type="expression" priority="1230" aboveAverage="0" equalAverage="0" bottom="0" percent="0" rank="0" text="" dxfId="0">
      <formula>$B620&lt;SinirDeger</formula>
    </cfRule>
    <cfRule type="expression" priority="1231" aboveAverage="0" equalAverage="0" bottom="0" percent="0" rank="0" text="" dxfId="2">
      <formula>$B620&gt;=SinirDeger</formula>
    </cfRule>
  </conditionalFormatting>
  <conditionalFormatting sqref="A621:C621">
    <cfRule type="expression" priority="1232" aboveAverage="0" equalAverage="0" bottom="0" percent="0" rank="0" text="" dxfId="0">
      <formula>$B621&lt;SinirDeger</formula>
    </cfRule>
    <cfRule type="expression" priority="1233" aboveAverage="0" equalAverage="0" bottom="0" percent="0" rank="0" text="" dxfId="2">
      <formula>$B621&gt;=SinirDeger</formula>
    </cfRule>
  </conditionalFormatting>
  <conditionalFormatting sqref="A622:C622">
    <cfRule type="expression" priority="1234" aboveAverage="0" equalAverage="0" bottom="0" percent="0" rank="0" text="" dxfId="0">
      <formula>$B622&lt;SinirDeger</formula>
    </cfRule>
    <cfRule type="expression" priority="1235" aboveAverage="0" equalAverage="0" bottom="0" percent="0" rank="0" text="" dxfId="2">
      <formula>$B622&gt;=SinirDeger</formula>
    </cfRule>
  </conditionalFormatting>
  <conditionalFormatting sqref="A623:C623">
    <cfRule type="expression" priority="1236" aboveAverage="0" equalAverage="0" bottom="0" percent="0" rank="0" text="" dxfId="0">
      <formula>$B623&lt;SinirDeger</formula>
    </cfRule>
    <cfRule type="expression" priority="1237" aboveAverage="0" equalAverage="0" bottom="0" percent="0" rank="0" text="" dxfId="2">
      <formula>$B623&gt;=SinirDeger</formula>
    </cfRule>
  </conditionalFormatting>
  <conditionalFormatting sqref="A624:C624">
    <cfRule type="expression" priority="1238" aboveAverage="0" equalAverage="0" bottom="0" percent="0" rank="0" text="" dxfId="0">
      <formula>$B624&lt;SinirDeger</formula>
    </cfRule>
    <cfRule type="expression" priority="1239" aboveAverage="0" equalAverage="0" bottom="0" percent="0" rank="0" text="" dxfId="2">
      <formula>$B624&gt;=SinirDeger</formula>
    </cfRule>
  </conditionalFormatting>
  <conditionalFormatting sqref="A625:C625">
    <cfRule type="expression" priority="1240" aboveAverage="0" equalAverage="0" bottom="0" percent="0" rank="0" text="" dxfId="0">
      <formula>$B625&lt;SinirDeger</formula>
    </cfRule>
    <cfRule type="expression" priority="1241" aboveAverage="0" equalAverage="0" bottom="0" percent="0" rank="0" text="" dxfId="2">
      <formula>$B625&gt;=SinirDeger</formula>
    </cfRule>
  </conditionalFormatting>
  <conditionalFormatting sqref="A626:C626">
    <cfRule type="expression" priority="1242" aboveAverage="0" equalAverage="0" bottom="0" percent="0" rank="0" text="" dxfId="0">
      <formula>$B626&lt;SinirDeger</formula>
    </cfRule>
    <cfRule type="expression" priority="1243" aboveAverage="0" equalAverage="0" bottom="0" percent="0" rank="0" text="" dxfId="2">
      <formula>$B626&gt;=SinirDeger</formula>
    </cfRule>
  </conditionalFormatting>
  <conditionalFormatting sqref="A627:C627">
    <cfRule type="expression" priority="1244" aboveAverage="0" equalAverage="0" bottom="0" percent="0" rank="0" text="" dxfId="0">
      <formula>$B627&lt;SinirDeger</formula>
    </cfRule>
    <cfRule type="expression" priority="1245" aboveAverage="0" equalAverage="0" bottom="0" percent="0" rank="0" text="" dxfId="2">
      <formula>$B627&gt;=SinirDeger</formula>
    </cfRule>
  </conditionalFormatting>
  <conditionalFormatting sqref="A628:C628">
    <cfRule type="expression" priority="1246" aboveAverage="0" equalAverage="0" bottom="0" percent="0" rank="0" text="" dxfId="0">
      <formula>$B628&lt;SinirDeger</formula>
    </cfRule>
    <cfRule type="expression" priority="1247" aboveAverage="0" equalAverage="0" bottom="0" percent="0" rank="0" text="" dxfId="2">
      <formula>$B628&gt;=SinirDeger</formula>
    </cfRule>
  </conditionalFormatting>
  <conditionalFormatting sqref="A629:C629">
    <cfRule type="expression" priority="1248" aboveAverage="0" equalAverage="0" bottom="0" percent="0" rank="0" text="" dxfId="0">
      <formula>$B629&lt;SinirDeger</formula>
    </cfRule>
    <cfRule type="expression" priority="1249" aboveAverage="0" equalAverage="0" bottom="0" percent="0" rank="0" text="" dxfId="2">
      <formula>$B629&gt;=SinirDeger</formula>
    </cfRule>
  </conditionalFormatting>
  <conditionalFormatting sqref="A630:C630">
    <cfRule type="expression" priority="1250" aboveAverage="0" equalAverage="0" bottom="0" percent="0" rank="0" text="" dxfId="0">
      <formula>$B630&lt;SinirDeger</formula>
    </cfRule>
    <cfRule type="expression" priority="1251" aboveAverage="0" equalAverage="0" bottom="0" percent="0" rank="0" text="" dxfId="2">
      <formula>$B630&gt;=SinirDeger</formula>
    </cfRule>
  </conditionalFormatting>
  <conditionalFormatting sqref="A631:C631">
    <cfRule type="expression" priority="1252" aboveAverage="0" equalAverage="0" bottom="0" percent="0" rank="0" text="" dxfId="0">
      <formula>$B631&lt;SinirDeger</formula>
    </cfRule>
    <cfRule type="expression" priority="1253" aboveAverage="0" equalAverage="0" bottom="0" percent="0" rank="0" text="" dxfId="2">
      <formula>$B631&gt;=SinirDeger</formula>
    </cfRule>
  </conditionalFormatting>
  <conditionalFormatting sqref="A632:C632">
    <cfRule type="expression" priority="1254" aboveAverage="0" equalAverage="0" bottom="0" percent="0" rank="0" text="" dxfId="0">
      <formula>$B632&lt;SinirDeger</formula>
    </cfRule>
    <cfRule type="expression" priority="1255" aboveAverage="0" equalAverage="0" bottom="0" percent="0" rank="0" text="" dxfId="2">
      <formula>$B632&gt;=SinirDeger</formula>
    </cfRule>
  </conditionalFormatting>
  <conditionalFormatting sqref="A633:C633">
    <cfRule type="expression" priority="1256" aboveAverage="0" equalAverage="0" bottom="0" percent="0" rank="0" text="" dxfId="0">
      <formula>$B633&lt;SinirDeger</formula>
    </cfRule>
    <cfRule type="expression" priority="1257" aboveAverage="0" equalAverage="0" bottom="0" percent="0" rank="0" text="" dxfId="2">
      <formula>$B633&gt;=SinirDeger</formula>
    </cfRule>
  </conditionalFormatting>
  <conditionalFormatting sqref="A634:C634">
    <cfRule type="expression" priority="1258" aboveAverage="0" equalAverage="0" bottom="0" percent="0" rank="0" text="" dxfId="0">
      <formula>$B634&lt;SinirDeger</formula>
    </cfRule>
    <cfRule type="expression" priority="1259" aboveAverage="0" equalAverage="0" bottom="0" percent="0" rank="0" text="" dxfId="2">
      <formula>$B634&gt;=SinirDeger</formula>
    </cfRule>
  </conditionalFormatting>
  <conditionalFormatting sqref="A635:C635">
    <cfRule type="expression" priority="1260" aboveAverage="0" equalAverage="0" bottom="0" percent="0" rank="0" text="" dxfId="0">
      <formula>$B635&lt;SinirDeger</formula>
    </cfRule>
    <cfRule type="expression" priority="1261" aboveAverage="0" equalAverage="0" bottom="0" percent="0" rank="0" text="" dxfId="2">
      <formula>$B635&gt;=SinirDeger</formula>
    </cfRule>
  </conditionalFormatting>
  <conditionalFormatting sqref="A636:C636">
    <cfRule type="expression" priority="1262" aboveAverage="0" equalAverage="0" bottom="0" percent="0" rank="0" text="" dxfId="0">
      <formula>$B636&lt;SinirDeger</formula>
    </cfRule>
    <cfRule type="expression" priority="1263" aboveAverage="0" equalAverage="0" bottom="0" percent="0" rank="0" text="" dxfId="2">
      <formula>$B636&gt;=SinirDeger</formula>
    </cfRule>
  </conditionalFormatting>
  <conditionalFormatting sqref="A637:C637">
    <cfRule type="expression" priority="1264" aboveAverage="0" equalAverage="0" bottom="0" percent="0" rank="0" text="" dxfId="0">
      <formula>$B637&lt;SinirDeger</formula>
    </cfRule>
    <cfRule type="expression" priority="1265" aboveAverage="0" equalAverage="0" bottom="0" percent="0" rank="0" text="" dxfId="2">
      <formula>$B637&gt;=SinirDeger</formula>
    </cfRule>
  </conditionalFormatting>
  <conditionalFormatting sqref="A638:C638">
    <cfRule type="expression" priority="1266" aboveAverage="0" equalAverage="0" bottom="0" percent="0" rank="0" text="" dxfId="0">
      <formula>$B638&lt;SinirDeger</formula>
    </cfRule>
    <cfRule type="expression" priority="1267" aboveAverage="0" equalAverage="0" bottom="0" percent="0" rank="0" text="" dxfId="2">
      <formula>$B638&gt;=SinirDeger</formula>
    </cfRule>
  </conditionalFormatting>
  <conditionalFormatting sqref="A639:C639">
    <cfRule type="expression" priority="1268" aboveAverage="0" equalAverage="0" bottom="0" percent="0" rank="0" text="" dxfId="0">
      <formula>$B639&lt;SinirDeger</formula>
    </cfRule>
    <cfRule type="expression" priority="1269" aboveAverage="0" equalAverage="0" bottom="0" percent="0" rank="0" text="" dxfId="2">
      <formula>$B639&gt;=SinirDeger</formula>
    </cfRule>
  </conditionalFormatting>
  <conditionalFormatting sqref="A640:C640">
    <cfRule type="expression" priority="1270" aboveAverage="0" equalAverage="0" bottom="0" percent="0" rank="0" text="" dxfId="0">
      <formula>$B640&lt;SinirDeger</formula>
    </cfRule>
    <cfRule type="expression" priority="1271" aboveAverage="0" equalAverage="0" bottom="0" percent="0" rank="0" text="" dxfId="2">
      <formula>$B640&gt;=SinirDeger</formula>
    </cfRule>
  </conditionalFormatting>
  <conditionalFormatting sqref="A641:C641">
    <cfRule type="expression" priority="1272" aboveAverage="0" equalAverage="0" bottom="0" percent="0" rank="0" text="" dxfId="0">
      <formula>$B641&lt;SinirDeger</formula>
    </cfRule>
    <cfRule type="expression" priority="1273" aboveAverage="0" equalAverage="0" bottom="0" percent="0" rank="0" text="" dxfId="2">
      <formula>$B641&gt;=SinirDeger</formula>
    </cfRule>
  </conditionalFormatting>
  <conditionalFormatting sqref="A642:C642">
    <cfRule type="expression" priority="1274" aboveAverage="0" equalAverage="0" bottom="0" percent="0" rank="0" text="" dxfId="0">
      <formula>$B642&lt;SinirDeger</formula>
    </cfRule>
    <cfRule type="expression" priority="1275" aboveAverage="0" equalAverage="0" bottom="0" percent="0" rank="0" text="" dxfId="2">
      <formula>$B642&gt;=SinirDeger</formula>
    </cfRule>
  </conditionalFormatting>
  <conditionalFormatting sqref="A643:C643">
    <cfRule type="expression" priority="1276" aboveAverage="0" equalAverage="0" bottom="0" percent="0" rank="0" text="" dxfId="0">
      <formula>$B643&lt;SinirDeger</formula>
    </cfRule>
    <cfRule type="expression" priority="1277" aboveAverage="0" equalAverage="0" bottom="0" percent="0" rank="0" text="" dxfId="2">
      <formula>$B643&gt;=SinirDeger</formula>
    </cfRule>
  </conditionalFormatting>
  <conditionalFormatting sqref="A644:C644">
    <cfRule type="expression" priority="1278" aboveAverage="0" equalAverage="0" bottom="0" percent="0" rank="0" text="" dxfId="0">
      <formula>$B644&lt;SinirDeger</formula>
    </cfRule>
    <cfRule type="expression" priority="1279" aboveAverage="0" equalAverage="0" bottom="0" percent="0" rank="0" text="" dxfId="2">
      <formula>$B644&gt;=SinirDeger</formula>
    </cfRule>
  </conditionalFormatting>
  <conditionalFormatting sqref="A645:C645">
    <cfRule type="expression" priority="1280" aboveAverage="0" equalAverage="0" bottom="0" percent="0" rank="0" text="" dxfId="0">
      <formula>$B645&lt;SinirDeger</formula>
    </cfRule>
    <cfRule type="expression" priority="1281" aboveAverage="0" equalAverage="0" bottom="0" percent="0" rank="0" text="" dxfId="2">
      <formula>$B645&gt;=SinirDeger</formula>
    </cfRule>
  </conditionalFormatting>
  <conditionalFormatting sqref="A646:C646">
    <cfRule type="expression" priority="1282" aboveAverage="0" equalAverage="0" bottom="0" percent="0" rank="0" text="" dxfId="0">
      <formula>$B646&lt;SinirDeger</formula>
    </cfRule>
    <cfRule type="expression" priority="1283" aboveAverage="0" equalAverage="0" bottom="0" percent="0" rank="0" text="" dxfId="2">
      <formula>$B646&gt;=SinirDeger</formula>
    </cfRule>
  </conditionalFormatting>
  <conditionalFormatting sqref="A647:C647">
    <cfRule type="expression" priority="1284" aboveAverage="0" equalAverage="0" bottom="0" percent="0" rank="0" text="" dxfId="0">
      <formula>$B647&lt;SinirDeger</formula>
    </cfRule>
    <cfRule type="expression" priority="1285" aboveAverage="0" equalAverage="0" bottom="0" percent="0" rank="0" text="" dxfId="2">
      <formula>$B647&gt;=SinirDeger</formula>
    </cfRule>
  </conditionalFormatting>
  <conditionalFormatting sqref="A648:C648">
    <cfRule type="expression" priority="1286" aboveAverage="0" equalAverage="0" bottom="0" percent="0" rank="0" text="" dxfId="0">
      <formula>$B648&lt;SinirDeger</formula>
    </cfRule>
    <cfRule type="expression" priority="1287" aboveAverage="0" equalAverage="0" bottom="0" percent="0" rank="0" text="" dxfId="2">
      <formula>$B648&gt;=SinirDeger</formula>
    </cfRule>
  </conditionalFormatting>
  <conditionalFormatting sqref="A649:C649">
    <cfRule type="expression" priority="1288" aboveAverage="0" equalAverage="0" bottom="0" percent="0" rank="0" text="" dxfId="0">
      <formula>$B649&lt;SinirDeger</formula>
    </cfRule>
    <cfRule type="expression" priority="1289" aboveAverage="0" equalAverage="0" bottom="0" percent="0" rank="0" text="" dxfId="2">
      <formula>$B649&gt;=SinirDeger</formula>
    </cfRule>
  </conditionalFormatting>
  <conditionalFormatting sqref="A650:C650">
    <cfRule type="expression" priority="1290" aboveAverage="0" equalAverage="0" bottom="0" percent="0" rank="0" text="" dxfId="0">
      <formula>$B650&lt;SinirDeger</formula>
    </cfRule>
    <cfRule type="expression" priority="1291" aboveAverage="0" equalAverage="0" bottom="0" percent="0" rank="0" text="" dxfId="2">
      <formula>$B650&gt;=SinirDeger</formula>
    </cfRule>
  </conditionalFormatting>
  <conditionalFormatting sqref="A651:C651">
    <cfRule type="expression" priority="1292" aboveAverage="0" equalAverage="0" bottom="0" percent="0" rank="0" text="" dxfId="0">
      <formula>$B651&lt;SinirDeger</formula>
    </cfRule>
    <cfRule type="expression" priority="1293" aboveAverage="0" equalAverage="0" bottom="0" percent="0" rank="0" text="" dxfId="2">
      <formula>$B651&gt;=SinirDeger</formula>
    </cfRule>
  </conditionalFormatting>
  <conditionalFormatting sqref="A652:C652">
    <cfRule type="expression" priority="1294" aboveAverage="0" equalAverage="0" bottom="0" percent="0" rank="0" text="" dxfId="0">
      <formula>$B652&lt;SinirDeger</formula>
    </cfRule>
    <cfRule type="expression" priority="1295" aboveAverage="0" equalAverage="0" bottom="0" percent="0" rank="0" text="" dxfId="2">
      <formula>$B652&gt;=SinirDeger</formula>
    </cfRule>
  </conditionalFormatting>
  <conditionalFormatting sqref="A653:C653">
    <cfRule type="expression" priority="1296" aboveAverage="0" equalAverage="0" bottom="0" percent="0" rank="0" text="" dxfId="0">
      <formula>$B653&lt;SinirDeger</formula>
    </cfRule>
    <cfRule type="expression" priority="1297" aboveAverage="0" equalAverage="0" bottom="0" percent="0" rank="0" text="" dxfId="2">
      <formula>$B653&gt;=SinirDeger</formula>
    </cfRule>
  </conditionalFormatting>
  <conditionalFormatting sqref="A654:C654">
    <cfRule type="expression" priority="1298" aboveAverage="0" equalAverage="0" bottom="0" percent="0" rank="0" text="" dxfId="0">
      <formula>$B654&lt;SinirDeger</formula>
    </cfRule>
    <cfRule type="expression" priority="1299" aboveAverage="0" equalAverage="0" bottom="0" percent="0" rank="0" text="" dxfId="2">
      <formula>$B654&gt;=SinirDeger</formula>
    </cfRule>
  </conditionalFormatting>
  <conditionalFormatting sqref="A655:C655">
    <cfRule type="expression" priority="1300" aboveAverage="0" equalAverage="0" bottom="0" percent="0" rank="0" text="" dxfId="0">
      <formula>$B655&lt;SinirDeger</formula>
    </cfRule>
    <cfRule type="expression" priority="1301" aboveAverage="0" equalAverage="0" bottom="0" percent="0" rank="0" text="" dxfId="2">
      <formula>$B655&gt;=SinirDeger</formula>
    </cfRule>
  </conditionalFormatting>
  <conditionalFormatting sqref="A656:C656">
    <cfRule type="expression" priority="1302" aboveAverage="0" equalAverage="0" bottom="0" percent="0" rank="0" text="" dxfId="0">
      <formula>$B656&lt;SinirDeger</formula>
    </cfRule>
    <cfRule type="expression" priority="1303" aboveAverage="0" equalAverage="0" bottom="0" percent="0" rank="0" text="" dxfId="2">
      <formula>$B656&gt;=SinirDeger</formula>
    </cfRule>
  </conditionalFormatting>
  <conditionalFormatting sqref="A657:C657">
    <cfRule type="expression" priority="1304" aboveAverage="0" equalAverage="0" bottom="0" percent="0" rank="0" text="" dxfId="0">
      <formula>$B657&lt;SinirDeger</formula>
    </cfRule>
    <cfRule type="expression" priority="1305" aboveAverage="0" equalAverage="0" bottom="0" percent="0" rank="0" text="" dxfId="2">
      <formula>$B657&gt;=SinirDeger</formula>
    </cfRule>
  </conditionalFormatting>
  <conditionalFormatting sqref="A658:C658">
    <cfRule type="expression" priority="1306" aboveAverage="0" equalAverage="0" bottom="0" percent="0" rank="0" text="" dxfId="0">
      <formula>$B658&lt;SinirDeger</formula>
    </cfRule>
    <cfRule type="expression" priority="1307" aboveAverage="0" equalAverage="0" bottom="0" percent="0" rank="0" text="" dxfId="2">
      <formula>$B658&gt;=SinirDeger</formula>
    </cfRule>
  </conditionalFormatting>
  <conditionalFormatting sqref="A659:C659">
    <cfRule type="expression" priority="1308" aboveAverage="0" equalAverage="0" bottom="0" percent="0" rank="0" text="" dxfId="0">
      <formula>$B659&lt;SinirDeger</formula>
    </cfRule>
    <cfRule type="expression" priority="1309" aboveAverage="0" equalAverage="0" bottom="0" percent="0" rank="0" text="" dxfId="2">
      <formula>$B659&gt;=SinirDeger</formula>
    </cfRule>
  </conditionalFormatting>
  <conditionalFormatting sqref="A660:C660">
    <cfRule type="expression" priority="1310" aboveAverage="0" equalAverage="0" bottom="0" percent="0" rank="0" text="" dxfId="0">
      <formula>$B660&lt;SinirDeger</formula>
    </cfRule>
    <cfRule type="expression" priority="1311" aboveAverage="0" equalAverage="0" bottom="0" percent="0" rank="0" text="" dxfId="2">
      <formula>$B660&gt;=SinirDeger</formula>
    </cfRule>
  </conditionalFormatting>
  <conditionalFormatting sqref="A661:C661">
    <cfRule type="expression" priority="1312" aboveAverage="0" equalAverage="0" bottom="0" percent="0" rank="0" text="" dxfId="0">
      <formula>$B661&lt;SinirDeger</formula>
    </cfRule>
    <cfRule type="expression" priority="1313" aboveAverage="0" equalAverage="0" bottom="0" percent="0" rank="0" text="" dxfId="2">
      <formula>$B661&gt;=SinirDeger</formula>
    </cfRule>
  </conditionalFormatting>
  <conditionalFormatting sqref="A662:C662">
    <cfRule type="expression" priority="1314" aboveAverage="0" equalAverage="0" bottom="0" percent="0" rank="0" text="" dxfId="0">
      <formula>$B662&lt;SinirDeger</formula>
    </cfRule>
    <cfRule type="expression" priority="1315" aboveAverage="0" equalAverage="0" bottom="0" percent="0" rank="0" text="" dxfId="2">
      <formula>$B662&gt;=SinirDeger</formula>
    </cfRule>
  </conditionalFormatting>
  <conditionalFormatting sqref="A663:C663">
    <cfRule type="expression" priority="1316" aboveAverage="0" equalAverage="0" bottom="0" percent="0" rank="0" text="" dxfId="0">
      <formula>$B663&lt;SinirDeger</formula>
    </cfRule>
    <cfRule type="expression" priority="1317" aboveAverage="0" equalAverage="0" bottom="0" percent="0" rank="0" text="" dxfId="2">
      <formula>$B663&gt;=SinirDeger</formula>
    </cfRule>
  </conditionalFormatting>
  <conditionalFormatting sqref="A664:C664">
    <cfRule type="expression" priority="1318" aboveAverage="0" equalAverage="0" bottom="0" percent="0" rank="0" text="" dxfId="0">
      <formula>$B664&lt;SinirDeger</formula>
    </cfRule>
    <cfRule type="expression" priority="1319" aboveAverage="0" equalAverage="0" bottom="0" percent="0" rank="0" text="" dxfId="2">
      <formula>$B664&gt;=SinirDeger</formula>
    </cfRule>
  </conditionalFormatting>
  <conditionalFormatting sqref="A665:C665">
    <cfRule type="expression" priority="1320" aboveAverage="0" equalAverage="0" bottom="0" percent="0" rank="0" text="" dxfId="0">
      <formula>$B665&lt;SinirDeger</formula>
    </cfRule>
    <cfRule type="expression" priority="1321" aboveAverage="0" equalAverage="0" bottom="0" percent="0" rank="0" text="" dxfId="2">
      <formula>$B665&gt;=SinirDeger</formula>
    </cfRule>
  </conditionalFormatting>
  <conditionalFormatting sqref="A666:C666">
    <cfRule type="expression" priority="1322" aboveAverage="0" equalAverage="0" bottom="0" percent="0" rank="0" text="" dxfId="0">
      <formula>$B666&lt;SinirDeger</formula>
    </cfRule>
    <cfRule type="expression" priority="1323" aboveAverage="0" equalAverage="0" bottom="0" percent="0" rank="0" text="" dxfId="2">
      <formula>$B666&gt;=SinirDeger</formula>
    </cfRule>
  </conditionalFormatting>
  <conditionalFormatting sqref="A667:C667">
    <cfRule type="expression" priority="1324" aboveAverage="0" equalAverage="0" bottom="0" percent="0" rank="0" text="" dxfId="0">
      <formula>$B667&lt;SinirDeger</formula>
    </cfRule>
    <cfRule type="expression" priority="1325" aboveAverage="0" equalAverage="0" bottom="0" percent="0" rank="0" text="" dxfId="2">
      <formula>$B667&gt;=SinirDeger</formula>
    </cfRule>
  </conditionalFormatting>
  <conditionalFormatting sqref="A668:C668">
    <cfRule type="expression" priority="1326" aboveAverage="0" equalAverage="0" bottom="0" percent="0" rank="0" text="" dxfId="0">
      <formula>$B668&lt;SinirDeger</formula>
    </cfRule>
    <cfRule type="expression" priority="1327" aboveAverage="0" equalAverage="0" bottom="0" percent="0" rank="0" text="" dxfId="2">
      <formula>$B668&gt;=SinirDeger</formula>
    </cfRule>
  </conditionalFormatting>
  <conditionalFormatting sqref="A669:C669">
    <cfRule type="expression" priority="1328" aboveAverage="0" equalAverage="0" bottom="0" percent="0" rank="0" text="" dxfId="0">
      <formula>$B669&lt;SinirDeger</formula>
    </cfRule>
    <cfRule type="expression" priority="1329" aboveAverage="0" equalAverage="0" bottom="0" percent="0" rank="0" text="" dxfId="2">
      <formula>$B669&gt;=SinirDeger</formula>
    </cfRule>
  </conditionalFormatting>
  <conditionalFormatting sqref="A670:C670">
    <cfRule type="expression" priority="1330" aboveAverage="0" equalAverage="0" bottom="0" percent="0" rank="0" text="" dxfId="0">
      <formula>$B670&lt;SinirDeger</formula>
    </cfRule>
    <cfRule type="expression" priority="1331" aboveAverage="0" equalAverage="0" bottom="0" percent="0" rank="0" text="" dxfId="2">
      <formula>$B670&gt;=SinirDeger</formula>
    </cfRule>
  </conditionalFormatting>
  <conditionalFormatting sqref="A671:C671">
    <cfRule type="expression" priority="1332" aboveAverage="0" equalAverage="0" bottom="0" percent="0" rank="0" text="" dxfId="0">
      <formula>$B671&lt;SinirDeger</formula>
    </cfRule>
    <cfRule type="expression" priority="1333" aboveAverage="0" equalAverage="0" bottom="0" percent="0" rank="0" text="" dxfId="2">
      <formula>$B671&gt;=SinirDeger</formula>
    </cfRule>
  </conditionalFormatting>
  <conditionalFormatting sqref="A672:C672">
    <cfRule type="expression" priority="1334" aboveAverage="0" equalAverage="0" bottom="0" percent="0" rank="0" text="" dxfId="0">
      <formula>$B672&lt;SinirDeger</formula>
    </cfRule>
    <cfRule type="expression" priority="1335" aboveAverage="0" equalAverage="0" bottom="0" percent="0" rank="0" text="" dxfId="2">
      <formula>$B672&gt;=SinirDeger</formula>
    </cfRule>
  </conditionalFormatting>
  <conditionalFormatting sqref="A673:C673">
    <cfRule type="expression" priority="1336" aboveAverage="0" equalAverage="0" bottom="0" percent="0" rank="0" text="" dxfId="0">
      <formula>$B673&lt;SinirDeger</formula>
    </cfRule>
    <cfRule type="expression" priority="1337" aboveAverage="0" equalAverage="0" bottom="0" percent="0" rank="0" text="" dxfId="2">
      <formula>$B673&gt;=SinirDeger</formula>
    </cfRule>
  </conditionalFormatting>
  <conditionalFormatting sqref="A674:C674">
    <cfRule type="expression" priority="1338" aboveAverage="0" equalAverage="0" bottom="0" percent="0" rank="0" text="" dxfId="0">
      <formula>$B674&lt;SinirDeger</formula>
    </cfRule>
    <cfRule type="expression" priority="1339" aboveAverage="0" equalAverage="0" bottom="0" percent="0" rank="0" text="" dxfId="2">
      <formula>$B674&gt;=SinirDeger</formula>
    </cfRule>
  </conditionalFormatting>
  <conditionalFormatting sqref="A675:C675">
    <cfRule type="expression" priority="1340" aboveAverage="0" equalAverage="0" bottom="0" percent="0" rank="0" text="" dxfId="0">
      <formula>$B675&lt;SinirDeger</formula>
    </cfRule>
    <cfRule type="expression" priority="1341" aboveAverage="0" equalAverage="0" bottom="0" percent="0" rank="0" text="" dxfId="2">
      <formula>$B675&gt;=SinirDeger</formula>
    </cfRule>
  </conditionalFormatting>
  <conditionalFormatting sqref="A676:C676">
    <cfRule type="expression" priority="1342" aboveAverage="0" equalAverage="0" bottom="0" percent="0" rank="0" text="" dxfId="0">
      <formula>$B676&lt;SinirDeger</formula>
    </cfRule>
    <cfRule type="expression" priority="1343" aboveAverage="0" equalAverage="0" bottom="0" percent="0" rank="0" text="" dxfId="2">
      <formula>$B676&gt;=SinirDeger</formula>
    </cfRule>
  </conditionalFormatting>
  <conditionalFormatting sqref="A677:C677">
    <cfRule type="expression" priority="1344" aboveAverage="0" equalAverage="0" bottom="0" percent="0" rank="0" text="" dxfId="0">
      <formula>$B677&lt;SinirDeger</formula>
    </cfRule>
    <cfRule type="expression" priority="1345" aboveAverage="0" equalAverage="0" bottom="0" percent="0" rank="0" text="" dxfId="2">
      <formula>$B677&gt;=SinirDeger</formula>
    </cfRule>
  </conditionalFormatting>
  <conditionalFormatting sqref="A678:C678">
    <cfRule type="expression" priority="1346" aboveAverage="0" equalAverage="0" bottom="0" percent="0" rank="0" text="" dxfId="0">
      <formula>$B678&lt;SinirDeger</formula>
    </cfRule>
    <cfRule type="expression" priority="1347" aboveAverage="0" equalAverage="0" bottom="0" percent="0" rank="0" text="" dxfId="2">
      <formula>$B678&gt;=SinirDeger</formula>
    </cfRule>
  </conditionalFormatting>
  <conditionalFormatting sqref="A679:C679">
    <cfRule type="expression" priority="1348" aboveAverage="0" equalAverage="0" bottom="0" percent="0" rank="0" text="" dxfId="0">
      <formula>$B679&lt;SinirDeger</formula>
    </cfRule>
    <cfRule type="expression" priority="1349" aboveAverage="0" equalAverage="0" bottom="0" percent="0" rank="0" text="" dxfId="2">
      <formula>$B679&gt;=SinirDeger</formula>
    </cfRule>
  </conditionalFormatting>
  <conditionalFormatting sqref="A680:C680">
    <cfRule type="expression" priority="1350" aboveAverage="0" equalAverage="0" bottom="0" percent="0" rank="0" text="" dxfId="0">
      <formula>$B680&lt;SinirDeger</formula>
    </cfRule>
    <cfRule type="expression" priority="1351" aboveAverage="0" equalAverage="0" bottom="0" percent="0" rank="0" text="" dxfId="2">
      <formula>$B680&gt;=SinirDeger</formula>
    </cfRule>
  </conditionalFormatting>
  <conditionalFormatting sqref="A681:C681">
    <cfRule type="expression" priority="1352" aboveAverage="0" equalAverage="0" bottom="0" percent="0" rank="0" text="" dxfId="0">
      <formula>$B681&lt;SinirDeger</formula>
    </cfRule>
    <cfRule type="expression" priority="1353" aboveAverage="0" equalAverage="0" bottom="0" percent="0" rank="0" text="" dxfId="2">
      <formula>$B681&gt;=SinirDeger</formula>
    </cfRule>
  </conditionalFormatting>
  <conditionalFormatting sqref="A682:C682">
    <cfRule type="expression" priority="1354" aboveAverage="0" equalAverage="0" bottom="0" percent="0" rank="0" text="" dxfId="0">
      <formula>$B682&lt;SinirDeger</formula>
    </cfRule>
    <cfRule type="expression" priority="1355" aboveAverage="0" equalAverage="0" bottom="0" percent="0" rank="0" text="" dxfId="2">
      <formula>$B682&gt;=SinirDeger</formula>
    </cfRule>
  </conditionalFormatting>
  <conditionalFormatting sqref="A683:C683">
    <cfRule type="expression" priority="1356" aboveAverage="0" equalAverage="0" bottom="0" percent="0" rank="0" text="" dxfId="0">
      <formula>$B683&lt;SinirDeger</formula>
    </cfRule>
    <cfRule type="expression" priority="1357" aboveAverage="0" equalAverage="0" bottom="0" percent="0" rank="0" text="" dxfId="2">
      <formula>$B683&gt;=SinirDeger</formula>
    </cfRule>
  </conditionalFormatting>
  <conditionalFormatting sqref="A684:C684">
    <cfRule type="expression" priority="1358" aboveAverage="0" equalAverage="0" bottom="0" percent="0" rank="0" text="" dxfId="0">
      <formula>$B684&lt;SinirDeger</formula>
    </cfRule>
    <cfRule type="expression" priority="1359" aboveAverage="0" equalAverage="0" bottom="0" percent="0" rank="0" text="" dxfId="2">
      <formula>$B684&gt;=SinirDeger</formula>
    </cfRule>
  </conditionalFormatting>
  <conditionalFormatting sqref="A685:C685">
    <cfRule type="expression" priority="1360" aboveAverage="0" equalAverage="0" bottom="0" percent="0" rank="0" text="" dxfId="0">
      <formula>$B685&lt;SinirDeger</formula>
    </cfRule>
    <cfRule type="expression" priority="1361" aboveAverage="0" equalAverage="0" bottom="0" percent="0" rank="0" text="" dxfId="2">
      <formula>$B685&gt;=SinirDeger</formula>
    </cfRule>
  </conditionalFormatting>
  <conditionalFormatting sqref="A686:C686">
    <cfRule type="expression" priority="1362" aboveAverage="0" equalAverage="0" bottom="0" percent="0" rank="0" text="" dxfId="0">
      <formula>$B686&lt;SinirDeger</formula>
    </cfRule>
    <cfRule type="expression" priority="1363" aboveAverage="0" equalAverage="0" bottom="0" percent="0" rank="0" text="" dxfId="2">
      <formula>$B686&gt;=SinirDeger</formula>
    </cfRule>
  </conditionalFormatting>
  <conditionalFormatting sqref="A687:C687">
    <cfRule type="expression" priority="1364" aboveAverage="0" equalAverage="0" bottom="0" percent="0" rank="0" text="" dxfId="0">
      <formula>$B687&lt;SinirDeger</formula>
    </cfRule>
    <cfRule type="expression" priority="1365" aboveAverage="0" equalAverage="0" bottom="0" percent="0" rank="0" text="" dxfId="2">
      <formula>$B687&gt;=SinirDeger</formula>
    </cfRule>
  </conditionalFormatting>
  <conditionalFormatting sqref="A688:C688">
    <cfRule type="expression" priority="1366" aboveAverage="0" equalAverage="0" bottom="0" percent="0" rank="0" text="" dxfId="0">
      <formula>$B688&lt;SinirDeger</formula>
    </cfRule>
    <cfRule type="expression" priority="1367" aboveAverage="0" equalAverage="0" bottom="0" percent="0" rank="0" text="" dxfId="2">
      <formula>$B688&gt;=SinirDeger</formula>
    </cfRule>
  </conditionalFormatting>
  <conditionalFormatting sqref="A689:C689">
    <cfRule type="expression" priority="1368" aboveAverage="0" equalAverage="0" bottom="0" percent="0" rank="0" text="" dxfId="0">
      <formula>$B689&lt;SinirDeger</formula>
    </cfRule>
    <cfRule type="expression" priority="1369" aboveAverage="0" equalAverage="0" bottom="0" percent="0" rank="0" text="" dxfId="2">
      <formula>$B689&gt;=SinirDeger</formula>
    </cfRule>
  </conditionalFormatting>
  <conditionalFormatting sqref="A690:C690">
    <cfRule type="expression" priority="1370" aboveAverage="0" equalAverage="0" bottom="0" percent="0" rank="0" text="" dxfId="0">
      <formula>$B690&lt;SinirDeger</formula>
    </cfRule>
    <cfRule type="expression" priority="1371" aboveAverage="0" equalAverage="0" bottom="0" percent="0" rank="0" text="" dxfId="2">
      <formula>$B690&gt;=SinirDeger</formula>
    </cfRule>
  </conditionalFormatting>
  <conditionalFormatting sqref="A691:C691">
    <cfRule type="expression" priority="1372" aboveAverage="0" equalAverage="0" bottom="0" percent="0" rank="0" text="" dxfId="0">
      <formula>$B691&lt;SinirDeger</formula>
    </cfRule>
    <cfRule type="expression" priority="1373" aboveAverage="0" equalAverage="0" bottom="0" percent="0" rank="0" text="" dxfId="2">
      <formula>$B691&gt;=SinirDeger</formula>
    </cfRule>
  </conditionalFormatting>
  <conditionalFormatting sqref="A692:C692">
    <cfRule type="expression" priority="1374" aboveAverage="0" equalAverage="0" bottom="0" percent="0" rank="0" text="" dxfId="0">
      <formula>$B692&lt;SinirDeger</formula>
    </cfRule>
    <cfRule type="expression" priority="1375" aboveAverage="0" equalAverage="0" bottom="0" percent="0" rank="0" text="" dxfId="2">
      <formula>$B692&gt;=SinirDeger</formula>
    </cfRule>
  </conditionalFormatting>
  <conditionalFormatting sqref="A693:C693">
    <cfRule type="expression" priority="1376" aboveAverage="0" equalAverage="0" bottom="0" percent="0" rank="0" text="" dxfId="0">
      <formula>$B693&lt;SinirDeger</formula>
    </cfRule>
    <cfRule type="expression" priority="1377" aboveAverage="0" equalAverage="0" bottom="0" percent="0" rank="0" text="" dxfId="2">
      <formula>$B693&gt;=SinirDeger</formula>
    </cfRule>
  </conditionalFormatting>
  <conditionalFormatting sqref="A694:C694">
    <cfRule type="expression" priority="1378" aboveAverage="0" equalAverage="0" bottom="0" percent="0" rank="0" text="" dxfId="0">
      <formula>$B694&lt;SinirDeger</formula>
    </cfRule>
    <cfRule type="expression" priority="1379" aboveAverage="0" equalAverage="0" bottom="0" percent="0" rank="0" text="" dxfId="2">
      <formula>$B694&gt;=SinirDeger</formula>
    </cfRule>
  </conditionalFormatting>
  <conditionalFormatting sqref="A695:C695">
    <cfRule type="expression" priority="1380" aboveAverage="0" equalAverage="0" bottom="0" percent="0" rank="0" text="" dxfId="0">
      <formula>$B695&lt;SinirDeger</formula>
    </cfRule>
    <cfRule type="expression" priority="1381" aboveAverage="0" equalAverage="0" bottom="0" percent="0" rank="0" text="" dxfId="2">
      <formula>$B695&gt;=SinirDeger</formula>
    </cfRule>
  </conditionalFormatting>
  <conditionalFormatting sqref="A696:C696">
    <cfRule type="expression" priority="1382" aboveAverage="0" equalAverage="0" bottom="0" percent="0" rank="0" text="" dxfId="0">
      <formula>$B696&lt;SinirDeger</formula>
    </cfRule>
    <cfRule type="expression" priority="1383" aboveAverage="0" equalAverage="0" bottom="0" percent="0" rank="0" text="" dxfId="2">
      <formula>$B696&gt;=SinirDeger</formula>
    </cfRule>
  </conditionalFormatting>
  <conditionalFormatting sqref="A697:C697">
    <cfRule type="expression" priority="1384" aboveAverage="0" equalAverage="0" bottom="0" percent="0" rank="0" text="" dxfId="0">
      <formula>$B697&lt;SinirDeger</formula>
    </cfRule>
    <cfRule type="expression" priority="1385" aboveAverage="0" equalAverage="0" bottom="0" percent="0" rank="0" text="" dxfId="2">
      <formula>$B697&gt;=SinirDeger</formula>
    </cfRule>
  </conditionalFormatting>
  <conditionalFormatting sqref="A698:C698">
    <cfRule type="expression" priority="1386" aboveAverage="0" equalAverage="0" bottom="0" percent="0" rank="0" text="" dxfId="0">
      <formula>$B698&lt;SinirDeger</formula>
    </cfRule>
    <cfRule type="expression" priority="1387" aboveAverage="0" equalAverage="0" bottom="0" percent="0" rank="0" text="" dxfId="2">
      <formula>$B698&gt;=SinirDeger</formula>
    </cfRule>
  </conditionalFormatting>
  <conditionalFormatting sqref="A699:C699">
    <cfRule type="expression" priority="1388" aboveAverage="0" equalAverage="0" bottom="0" percent="0" rank="0" text="" dxfId="0">
      <formula>$B699&lt;SinirDeger</formula>
    </cfRule>
    <cfRule type="expression" priority="1389" aboveAverage="0" equalAverage="0" bottom="0" percent="0" rank="0" text="" dxfId="2">
      <formula>$B699&gt;=SinirDeger</formula>
    </cfRule>
  </conditionalFormatting>
  <conditionalFormatting sqref="A700:C700">
    <cfRule type="expression" priority="1390" aboveAverage="0" equalAverage="0" bottom="0" percent="0" rank="0" text="" dxfId="0">
      <formula>$B700&lt;SinirDeger</formula>
    </cfRule>
    <cfRule type="expression" priority="1391" aboveAverage="0" equalAverage="0" bottom="0" percent="0" rank="0" text="" dxfId="2">
      <formula>$B700&gt;=SinirDeger</formula>
    </cfRule>
  </conditionalFormatting>
  <conditionalFormatting sqref="A701:C701">
    <cfRule type="expression" priority="1392" aboveAverage="0" equalAverage="0" bottom="0" percent="0" rank="0" text="" dxfId="0">
      <formula>$B701&lt;SinirDeger</formula>
    </cfRule>
    <cfRule type="expression" priority="1393" aboveAverage="0" equalAverage="0" bottom="0" percent="0" rank="0" text="" dxfId="2">
      <formula>$B701&gt;=SinirDeger</formula>
    </cfRule>
  </conditionalFormatting>
  <conditionalFormatting sqref="A702:C702">
    <cfRule type="expression" priority="1394" aboveAverage="0" equalAverage="0" bottom="0" percent="0" rank="0" text="" dxfId="0">
      <formula>$B702&lt;SinirDeger</formula>
    </cfRule>
    <cfRule type="expression" priority="1395" aboveAverage="0" equalAverage="0" bottom="0" percent="0" rank="0" text="" dxfId="2">
      <formula>$B702&gt;=SinirDeger</formula>
    </cfRule>
  </conditionalFormatting>
  <conditionalFormatting sqref="A703:C703">
    <cfRule type="expression" priority="1396" aboveAverage="0" equalAverage="0" bottom="0" percent="0" rank="0" text="" dxfId="0">
      <formula>$B703&lt;SinirDeger</formula>
    </cfRule>
    <cfRule type="expression" priority="1397" aboveAverage="0" equalAverage="0" bottom="0" percent="0" rank="0" text="" dxfId="2">
      <formula>$B703&gt;=SinirDeger</formula>
    </cfRule>
  </conditionalFormatting>
  <conditionalFormatting sqref="A704:C704">
    <cfRule type="expression" priority="1398" aboveAverage="0" equalAverage="0" bottom="0" percent="0" rank="0" text="" dxfId="0">
      <formula>$B704&lt;SinirDeger</formula>
    </cfRule>
    <cfRule type="expression" priority="1399" aboveAverage="0" equalAverage="0" bottom="0" percent="0" rank="0" text="" dxfId="2">
      <formula>$B704&gt;=SinirDeger</formula>
    </cfRule>
  </conditionalFormatting>
  <conditionalFormatting sqref="A705:C705">
    <cfRule type="expression" priority="1400" aboveAverage="0" equalAverage="0" bottom="0" percent="0" rank="0" text="" dxfId="0">
      <formula>$B705&lt;SinirDeger</formula>
    </cfRule>
    <cfRule type="expression" priority="1401" aboveAverage="0" equalAverage="0" bottom="0" percent="0" rank="0" text="" dxfId="2">
      <formula>$B705&gt;=SinirDeger</formula>
    </cfRule>
  </conditionalFormatting>
  <conditionalFormatting sqref="A706:C706">
    <cfRule type="expression" priority="1402" aboveAverage="0" equalAverage="0" bottom="0" percent="0" rank="0" text="" dxfId="0">
      <formula>$B706&lt;SinirDeger</formula>
    </cfRule>
    <cfRule type="expression" priority="1403" aboveAverage="0" equalAverage="0" bottom="0" percent="0" rank="0" text="" dxfId="2">
      <formula>$B706&gt;=SinirDeger</formula>
    </cfRule>
  </conditionalFormatting>
  <conditionalFormatting sqref="A707:C707">
    <cfRule type="expression" priority="1404" aboveAverage="0" equalAverage="0" bottom="0" percent="0" rank="0" text="" dxfId="0">
      <formula>$B707&lt;SinirDeger</formula>
    </cfRule>
    <cfRule type="expression" priority="1405" aboveAverage="0" equalAverage="0" bottom="0" percent="0" rank="0" text="" dxfId="2">
      <formula>$B707&gt;=SinirDeger</formula>
    </cfRule>
  </conditionalFormatting>
  <conditionalFormatting sqref="A708:C708">
    <cfRule type="expression" priority="1406" aboveAverage="0" equalAverage="0" bottom="0" percent="0" rank="0" text="" dxfId="0">
      <formula>$B708&lt;SinirDeger</formula>
    </cfRule>
    <cfRule type="expression" priority="1407" aboveAverage="0" equalAverage="0" bottom="0" percent="0" rank="0" text="" dxfId="2">
      <formula>$B708&gt;=SinirDeger</formula>
    </cfRule>
  </conditionalFormatting>
  <conditionalFormatting sqref="A709:C709">
    <cfRule type="expression" priority="1408" aboveAverage="0" equalAverage="0" bottom="0" percent="0" rank="0" text="" dxfId="0">
      <formula>$B709&lt;SinirDeger</formula>
    </cfRule>
    <cfRule type="expression" priority="1409" aboveAverage="0" equalAverage="0" bottom="0" percent="0" rank="0" text="" dxfId="2">
      <formula>$B709&gt;=SinirDeger</formula>
    </cfRule>
  </conditionalFormatting>
  <conditionalFormatting sqref="A710:C710">
    <cfRule type="expression" priority="1410" aboveAverage="0" equalAverage="0" bottom="0" percent="0" rank="0" text="" dxfId="0">
      <formula>$B710&lt;SinirDeger</formula>
    </cfRule>
    <cfRule type="expression" priority="1411" aboveAverage="0" equalAverage="0" bottom="0" percent="0" rank="0" text="" dxfId="2">
      <formula>$B710&gt;=SinirDeger</formula>
    </cfRule>
  </conditionalFormatting>
  <conditionalFormatting sqref="A711:C711">
    <cfRule type="expression" priority="1412" aboveAverage="0" equalAverage="0" bottom="0" percent="0" rank="0" text="" dxfId="0">
      <formula>$B711&lt;SinirDeger</formula>
    </cfRule>
    <cfRule type="expression" priority="1413" aboveAverage="0" equalAverage="0" bottom="0" percent="0" rank="0" text="" dxfId="2">
      <formula>$B711&gt;=SinirDeger</formula>
    </cfRule>
  </conditionalFormatting>
  <conditionalFormatting sqref="A712:C712">
    <cfRule type="expression" priority="1414" aboveAverage="0" equalAverage="0" bottom="0" percent="0" rank="0" text="" dxfId="0">
      <formula>$B712&lt;SinirDeger</formula>
    </cfRule>
    <cfRule type="expression" priority="1415" aboveAverage="0" equalAverage="0" bottom="0" percent="0" rank="0" text="" dxfId="2">
      <formula>$B712&gt;=SinirDeger</formula>
    </cfRule>
  </conditionalFormatting>
  <conditionalFormatting sqref="A713:C713">
    <cfRule type="expression" priority="1416" aboveAverage="0" equalAverage="0" bottom="0" percent="0" rank="0" text="" dxfId="0">
      <formula>$B713&lt;SinirDeger</formula>
    </cfRule>
    <cfRule type="expression" priority="1417" aboveAverage="0" equalAverage="0" bottom="0" percent="0" rank="0" text="" dxfId="2">
      <formula>$B713&gt;=SinirDeger</formula>
    </cfRule>
  </conditionalFormatting>
  <conditionalFormatting sqref="A714:C714">
    <cfRule type="expression" priority="1418" aboveAverage="0" equalAverage="0" bottom="0" percent="0" rank="0" text="" dxfId="0">
      <formula>$B714&lt;SinirDeger</formula>
    </cfRule>
    <cfRule type="expression" priority="1419" aboveAverage="0" equalAverage="0" bottom="0" percent="0" rank="0" text="" dxfId="2">
      <formula>$B714&gt;=SinirDeger</formula>
    </cfRule>
  </conditionalFormatting>
  <conditionalFormatting sqref="A715:C715">
    <cfRule type="expression" priority="1420" aboveAverage="0" equalAverage="0" bottom="0" percent="0" rank="0" text="" dxfId="0">
      <formula>$B715&lt;SinirDeger</formula>
    </cfRule>
    <cfRule type="expression" priority="1421" aboveAverage="0" equalAverage="0" bottom="0" percent="0" rank="0" text="" dxfId="2">
      <formula>$B715&gt;=SinirDeger</formula>
    </cfRule>
  </conditionalFormatting>
  <conditionalFormatting sqref="A716:C716">
    <cfRule type="expression" priority="1422" aboveAverage="0" equalAverage="0" bottom="0" percent="0" rank="0" text="" dxfId="0">
      <formula>$B716&lt;SinirDeger</formula>
    </cfRule>
    <cfRule type="expression" priority="1423" aboveAverage="0" equalAverage="0" bottom="0" percent="0" rank="0" text="" dxfId="2">
      <formula>$B716&gt;=SinirDeger</formula>
    </cfRule>
  </conditionalFormatting>
  <conditionalFormatting sqref="A717:C717">
    <cfRule type="expression" priority="1424" aboveAverage="0" equalAverage="0" bottom="0" percent="0" rank="0" text="" dxfId="0">
      <formula>$B717&lt;SinirDeger</formula>
    </cfRule>
    <cfRule type="expression" priority="1425" aboveAverage="0" equalAverage="0" bottom="0" percent="0" rank="0" text="" dxfId="2">
      <formula>$B717&gt;=SinirDeger</formula>
    </cfRule>
  </conditionalFormatting>
  <conditionalFormatting sqref="A718:C718">
    <cfRule type="expression" priority="1426" aboveAverage="0" equalAverage="0" bottom="0" percent="0" rank="0" text="" dxfId="0">
      <formula>$B718&lt;SinirDeger</formula>
    </cfRule>
    <cfRule type="expression" priority="1427" aboveAverage="0" equalAverage="0" bottom="0" percent="0" rank="0" text="" dxfId="2">
      <formula>$B718&gt;=SinirDeger</formula>
    </cfRule>
  </conditionalFormatting>
  <conditionalFormatting sqref="A719:C719">
    <cfRule type="expression" priority="1428" aboveAverage="0" equalAverage="0" bottom="0" percent="0" rank="0" text="" dxfId="0">
      <formula>$B719&lt;SinirDeger</formula>
    </cfRule>
    <cfRule type="expression" priority="1429" aboveAverage="0" equalAverage="0" bottom="0" percent="0" rank="0" text="" dxfId="2">
      <formula>$B719&gt;=SinirDeger</formula>
    </cfRule>
  </conditionalFormatting>
  <conditionalFormatting sqref="A720:C720">
    <cfRule type="expression" priority="1430" aboveAverage="0" equalAverage="0" bottom="0" percent="0" rank="0" text="" dxfId="0">
      <formula>$B720&lt;SinirDeger</formula>
    </cfRule>
    <cfRule type="expression" priority="1431" aboveAverage="0" equalAverage="0" bottom="0" percent="0" rank="0" text="" dxfId="2">
      <formula>$B720&gt;=SinirDeger</formula>
    </cfRule>
  </conditionalFormatting>
  <conditionalFormatting sqref="A721:C721">
    <cfRule type="expression" priority="1432" aboveAverage="0" equalAverage="0" bottom="0" percent="0" rank="0" text="" dxfId="0">
      <formula>$B721&lt;SinirDeger</formula>
    </cfRule>
    <cfRule type="expression" priority="1433" aboveAverage="0" equalAverage="0" bottom="0" percent="0" rank="0" text="" dxfId="2">
      <formula>$B721&gt;=SinirDeger</formula>
    </cfRule>
  </conditionalFormatting>
  <conditionalFormatting sqref="A722:C722">
    <cfRule type="expression" priority="1434" aboveAverage="0" equalAverage="0" bottom="0" percent="0" rank="0" text="" dxfId="0">
      <formula>$B722&lt;SinirDeger</formula>
    </cfRule>
    <cfRule type="expression" priority="1435" aboveAverage="0" equalAverage="0" bottom="0" percent="0" rank="0" text="" dxfId="2">
      <formula>$B722&gt;=SinirDeger</formula>
    </cfRule>
  </conditionalFormatting>
  <conditionalFormatting sqref="A723:C723">
    <cfRule type="expression" priority="1436" aboveAverage="0" equalAverage="0" bottom="0" percent="0" rank="0" text="" dxfId="0">
      <formula>$B723&lt;SinirDeger</formula>
    </cfRule>
    <cfRule type="expression" priority="1437" aboveAverage="0" equalAverage="0" bottom="0" percent="0" rank="0" text="" dxfId="2">
      <formula>$B723&gt;=SinirDeger</formula>
    </cfRule>
  </conditionalFormatting>
  <conditionalFormatting sqref="A724:C724">
    <cfRule type="expression" priority="1438" aboveAverage="0" equalAverage="0" bottom="0" percent="0" rank="0" text="" dxfId="0">
      <formula>$B724&lt;SinirDeger</formula>
    </cfRule>
    <cfRule type="expression" priority="1439" aboveAverage="0" equalAverage="0" bottom="0" percent="0" rank="0" text="" dxfId="2">
      <formula>$B724&gt;=SinirDeger</formula>
    </cfRule>
  </conditionalFormatting>
  <conditionalFormatting sqref="A725:C725">
    <cfRule type="expression" priority="1440" aboveAverage="0" equalAverage="0" bottom="0" percent="0" rank="0" text="" dxfId="0">
      <formula>$B725&lt;SinirDeger</formula>
    </cfRule>
    <cfRule type="expression" priority="1441" aboveAverage="0" equalAverage="0" bottom="0" percent="0" rank="0" text="" dxfId="2">
      <formula>$B725&gt;=SinirDeger</formula>
    </cfRule>
  </conditionalFormatting>
  <conditionalFormatting sqref="A726:C726">
    <cfRule type="expression" priority="1442" aboveAverage="0" equalAverage="0" bottom="0" percent="0" rank="0" text="" dxfId="0">
      <formula>$B726&lt;SinirDeger</formula>
    </cfRule>
    <cfRule type="expression" priority="1443" aboveAverage="0" equalAverage="0" bottom="0" percent="0" rank="0" text="" dxfId="2">
      <formula>$B726&gt;=SinirDeger</formula>
    </cfRule>
  </conditionalFormatting>
  <conditionalFormatting sqref="A727:C727">
    <cfRule type="expression" priority="1444" aboveAverage="0" equalAverage="0" bottom="0" percent="0" rank="0" text="" dxfId="0">
      <formula>$B727&lt;SinirDeger</formula>
    </cfRule>
    <cfRule type="expression" priority="1445" aboveAverage="0" equalAverage="0" bottom="0" percent="0" rank="0" text="" dxfId="2">
      <formula>$B727&gt;=SinirDeger</formula>
    </cfRule>
  </conditionalFormatting>
  <conditionalFormatting sqref="A728:C728">
    <cfRule type="expression" priority="1446" aboveAverage="0" equalAverage="0" bottom="0" percent="0" rank="0" text="" dxfId="0">
      <formula>$B728&lt;SinirDeger</formula>
    </cfRule>
    <cfRule type="expression" priority="1447" aboveAverage="0" equalAverage="0" bottom="0" percent="0" rank="0" text="" dxfId="2">
      <formula>$B728&gt;=SinirDeger</formula>
    </cfRule>
  </conditionalFormatting>
  <conditionalFormatting sqref="A729:C729">
    <cfRule type="expression" priority="1448" aboveAverage="0" equalAverage="0" bottom="0" percent="0" rank="0" text="" dxfId="0">
      <formula>$B729&lt;SinirDeger</formula>
    </cfRule>
    <cfRule type="expression" priority="1449" aboveAverage="0" equalAverage="0" bottom="0" percent="0" rank="0" text="" dxfId="2">
      <formula>$B729&gt;=SinirDeger</formula>
    </cfRule>
  </conditionalFormatting>
  <conditionalFormatting sqref="A730:C730">
    <cfRule type="expression" priority="1450" aboveAverage="0" equalAverage="0" bottom="0" percent="0" rank="0" text="" dxfId="0">
      <formula>$B730&lt;SinirDeger</formula>
    </cfRule>
    <cfRule type="expression" priority="1451" aboveAverage="0" equalAverage="0" bottom="0" percent="0" rank="0" text="" dxfId="2">
      <formula>$B730&gt;=SinirDeger</formula>
    </cfRule>
  </conditionalFormatting>
  <conditionalFormatting sqref="A731:C731">
    <cfRule type="expression" priority="1452" aboveAverage="0" equalAverage="0" bottom="0" percent="0" rank="0" text="" dxfId="0">
      <formula>$B731&lt;SinirDeger</formula>
    </cfRule>
    <cfRule type="expression" priority="1453" aboveAverage="0" equalAverage="0" bottom="0" percent="0" rank="0" text="" dxfId="2">
      <formula>$B731&gt;=SinirDeger</formula>
    </cfRule>
  </conditionalFormatting>
  <conditionalFormatting sqref="A732:C732">
    <cfRule type="expression" priority="1454" aboveAverage="0" equalAverage="0" bottom="0" percent="0" rank="0" text="" dxfId="0">
      <formula>$B732&lt;SinirDeger</formula>
    </cfRule>
    <cfRule type="expression" priority="1455" aboveAverage="0" equalAverage="0" bottom="0" percent="0" rank="0" text="" dxfId="2">
      <formula>$B732&gt;=SinirDeger</formula>
    </cfRule>
  </conditionalFormatting>
  <conditionalFormatting sqref="A733:C733">
    <cfRule type="expression" priority="1456" aboveAverage="0" equalAverage="0" bottom="0" percent="0" rank="0" text="" dxfId="0">
      <formula>$B733&lt;SinirDeger</formula>
    </cfRule>
    <cfRule type="expression" priority="1457" aboveAverage="0" equalAverage="0" bottom="0" percent="0" rank="0" text="" dxfId="2">
      <formula>$B733&gt;=SinirDeger</formula>
    </cfRule>
  </conditionalFormatting>
  <conditionalFormatting sqref="A734:C734">
    <cfRule type="expression" priority="1458" aboveAverage="0" equalAverage="0" bottom="0" percent="0" rank="0" text="" dxfId="0">
      <formula>$B734&lt;SinirDeger</formula>
    </cfRule>
    <cfRule type="expression" priority="1459" aboveAverage="0" equalAverage="0" bottom="0" percent="0" rank="0" text="" dxfId="2">
      <formula>$B734&gt;=SinirDeger</formula>
    </cfRule>
  </conditionalFormatting>
  <conditionalFormatting sqref="A735:C735">
    <cfRule type="expression" priority="1460" aboveAverage="0" equalAverage="0" bottom="0" percent="0" rank="0" text="" dxfId="0">
      <formula>$B735&lt;SinirDeger</formula>
    </cfRule>
    <cfRule type="expression" priority="1461" aboveAverage="0" equalAverage="0" bottom="0" percent="0" rank="0" text="" dxfId="2">
      <formula>$B735&gt;=SinirDeger</formula>
    </cfRule>
  </conditionalFormatting>
  <conditionalFormatting sqref="A736:C736">
    <cfRule type="expression" priority="1462" aboveAverage="0" equalAverage="0" bottom="0" percent="0" rank="0" text="" dxfId="0">
      <formula>$B736&lt;SinirDeger</formula>
    </cfRule>
    <cfRule type="expression" priority="1463" aboveAverage="0" equalAverage="0" bottom="0" percent="0" rank="0" text="" dxfId="2">
      <formula>$B736&gt;=SinirDeger</formula>
    </cfRule>
  </conditionalFormatting>
  <conditionalFormatting sqref="A737:C737">
    <cfRule type="expression" priority="1464" aboveAverage="0" equalAverage="0" bottom="0" percent="0" rank="0" text="" dxfId="0">
      <formula>$B737&lt;SinirDeger</formula>
    </cfRule>
    <cfRule type="expression" priority="1465" aboveAverage="0" equalAverage="0" bottom="0" percent="0" rank="0" text="" dxfId="2">
      <formula>$B737&gt;=SinirDeger</formula>
    </cfRule>
  </conditionalFormatting>
  <conditionalFormatting sqref="A738:C738">
    <cfRule type="expression" priority="1466" aboveAverage="0" equalAverage="0" bottom="0" percent="0" rank="0" text="" dxfId="0">
      <formula>$B738&lt;SinirDeger</formula>
    </cfRule>
    <cfRule type="expression" priority="1467" aboveAverage="0" equalAverage="0" bottom="0" percent="0" rank="0" text="" dxfId="2">
      <formula>$B738&gt;=SinirDeger</formula>
    </cfRule>
  </conditionalFormatting>
  <conditionalFormatting sqref="A739:C739">
    <cfRule type="expression" priority="1468" aboveAverage="0" equalAverage="0" bottom="0" percent="0" rank="0" text="" dxfId="0">
      <formula>$B739&lt;SinirDeger</formula>
    </cfRule>
    <cfRule type="expression" priority="1469" aboveAverage="0" equalAverage="0" bottom="0" percent="0" rank="0" text="" dxfId="2">
      <formula>$B739&gt;=SinirDeger</formula>
    </cfRule>
  </conditionalFormatting>
  <conditionalFormatting sqref="A740:C740">
    <cfRule type="expression" priority="1470" aboveAverage="0" equalAverage="0" bottom="0" percent="0" rank="0" text="" dxfId="0">
      <formula>$B740&lt;SinirDeger</formula>
    </cfRule>
    <cfRule type="expression" priority="1471" aboveAverage="0" equalAverage="0" bottom="0" percent="0" rank="0" text="" dxfId="2">
      <formula>$B740&gt;=SinirDeger</formula>
    </cfRule>
  </conditionalFormatting>
  <conditionalFormatting sqref="A741:C741">
    <cfRule type="expression" priority="1472" aboveAverage="0" equalAverage="0" bottom="0" percent="0" rank="0" text="" dxfId="0">
      <formula>$B741&lt;SinirDeger</formula>
    </cfRule>
    <cfRule type="expression" priority="1473" aboveAverage="0" equalAverage="0" bottom="0" percent="0" rank="0" text="" dxfId="2">
      <formula>$B741&gt;=SinirDeger</formula>
    </cfRule>
  </conditionalFormatting>
  <conditionalFormatting sqref="A742:C742">
    <cfRule type="expression" priority="1474" aboveAverage="0" equalAverage="0" bottom="0" percent="0" rank="0" text="" dxfId="0">
      <formula>$B742&lt;SinirDeger</formula>
    </cfRule>
    <cfRule type="expression" priority="1475" aboveAverage="0" equalAverage="0" bottom="0" percent="0" rank="0" text="" dxfId="2">
      <formula>$B742&gt;=SinirDeger</formula>
    </cfRule>
  </conditionalFormatting>
  <conditionalFormatting sqref="A743:C743">
    <cfRule type="expression" priority="1476" aboveAverage="0" equalAverage="0" bottom="0" percent="0" rank="0" text="" dxfId="0">
      <formula>$B743&lt;SinirDeger</formula>
    </cfRule>
    <cfRule type="expression" priority="1477" aboveAverage="0" equalAverage="0" bottom="0" percent="0" rank="0" text="" dxfId="2">
      <formula>$B743&gt;=SinirDeger</formula>
    </cfRule>
  </conditionalFormatting>
  <conditionalFormatting sqref="A744:C744">
    <cfRule type="expression" priority="1478" aboveAverage="0" equalAverage="0" bottom="0" percent="0" rank="0" text="" dxfId="0">
      <formula>$B744&lt;SinirDeger</formula>
    </cfRule>
    <cfRule type="expression" priority="1479" aboveAverage="0" equalAverage="0" bottom="0" percent="0" rank="0" text="" dxfId="2">
      <formula>$B744&gt;=SinirDeger</formula>
    </cfRule>
  </conditionalFormatting>
  <conditionalFormatting sqref="A745:C745">
    <cfRule type="expression" priority="1480" aboveAverage="0" equalAverage="0" bottom="0" percent="0" rank="0" text="" dxfId="0">
      <formula>$B745&lt;SinirDeger</formula>
    </cfRule>
    <cfRule type="expression" priority="1481" aboveAverage="0" equalAverage="0" bottom="0" percent="0" rank="0" text="" dxfId="2">
      <formula>$B745&gt;=SinirDeger</formula>
    </cfRule>
  </conditionalFormatting>
  <conditionalFormatting sqref="A746:C746">
    <cfRule type="expression" priority="1482" aboveAverage="0" equalAverage="0" bottom="0" percent="0" rank="0" text="" dxfId="0">
      <formula>$B746&lt;SinirDeger</formula>
    </cfRule>
    <cfRule type="expression" priority="1483" aboveAverage="0" equalAverage="0" bottom="0" percent="0" rank="0" text="" dxfId="2">
      <formula>$B746&gt;=SinirDeger</formula>
    </cfRule>
  </conditionalFormatting>
  <conditionalFormatting sqref="A747:C747">
    <cfRule type="expression" priority="1484" aboveAverage="0" equalAverage="0" bottom="0" percent="0" rank="0" text="" dxfId="0">
      <formula>$B747&lt;SinirDeger</formula>
    </cfRule>
    <cfRule type="expression" priority="1485" aboveAverage="0" equalAverage="0" bottom="0" percent="0" rank="0" text="" dxfId="2">
      <formula>$B747&gt;=SinirDeger</formula>
    </cfRule>
  </conditionalFormatting>
  <conditionalFormatting sqref="A748:C748">
    <cfRule type="expression" priority="1486" aboveAverage="0" equalAverage="0" bottom="0" percent="0" rank="0" text="" dxfId="0">
      <formula>$B748&lt;SinirDeger</formula>
    </cfRule>
    <cfRule type="expression" priority="1487" aboveAverage="0" equalAverage="0" bottom="0" percent="0" rank="0" text="" dxfId="2">
      <formula>$B748&gt;=SinirDeger</formula>
    </cfRule>
  </conditionalFormatting>
  <conditionalFormatting sqref="A749:C749">
    <cfRule type="expression" priority="1488" aboveAverage="0" equalAverage="0" bottom="0" percent="0" rank="0" text="" dxfId="0">
      <formula>$B749&lt;SinirDeger</formula>
    </cfRule>
    <cfRule type="expression" priority="1489" aboveAverage="0" equalAverage="0" bottom="0" percent="0" rank="0" text="" dxfId="2">
      <formula>$B749&gt;=SinirDeger</formula>
    </cfRule>
  </conditionalFormatting>
  <conditionalFormatting sqref="A750:C750">
    <cfRule type="expression" priority="1490" aboveAverage="0" equalAverage="0" bottom="0" percent="0" rank="0" text="" dxfId="0">
      <formula>$B750&lt;SinirDeger</formula>
    </cfRule>
    <cfRule type="expression" priority="1491" aboveAverage="0" equalAverage="0" bottom="0" percent="0" rank="0" text="" dxfId="2">
      <formula>$B750&gt;=SinirDeger</formula>
    </cfRule>
  </conditionalFormatting>
  <conditionalFormatting sqref="A751:C751">
    <cfRule type="expression" priority="1492" aboveAverage="0" equalAverage="0" bottom="0" percent="0" rank="0" text="" dxfId="0">
      <formula>$B751&lt;SinirDeger</formula>
    </cfRule>
    <cfRule type="expression" priority="1493" aboveAverage="0" equalAverage="0" bottom="0" percent="0" rank="0" text="" dxfId="2">
      <formula>$B751&gt;=SinirDeger</formula>
    </cfRule>
  </conditionalFormatting>
  <conditionalFormatting sqref="A752:C752">
    <cfRule type="expression" priority="1494" aboveAverage="0" equalAverage="0" bottom="0" percent="0" rank="0" text="" dxfId="0">
      <formula>$B752&lt;SinirDeger</formula>
    </cfRule>
    <cfRule type="expression" priority="1495" aboveAverage="0" equalAverage="0" bottom="0" percent="0" rank="0" text="" dxfId="2">
      <formula>$B752&gt;=SinirDeger</formula>
    </cfRule>
  </conditionalFormatting>
  <conditionalFormatting sqref="A753:C753">
    <cfRule type="expression" priority="1496" aboveAverage="0" equalAverage="0" bottom="0" percent="0" rank="0" text="" dxfId="0">
      <formula>$B753&lt;SinirDeger</formula>
    </cfRule>
    <cfRule type="expression" priority="1497" aboveAverage="0" equalAverage="0" bottom="0" percent="0" rank="0" text="" dxfId="2">
      <formula>$B753&gt;=SinirDeger</formula>
    </cfRule>
  </conditionalFormatting>
  <conditionalFormatting sqref="A754:C754">
    <cfRule type="expression" priority="1498" aboveAverage="0" equalAverage="0" bottom="0" percent="0" rank="0" text="" dxfId="0">
      <formula>$B754&lt;SinirDeger</formula>
    </cfRule>
    <cfRule type="expression" priority="1499" aboveAverage="0" equalAverage="0" bottom="0" percent="0" rank="0" text="" dxfId="2">
      <formula>$B754&gt;=SinirDeger</formula>
    </cfRule>
  </conditionalFormatting>
  <conditionalFormatting sqref="A755:C755">
    <cfRule type="expression" priority="1500" aboveAverage="0" equalAverage="0" bottom="0" percent="0" rank="0" text="" dxfId="0">
      <formula>$B755&lt;SinirDeger</formula>
    </cfRule>
    <cfRule type="expression" priority="1501" aboveAverage="0" equalAverage="0" bottom="0" percent="0" rank="0" text="" dxfId="2">
      <formula>$B755&gt;=SinirDeger</formula>
    </cfRule>
  </conditionalFormatting>
  <conditionalFormatting sqref="A756:C756">
    <cfRule type="expression" priority="1502" aboveAverage="0" equalAverage="0" bottom="0" percent="0" rank="0" text="" dxfId="0">
      <formula>$B756&lt;SinirDeger</formula>
    </cfRule>
    <cfRule type="expression" priority="1503" aboveAverage="0" equalAverage="0" bottom="0" percent="0" rank="0" text="" dxfId="2">
      <formula>$B756&gt;=SinirDeger</formula>
    </cfRule>
  </conditionalFormatting>
  <conditionalFormatting sqref="A757:C757">
    <cfRule type="expression" priority="1504" aboveAverage="0" equalAverage="0" bottom="0" percent="0" rank="0" text="" dxfId="0">
      <formula>$B757&lt;SinirDeger</formula>
    </cfRule>
    <cfRule type="expression" priority="1505" aboveAverage="0" equalAverage="0" bottom="0" percent="0" rank="0" text="" dxfId="2">
      <formula>$B757&gt;=SinirDeger</formula>
    </cfRule>
  </conditionalFormatting>
  <conditionalFormatting sqref="A758:C758">
    <cfRule type="expression" priority="1506" aboveAverage="0" equalAverage="0" bottom="0" percent="0" rank="0" text="" dxfId="0">
      <formula>$B758&lt;SinirDeger</formula>
    </cfRule>
    <cfRule type="expression" priority="1507" aboveAverage="0" equalAverage="0" bottom="0" percent="0" rank="0" text="" dxfId="2">
      <formula>$B758&gt;=SinirDeger</formula>
    </cfRule>
  </conditionalFormatting>
  <conditionalFormatting sqref="A759:C759">
    <cfRule type="expression" priority="1508" aboveAverage="0" equalAverage="0" bottom="0" percent="0" rank="0" text="" dxfId="0">
      <formula>$B759&lt;SinirDeger</formula>
    </cfRule>
    <cfRule type="expression" priority="1509" aboveAverage="0" equalAverage="0" bottom="0" percent="0" rank="0" text="" dxfId="2">
      <formula>$B759&gt;=SinirDeger</formula>
    </cfRule>
  </conditionalFormatting>
  <conditionalFormatting sqref="A760:C760">
    <cfRule type="expression" priority="1510" aboveAverage="0" equalAverage="0" bottom="0" percent="0" rank="0" text="" dxfId="0">
      <formula>$B760&lt;SinirDeger</formula>
    </cfRule>
    <cfRule type="expression" priority="1511" aboveAverage="0" equalAverage="0" bottom="0" percent="0" rank="0" text="" dxfId="2">
      <formula>$B760&gt;=SinirDeger</formula>
    </cfRule>
  </conditionalFormatting>
  <conditionalFormatting sqref="A761:C761">
    <cfRule type="expression" priority="1512" aboveAverage="0" equalAverage="0" bottom="0" percent="0" rank="0" text="" dxfId="0">
      <formula>$B761&lt;SinirDeger</formula>
    </cfRule>
    <cfRule type="expression" priority="1513" aboveAverage="0" equalAverage="0" bottom="0" percent="0" rank="0" text="" dxfId="2">
      <formula>$B761&gt;=SinirDeger</formula>
    </cfRule>
  </conditionalFormatting>
  <conditionalFormatting sqref="A762:C762">
    <cfRule type="expression" priority="1514" aboveAverage="0" equalAverage="0" bottom="0" percent="0" rank="0" text="" dxfId="0">
      <formula>$B762&lt;SinirDeger</formula>
    </cfRule>
    <cfRule type="expression" priority="1515" aboveAverage="0" equalAverage="0" bottom="0" percent="0" rank="0" text="" dxfId="2">
      <formula>$B762&gt;=SinirDeger</formula>
    </cfRule>
  </conditionalFormatting>
  <conditionalFormatting sqref="A763:C763">
    <cfRule type="expression" priority="1516" aboveAverage="0" equalAverage="0" bottom="0" percent="0" rank="0" text="" dxfId="0">
      <formula>$B763&lt;SinirDeger</formula>
    </cfRule>
    <cfRule type="expression" priority="1517" aboveAverage="0" equalAverage="0" bottom="0" percent="0" rank="0" text="" dxfId="2">
      <formula>$B763&gt;=SinirDeger</formula>
    </cfRule>
  </conditionalFormatting>
  <conditionalFormatting sqref="A764:C764">
    <cfRule type="expression" priority="1518" aboveAverage="0" equalAverage="0" bottom="0" percent="0" rank="0" text="" dxfId="0">
      <formula>$B764&lt;SinirDeger</formula>
    </cfRule>
    <cfRule type="expression" priority="1519" aboveAverage="0" equalAverage="0" bottom="0" percent="0" rank="0" text="" dxfId="2">
      <formula>$B764&gt;=SinirDeger</formula>
    </cfRule>
  </conditionalFormatting>
  <conditionalFormatting sqref="A765:C765">
    <cfRule type="expression" priority="1520" aboveAverage="0" equalAverage="0" bottom="0" percent="0" rank="0" text="" dxfId="0">
      <formula>$B765&lt;SinirDeger</formula>
    </cfRule>
    <cfRule type="expression" priority="1521" aboveAverage="0" equalAverage="0" bottom="0" percent="0" rank="0" text="" dxfId="2">
      <formula>$B765&gt;=SinirDeger</formula>
    </cfRule>
  </conditionalFormatting>
  <conditionalFormatting sqref="A766:C766">
    <cfRule type="expression" priority="1522" aboveAverage="0" equalAverage="0" bottom="0" percent="0" rank="0" text="" dxfId="0">
      <formula>$B766&lt;SinirDeger</formula>
    </cfRule>
    <cfRule type="expression" priority="1523" aboveAverage="0" equalAverage="0" bottom="0" percent="0" rank="0" text="" dxfId="2">
      <formula>$B766&gt;=SinirDeger</formula>
    </cfRule>
  </conditionalFormatting>
  <conditionalFormatting sqref="A767:C767">
    <cfRule type="expression" priority="1524" aboveAverage="0" equalAverage="0" bottom="0" percent="0" rank="0" text="" dxfId="0">
      <formula>$B767&lt;SinirDeger</formula>
    </cfRule>
    <cfRule type="expression" priority="1525" aboveAverage="0" equalAverage="0" bottom="0" percent="0" rank="0" text="" dxfId="2">
      <formula>$B767&gt;=SinirDeger</formula>
    </cfRule>
  </conditionalFormatting>
  <conditionalFormatting sqref="A768:C768">
    <cfRule type="expression" priority="1526" aboveAverage="0" equalAverage="0" bottom="0" percent="0" rank="0" text="" dxfId="0">
      <formula>$B768&lt;SinirDeger</formula>
    </cfRule>
    <cfRule type="expression" priority="1527" aboveAverage="0" equalAverage="0" bottom="0" percent="0" rank="0" text="" dxfId="2">
      <formula>$B768&gt;=SinirDeger</formula>
    </cfRule>
  </conditionalFormatting>
  <conditionalFormatting sqref="A769:C769">
    <cfRule type="expression" priority="1528" aboveAverage="0" equalAverage="0" bottom="0" percent="0" rank="0" text="" dxfId="0">
      <formula>$B769&lt;SinirDeger</formula>
    </cfRule>
    <cfRule type="expression" priority="1529" aboveAverage="0" equalAverage="0" bottom="0" percent="0" rank="0" text="" dxfId="2">
      <formula>$B769&gt;=SinirDeger</formula>
    </cfRule>
  </conditionalFormatting>
  <conditionalFormatting sqref="A770:C770">
    <cfRule type="expression" priority="1530" aboveAverage="0" equalAverage="0" bottom="0" percent="0" rank="0" text="" dxfId="0">
      <formula>$B770&lt;SinirDeger</formula>
    </cfRule>
    <cfRule type="expression" priority="1531" aboveAverage="0" equalAverage="0" bottom="0" percent="0" rank="0" text="" dxfId="2">
      <formula>$B770&gt;=SinirDeger</formula>
    </cfRule>
  </conditionalFormatting>
  <conditionalFormatting sqref="A771:C771">
    <cfRule type="expression" priority="1532" aboveAverage="0" equalAverage="0" bottom="0" percent="0" rank="0" text="" dxfId="0">
      <formula>$B771&lt;SinirDeger</formula>
    </cfRule>
    <cfRule type="expression" priority="1533" aboveAverage="0" equalAverage="0" bottom="0" percent="0" rank="0" text="" dxfId="2">
      <formula>$B771&gt;=SinirDeger</formula>
    </cfRule>
  </conditionalFormatting>
  <conditionalFormatting sqref="A772:C772">
    <cfRule type="expression" priority="1534" aboveAverage="0" equalAverage="0" bottom="0" percent="0" rank="0" text="" dxfId="0">
      <formula>$B772&lt;SinirDeger</formula>
    </cfRule>
    <cfRule type="expression" priority="1535" aboveAverage="0" equalAverage="0" bottom="0" percent="0" rank="0" text="" dxfId="2">
      <formula>$B772&gt;=SinirDeger</formula>
    </cfRule>
  </conditionalFormatting>
  <conditionalFormatting sqref="A773:C773">
    <cfRule type="expression" priority="1536" aboveAverage="0" equalAverage="0" bottom="0" percent="0" rank="0" text="" dxfId="0">
      <formula>$B773&lt;SinirDeger</formula>
    </cfRule>
    <cfRule type="expression" priority="1537" aboveAverage="0" equalAverage="0" bottom="0" percent="0" rank="0" text="" dxfId="2">
      <formula>$B773&gt;=SinirDeger</formula>
    </cfRule>
  </conditionalFormatting>
  <conditionalFormatting sqref="A774:C774">
    <cfRule type="expression" priority="1538" aboveAverage="0" equalAverage="0" bottom="0" percent="0" rank="0" text="" dxfId="0">
      <formula>$B774&lt;SinirDeger</formula>
    </cfRule>
    <cfRule type="expression" priority="1539" aboveAverage="0" equalAverage="0" bottom="0" percent="0" rank="0" text="" dxfId="2">
      <formula>$B774&gt;=SinirDeger</formula>
    </cfRule>
  </conditionalFormatting>
  <conditionalFormatting sqref="A775:C775">
    <cfRule type="expression" priority="1540" aboveAverage="0" equalAverage="0" bottom="0" percent="0" rank="0" text="" dxfId="0">
      <formula>$B775&lt;SinirDeger</formula>
    </cfRule>
    <cfRule type="expression" priority="1541" aboveAverage="0" equalAverage="0" bottom="0" percent="0" rank="0" text="" dxfId="2">
      <formula>$B775&gt;=SinirDeger</formula>
    </cfRule>
  </conditionalFormatting>
  <conditionalFormatting sqref="A776:C776">
    <cfRule type="expression" priority="1542" aboveAverage="0" equalAverage="0" bottom="0" percent="0" rank="0" text="" dxfId="0">
      <formula>$B776&lt;SinirDeger</formula>
    </cfRule>
    <cfRule type="expression" priority="1543" aboveAverage="0" equalAverage="0" bottom="0" percent="0" rank="0" text="" dxfId="2">
      <formula>$B776&gt;=SinirDeger</formula>
    </cfRule>
  </conditionalFormatting>
  <conditionalFormatting sqref="A777:C777">
    <cfRule type="expression" priority="1544" aboveAverage="0" equalAverage="0" bottom="0" percent="0" rank="0" text="" dxfId="0">
      <formula>$B777&lt;SinirDeger</formula>
    </cfRule>
    <cfRule type="expression" priority="1545" aboveAverage="0" equalAverage="0" bottom="0" percent="0" rank="0" text="" dxfId="2">
      <formula>$B777&gt;=SinirDeger</formula>
    </cfRule>
  </conditionalFormatting>
  <conditionalFormatting sqref="A778:C778">
    <cfRule type="expression" priority="1546" aboveAverage="0" equalAverage="0" bottom="0" percent="0" rank="0" text="" dxfId="0">
      <formula>$B778&lt;SinirDeger</formula>
    </cfRule>
    <cfRule type="expression" priority="1547" aboveAverage="0" equalAverage="0" bottom="0" percent="0" rank="0" text="" dxfId="2">
      <formula>$B778&gt;=SinirDeger</formula>
    </cfRule>
  </conditionalFormatting>
  <conditionalFormatting sqref="A779:C779">
    <cfRule type="expression" priority="1548" aboveAverage="0" equalAverage="0" bottom="0" percent="0" rank="0" text="" dxfId="0">
      <formula>$B779&lt;SinirDeger</formula>
    </cfRule>
    <cfRule type="expression" priority="1549" aboveAverage="0" equalAverage="0" bottom="0" percent="0" rank="0" text="" dxfId="2">
      <formula>$B779&gt;=SinirDeger</formula>
    </cfRule>
  </conditionalFormatting>
  <conditionalFormatting sqref="A780:C780">
    <cfRule type="expression" priority="1550" aboveAverage="0" equalAverage="0" bottom="0" percent="0" rank="0" text="" dxfId="0">
      <formula>$B780&lt;SinirDeger</formula>
    </cfRule>
    <cfRule type="expression" priority="1551" aboveAverage="0" equalAverage="0" bottom="0" percent="0" rank="0" text="" dxfId="2">
      <formula>$B780&gt;=SinirDeger</formula>
    </cfRule>
  </conditionalFormatting>
  <conditionalFormatting sqref="A781:C781">
    <cfRule type="expression" priority="1552" aboveAverage="0" equalAverage="0" bottom="0" percent="0" rank="0" text="" dxfId="0">
      <formula>$B781&lt;SinirDeger</formula>
    </cfRule>
    <cfRule type="expression" priority="1553" aboveAverage="0" equalAverage="0" bottom="0" percent="0" rank="0" text="" dxfId="2">
      <formula>$B781&gt;=SinirDeger</formula>
    </cfRule>
  </conditionalFormatting>
  <conditionalFormatting sqref="A782:C782">
    <cfRule type="expression" priority="1554" aboveAverage="0" equalAverage="0" bottom="0" percent="0" rank="0" text="" dxfId="0">
      <formula>$B782&lt;SinirDeger</formula>
    </cfRule>
    <cfRule type="expression" priority="1555" aboveAverage="0" equalAverage="0" bottom="0" percent="0" rank="0" text="" dxfId="2">
      <formula>$B782&gt;=SinirDeger</formula>
    </cfRule>
  </conditionalFormatting>
  <conditionalFormatting sqref="A783:C783">
    <cfRule type="expression" priority="1556" aboveAverage="0" equalAverage="0" bottom="0" percent="0" rank="0" text="" dxfId="0">
      <formula>$B783&lt;SinirDeger</formula>
    </cfRule>
    <cfRule type="expression" priority="1557" aboveAverage="0" equalAverage="0" bottom="0" percent="0" rank="0" text="" dxfId="2">
      <formula>$B783&gt;=SinirDeger</formula>
    </cfRule>
  </conditionalFormatting>
  <conditionalFormatting sqref="A784:C784">
    <cfRule type="expression" priority="1558" aboveAverage="0" equalAverage="0" bottom="0" percent="0" rank="0" text="" dxfId="0">
      <formula>$B784&lt;SinirDeger</formula>
    </cfRule>
    <cfRule type="expression" priority="1559" aboveAverage="0" equalAverage="0" bottom="0" percent="0" rank="0" text="" dxfId="2">
      <formula>$B784&gt;=SinirDeger</formula>
    </cfRule>
  </conditionalFormatting>
  <conditionalFormatting sqref="A785:C785">
    <cfRule type="expression" priority="1560" aboveAverage="0" equalAverage="0" bottom="0" percent="0" rank="0" text="" dxfId="0">
      <formula>$B785&lt;SinirDeger</formula>
    </cfRule>
    <cfRule type="expression" priority="1561" aboveAverage="0" equalAverage="0" bottom="0" percent="0" rank="0" text="" dxfId="2">
      <formula>$B785&gt;=SinirDeger</formula>
    </cfRule>
  </conditionalFormatting>
  <conditionalFormatting sqref="A786:C786">
    <cfRule type="expression" priority="1562" aboveAverage="0" equalAverage="0" bottom="0" percent="0" rank="0" text="" dxfId="0">
      <formula>$B786&lt;SinirDeger</formula>
    </cfRule>
    <cfRule type="expression" priority="1563" aboveAverage="0" equalAverage="0" bottom="0" percent="0" rank="0" text="" dxfId="2">
      <formula>$B786&gt;=SinirDeger</formula>
    </cfRule>
  </conditionalFormatting>
  <conditionalFormatting sqref="A787:C787">
    <cfRule type="expression" priority="1564" aboveAverage="0" equalAverage="0" bottom="0" percent="0" rank="0" text="" dxfId="0">
      <formula>$B787&lt;SinirDeger</formula>
    </cfRule>
    <cfRule type="expression" priority="1565" aboveAverage="0" equalAverage="0" bottom="0" percent="0" rank="0" text="" dxfId="2">
      <formula>$B787&gt;=SinirDeger</formula>
    </cfRule>
  </conditionalFormatting>
  <conditionalFormatting sqref="A788:C788">
    <cfRule type="expression" priority="1566" aboveAverage="0" equalAverage="0" bottom="0" percent="0" rank="0" text="" dxfId="0">
      <formula>$B788&lt;SinirDeger</formula>
    </cfRule>
    <cfRule type="expression" priority="1567" aboveAverage="0" equalAverage="0" bottom="0" percent="0" rank="0" text="" dxfId="2">
      <formula>$B788&gt;=SinirDeger</formula>
    </cfRule>
  </conditionalFormatting>
  <conditionalFormatting sqref="A789:C789">
    <cfRule type="expression" priority="1568" aboveAverage="0" equalAverage="0" bottom="0" percent="0" rank="0" text="" dxfId="0">
      <formula>$B789&lt;SinirDeger</formula>
    </cfRule>
    <cfRule type="expression" priority="1569" aboveAverage="0" equalAverage="0" bottom="0" percent="0" rank="0" text="" dxfId="2">
      <formula>$B789&gt;=SinirDeger</formula>
    </cfRule>
  </conditionalFormatting>
  <conditionalFormatting sqref="A790:C790">
    <cfRule type="expression" priority="1570" aboveAverage="0" equalAverage="0" bottom="0" percent="0" rank="0" text="" dxfId="0">
      <formula>$B790&lt;SinirDeger</formula>
    </cfRule>
    <cfRule type="expression" priority="1571" aboveAverage="0" equalAverage="0" bottom="0" percent="0" rank="0" text="" dxfId="2">
      <formula>$B790&gt;=SinirDeger</formula>
    </cfRule>
  </conditionalFormatting>
  <conditionalFormatting sqref="A791:C791">
    <cfRule type="expression" priority="1572" aboveAverage="0" equalAverage="0" bottom="0" percent="0" rank="0" text="" dxfId="0">
      <formula>$B791&lt;SinirDeger</formula>
    </cfRule>
    <cfRule type="expression" priority="1573" aboveAverage="0" equalAverage="0" bottom="0" percent="0" rank="0" text="" dxfId="2">
      <formula>$B791&gt;=SinirDeger</formula>
    </cfRule>
  </conditionalFormatting>
  <conditionalFormatting sqref="A792:C792">
    <cfRule type="expression" priority="1574" aboveAverage="0" equalAverage="0" bottom="0" percent="0" rank="0" text="" dxfId="0">
      <formula>$B792&lt;SinirDeger</formula>
    </cfRule>
    <cfRule type="expression" priority="1575" aboveAverage="0" equalAverage="0" bottom="0" percent="0" rank="0" text="" dxfId="2">
      <formula>$B792&gt;=SinirDeger</formula>
    </cfRule>
  </conditionalFormatting>
  <conditionalFormatting sqref="A793:C793">
    <cfRule type="expression" priority="1576" aboveAverage="0" equalAverage="0" bottom="0" percent="0" rank="0" text="" dxfId="0">
      <formula>$B793&lt;SinirDeger</formula>
    </cfRule>
    <cfRule type="expression" priority="1577" aboveAverage="0" equalAverage="0" bottom="0" percent="0" rank="0" text="" dxfId="2">
      <formula>$B793&gt;=SinirDeger</formula>
    </cfRule>
  </conditionalFormatting>
  <conditionalFormatting sqref="A794:C794">
    <cfRule type="expression" priority="1578" aboveAverage="0" equalAverage="0" bottom="0" percent="0" rank="0" text="" dxfId="0">
      <formula>$B794&lt;SinirDeger</formula>
    </cfRule>
    <cfRule type="expression" priority="1579" aboveAverage="0" equalAverage="0" bottom="0" percent="0" rank="0" text="" dxfId="2">
      <formula>$B794&gt;=SinirDeger</formula>
    </cfRule>
  </conditionalFormatting>
  <conditionalFormatting sqref="A795:C795">
    <cfRule type="expression" priority="1580" aboveAverage="0" equalAverage="0" bottom="0" percent="0" rank="0" text="" dxfId="0">
      <formula>$B795&lt;SinirDeger</formula>
    </cfRule>
    <cfRule type="expression" priority="1581" aboveAverage="0" equalAverage="0" bottom="0" percent="0" rank="0" text="" dxfId="2">
      <formula>$B795&gt;=SinirDeger</formula>
    </cfRule>
  </conditionalFormatting>
  <conditionalFormatting sqref="A796:C796">
    <cfRule type="expression" priority="1582" aboveAverage="0" equalAverage="0" bottom="0" percent="0" rank="0" text="" dxfId="0">
      <formula>$B796&lt;SinirDeger</formula>
    </cfRule>
    <cfRule type="expression" priority="1583" aboveAverage="0" equalAverage="0" bottom="0" percent="0" rank="0" text="" dxfId="2">
      <formula>$B796&gt;=SinirDeger</formula>
    </cfRule>
  </conditionalFormatting>
  <conditionalFormatting sqref="A797:C797">
    <cfRule type="expression" priority="1584" aboveAverage="0" equalAverage="0" bottom="0" percent="0" rank="0" text="" dxfId="0">
      <formula>$B797&lt;SinirDeger</formula>
    </cfRule>
    <cfRule type="expression" priority="1585" aboveAverage="0" equalAverage="0" bottom="0" percent="0" rank="0" text="" dxfId="2">
      <formula>$B797&gt;=SinirDeger</formula>
    </cfRule>
  </conditionalFormatting>
  <conditionalFormatting sqref="A798:C798">
    <cfRule type="expression" priority="1586" aboveAverage="0" equalAverage="0" bottom="0" percent="0" rank="0" text="" dxfId="0">
      <formula>$B798&lt;SinirDeger</formula>
    </cfRule>
    <cfRule type="expression" priority="1587" aboveAverage="0" equalAverage="0" bottom="0" percent="0" rank="0" text="" dxfId="2">
      <formula>$B798&gt;=SinirDeger</formula>
    </cfRule>
  </conditionalFormatting>
  <conditionalFormatting sqref="A799:C799">
    <cfRule type="expression" priority="1588" aboveAverage="0" equalAverage="0" bottom="0" percent="0" rank="0" text="" dxfId="0">
      <formula>$B799&lt;SinirDeger</formula>
    </cfRule>
    <cfRule type="expression" priority="1589" aboveAverage="0" equalAverage="0" bottom="0" percent="0" rank="0" text="" dxfId="2">
      <formula>$B799&gt;=SinirDeger</formula>
    </cfRule>
  </conditionalFormatting>
  <conditionalFormatting sqref="A800:C800">
    <cfRule type="expression" priority="1590" aboveAverage="0" equalAverage="0" bottom="0" percent="0" rank="0" text="" dxfId="0">
      <formula>$B800&lt;SinirDeger</formula>
    </cfRule>
    <cfRule type="expression" priority="1591" aboveAverage="0" equalAverage="0" bottom="0" percent="0" rank="0" text="" dxfId="2">
      <formula>$B800&gt;=SinirDeger</formula>
    </cfRule>
  </conditionalFormatting>
  <conditionalFormatting sqref="A801:C801">
    <cfRule type="expression" priority="1592" aboveAverage="0" equalAverage="0" bottom="0" percent="0" rank="0" text="" dxfId="0">
      <formula>$B801&lt;SinirDeger</formula>
    </cfRule>
    <cfRule type="expression" priority="1593" aboveAverage="0" equalAverage="0" bottom="0" percent="0" rank="0" text="" dxfId="2">
      <formula>$B801&gt;=SinirDeger</formula>
    </cfRule>
  </conditionalFormatting>
  <conditionalFormatting sqref="A802:C802">
    <cfRule type="expression" priority="1594" aboveAverage="0" equalAverage="0" bottom="0" percent="0" rank="0" text="" dxfId="0">
      <formula>$B802&lt;SinirDeger</formula>
    </cfRule>
    <cfRule type="expression" priority="1595" aboveAverage="0" equalAverage="0" bottom="0" percent="0" rank="0" text="" dxfId="2">
      <formula>$B802&gt;=SinirDeger</formula>
    </cfRule>
  </conditionalFormatting>
  <conditionalFormatting sqref="A803:C803">
    <cfRule type="expression" priority="1596" aboveAverage="0" equalAverage="0" bottom="0" percent="0" rank="0" text="" dxfId="0">
      <formula>$B803&lt;SinirDeger</formula>
    </cfRule>
    <cfRule type="expression" priority="1597" aboveAverage="0" equalAverage="0" bottom="0" percent="0" rank="0" text="" dxfId="2">
      <formula>$B803&gt;=SinirDeger</formula>
    </cfRule>
  </conditionalFormatting>
  <conditionalFormatting sqref="A804:C804">
    <cfRule type="expression" priority="1598" aboveAverage="0" equalAverage="0" bottom="0" percent="0" rank="0" text="" dxfId="0">
      <formula>$B804&lt;SinirDeger</formula>
    </cfRule>
    <cfRule type="expression" priority="1599" aboveAverage="0" equalAverage="0" bottom="0" percent="0" rank="0" text="" dxfId="2">
      <formula>$B804&gt;=SinirDeger</formula>
    </cfRule>
  </conditionalFormatting>
  <conditionalFormatting sqref="A805:C805">
    <cfRule type="expression" priority="1600" aboveAverage="0" equalAverage="0" bottom="0" percent="0" rank="0" text="" dxfId="0">
      <formula>$B805&lt;SinirDeger</formula>
    </cfRule>
    <cfRule type="expression" priority="1601" aboveAverage="0" equalAverage="0" bottom="0" percent="0" rank="0" text="" dxfId="2">
      <formula>$B805&gt;=SinirDeger</formula>
    </cfRule>
  </conditionalFormatting>
  <conditionalFormatting sqref="A806:C806">
    <cfRule type="expression" priority="1602" aboveAverage="0" equalAverage="0" bottom="0" percent="0" rank="0" text="" dxfId="0">
      <formula>$B806&lt;SinirDeger</formula>
    </cfRule>
    <cfRule type="expression" priority="1603" aboveAverage="0" equalAverage="0" bottom="0" percent="0" rank="0" text="" dxfId="2">
      <formula>$B806&gt;=SinirDeger</formula>
    </cfRule>
  </conditionalFormatting>
  <conditionalFormatting sqref="A807:C807">
    <cfRule type="expression" priority="1604" aboveAverage="0" equalAverage="0" bottom="0" percent="0" rank="0" text="" dxfId="0">
      <formula>$B807&lt;SinirDeger</formula>
    </cfRule>
    <cfRule type="expression" priority="1605" aboveAverage="0" equalAverage="0" bottom="0" percent="0" rank="0" text="" dxfId="2">
      <formula>$B807&gt;=SinirDeger</formula>
    </cfRule>
  </conditionalFormatting>
  <conditionalFormatting sqref="A808:C808">
    <cfRule type="expression" priority="1606" aboveAverage="0" equalAverage="0" bottom="0" percent="0" rank="0" text="" dxfId="0">
      <formula>$B808&lt;SinirDeger</formula>
    </cfRule>
    <cfRule type="expression" priority="1607" aboveAverage="0" equalAverage="0" bottom="0" percent="0" rank="0" text="" dxfId="2">
      <formula>$B808&gt;=SinirDeger</formula>
    </cfRule>
  </conditionalFormatting>
  <conditionalFormatting sqref="A809:C809">
    <cfRule type="expression" priority="1608" aboveAverage="0" equalAverage="0" bottom="0" percent="0" rank="0" text="" dxfId="0">
      <formula>$B809&lt;SinirDeger</formula>
    </cfRule>
    <cfRule type="expression" priority="1609" aboveAverage="0" equalAverage="0" bottom="0" percent="0" rank="0" text="" dxfId="2">
      <formula>$B809&gt;=SinirDeger</formula>
    </cfRule>
  </conditionalFormatting>
  <conditionalFormatting sqref="A810:C810">
    <cfRule type="expression" priority="1610" aboveAverage="0" equalAverage="0" bottom="0" percent="0" rank="0" text="" dxfId="0">
      <formula>$B810&lt;SinirDeger</formula>
    </cfRule>
    <cfRule type="expression" priority="1611" aboveAverage="0" equalAverage="0" bottom="0" percent="0" rank="0" text="" dxfId="2">
      <formula>$B810&gt;=SinirDeger</formula>
    </cfRule>
  </conditionalFormatting>
  <conditionalFormatting sqref="A811:C811">
    <cfRule type="expression" priority="1612" aboveAverage="0" equalAverage="0" bottom="0" percent="0" rank="0" text="" dxfId="0">
      <formula>$B811&lt;SinirDeger</formula>
    </cfRule>
    <cfRule type="expression" priority="1613" aboveAverage="0" equalAverage="0" bottom="0" percent="0" rank="0" text="" dxfId="2">
      <formula>$B811&gt;=SinirDeger</formula>
    </cfRule>
  </conditionalFormatting>
  <conditionalFormatting sqref="A812:C812">
    <cfRule type="expression" priority="1614" aboveAverage="0" equalAverage="0" bottom="0" percent="0" rank="0" text="" dxfId="0">
      <formula>$B812&lt;SinirDeger</formula>
    </cfRule>
    <cfRule type="expression" priority="1615" aboveAverage="0" equalAverage="0" bottom="0" percent="0" rank="0" text="" dxfId="2">
      <formula>$B812&gt;=SinirDeger</formula>
    </cfRule>
  </conditionalFormatting>
  <conditionalFormatting sqref="A813:C813">
    <cfRule type="expression" priority="1616" aboveAverage="0" equalAverage="0" bottom="0" percent="0" rank="0" text="" dxfId="0">
      <formula>$B813&lt;SinirDeger</formula>
    </cfRule>
    <cfRule type="expression" priority="1617" aboveAverage="0" equalAverage="0" bottom="0" percent="0" rank="0" text="" dxfId="2">
      <formula>$B813&gt;=SinirDeger</formula>
    </cfRule>
  </conditionalFormatting>
  <conditionalFormatting sqref="A814:C814">
    <cfRule type="expression" priority="1618" aboveAverage="0" equalAverage="0" bottom="0" percent="0" rank="0" text="" dxfId="0">
      <formula>$B814&lt;SinirDeger</formula>
    </cfRule>
    <cfRule type="expression" priority="1619" aboveAverage="0" equalAverage="0" bottom="0" percent="0" rank="0" text="" dxfId="2">
      <formula>$B814&gt;=SinirDeger</formula>
    </cfRule>
  </conditionalFormatting>
  <conditionalFormatting sqref="A815:C815">
    <cfRule type="expression" priority="1620" aboveAverage="0" equalAverage="0" bottom="0" percent="0" rank="0" text="" dxfId="0">
      <formula>$B815&lt;SinirDeger</formula>
    </cfRule>
    <cfRule type="expression" priority="1621" aboveAverage="0" equalAverage="0" bottom="0" percent="0" rank="0" text="" dxfId="2">
      <formula>$B815&gt;=SinirDeger</formula>
    </cfRule>
  </conditionalFormatting>
  <conditionalFormatting sqref="A816:C816">
    <cfRule type="expression" priority="1622" aboveAverage="0" equalAverage="0" bottom="0" percent="0" rank="0" text="" dxfId="0">
      <formula>$B816&lt;SinirDeger</formula>
    </cfRule>
    <cfRule type="expression" priority="1623" aboveAverage="0" equalAverage="0" bottom="0" percent="0" rank="0" text="" dxfId="2">
      <formula>$B816&gt;=SinirDeger</formula>
    </cfRule>
  </conditionalFormatting>
  <conditionalFormatting sqref="A817:C817">
    <cfRule type="expression" priority="1624" aboveAverage="0" equalAverage="0" bottom="0" percent="0" rank="0" text="" dxfId="0">
      <formula>$B817&lt;SinirDeger</formula>
    </cfRule>
    <cfRule type="expression" priority="1625" aboveAverage="0" equalAverage="0" bottom="0" percent="0" rank="0" text="" dxfId="2">
      <formula>$B817&gt;=SinirDeger</formula>
    </cfRule>
  </conditionalFormatting>
  <conditionalFormatting sqref="A818:C818">
    <cfRule type="expression" priority="1626" aboveAverage="0" equalAverage="0" bottom="0" percent="0" rank="0" text="" dxfId="0">
      <formula>$B818&lt;SinirDeger</formula>
    </cfRule>
    <cfRule type="expression" priority="1627" aboveAverage="0" equalAverage="0" bottom="0" percent="0" rank="0" text="" dxfId="2">
      <formula>$B818&gt;=SinirDeger</formula>
    </cfRule>
  </conditionalFormatting>
  <conditionalFormatting sqref="A819:C819">
    <cfRule type="expression" priority="1628" aboveAverage="0" equalAverage="0" bottom="0" percent="0" rank="0" text="" dxfId="0">
      <formula>$B819&lt;SinirDeger</formula>
    </cfRule>
    <cfRule type="expression" priority="1629" aboveAverage="0" equalAverage="0" bottom="0" percent="0" rank="0" text="" dxfId="2">
      <formula>$B819&gt;=SinirDeger</formula>
    </cfRule>
  </conditionalFormatting>
  <conditionalFormatting sqref="A820:C820">
    <cfRule type="expression" priority="1630" aboveAverage="0" equalAverage="0" bottom="0" percent="0" rank="0" text="" dxfId="0">
      <formula>$B820&lt;SinirDeger</formula>
    </cfRule>
    <cfRule type="expression" priority="1631" aboveAverage="0" equalAverage="0" bottom="0" percent="0" rank="0" text="" dxfId="2">
      <formula>$B820&gt;=SinirDeger</formula>
    </cfRule>
  </conditionalFormatting>
  <conditionalFormatting sqref="A821:C821">
    <cfRule type="expression" priority="1632" aboveAverage="0" equalAverage="0" bottom="0" percent="0" rank="0" text="" dxfId="0">
      <formula>$B821&lt;SinirDeger</formula>
    </cfRule>
    <cfRule type="expression" priority="1633" aboveAverage="0" equalAverage="0" bottom="0" percent="0" rank="0" text="" dxfId="2">
      <formula>$B821&gt;=SinirDeger</formula>
    </cfRule>
  </conditionalFormatting>
  <conditionalFormatting sqref="A822:C822">
    <cfRule type="expression" priority="1634" aboveAverage="0" equalAverage="0" bottom="0" percent="0" rank="0" text="" dxfId="0">
      <formula>$B822&lt;SinirDeger</formula>
    </cfRule>
    <cfRule type="expression" priority="1635" aboveAverage="0" equalAverage="0" bottom="0" percent="0" rank="0" text="" dxfId="2">
      <formula>$B822&gt;=SinirDeger</formula>
    </cfRule>
  </conditionalFormatting>
  <conditionalFormatting sqref="A823:C823">
    <cfRule type="expression" priority="1636" aboveAverage="0" equalAverage="0" bottom="0" percent="0" rank="0" text="" dxfId="0">
      <formula>$B823&lt;SinirDeger</formula>
    </cfRule>
    <cfRule type="expression" priority="1637" aboveAverage="0" equalAverage="0" bottom="0" percent="0" rank="0" text="" dxfId="2">
      <formula>$B823&gt;=SinirDeger</formula>
    </cfRule>
  </conditionalFormatting>
  <conditionalFormatting sqref="A824:C824">
    <cfRule type="expression" priority="1638" aboveAverage="0" equalAverage="0" bottom="0" percent="0" rank="0" text="" dxfId="0">
      <formula>$B824&lt;SinirDeger</formula>
    </cfRule>
    <cfRule type="expression" priority="1639" aboveAverage="0" equalAverage="0" bottom="0" percent="0" rank="0" text="" dxfId="2">
      <formula>$B824&gt;=SinirDeger</formula>
    </cfRule>
  </conditionalFormatting>
  <conditionalFormatting sqref="A825:C825">
    <cfRule type="expression" priority="1640" aboveAverage="0" equalAverage="0" bottom="0" percent="0" rank="0" text="" dxfId="0">
      <formula>$B825&lt;SinirDeger</formula>
    </cfRule>
    <cfRule type="expression" priority="1641" aboveAverage="0" equalAverage="0" bottom="0" percent="0" rank="0" text="" dxfId="2">
      <formula>$B825&gt;=SinirDeger</formula>
    </cfRule>
  </conditionalFormatting>
  <conditionalFormatting sqref="A826:C826">
    <cfRule type="expression" priority="1642" aboveAverage="0" equalAverage="0" bottom="0" percent="0" rank="0" text="" dxfId="0">
      <formula>$B826&lt;SinirDeger</formula>
    </cfRule>
    <cfRule type="expression" priority="1643" aboveAverage="0" equalAverage="0" bottom="0" percent="0" rank="0" text="" dxfId="2">
      <formula>$B826&gt;=SinirDeger</formula>
    </cfRule>
  </conditionalFormatting>
  <conditionalFormatting sqref="A827:C827">
    <cfRule type="expression" priority="1644" aboveAverage="0" equalAverage="0" bottom="0" percent="0" rank="0" text="" dxfId="0">
      <formula>$B827&lt;SinirDeger</formula>
    </cfRule>
    <cfRule type="expression" priority="1645" aboveAverage="0" equalAverage="0" bottom="0" percent="0" rank="0" text="" dxfId="2">
      <formula>$B827&gt;=SinirDeger</formula>
    </cfRule>
  </conditionalFormatting>
  <conditionalFormatting sqref="A828:C828">
    <cfRule type="expression" priority="1646" aboveAverage="0" equalAverage="0" bottom="0" percent="0" rank="0" text="" dxfId="0">
      <formula>$B828&lt;SinirDeger</formula>
    </cfRule>
    <cfRule type="expression" priority="1647" aboveAverage="0" equalAverage="0" bottom="0" percent="0" rank="0" text="" dxfId="2">
      <formula>$B828&gt;=SinirDeger</formula>
    </cfRule>
  </conditionalFormatting>
  <conditionalFormatting sqref="A829:C829">
    <cfRule type="expression" priority="1648" aboveAverage="0" equalAverage="0" bottom="0" percent="0" rank="0" text="" dxfId="0">
      <formula>$B829&lt;SinirDeger</formula>
    </cfRule>
    <cfRule type="expression" priority="1649" aboveAverage="0" equalAverage="0" bottom="0" percent="0" rank="0" text="" dxfId="2">
      <formula>$B829&gt;=SinirDeger</formula>
    </cfRule>
  </conditionalFormatting>
  <conditionalFormatting sqref="A830:C830">
    <cfRule type="expression" priority="1650" aboveAverage="0" equalAverage="0" bottom="0" percent="0" rank="0" text="" dxfId="0">
      <formula>$B830&lt;SinirDeger</formula>
    </cfRule>
    <cfRule type="expression" priority="1651" aboveAverage="0" equalAverage="0" bottom="0" percent="0" rank="0" text="" dxfId="2">
      <formula>$B830&gt;=SinirDeger</formula>
    </cfRule>
  </conditionalFormatting>
  <conditionalFormatting sqref="A831:C831">
    <cfRule type="expression" priority="1652" aboveAverage="0" equalAverage="0" bottom="0" percent="0" rank="0" text="" dxfId="0">
      <formula>$B831&lt;SinirDeger</formula>
    </cfRule>
    <cfRule type="expression" priority="1653" aboveAverage="0" equalAverage="0" bottom="0" percent="0" rank="0" text="" dxfId="2">
      <formula>$B831&gt;=SinirDeger</formula>
    </cfRule>
  </conditionalFormatting>
  <conditionalFormatting sqref="A832:C832">
    <cfRule type="expression" priority="1654" aboveAverage="0" equalAverage="0" bottom="0" percent="0" rank="0" text="" dxfId="0">
      <formula>$B832&lt;SinirDeger</formula>
    </cfRule>
    <cfRule type="expression" priority="1655" aboveAverage="0" equalAverage="0" bottom="0" percent="0" rank="0" text="" dxfId="2">
      <formula>$B832&gt;=SinirDeger</formula>
    </cfRule>
  </conditionalFormatting>
  <conditionalFormatting sqref="A833:C833">
    <cfRule type="expression" priority="1656" aboveAverage="0" equalAverage="0" bottom="0" percent="0" rank="0" text="" dxfId="0">
      <formula>$B833&lt;SinirDeger</formula>
    </cfRule>
    <cfRule type="expression" priority="1657" aboveAverage="0" equalAverage="0" bottom="0" percent="0" rank="0" text="" dxfId="2">
      <formula>$B833&gt;=SinirDeger</formula>
    </cfRule>
  </conditionalFormatting>
  <conditionalFormatting sqref="A834:C834">
    <cfRule type="expression" priority="1658" aboveAverage="0" equalAverage="0" bottom="0" percent="0" rank="0" text="" dxfId="0">
      <formula>$B834&lt;SinirDeger</formula>
    </cfRule>
    <cfRule type="expression" priority="1659" aboveAverage="0" equalAverage="0" bottom="0" percent="0" rank="0" text="" dxfId="2">
      <formula>$B834&gt;=SinirDeger</formula>
    </cfRule>
  </conditionalFormatting>
  <conditionalFormatting sqref="A835:C835">
    <cfRule type="expression" priority="1660" aboveAverage="0" equalAverage="0" bottom="0" percent="0" rank="0" text="" dxfId="0">
      <formula>$B835&lt;SinirDeger</formula>
    </cfRule>
    <cfRule type="expression" priority="1661" aboveAverage="0" equalAverage="0" bottom="0" percent="0" rank="0" text="" dxfId="2">
      <formula>$B835&gt;=SinirDeger</formula>
    </cfRule>
  </conditionalFormatting>
  <conditionalFormatting sqref="A836:C836">
    <cfRule type="expression" priority="1662" aboveAverage="0" equalAverage="0" bottom="0" percent="0" rank="0" text="" dxfId="0">
      <formula>$B836&lt;SinirDeger</formula>
    </cfRule>
    <cfRule type="expression" priority="1663" aboveAverage="0" equalAverage="0" bottom="0" percent="0" rank="0" text="" dxfId="2">
      <formula>$B836&gt;=SinirDeger</formula>
    </cfRule>
  </conditionalFormatting>
  <conditionalFormatting sqref="A837:C837">
    <cfRule type="expression" priority="1664" aboveAverage="0" equalAverage="0" bottom="0" percent="0" rank="0" text="" dxfId="0">
      <formula>$B837&lt;SinirDeger</formula>
    </cfRule>
    <cfRule type="expression" priority="1665" aboveAverage="0" equalAverage="0" bottom="0" percent="0" rank="0" text="" dxfId="2">
      <formula>$B837&gt;=SinirDeger</formula>
    </cfRule>
  </conditionalFormatting>
  <conditionalFormatting sqref="A838:C838">
    <cfRule type="expression" priority="1666" aboveAverage="0" equalAverage="0" bottom="0" percent="0" rank="0" text="" dxfId="0">
      <formula>$B838&lt;SinirDeger</formula>
    </cfRule>
    <cfRule type="expression" priority="1667" aboveAverage="0" equalAverage="0" bottom="0" percent="0" rank="0" text="" dxfId="2">
      <formula>$B838&gt;=SinirDeger</formula>
    </cfRule>
  </conditionalFormatting>
  <conditionalFormatting sqref="A839:C839">
    <cfRule type="expression" priority="1668" aboveAverage="0" equalAverage="0" bottom="0" percent="0" rank="0" text="" dxfId="0">
      <formula>$B839&lt;SinirDeger</formula>
    </cfRule>
    <cfRule type="expression" priority="1669" aboveAverage="0" equalAverage="0" bottom="0" percent="0" rank="0" text="" dxfId="2">
      <formula>$B839&gt;=SinirDeger</formula>
    </cfRule>
  </conditionalFormatting>
  <conditionalFormatting sqref="A840:C840">
    <cfRule type="expression" priority="1670" aboveAverage="0" equalAverage="0" bottom="0" percent="0" rank="0" text="" dxfId="0">
      <formula>$B840&lt;SinirDeger</formula>
    </cfRule>
    <cfRule type="expression" priority="1671" aboveAverage="0" equalAverage="0" bottom="0" percent="0" rank="0" text="" dxfId="2">
      <formula>$B840&gt;=SinirDeger</formula>
    </cfRule>
  </conditionalFormatting>
  <conditionalFormatting sqref="A841:C841">
    <cfRule type="expression" priority="1672" aboveAverage="0" equalAverage="0" bottom="0" percent="0" rank="0" text="" dxfId="0">
      <formula>$B841&lt;SinirDeger</formula>
    </cfRule>
    <cfRule type="expression" priority="1673" aboveAverage="0" equalAverage="0" bottom="0" percent="0" rank="0" text="" dxfId="2">
      <formula>$B841&gt;=SinirDeger</formula>
    </cfRule>
  </conditionalFormatting>
  <conditionalFormatting sqref="A842:C842">
    <cfRule type="expression" priority="1674" aboveAverage="0" equalAverage="0" bottom="0" percent="0" rank="0" text="" dxfId="0">
      <formula>$B842&lt;SinirDeger</formula>
    </cfRule>
    <cfRule type="expression" priority="1675" aboveAverage="0" equalAverage="0" bottom="0" percent="0" rank="0" text="" dxfId="2">
      <formula>$B842&gt;=SinirDeger</formula>
    </cfRule>
  </conditionalFormatting>
  <conditionalFormatting sqref="A843:C843">
    <cfRule type="expression" priority="1676" aboveAverage="0" equalAverage="0" bottom="0" percent="0" rank="0" text="" dxfId="0">
      <formula>$B843&lt;SinirDeger</formula>
    </cfRule>
    <cfRule type="expression" priority="1677" aboveAverage="0" equalAverage="0" bottom="0" percent="0" rank="0" text="" dxfId="2">
      <formula>$B843&gt;=SinirDeger</formula>
    </cfRule>
  </conditionalFormatting>
  <conditionalFormatting sqref="A844:C844">
    <cfRule type="expression" priority="1678" aboveAverage="0" equalAverage="0" bottom="0" percent="0" rank="0" text="" dxfId="0">
      <formula>$B844&lt;SinirDeger</formula>
    </cfRule>
    <cfRule type="expression" priority="1679" aboveAverage="0" equalAverage="0" bottom="0" percent="0" rank="0" text="" dxfId="2">
      <formula>$B844&gt;=SinirDeger</formula>
    </cfRule>
  </conditionalFormatting>
  <conditionalFormatting sqref="A845:C845">
    <cfRule type="expression" priority="1680" aboveAverage="0" equalAverage="0" bottom="0" percent="0" rank="0" text="" dxfId="0">
      <formula>$B845&lt;SinirDeger</formula>
    </cfRule>
    <cfRule type="expression" priority="1681" aboveAverage="0" equalAverage="0" bottom="0" percent="0" rank="0" text="" dxfId="2">
      <formula>$B845&gt;=SinirDeger</formula>
    </cfRule>
  </conditionalFormatting>
  <conditionalFormatting sqref="A846:C846">
    <cfRule type="expression" priority="1682" aboveAverage="0" equalAverage="0" bottom="0" percent="0" rank="0" text="" dxfId="0">
      <formula>$B846&lt;SinirDeger</formula>
    </cfRule>
    <cfRule type="expression" priority="1683" aboveAverage="0" equalAverage="0" bottom="0" percent="0" rank="0" text="" dxfId="2">
      <formula>$B846&gt;=SinirDeger</formula>
    </cfRule>
  </conditionalFormatting>
  <conditionalFormatting sqref="A847:C847">
    <cfRule type="expression" priority="1684" aboveAverage="0" equalAverage="0" bottom="0" percent="0" rank="0" text="" dxfId="0">
      <formula>$B847&lt;SinirDeger</formula>
    </cfRule>
    <cfRule type="expression" priority="1685" aboveAverage="0" equalAverage="0" bottom="0" percent="0" rank="0" text="" dxfId="2">
      <formula>$B847&gt;=SinirDeger</formula>
    </cfRule>
  </conditionalFormatting>
  <conditionalFormatting sqref="A848:C848">
    <cfRule type="expression" priority="1686" aboveAverage="0" equalAverage="0" bottom="0" percent="0" rank="0" text="" dxfId="0">
      <formula>$B848&lt;SinirDeger</formula>
    </cfRule>
    <cfRule type="expression" priority="1687" aboveAverage="0" equalAverage="0" bottom="0" percent="0" rank="0" text="" dxfId="2">
      <formula>$B848&gt;=SinirDeger</formula>
    </cfRule>
  </conditionalFormatting>
  <conditionalFormatting sqref="A849:C849">
    <cfRule type="expression" priority="1688" aboveAverage="0" equalAverage="0" bottom="0" percent="0" rank="0" text="" dxfId="0">
      <formula>$B849&lt;SinirDeger</formula>
    </cfRule>
    <cfRule type="expression" priority="1689" aboveAverage="0" equalAverage="0" bottom="0" percent="0" rank="0" text="" dxfId="2">
      <formula>$B849&gt;=SinirDeger</formula>
    </cfRule>
  </conditionalFormatting>
  <conditionalFormatting sqref="A850:C850">
    <cfRule type="expression" priority="1690" aboveAverage="0" equalAverage="0" bottom="0" percent="0" rank="0" text="" dxfId="0">
      <formula>$B850&lt;SinirDeger</formula>
    </cfRule>
    <cfRule type="expression" priority="1691" aboveAverage="0" equalAverage="0" bottom="0" percent="0" rank="0" text="" dxfId="2">
      <formula>$B850&gt;=SinirDeger</formula>
    </cfRule>
  </conditionalFormatting>
  <conditionalFormatting sqref="A851:C851">
    <cfRule type="expression" priority="1692" aboveAverage="0" equalAverage="0" bottom="0" percent="0" rank="0" text="" dxfId="0">
      <formula>$B851&lt;SinirDeger</formula>
    </cfRule>
    <cfRule type="expression" priority="1693" aboveAverage="0" equalAverage="0" bottom="0" percent="0" rank="0" text="" dxfId="2">
      <formula>$B851&gt;=SinirDeger</formula>
    </cfRule>
  </conditionalFormatting>
  <conditionalFormatting sqref="A852:C852">
    <cfRule type="expression" priority="1694" aboveAverage="0" equalAverage="0" bottom="0" percent="0" rank="0" text="" dxfId="0">
      <formula>$B852&lt;SinirDeger</formula>
    </cfRule>
    <cfRule type="expression" priority="1695" aboveAverage="0" equalAverage="0" bottom="0" percent="0" rank="0" text="" dxfId="2">
      <formula>$B852&gt;=SinirDeger</formula>
    </cfRule>
  </conditionalFormatting>
  <conditionalFormatting sqref="A853:C853">
    <cfRule type="expression" priority="1696" aboveAverage="0" equalAverage="0" bottom="0" percent="0" rank="0" text="" dxfId="0">
      <formula>$B853&lt;SinirDeger</formula>
    </cfRule>
    <cfRule type="expression" priority="1697" aboveAverage="0" equalAverage="0" bottom="0" percent="0" rank="0" text="" dxfId="2">
      <formula>$B853&gt;=SinirDeger</formula>
    </cfRule>
  </conditionalFormatting>
  <conditionalFormatting sqref="A854:C854">
    <cfRule type="expression" priority="1698" aboveAverage="0" equalAverage="0" bottom="0" percent="0" rank="0" text="" dxfId="0">
      <formula>$B854&lt;SinirDeger</formula>
    </cfRule>
    <cfRule type="expression" priority="1699" aboveAverage="0" equalAverage="0" bottom="0" percent="0" rank="0" text="" dxfId="2">
      <formula>$B854&gt;=SinirDeger</formula>
    </cfRule>
  </conditionalFormatting>
  <conditionalFormatting sqref="A855:C855">
    <cfRule type="expression" priority="1700" aboveAverage="0" equalAverage="0" bottom="0" percent="0" rank="0" text="" dxfId="0">
      <formula>$B855&lt;SinirDeger</formula>
    </cfRule>
    <cfRule type="expression" priority="1701" aboveAverage="0" equalAverage="0" bottom="0" percent="0" rank="0" text="" dxfId="2">
      <formula>$B855&gt;=SinirDeger</formula>
    </cfRule>
  </conditionalFormatting>
  <conditionalFormatting sqref="A856:C856">
    <cfRule type="expression" priority="1702" aboveAverage="0" equalAverage="0" bottom="0" percent="0" rank="0" text="" dxfId="0">
      <formula>$B856&lt;SinirDeger</formula>
    </cfRule>
    <cfRule type="expression" priority="1703" aboveAverage="0" equalAverage="0" bottom="0" percent="0" rank="0" text="" dxfId="2">
      <formula>$B856&gt;=SinirDeger</formula>
    </cfRule>
  </conditionalFormatting>
  <conditionalFormatting sqref="A857:C857">
    <cfRule type="expression" priority="1704" aboveAverage="0" equalAverage="0" bottom="0" percent="0" rank="0" text="" dxfId="0">
      <formula>$B857&lt;SinirDeger</formula>
    </cfRule>
    <cfRule type="expression" priority="1705" aboveAverage="0" equalAverage="0" bottom="0" percent="0" rank="0" text="" dxfId="2">
      <formula>$B857&gt;=SinirDeger</formula>
    </cfRule>
  </conditionalFormatting>
  <conditionalFormatting sqref="A858:C858">
    <cfRule type="expression" priority="1706" aboveAverage="0" equalAverage="0" bottom="0" percent="0" rank="0" text="" dxfId="0">
      <formula>$B858&lt;SinirDeger</formula>
    </cfRule>
    <cfRule type="expression" priority="1707" aboveAverage="0" equalAverage="0" bottom="0" percent="0" rank="0" text="" dxfId="2">
      <formula>$B858&gt;=SinirDeger</formula>
    </cfRule>
  </conditionalFormatting>
  <conditionalFormatting sqref="A859:C859">
    <cfRule type="expression" priority="1708" aboveAverage="0" equalAverage="0" bottom="0" percent="0" rank="0" text="" dxfId="0">
      <formula>$B859&lt;SinirDeger</formula>
    </cfRule>
    <cfRule type="expression" priority="1709" aboveAverage="0" equalAverage="0" bottom="0" percent="0" rank="0" text="" dxfId="2">
      <formula>$B859&gt;=SinirDeger</formula>
    </cfRule>
  </conditionalFormatting>
  <conditionalFormatting sqref="A860:C860">
    <cfRule type="expression" priority="1710" aboveAverage="0" equalAverage="0" bottom="0" percent="0" rank="0" text="" dxfId="0">
      <formula>$B860&lt;SinirDeger</formula>
    </cfRule>
    <cfRule type="expression" priority="1711" aboveAverage="0" equalAverage="0" bottom="0" percent="0" rank="0" text="" dxfId="2">
      <formula>$B860&gt;=SinirDeger</formula>
    </cfRule>
  </conditionalFormatting>
  <conditionalFormatting sqref="A861:C861">
    <cfRule type="expression" priority="1712" aboveAverage="0" equalAverage="0" bottom="0" percent="0" rank="0" text="" dxfId="0">
      <formula>$B861&lt;SinirDeger</formula>
    </cfRule>
    <cfRule type="expression" priority="1713" aboveAverage="0" equalAverage="0" bottom="0" percent="0" rank="0" text="" dxfId="2">
      <formula>$B861&gt;=SinirDeger</formula>
    </cfRule>
  </conditionalFormatting>
  <conditionalFormatting sqref="A862:C862">
    <cfRule type="expression" priority="1714" aboveAverage="0" equalAverage="0" bottom="0" percent="0" rank="0" text="" dxfId="0">
      <formula>$B862&lt;SinirDeger</formula>
    </cfRule>
    <cfRule type="expression" priority="1715" aboveAverage="0" equalAverage="0" bottom="0" percent="0" rank="0" text="" dxfId="2">
      <formula>$B862&gt;=SinirDeger</formula>
    </cfRule>
  </conditionalFormatting>
  <conditionalFormatting sqref="A863:C863">
    <cfRule type="expression" priority="1716" aboveAverage="0" equalAverage="0" bottom="0" percent="0" rank="0" text="" dxfId="0">
      <formula>$B863&lt;SinirDeger</formula>
    </cfRule>
    <cfRule type="expression" priority="1717" aboveAverage="0" equalAverage="0" bottom="0" percent="0" rank="0" text="" dxfId="2">
      <formula>$B863&gt;=SinirDeger</formula>
    </cfRule>
  </conditionalFormatting>
  <conditionalFormatting sqref="A864:C864">
    <cfRule type="expression" priority="1718" aboveAverage="0" equalAverage="0" bottom="0" percent="0" rank="0" text="" dxfId="0">
      <formula>$B864&lt;SinirDeger</formula>
    </cfRule>
    <cfRule type="expression" priority="1719" aboveAverage="0" equalAverage="0" bottom="0" percent="0" rank="0" text="" dxfId="2">
      <formula>$B864&gt;=SinirDeger</formula>
    </cfRule>
  </conditionalFormatting>
  <conditionalFormatting sqref="A865:C865">
    <cfRule type="expression" priority="1720" aboveAverage="0" equalAverage="0" bottom="0" percent="0" rank="0" text="" dxfId="0">
      <formula>$B865&lt;SinirDeger</formula>
    </cfRule>
    <cfRule type="expression" priority="1721" aboveAverage="0" equalAverage="0" bottom="0" percent="0" rank="0" text="" dxfId="2">
      <formula>$B865&gt;=SinirDeger</formula>
    </cfRule>
  </conditionalFormatting>
  <conditionalFormatting sqref="A866:C866">
    <cfRule type="expression" priority="1722" aboveAverage="0" equalAverage="0" bottom="0" percent="0" rank="0" text="" dxfId="0">
      <formula>$B866&lt;SinirDeger</formula>
    </cfRule>
    <cfRule type="expression" priority="1723" aboveAverage="0" equalAverage="0" bottom="0" percent="0" rank="0" text="" dxfId="2">
      <formula>$B866&gt;=SinirDeger</formula>
    </cfRule>
  </conditionalFormatting>
  <conditionalFormatting sqref="A867:C867">
    <cfRule type="expression" priority="1724" aboveAverage="0" equalAverage="0" bottom="0" percent="0" rank="0" text="" dxfId="0">
      <formula>$B867&lt;SinirDeger</formula>
    </cfRule>
    <cfRule type="expression" priority="1725" aboveAverage="0" equalAverage="0" bottom="0" percent="0" rank="0" text="" dxfId="2">
      <formula>$B867&gt;=SinirDeger</formula>
    </cfRule>
  </conditionalFormatting>
  <conditionalFormatting sqref="A868:C868">
    <cfRule type="expression" priority="1726" aboveAverage="0" equalAverage="0" bottom="0" percent="0" rank="0" text="" dxfId="0">
      <formula>$B868&lt;SinirDeger</formula>
    </cfRule>
    <cfRule type="expression" priority="1727" aboveAverage="0" equalAverage="0" bottom="0" percent="0" rank="0" text="" dxfId="2">
      <formula>$B868&gt;=SinirDeger</formula>
    </cfRule>
  </conditionalFormatting>
  <conditionalFormatting sqref="A869:C869">
    <cfRule type="expression" priority="1728" aboveAverage="0" equalAverage="0" bottom="0" percent="0" rank="0" text="" dxfId="0">
      <formula>$B869&lt;SinirDeger</formula>
    </cfRule>
    <cfRule type="expression" priority="1729" aboveAverage="0" equalAverage="0" bottom="0" percent="0" rank="0" text="" dxfId="2">
      <formula>$B869&gt;=SinirDeger</formula>
    </cfRule>
  </conditionalFormatting>
  <conditionalFormatting sqref="A870:C870">
    <cfRule type="expression" priority="1730" aboveAverage="0" equalAverage="0" bottom="0" percent="0" rank="0" text="" dxfId="0">
      <formula>$B870&lt;SinirDeger</formula>
    </cfRule>
    <cfRule type="expression" priority="1731" aboveAverage="0" equalAverage="0" bottom="0" percent="0" rank="0" text="" dxfId="2">
      <formula>$B870&gt;=SinirDeger</formula>
    </cfRule>
  </conditionalFormatting>
  <conditionalFormatting sqref="A871:C871">
    <cfRule type="expression" priority="1732" aboveAverage="0" equalAverage="0" bottom="0" percent="0" rank="0" text="" dxfId="0">
      <formula>$B871&lt;SinirDeger</formula>
    </cfRule>
    <cfRule type="expression" priority="1733" aboveAverage="0" equalAverage="0" bottom="0" percent="0" rank="0" text="" dxfId="2">
      <formula>$B871&gt;=SinirDeger</formula>
    </cfRule>
  </conditionalFormatting>
  <conditionalFormatting sqref="A872:C872">
    <cfRule type="expression" priority="1734" aboveAverage="0" equalAverage="0" bottom="0" percent="0" rank="0" text="" dxfId="0">
      <formula>$B872&lt;SinirDeger</formula>
    </cfRule>
    <cfRule type="expression" priority="1735" aboveAverage="0" equalAverage="0" bottom="0" percent="0" rank="0" text="" dxfId="2">
      <formula>$B872&gt;=SinirDeger</formula>
    </cfRule>
  </conditionalFormatting>
  <conditionalFormatting sqref="A873:C873">
    <cfRule type="expression" priority="1736" aboveAverage="0" equalAverage="0" bottom="0" percent="0" rank="0" text="" dxfId="0">
      <formula>$B873&lt;SinirDeger</formula>
    </cfRule>
    <cfRule type="expression" priority="1737" aboveAverage="0" equalAverage="0" bottom="0" percent="0" rank="0" text="" dxfId="2">
      <formula>$B873&gt;=SinirDeger</formula>
    </cfRule>
  </conditionalFormatting>
  <conditionalFormatting sqref="A874:C874">
    <cfRule type="expression" priority="1738" aboveAverage="0" equalAverage="0" bottom="0" percent="0" rank="0" text="" dxfId="0">
      <formula>$B874&lt;SinirDeger</formula>
    </cfRule>
    <cfRule type="expression" priority="1739" aboveAverage="0" equalAverage="0" bottom="0" percent="0" rank="0" text="" dxfId="2">
      <formula>$B874&gt;=SinirDeger</formula>
    </cfRule>
  </conditionalFormatting>
  <conditionalFormatting sqref="A875:C875">
    <cfRule type="expression" priority="1740" aboveAverage="0" equalAverage="0" bottom="0" percent="0" rank="0" text="" dxfId="0">
      <formula>$B875&lt;SinirDeger</formula>
    </cfRule>
    <cfRule type="expression" priority="1741" aboveAverage="0" equalAverage="0" bottom="0" percent="0" rank="0" text="" dxfId="2">
      <formula>$B875&gt;=SinirDeger</formula>
    </cfRule>
  </conditionalFormatting>
  <conditionalFormatting sqref="A876:C876">
    <cfRule type="expression" priority="1742" aboveAverage="0" equalAverage="0" bottom="0" percent="0" rank="0" text="" dxfId="0">
      <formula>$B876&lt;SinirDeger</formula>
    </cfRule>
    <cfRule type="expression" priority="1743" aboveAverage="0" equalAverage="0" bottom="0" percent="0" rank="0" text="" dxfId="2">
      <formula>$B876&gt;=SinirDeger</formula>
    </cfRule>
  </conditionalFormatting>
  <conditionalFormatting sqref="A877:C877">
    <cfRule type="expression" priority="1744" aboveAverage="0" equalAverage="0" bottom="0" percent="0" rank="0" text="" dxfId="0">
      <formula>$B877&lt;SinirDeger</formula>
    </cfRule>
    <cfRule type="expression" priority="1745" aboveAverage="0" equalAverage="0" bottom="0" percent="0" rank="0" text="" dxfId="2">
      <formula>$B877&gt;=SinirDeger</formula>
    </cfRule>
  </conditionalFormatting>
  <conditionalFormatting sqref="A878:C878">
    <cfRule type="expression" priority="1746" aboveAverage="0" equalAverage="0" bottom="0" percent="0" rank="0" text="" dxfId="0">
      <formula>$B878&lt;SinirDeger</formula>
    </cfRule>
    <cfRule type="expression" priority="1747" aboveAverage="0" equalAverage="0" bottom="0" percent="0" rank="0" text="" dxfId="2">
      <formula>$B878&gt;=SinirDeger</formula>
    </cfRule>
  </conditionalFormatting>
  <conditionalFormatting sqref="A879:C879">
    <cfRule type="expression" priority="1748" aboveAverage="0" equalAverage="0" bottom="0" percent="0" rank="0" text="" dxfId="0">
      <formula>$B879&lt;SinirDeger</formula>
    </cfRule>
    <cfRule type="expression" priority="1749" aboveAverage="0" equalAverage="0" bottom="0" percent="0" rank="0" text="" dxfId="2">
      <formula>$B879&gt;=SinirDeger</formula>
    </cfRule>
  </conditionalFormatting>
  <conditionalFormatting sqref="A880:C880">
    <cfRule type="expression" priority="1750" aboveAverage="0" equalAverage="0" bottom="0" percent="0" rank="0" text="" dxfId="0">
      <formula>$B880&lt;SinirDeger</formula>
    </cfRule>
    <cfRule type="expression" priority="1751" aboveAverage="0" equalAverage="0" bottom="0" percent="0" rank="0" text="" dxfId="2">
      <formula>$B880&gt;=SinirDeger</formula>
    </cfRule>
  </conditionalFormatting>
  <conditionalFormatting sqref="A881:C881">
    <cfRule type="expression" priority="1752" aboveAverage="0" equalAverage="0" bottom="0" percent="0" rank="0" text="" dxfId="0">
      <formula>$B881&lt;SinirDeger</formula>
    </cfRule>
    <cfRule type="expression" priority="1753" aboveAverage="0" equalAverage="0" bottom="0" percent="0" rank="0" text="" dxfId="2">
      <formula>$B881&gt;=SinirDeger</formula>
    </cfRule>
  </conditionalFormatting>
  <conditionalFormatting sqref="A882:C882">
    <cfRule type="expression" priority="1754" aboveAverage="0" equalAverage="0" bottom="0" percent="0" rank="0" text="" dxfId="0">
      <formula>$B882&lt;SinirDeger</formula>
    </cfRule>
    <cfRule type="expression" priority="1755" aboveAverage="0" equalAverage="0" bottom="0" percent="0" rank="0" text="" dxfId="2">
      <formula>$B882&gt;=SinirDeger</formula>
    </cfRule>
  </conditionalFormatting>
  <conditionalFormatting sqref="A883:C883">
    <cfRule type="expression" priority="1756" aboveAverage="0" equalAverage="0" bottom="0" percent="0" rank="0" text="" dxfId="0">
      <formula>$B883&lt;SinirDeger</formula>
    </cfRule>
    <cfRule type="expression" priority="1757" aboveAverage="0" equalAverage="0" bottom="0" percent="0" rank="0" text="" dxfId="2">
      <formula>$B883&gt;=SinirDeger</formula>
    </cfRule>
  </conditionalFormatting>
  <conditionalFormatting sqref="A884:C884">
    <cfRule type="expression" priority="1758" aboveAverage="0" equalAverage="0" bottom="0" percent="0" rank="0" text="" dxfId="0">
      <formula>$B884&lt;SinirDeger</formula>
    </cfRule>
    <cfRule type="expression" priority="1759" aboveAverage="0" equalAverage="0" bottom="0" percent="0" rank="0" text="" dxfId="2">
      <formula>$B884&gt;=SinirDeger</formula>
    </cfRule>
  </conditionalFormatting>
  <conditionalFormatting sqref="A885:C885">
    <cfRule type="expression" priority="1760" aboveAverage="0" equalAverage="0" bottom="0" percent="0" rank="0" text="" dxfId="0">
      <formula>$B885&lt;SinirDeger</formula>
    </cfRule>
    <cfRule type="expression" priority="1761" aboveAverage="0" equalAverage="0" bottom="0" percent="0" rank="0" text="" dxfId="2">
      <formula>$B885&gt;=SinirDeger</formula>
    </cfRule>
  </conditionalFormatting>
  <conditionalFormatting sqref="A886:C886">
    <cfRule type="expression" priority="1762" aboveAverage="0" equalAverage="0" bottom="0" percent="0" rank="0" text="" dxfId="0">
      <formula>$B886&lt;SinirDeger</formula>
    </cfRule>
    <cfRule type="expression" priority="1763" aboveAverage="0" equalAverage="0" bottom="0" percent="0" rank="0" text="" dxfId="2">
      <formula>$B886&gt;=SinirDeger</formula>
    </cfRule>
  </conditionalFormatting>
  <conditionalFormatting sqref="A887:C887">
    <cfRule type="expression" priority="1764" aboveAverage="0" equalAverage="0" bottom="0" percent="0" rank="0" text="" dxfId="0">
      <formula>$B887&lt;SinirDeger</formula>
    </cfRule>
    <cfRule type="expression" priority="1765" aboveAverage="0" equalAverage="0" bottom="0" percent="0" rank="0" text="" dxfId="2">
      <formula>$B887&gt;=SinirDeger</formula>
    </cfRule>
  </conditionalFormatting>
  <conditionalFormatting sqref="A888:C888">
    <cfRule type="expression" priority="1766" aboveAverage="0" equalAverage="0" bottom="0" percent="0" rank="0" text="" dxfId="0">
      <formula>$B888&lt;SinirDeger</formula>
    </cfRule>
    <cfRule type="expression" priority="1767" aboveAverage="0" equalAverage="0" bottom="0" percent="0" rank="0" text="" dxfId="2">
      <formula>$B888&gt;=SinirDeger</formula>
    </cfRule>
  </conditionalFormatting>
  <conditionalFormatting sqref="A889:C889">
    <cfRule type="expression" priority="1768" aboveAverage="0" equalAverage="0" bottom="0" percent="0" rank="0" text="" dxfId="0">
      <formula>$B889&lt;SinirDeger</formula>
    </cfRule>
    <cfRule type="expression" priority="1769" aboveAverage="0" equalAverage="0" bottom="0" percent="0" rank="0" text="" dxfId="2">
      <formula>$B889&gt;=SinirDeger</formula>
    </cfRule>
  </conditionalFormatting>
  <conditionalFormatting sqref="A890:C890">
    <cfRule type="expression" priority="1770" aboveAverage="0" equalAverage="0" bottom="0" percent="0" rank="0" text="" dxfId="0">
      <formula>$B890&lt;SinirDeger</formula>
    </cfRule>
    <cfRule type="expression" priority="1771" aboveAverage="0" equalAverage="0" bottom="0" percent="0" rank="0" text="" dxfId="2">
      <formula>$B890&gt;=SinirDeger</formula>
    </cfRule>
  </conditionalFormatting>
  <conditionalFormatting sqref="A891:C891">
    <cfRule type="expression" priority="1772" aboveAverage="0" equalAverage="0" bottom="0" percent="0" rank="0" text="" dxfId="0">
      <formula>$B891&lt;SinirDeger</formula>
    </cfRule>
    <cfRule type="expression" priority="1773" aboveAverage="0" equalAverage="0" bottom="0" percent="0" rank="0" text="" dxfId="2">
      <formula>$B891&gt;=SinirDeger</formula>
    </cfRule>
  </conditionalFormatting>
  <conditionalFormatting sqref="A892:C892">
    <cfRule type="expression" priority="1774" aboveAverage="0" equalAverage="0" bottom="0" percent="0" rank="0" text="" dxfId="0">
      <formula>$B892&lt;SinirDeger</formula>
    </cfRule>
    <cfRule type="expression" priority="1775" aboveAverage="0" equalAverage="0" bottom="0" percent="0" rank="0" text="" dxfId="2">
      <formula>$B892&gt;=SinirDeger</formula>
    </cfRule>
  </conditionalFormatting>
  <conditionalFormatting sqref="A893:C893">
    <cfRule type="expression" priority="1776" aboveAverage="0" equalAverage="0" bottom="0" percent="0" rank="0" text="" dxfId="0">
      <formula>$B893&lt;SinirDeger</formula>
    </cfRule>
    <cfRule type="expression" priority="1777" aboveAverage="0" equalAverage="0" bottom="0" percent="0" rank="0" text="" dxfId="2">
      <formula>$B893&gt;=SinirDeger</formula>
    </cfRule>
  </conditionalFormatting>
  <conditionalFormatting sqref="A894:C894">
    <cfRule type="expression" priority="1778" aboveAverage="0" equalAverage="0" bottom="0" percent="0" rank="0" text="" dxfId="0">
      <formula>$B894&lt;SinirDeger</formula>
    </cfRule>
    <cfRule type="expression" priority="1779" aboveAverage="0" equalAverage="0" bottom="0" percent="0" rank="0" text="" dxfId="2">
      <formula>$B894&gt;=SinirDeger</formula>
    </cfRule>
  </conditionalFormatting>
  <conditionalFormatting sqref="A895:C895">
    <cfRule type="expression" priority="1780" aboveAverage="0" equalAverage="0" bottom="0" percent="0" rank="0" text="" dxfId="0">
      <formula>$B895&lt;SinirDeger</formula>
    </cfRule>
    <cfRule type="expression" priority="1781" aboveAverage="0" equalAverage="0" bottom="0" percent="0" rank="0" text="" dxfId="2">
      <formula>$B895&gt;=SinirDeger</formula>
    </cfRule>
  </conditionalFormatting>
  <conditionalFormatting sqref="A896:C896">
    <cfRule type="expression" priority="1782" aboveAverage="0" equalAverage="0" bottom="0" percent="0" rank="0" text="" dxfId="0">
      <formula>$B896&lt;SinirDeger</formula>
    </cfRule>
    <cfRule type="expression" priority="1783" aboveAverage="0" equalAverage="0" bottom="0" percent="0" rank="0" text="" dxfId="2">
      <formula>$B896&gt;=SinirDeger</formula>
    </cfRule>
  </conditionalFormatting>
  <conditionalFormatting sqref="A897:C897">
    <cfRule type="expression" priority="1784" aboveAverage="0" equalAverage="0" bottom="0" percent="0" rank="0" text="" dxfId="0">
      <formula>$B897&lt;SinirDeger</formula>
    </cfRule>
    <cfRule type="expression" priority="1785" aboveAverage="0" equalAverage="0" bottom="0" percent="0" rank="0" text="" dxfId="2">
      <formula>$B897&gt;=SinirDeger</formula>
    </cfRule>
  </conditionalFormatting>
  <conditionalFormatting sqref="A898:C898">
    <cfRule type="expression" priority="1786" aboveAverage="0" equalAverage="0" bottom="0" percent="0" rank="0" text="" dxfId="0">
      <formula>$B898&lt;SinirDeger</formula>
    </cfRule>
    <cfRule type="expression" priority="1787" aboveAverage="0" equalAverage="0" bottom="0" percent="0" rank="0" text="" dxfId="2">
      <formula>$B898&gt;=SinirDeger</formula>
    </cfRule>
  </conditionalFormatting>
  <conditionalFormatting sqref="A899:C899">
    <cfRule type="expression" priority="1788" aboveAverage="0" equalAverage="0" bottom="0" percent="0" rank="0" text="" dxfId="0">
      <formula>$B899&lt;SinirDeger</formula>
    </cfRule>
    <cfRule type="expression" priority="1789" aboveAverage="0" equalAverage="0" bottom="0" percent="0" rank="0" text="" dxfId="2">
      <formula>$B899&gt;=SinirDeger</formula>
    </cfRule>
  </conditionalFormatting>
  <conditionalFormatting sqref="A900:C900">
    <cfRule type="expression" priority="1790" aboveAverage="0" equalAverage="0" bottom="0" percent="0" rank="0" text="" dxfId="0">
      <formula>$B900&lt;SinirDeger</formula>
    </cfRule>
    <cfRule type="expression" priority="1791" aboveAverage="0" equalAverage="0" bottom="0" percent="0" rank="0" text="" dxfId="2">
      <formula>$B900&gt;=SinirDeger</formula>
    </cfRule>
  </conditionalFormatting>
  <conditionalFormatting sqref="A901:C901">
    <cfRule type="expression" priority="1792" aboveAverage="0" equalAverage="0" bottom="0" percent="0" rank="0" text="" dxfId="0">
      <formula>$B901&lt;SinirDeger</formula>
    </cfRule>
    <cfRule type="expression" priority="1793" aboveAverage="0" equalAverage="0" bottom="0" percent="0" rank="0" text="" dxfId="2">
      <formula>$B901&gt;=SinirDeger</formula>
    </cfRule>
  </conditionalFormatting>
  <conditionalFormatting sqref="A902:C902">
    <cfRule type="expression" priority="1794" aboveAverage="0" equalAverage="0" bottom="0" percent="0" rank="0" text="" dxfId="0">
      <formula>$B902&lt;SinirDeger</formula>
    </cfRule>
    <cfRule type="expression" priority="1795" aboveAverage="0" equalAverage="0" bottom="0" percent="0" rank="0" text="" dxfId="2">
      <formula>$B902&gt;=SinirDeger</formula>
    </cfRule>
  </conditionalFormatting>
  <conditionalFormatting sqref="A903:C903">
    <cfRule type="expression" priority="1796" aboveAverage="0" equalAverage="0" bottom="0" percent="0" rank="0" text="" dxfId="0">
      <formula>$B903&lt;SinirDeger</formula>
    </cfRule>
    <cfRule type="expression" priority="1797" aboveAverage="0" equalAverage="0" bottom="0" percent="0" rank="0" text="" dxfId="2">
      <formula>$B903&gt;=SinirDeger</formula>
    </cfRule>
  </conditionalFormatting>
  <conditionalFormatting sqref="A904:C904">
    <cfRule type="expression" priority="1798" aboveAverage="0" equalAverage="0" bottom="0" percent="0" rank="0" text="" dxfId="0">
      <formula>$B904&lt;SinirDeger</formula>
    </cfRule>
    <cfRule type="expression" priority="1799" aboveAverage="0" equalAverage="0" bottom="0" percent="0" rank="0" text="" dxfId="2">
      <formula>$B904&gt;=SinirDeger</formula>
    </cfRule>
  </conditionalFormatting>
  <conditionalFormatting sqref="A905:C905">
    <cfRule type="expression" priority="1800" aboveAverage="0" equalAverage="0" bottom="0" percent="0" rank="0" text="" dxfId="0">
      <formula>$B905&lt;SinirDeger</formula>
    </cfRule>
    <cfRule type="expression" priority="1801" aboveAverage="0" equalAverage="0" bottom="0" percent="0" rank="0" text="" dxfId="2">
      <formula>$B905&gt;=SinirDeger</formula>
    </cfRule>
  </conditionalFormatting>
  <conditionalFormatting sqref="A906:C906">
    <cfRule type="expression" priority="1802" aboveAverage="0" equalAverage="0" bottom="0" percent="0" rank="0" text="" dxfId="0">
      <formula>$B906&lt;SinirDeger</formula>
    </cfRule>
    <cfRule type="expression" priority="1803" aboveAverage="0" equalAverage="0" bottom="0" percent="0" rank="0" text="" dxfId="2">
      <formula>$B906&gt;=SinirDeger</formula>
    </cfRule>
  </conditionalFormatting>
  <conditionalFormatting sqref="A907:C907">
    <cfRule type="expression" priority="1804" aboveAverage="0" equalAverage="0" bottom="0" percent="0" rank="0" text="" dxfId="0">
      <formula>$B907&lt;SinirDeger</formula>
    </cfRule>
    <cfRule type="expression" priority="1805" aboveAverage="0" equalAverage="0" bottom="0" percent="0" rank="0" text="" dxfId="2">
      <formula>$B907&gt;=SinirDeger</formula>
    </cfRule>
  </conditionalFormatting>
  <conditionalFormatting sqref="A908:C908">
    <cfRule type="expression" priority="1806" aboveAverage="0" equalAverage="0" bottom="0" percent="0" rank="0" text="" dxfId="0">
      <formula>$B908&lt;SinirDeger</formula>
    </cfRule>
    <cfRule type="expression" priority="1807" aboveAverage="0" equalAverage="0" bottom="0" percent="0" rank="0" text="" dxfId="2">
      <formula>$B908&gt;=SinirDeger</formula>
    </cfRule>
  </conditionalFormatting>
  <conditionalFormatting sqref="A909:C909">
    <cfRule type="expression" priority="1808" aboveAverage="0" equalAverage="0" bottom="0" percent="0" rank="0" text="" dxfId="0">
      <formula>$B909&lt;SinirDeger</formula>
    </cfRule>
    <cfRule type="expression" priority="1809" aboveAverage="0" equalAverage="0" bottom="0" percent="0" rank="0" text="" dxfId="2">
      <formula>$B909&gt;=SinirDeger</formula>
    </cfRule>
  </conditionalFormatting>
  <conditionalFormatting sqref="A910:C910">
    <cfRule type="expression" priority="1810" aboveAverage="0" equalAverage="0" bottom="0" percent="0" rank="0" text="" dxfId="0">
      <formula>$B910&lt;SinirDeger</formula>
    </cfRule>
    <cfRule type="expression" priority="1811" aboveAverage="0" equalAverage="0" bottom="0" percent="0" rank="0" text="" dxfId="2">
      <formula>$B910&gt;=SinirDeger</formula>
    </cfRule>
  </conditionalFormatting>
  <conditionalFormatting sqref="A911:C911">
    <cfRule type="expression" priority="1812" aboveAverage="0" equalAverage="0" bottom="0" percent="0" rank="0" text="" dxfId="0">
      <formula>$B911&lt;SinirDeger</formula>
    </cfRule>
    <cfRule type="expression" priority="1813" aboveAverage="0" equalAverage="0" bottom="0" percent="0" rank="0" text="" dxfId="2">
      <formula>$B911&gt;=SinirDeger</formula>
    </cfRule>
  </conditionalFormatting>
  <conditionalFormatting sqref="A912:C912">
    <cfRule type="expression" priority="1814" aboveAverage="0" equalAverage="0" bottom="0" percent="0" rank="0" text="" dxfId="0">
      <formula>$B912&lt;SinirDeger</formula>
    </cfRule>
    <cfRule type="expression" priority="1815" aboveAverage="0" equalAverage="0" bottom="0" percent="0" rank="0" text="" dxfId="2">
      <formula>$B912&gt;=SinirDeger</formula>
    </cfRule>
  </conditionalFormatting>
  <conditionalFormatting sqref="A913:C913">
    <cfRule type="expression" priority="1816" aboveAverage="0" equalAverage="0" bottom="0" percent="0" rank="0" text="" dxfId="0">
      <formula>$B913&lt;SinirDeger</formula>
    </cfRule>
    <cfRule type="expression" priority="1817" aboveAverage="0" equalAverage="0" bottom="0" percent="0" rank="0" text="" dxfId="2">
      <formula>$B913&gt;=SinirDeger</formula>
    </cfRule>
  </conditionalFormatting>
  <conditionalFormatting sqref="A914:C914">
    <cfRule type="expression" priority="1818" aboveAverage="0" equalAverage="0" bottom="0" percent="0" rank="0" text="" dxfId="0">
      <formula>$B914&lt;SinirDeger</formula>
    </cfRule>
    <cfRule type="expression" priority="1819" aboveAverage="0" equalAverage="0" bottom="0" percent="0" rank="0" text="" dxfId="2">
      <formula>$B914&gt;=SinirDeger</formula>
    </cfRule>
  </conditionalFormatting>
  <conditionalFormatting sqref="A915:C915">
    <cfRule type="expression" priority="1820" aboveAverage="0" equalAverage="0" bottom="0" percent="0" rank="0" text="" dxfId="0">
      <formula>$B915&lt;SinirDeger</formula>
    </cfRule>
    <cfRule type="expression" priority="1821" aboveAverage="0" equalAverage="0" bottom="0" percent="0" rank="0" text="" dxfId="2">
      <formula>$B915&gt;=SinirDeger</formula>
    </cfRule>
  </conditionalFormatting>
  <conditionalFormatting sqref="A916:C916">
    <cfRule type="expression" priority="1822" aboveAverage="0" equalAverage="0" bottom="0" percent="0" rank="0" text="" dxfId="0">
      <formula>$B916&lt;SinirDeger</formula>
    </cfRule>
    <cfRule type="expression" priority="1823" aboveAverage="0" equalAverage="0" bottom="0" percent="0" rank="0" text="" dxfId="2">
      <formula>$B916&gt;=SinirDeger</formula>
    </cfRule>
  </conditionalFormatting>
  <conditionalFormatting sqref="A917:C917">
    <cfRule type="expression" priority="1824" aboveAverage="0" equalAverage="0" bottom="0" percent="0" rank="0" text="" dxfId="0">
      <formula>$B917&lt;SinirDeger</formula>
    </cfRule>
    <cfRule type="expression" priority="1825" aboveAverage="0" equalAverage="0" bottom="0" percent="0" rank="0" text="" dxfId="2">
      <formula>$B917&gt;=SinirDeger</formula>
    </cfRule>
  </conditionalFormatting>
  <conditionalFormatting sqref="A918:C918">
    <cfRule type="expression" priority="1826" aboveAverage="0" equalAverage="0" bottom="0" percent="0" rank="0" text="" dxfId="0">
      <formula>$B918&lt;SinirDeger</formula>
    </cfRule>
    <cfRule type="expression" priority="1827" aboveAverage="0" equalAverage="0" bottom="0" percent="0" rank="0" text="" dxfId="2">
      <formula>$B918&gt;=SinirDeger</formula>
    </cfRule>
  </conditionalFormatting>
  <conditionalFormatting sqref="A919:C919">
    <cfRule type="expression" priority="1828" aboveAverage="0" equalAverage="0" bottom="0" percent="0" rank="0" text="" dxfId="0">
      <formula>$B919&lt;SinirDeger</formula>
    </cfRule>
    <cfRule type="expression" priority="1829" aboveAverage="0" equalAverage="0" bottom="0" percent="0" rank="0" text="" dxfId="2">
      <formula>$B919&gt;=SinirDeger</formula>
    </cfRule>
  </conditionalFormatting>
  <conditionalFormatting sqref="A920:C920">
    <cfRule type="expression" priority="1830" aboveAverage="0" equalAverage="0" bottom="0" percent="0" rank="0" text="" dxfId="0">
      <formula>$B920&lt;SinirDeger</formula>
    </cfRule>
    <cfRule type="expression" priority="1831" aboveAverage="0" equalAverage="0" bottom="0" percent="0" rank="0" text="" dxfId="2">
      <formula>$B920&gt;=SinirDeger</formula>
    </cfRule>
  </conditionalFormatting>
  <conditionalFormatting sqref="A921:C921">
    <cfRule type="expression" priority="1832" aboveAverage="0" equalAverage="0" bottom="0" percent="0" rank="0" text="" dxfId="0">
      <formula>$B921&lt;SinirDeger</formula>
    </cfRule>
    <cfRule type="expression" priority="1833" aboveAverage="0" equalAverage="0" bottom="0" percent="0" rank="0" text="" dxfId="2">
      <formula>$B921&gt;=SinirDeger</formula>
    </cfRule>
  </conditionalFormatting>
  <conditionalFormatting sqref="A922:C922">
    <cfRule type="expression" priority="1834" aboveAverage="0" equalAverage="0" bottom="0" percent="0" rank="0" text="" dxfId="0">
      <formula>$B922&lt;SinirDeger</formula>
    </cfRule>
    <cfRule type="expression" priority="1835" aboveAverage="0" equalAverage="0" bottom="0" percent="0" rank="0" text="" dxfId="2">
      <formula>$B922&gt;=SinirDeger</formula>
    </cfRule>
  </conditionalFormatting>
  <conditionalFormatting sqref="A923:C923">
    <cfRule type="expression" priority="1836" aboveAverage="0" equalAverage="0" bottom="0" percent="0" rank="0" text="" dxfId="0">
      <formula>$B923&lt;SinirDeger</formula>
    </cfRule>
    <cfRule type="expression" priority="1837" aboveAverage="0" equalAverage="0" bottom="0" percent="0" rank="0" text="" dxfId="2">
      <formula>$B923&gt;=SinirDeger</formula>
    </cfRule>
  </conditionalFormatting>
  <conditionalFormatting sqref="A924:C924">
    <cfRule type="expression" priority="1838" aboveAverage="0" equalAverage="0" bottom="0" percent="0" rank="0" text="" dxfId="0">
      <formula>$B924&lt;SinirDeger</formula>
    </cfRule>
    <cfRule type="expression" priority="1839" aboveAverage="0" equalAverage="0" bottom="0" percent="0" rank="0" text="" dxfId="2">
      <formula>$B924&gt;=SinirDeger</formula>
    </cfRule>
  </conditionalFormatting>
  <conditionalFormatting sqref="A925:C925">
    <cfRule type="expression" priority="1840" aboveAverage="0" equalAverage="0" bottom="0" percent="0" rank="0" text="" dxfId="0">
      <formula>$B925&lt;SinirDeger</formula>
    </cfRule>
    <cfRule type="expression" priority="1841" aboveAverage="0" equalAverage="0" bottom="0" percent="0" rank="0" text="" dxfId="2">
      <formula>$B925&gt;=SinirDeger</formula>
    </cfRule>
  </conditionalFormatting>
  <conditionalFormatting sqref="A926:C926">
    <cfRule type="expression" priority="1842" aboveAverage="0" equalAverage="0" bottom="0" percent="0" rank="0" text="" dxfId="0">
      <formula>$B926&lt;SinirDeger</formula>
    </cfRule>
    <cfRule type="expression" priority="1843" aboveAverage="0" equalAverage="0" bottom="0" percent="0" rank="0" text="" dxfId="2">
      <formula>$B926&gt;=SinirDeger</formula>
    </cfRule>
  </conditionalFormatting>
  <conditionalFormatting sqref="A927:C927">
    <cfRule type="expression" priority="1844" aboveAverage="0" equalAverage="0" bottom="0" percent="0" rank="0" text="" dxfId="0">
      <formula>$B927&lt;SinirDeger</formula>
    </cfRule>
    <cfRule type="expression" priority="1845" aboveAverage="0" equalAverage="0" bottom="0" percent="0" rank="0" text="" dxfId="2">
      <formula>$B927&gt;=SinirDeger</formula>
    </cfRule>
  </conditionalFormatting>
  <conditionalFormatting sqref="A928:C928">
    <cfRule type="expression" priority="1846" aboveAverage="0" equalAverage="0" bottom="0" percent="0" rank="0" text="" dxfId="0">
      <formula>$B928&lt;SinirDeger</formula>
    </cfRule>
    <cfRule type="expression" priority="1847" aboveAverage="0" equalAverage="0" bottom="0" percent="0" rank="0" text="" dxfId="2">
      <formula>$B928&gt;=SinirDeger</formula>
    </cfRule>
  </conditionalFormatting>
  <conditionalFormatting sqref="A929:C929">
    <cfRule type="expression" priority="1848" aboveAverage="0" equalAverage="0" bottom="0" percent="0" rank="0" text="" dxfId="0">
      <formula>$B929&lt;SinirDeger</formula>
    </cfRule>
    <cfRule type="expression" priority="1849" aboveAverage="0" equalAverage="0" bottom="0" percent="0" rank="0" text="" dxfId="2">
      <formula>$B929&gt;=SinirDeger</formula>
    </cfRule>
  </conditionalFormatting>
  <conditionalFormatting sqref="A930:C930">
    <cfRule type="expression" priority="1850" aboveAverage="0" equalAverage="0" bottom="0" percent="0" rank="0" text="" dxfId="0">
      <formula>$B930&lt;SinirDeger</formula>
    </cfRule>
    <cfRule type="expression" priority="1851" aboveAverage="0" equalAverage="0" bottom="0" percent="0" rank="0" text="" dxfId="2">
      <formula>$B930&gt;=SinirDeger</formula>
    </cfRule>
  </conditionalFormatting>
  <conditionalFormatting sqref="A931:C931">
    <cfRule type="expression" priority="1852" aboveAverage="0" equalAverage="0" bottom="0" percent="0" rank="0" text="" dxfId="0">
      <formula>$B931&lt;SinirDeger</formula>
    </cfRule>
    <cfRule type="expression" priority="1853" aboveAverage="0" equalAverage="0" bottom="0" percent="0" rank="0" text="" dxfId="2">
      <formula>$B931&gt;=SinirDeger</formula>
    </cfRule>
  </conditionalFormatting>
  <conditionalFormatting sqref="A932:C932">
    <cfRule type="expression" priority="1854" aboveAverage="0" equalAverage="0" bottom="0" percent="0" rank="0" text="" dxfId="0">
      <formula>$B932&lt;SinirDeger</formula>
    </cfRule>
    <cfRule type="expression" priority="1855" aboveAverage="0" equalAverage="0" bottom="0" percent="0" rank="0" text="" dxfId="2">
      <formula>$B932&gt;=SinirDeger</formula>
    </cfRule>
  </conditionalFormatting>
  <conditionalFormatting sqref="A933:C933">
    <cfRule type="expression" priority="1856" aboveAverage="0" equalAverage="0" bottom="0" percent="0" rank="0" text="" dxfId="0">
      <formula>$B933&lt;SinirDeger</formula>
    </cfRule>
    <cfRule type="expression" priority="1857" aboveAverage="0" equalAverage="0" bottom="0" percent="0" rank="0" text="" dxfId="2">
      <formula>$B933&gt;=SinirDeger</formula>
    </cfRule>
  </conditionalFormatting>
  <conditionalFormatting sqref="A934:C934">
    <cfRule type="expression" priority="1858" aboveAverage="0" equalAverage="0" bottom="0" percent="0" rank="0" text="" dxfId="0">
      <formula>$B934&lt;SinirDeger</formula>
    </cfRule>
    <cfRule type="expression" priority="1859" aboveAverage="0" equalAverage="0" bottom="0" percent="0" rank="0" text="" dxfId="2">
      <formula>$B934&gt;=SinirDeger</formula>
    </cfRule>
  </conditionalFormatting>
  <conditionalFormatting sqref="A935:C935">
    <cfRule type="expression" priority="1860" aboveAverage="0" equalAverage="0" bottom="0" percent="0" rank="0" text="" dxfId="0">
      <formula>$B935&lt;SinirDeger</formula>
    </cfRule>
    <cfRule type="expression" priority="1861" aboveAverage="0" equalAverage="0" bottom="0" percent="0" rank="0" text="" dxfId="2">
      <formula>$B935&gt;=SinirDeger</formula>
    </cfRule>
  </conditionalFormatting>
  <conditionalFormatting sqref="A936:C936">
    <cfRule type="expression" priority="1862" aboveAverage="0" equalAverage="0" bottom="0" percent="0" rank="0" text="" dxfId="0">
      <formula>$B936&lt;SinirDeger</formula>
    </cfRule>
    <cfRule type="expression" priority="1863" aboveAverage="0" equalAverage="0" bottom="0" percent="0" rank="0" text="" dxfId="2">
      <formula>$B936&gt;=SinirDeger</formula>
    </cfRule>
  </conditionalFormatting>
  <conditionalFormatting sqref="A937:C937">
    <cfRule type="expression" priority="1864" aboveAverage="0" equalAverage="0" bottom="0" percent="0" rank="0" text="" dxfId="0">
      <formula>$B937&lt;SinirDeger</formula>
    </cfRule>
    <cfRule type="expression" priority="1865" aboveAverage="0" equalAverage="0" bottom="0" percent="0" rank="0" text="" dxfId="2">
      <formula>$B937&gt;=SinirDeger</formula>
    </cfRule>
  </conditionalFormatting>
  <conditionalFormatting sqref="A938:C938">
    <cfRule type="expression" priority="1866" aboveAverage="0" equalAverage="0" bottom="0" percent="0" rank="0" text="" dxfId="0">
      <formula>$B938&lt;SinirDeger</formula>
    </cfRule>
    <cfRule type="expression" priority="1867" aboveAverage="0" equalAverage="0" bottom="0" percent="0" rank="0" text="" dxfId="2">
      <formula>$B938&gt;=SinirDeger</formula>
    </cfRule>
  </conditionalFormatting>
  <conditionalFormatting sqref="A939:C939">
    <cfRule type="expression" priority="1868" aboveAverage="0" equalAverage="0" bottom="0" percent="0" rank="0" text="" dxfId="0">
      <formula>$B939&lt;SinirDeger</formula>
    </cfRule>
    <cfRule type="expression" priority="1869" aboveAverage="0" equalAverage="0" bottom="0" percent="0" rank="0" text="" dxfId="2">
      <formula>$B939&gt;=SinirDeger</formula>
    </cfRule>
  </conditionalFormatting>
  <conditionalFormatting sqref="A940:C940">
    <cfRule type="expression" priority="1870" aboveAverage="0" equalAverage="0" bottom="0" percent="0" rank="0" text="" dxfId="0">
      <formula>$B940&lt;SinirDeger</formula>
    </cfRule>
    <cfRule type="expression" priority="1871" aboveAverage="0" equalAverage="0" bottom="0" percent="0" rank="0" text="" dxfId="2">
      <formula>$B940&gt;=SinirDeger</formula>
    </cfRule>
  </conditionalFormatting>
  <conditionalFormatting sqref="A941:C941">
    <cfRule type="expression" priority="1872" aboveAverage="0" equalAverage="0" bottom="0" percent="0" rank="0" text="" dxfId="0">
      <formula>$B941&lt;SinirDeger</formula>
    </cfRule>
    <cfRule type="expression" priority="1873" aboveAverage="0" equalAverage="0" bottom="0" percent="0" rank="0" text="" dxfId="2">
      <formula>$B941&gt;=SinirDeger</formula>
    </cfRule>
  </conditionalFormatting>
  <conditionalFormatting sqref="A942:C942">
    <cfRule type="expression" priority="1874" aboveAverage="0" equalAverage="0" bottom="0" percent="0" rank="0" text="" dxfId="0">
      <formula>$B942&lt;SinirDeger</formula>
    </cfRule>
    <cfRule type="expression" priority="1875" aboveAverage="0" equalAverage="0" bottom="0" percent="0" rank="0" text="" dxfId="2">
      <formula>$B942&gt;=SinirDeger</formula>
    </cfRule>
  </conditionalFormatting>
  <conditionalFormatting sqref="A943:C943">
    <cfRule type="expression" priority="1876" aboveAverage="0" equalAverage="0" bottom="0" percent="0" rank="0" text="" dxfId="0">
      <formula>$B943&lt;SinirDeger</formula>
    </cfRule>
    <cfRule type="expression" priority="1877" aboveAverage="0" equalAverage="0" bottom="0" percent="0" rank="0" text="" dxfId="2">
      <formula>$B943&gt;=SinirDeger</formula>
    </cfRule>
  </conditionalFormatting>
  <conditionalFormatting sqref="A944:C944">
    <cfRule type="expression" priority="1878" aboveAverage="0" equalAverage="0" bottom="0" percent="0" rank="0" text="" dxfId="0">
      <formula>$B944&lt;SinirDeger</formula>
    </cfRule>
    <cfRule type="expression" priority="1879" aboveAverage="0" equalAverage="0" bottom="0" percent="0" rank="0" text="" dxfId="2">
      <formula>$B944&gt;=SinirDeger</formula>
    </cfRule>
  </conditionalFormatting>
  <conditionalFormatting sqref="A945:C945">
    <cfRule type="expression" priority="1880" aboveAverage="0" equalAverage="0" bottom="0" percent="0" rank="0" text="" dxfId="0">
      <formula>$B945&lt;SinirDeger</formula>
    </cfRule>
    <cfRule type="expression" priority="1881" aboveAverage="0" equalAverage="0" bottom="0" percent="0" rank="0" text="" dxfId="2">
      <formula>$B945&gt;=SinirDeger</formula>
    </cfRule>
  </conditionalFormatting>
  <conditionalFormatting sqref="A946:C946">
    <cfRule type="expression" priority="1882" aboveAverage="0" equalAverage="0" bottom="0" percent="0" rank="0" text="" dxfId="0">
      <formula>$B946&lt;SinirDeger</formula>
    </cfRule>
    <cfRule type="expression" priority="1883" aboveAverage="0" equalAverage="0" bottom="0" percent="0" rank="0" text="" dxfId="2">
      <formula>$B946&gt;=SinirDeger</formula>
    </cfRule>
  </conditionalFormatting>
  <conditionalFormatting sqref="A947:C947">
    <cfRule type="expression" priority="1884" aboveAverage="0" equalAverage="0" bottom="0" percent="0" rank="0" text="" dxfId="0">
      <formula>$B947&lt;SinirDeger</formula>
    </cfRule>
    <cfRule type="expression" priority="1885" aboveAverage="0" equalAverage="0" bottom="0" percent="0" rank="0" text="" dxfId="2">
      <formula>$B947&gt;=SinirDeger</formula>
    </cfRule>
  </conditionalFormatting>
  <conditionalFormatting sqref="A948:C948">
    <cfRule type="expression" priority="1886" aboveAverage="0" equalAverage="0" bottom="0" percent="0" rank="0" text="" dxfId="0">
      <formula>$B948&lt;SinirDeger</formula>
    </cfRule>
    <cfRule type="expression" priority="1887" aboveAverage="0" equalAverage="0" bottom="0" percent="0" rank="0" text="" dxfId="2">
      <formula>$B948&gt;=SinirDeger</formula>
    </cfRule>
  </conditionalFormatting>
  <conditionalFormatting sqref="A949:C949">
    <cfRule type="expression" priority="1888" aboveAverage="0" equalAverage="0" bottom="0" percent="0" rank="0" text="" dxfId="0">
      <formula>$B949&lt;SinirDeger</formula>
    </cfRule>
    <cfRule type="expression" priority="1889" aboveAverage="0" equalAverage="0" bottom="0" percent="0" rank="0" text="" dxfId="2">
      <formula>$B949&gt;=SinirDeger</formula>
    </cfRule>
  </conditionalFormatting>
  <conditionalFormatting sqref="A950:C950">
    <cfRule type="expression" priority="1890" aboveAverage="0" equalAverage="0" bottom="0" percent="0" rank="0" text="" dxfId="0">
      <formula>$B950&lt;SinirDeger</formula>
    </cfRule>
    <cfRule type="expression" priority="1891" aboveAverage="0" equalAverage="0" bottom="0" percent="0" rank="0" text="" dxfId="2">
      <formula>$B950&gt;=SinirDeger</formula>
    </cfRule>
  </conditionalFormatting>
  <conditionalFormatting sqref="A951:C951">
    <cfRule type="expression" priority="1892" aboveAverage="0" equalAverage="0" bottom="0" percent="0" rank="0" text="" dxfId="0">
      <formula>$B951&lt;SinirDeger</formula>
    </cfRule>
    <cfRule type="expression" priority="1893" aboveAverage="0" equalAverage="0" bottom="0" percent="0" rank="0" text="" dxfId="2">
      <formula>$B951&gt;=SinirDeger</formula>
    </cfRule>
  </conditionalFormatting>
  <conditionalFormatting sqref="A952:C952">
    <cfRule type="expression" priority="1894" aboveAverage="0" equalAverage="0" bottom="0" percent="0" rank="0" text="" dxfId="0">
      <formula>$B952&lt;SinirDeger</formula>
    </cfRule>
    <cfRule type="expression" priority="1895" aboveAverage="0" equalAverage="0" bottom="0" percent="0" rank="0" text="" dxfId="2">
      <formula>$B952&gt;=SinirDeger</formula>
    </cfRule>
  </conditionalFormatting>
  <conditionalFormatting sqref="A953:C953">
    <cfRule type="expression" priority="1896" aboveAverage="0" equalAverage="0" bottom="0" percent="0" rank="0" text="" dxfId="0">
      <formula>$B953&lt;SinirDeger</formula>
    </cfRule>
    <cfRule type="expression" priority="1897" aboveAverage="0" equalAverage="0" bottom="0" percent="0" rank="0" text="" dxfId="2">
      <formula>$B953&gt;=SinirDeger</formula>
    </cfRule>
  </conditionalFormatting>
  <conditionalFormatting sqref="A954:C954">
    <cfRule type="expression" priority="1898" aboveAverage="0" equalAverage="0" bottom="0" percent="0" rank="0" text="" dxfId="0">
      <formula>$B954&lt;SinirDeger</formula>
    </cfRule>
    <cfRule type="expression" priority="1899" aboveAverage="0" equalAverage="0" bottom="0" percent="0" rank="0" text="" dxfId="2">
      <formula>$B954&gt;=SinirDeger</formula>
    </cfRule>
  </conditionalFormatting>
  <conditionalFormatting sqref="A955:C955">
    <cfRule type="expression" priority="1900" aboveAverage="0" equalAverage="0" bottom="0" percent="0" rank="0" text="" dxfId="0">
      <formula>$B955&lt;SinirDeger</formula>
    </cfRule>
    <cfRule type="expression" priority="1901" aboveAverage="0" equalAverage="0" bottom="0" percent="0" rank="0" text="" dxfId="2">
      <formula>$B955&gt;=SinirDeger</formula>
    </cfRule>
  </conditionalFormatting>
  <conditionalFormatting sqref="A956:C956">
    <cfRule type="expression" priority="1902" aboveAverage="0" equalAverage="0" bottom="0" percent="0" rank="0" text="" dxfId="0">
      <formula>$B956&lt;SinirDeger</formula>
    </cfRule>
    <cfRule type="expression" priority="1903" aboveAverage="0" equalAverage="0" bottom="0" percent="0" rank="0" text="" dxfId="2">
      <formula>$B956&gt;=SinirDeger</formula>
    </cfRule>
  </conditionalFormatting>
  <conditionalFormatting sqref="A957:C957">
    <cfRule type="expression" priority="1904" aboveAverage="0" equalAverage="0" bottom="0" percent="0" rank="0" text="" dxfId="0">
      <formula>$B957&lt;SinirDeger</formula>
    </cfRule>
    <cfRule type="expression" priority="1905" aboveAverage="0" equalAverage="0" bottom="0" percent="0" rank="0" text="" dxfId="2">
      <formula>$B957&gt;=SinirDeger</formula>
    </cfRule>
  </conditionalFormatting>
  <conditionalFormatting sqref="A958:C958">
    <cfRule type="expression" priority="1906" aboveAverage="0" equalAverage="0" bottom="0" percent="0" rank="0" text="" dxfId="0">
      <formula>$B958&lt;SinirDeger</formula>
    </cfRule>
    <cfRule type="expression" priority="1907" aboveAverage="0" equalAverage="0" bottom="0" percent="0" rank="0" text="" dxfId="2">
      <formula>$B958&gt;=SinirDeger</formula>
    </cfRule>
  </conditionalFormatting>
  <conditionalFormatting sqref="A959:C959">
    <cfRule type="expression" priority="1908" aboveAverage="0" equalAverage="0" bottom="0" percent="0" rank="0" text="" dxfId="0">
      <formula>$B959&lt;SinirDeger</formula>
    </cfRule>
    <cfRule type="expression" priority="1909" aboveAverage="0" equalAverage="0" bottom="0" percent="0" rank="0" text="" dxfId="2">
      <formula>$B959&gt;=SinirDeger</formula>
    </cfRule>
  </conditionalFormatting>
  <conditionalFormatting sqref="A960:C960">
    <cfRule type="expression" priority="1910" aboveAverage="0" equalAverage="0" bottom="0" percent="0" rank="0" text="" dxfId="0">
      <formula>$B960&lt;SinirDeger</formula>
    </cfRule>
    <cfRule type="expression" priority="1911" aboveAverage="0" equalAverage="0" bottom="0" percent="0" rank="0" text="" dxfId="2">
      <formula>$B960&gt;=SinirDeger</formula>
    </cfRule>
  </conditionalFormatting>
  <conditionalFormatting sqref="A961:C961">
    <cfRule type="expression" priority="1912" aboveAverage="0" equalAverage="0" bottom="0" percent="0" rank="0" text="" dxfId="0">
      <formula>$B961&lt;SinirDeger</formula>
    </cfRule>
    <cfRule type="expression" priority="1913" aboveAverage="0" equalAverage="0" bottom="0" percent="0" rank="0" text="" dxfId="2">
      <formula>$B961&gt;=SinirDeger</formula>
    </cfRule>
  </conditionalFormatting>
  <conditionalFormatting sqref="A962:C962">
    <cfRule type="expression" priority="1914" aboveAverage="0" equalAverage="0" bottom="0" percent="0" rank="0" text="" dxfId="0">
      <formula>$B962&lt;SinirDeger</formula>
    </cfRule>
    <cfRule type="expression" priority="1915" aboveAverage="0" equalAverage="0" bottom="0" percent="0" rank="0" text="" dxfId="2">
      <formula>$B962&gt;=SinirDeger</formula>
    </cfRule>
  </conditionalFormatting>
  <conditionalFormatting sqref="A963:C963">
    <cfRule type="expression" priority="1916" aboveAverage="0" equalAverage="0" bottom="0" percent="0" rank="0" text="" dxfId="0">
      <formula>$B963&lt;SinirDeger</formula>
    </cfRule>
    <cfRule type="expression" priority="1917" aboveAverage="0" equalAverage="0" bottom="0" percent="0" rank="0" text="" dxfId="2">
      <formula>$B963&gt;=SinirDeger</formula>
    </cfRule>
  </conditionalFormatting>
  <conditionalFormatting sqref="A964:C964">
    <cfRule type="expression" priority="1918" aboveAverage="0" equalAverage="0" bottom="0" percent="0" rank="0" text="" dxfId="0">
      <formula>$B964&lt;SinirDeger</formula>
    </cfRule>
    <cfRule type="expression" priority="1919" aboveAverage="0" equalAverage="0" bottom="0" percent="0" rank="0" text="" dxfId="2">
      <formula>$B964&gt;=SinirDeger</formula>
    </cfRule>
  </conditionalFormatting>
  <conditionalFormatting sqref="A965:C965">
    <cfRule type="expression" priority="1920" aboveAverage="0" equalAverage="0" bottom="0" percent="0" rank="0" text="" dxfId="0">
      <formula>$B965&lt;SinirDeger</formula>
    </cfRule>
    <cfRule type="expression" priority="1921" aboveAverage="0" equalAverage="0" bottom="0" percent="0" rank="0" text="" dxfId="2">
      <formula>$B965&gt;=SinirDeger</formula>
    </cfRule>
  </conditionalFormatting>
  <conditionalFormatting sqref="A966:C966">
    <cfRule type="expression" priority="1922" aboveAverage="0" equalAverage="0" bottom="0" percent="0" rank="0" text="" dxfId="0">
      <formula>$B966&lt;SinirDeger</formula>
    </cfRule>
    <cfRule type="expression" priority="1923" aboveAverage="0" equalAverage="0" bottom="0" percent="0" rank="0" text="" dxfId="2">
      <formula>$B966&gt;=SinirDeger</formula>
    </cfRule>
  </conditionalFormatting>
  <conditionalFormatting sqref="A967:C967">
    <cfRule type="expression" priority="1924" aboveAverage="0" equalAverage="0" bottom="0" percent="0" rank="0" text="" dxfId="0">
      <formula>$B967&lt;SinirDeger</formula>
    </cfRule>
    <cfRule type="expression" priority="1925" aboveAverage="0" equalAverage="0" bottom="0" percent="0" rank="0" text="" dxfId="2">
      <formula>$B967&gt;=SinirDeger</formula>
    </cfRule>
  </conditionalFormatting>
  <conditionalFormatting sqref="A968:C968">
    <cfRule type="expression" priority="1926" aboveAverage="0" equalAverage="0" bottom="0" percent="0" rank="0" text="" dxfId="0">
      <formula>$B968&lt;SinirDeger</formula>
    </cfRule>
    <cfRule type="expression" priority="1927" aboveAverage="0" equalAverage="0" bottom="0" percent="0" rank="0" text="" dxfId="2">
      <formula>$B968&gt;=SinirDeger</formula>
    </cfRule>
  </conditionalFormatting>
  <conditionalFormatting sqref="A969:C969">
    <cfRule type="expression" priority="1928" aboveAverage="0" equalAverage="0" bottom="0" percent="0" rank="0" text="" dxfId="0">
      <formula>$B969&lt;SinirDeger</formula>
    </cfRule>
    <cfRule type="expression" priority="1929" aboveAverage="0" equalAverage="0" bottom="0" percent="0" rank="0" text="" dxfId="2">
      <formula>$B969&gt;=SinirDeger</formula>
    </cfRule>
  </conditionalFormatting>
  <conditionalFormatting sqref="A970:C970">
    <cfRule type="expression" priority="1930" aboveAverage="0" equalAverage="0" bottom="0" percent="0" rank="0" text="" dxfId="0">
      <formula>$B970&lt;SinirDeger</formula>
    </cfRule>
    <cfRule type="expression" priority="1931" aboveAverage="0" equalAverage="0" bottom="0" percent="0" rank="0" text="" dxfId="2">
      <formula>$B970&gt;=SinirDeger</formula>
    </cfRule>
  </conditionalFormatting>
  <conditionalFormatting sqref="A971:C971">
    <cfRule type="expression" priority="1932" aboveAverage="0" equalAverage="0" bottom="0" percent="0" rank="0" text="" dxfId="0">
      <formula>$B971&lt;SinirDeger</formula>
    </cfRule>
    <cfRule type="expression" priority="1933" aboveAverage="0" equalAverage="0" bottom="0" percent="0" rank="0" text="" dxfId="2">
      <formula>$B971&gt;=SinirDeger</formula>
    </cfRule>
  </conditionalFormatting>
  <conditionalFormatting sqref="A972:C972">
    <cfRule type="expression" priority="1934" aboveAverage="0" equalAverage="0" bottom="0" percent="0" rank="0" text="" dxfId="0">
      <formula>$B972&lt;SinirDeger</formula>
    </cfRule>
    <cfRule type="expression" priority="1935" aboveAverage="0" equalAverage="0" bottom="0" percent="0" rank="0" text="" dxfId="2">
      <formula>$B972&gt;=SinirDeger</formula>
    </cfRule>
  </conditionalFormatting>
  <conditionalFormatting sqref="A973:C973">
    <cfRule type="expression" priority="1936" aboveAverage="0" equalAverage="0" bottom="0" percent="0" rank="0" text="" dxfId="0">
      <formula>$B973&lt;SinirDeger</formula>
    </cfRule>
    <cfRule type="expression" priority="1937" aboveAverage="0" equalAverage="0" bottom="0" percent="0" rank="0" text="" dxfId="2">
      <formula>$B973&gt;=SinirDeger</formula>
    </cfRule>
  </conditionalFormatting>
  <conditionalFormatting sqref="A974:C974">
    <cfRule type="expression" priority="1938" aboveAverage="0" equalAverage="0" bottom="0" percent="0" rank="0" text="" dxfId="0">
      <formula>$B974&lt;SinirDeger</formula>
    </cfRule>
    <cfRule type="expression" priority="1939" aboveAverage="0" equalAverage="0" bottom="0" percent="0" rank="0" text="" dxfId="2">
      <formula>$B974&gt;=SinirDeger</formula>
    </cfRule>
  </conditionalFormatting>
  <conditionalFormatting sqref="A975:C975">
    <cfRule type="expression" priority="1940" aboveAverage="0" equalAverage="0" bottom="0" percent="0" rank="0" text="" dxfId="0">
      <formula>$B975&lt;SinirDeger</formula>
    </cfRule>
    <cfRule type="expression" priority="1941" aboveAverage="0" equalAverage="0" bottom="0" percent="0" rank="0" text="" dxfId="2">
      <formula>$B975&gt;=SinirDeger</formula>
    </cfRule>
  </conditionalFormatting>
  <conditionalFormatting sqref="A976:C976">
    <cfRule type="expression" priority="1942" aboveAverage="0" equalAverage="0" bottom="0" percent="0" rank="0" text="" dxfId="0">
      <formula>$B976&lt;SinirDeger</formula>
    </cfRule>
    <cfRule type="expression" priority="1943" aboveAverage="0" equalAverage="0" bottom="0" percent="0" rank="0" text="" dxfId="2">
      <formula>$B976&gt;=SinirDeger</formula>
    </cfRule>
  </conditionalFormatting>
  <conditionalFormatting sqref="A977:C977">
    <cfRule type="expression" priority="1944" aboveAverage="0" equalAverage="0" bottom="0" percent="0" rank="0" text="" dxfId="0">
      <formula>$B977&lt;SinirDeger</formula>
    </cfRule>
    <cfRule type="expression" priority="1945" aboveAverage="0" equalAverage="0" bottom="0" percent="0" rank="0" text="" dxfId="2">
      <formula>$B977&gt;=SinirDeger</formula>
    </cfRule>
  </conditionalFormatting>
  <conditionalFormatting sqref="A978:C978">
    <cfRule type="expression" priority="1946" aboveAverage="0" equalAverage="0" bottom="0" percent="0" rank="0" text="" dxfId="0">
      <formula>$B978&lt;SinirDeger</formula>
    </cfRule>
    <cfRule type="expression" priority="1947" aboveAverage="0" equalAverage="0" bottom="0" percent="0" rank="0" text="" dxfId="2">
      <formula>$B978&gt;=SinirDeger</formula>
    </cfRule>
  </conditionalFormatting>
  <conditionalFormatting sqref="A979:C979">
    <cfRule type="expression" priority="1948" aboveAverage="0" equalAverage="0" bottom="0" percent="0" rank="0" text="" dxfId="0">
      <formula>$B979&lt;SinirDeger</formula>
    </cfRule>
    <cfRule type="expression" priority="1949" aboveAverage="0" equalAverage="0" bottom="0" percent="0" rank="0" text="" dxfId="2">
      <formula>$B979&gt;=SinirDeger</formula>
    </cfRule>
  </conditionalFormatting>
  <conditionalFormatting sqref="A980:C980">
    <cfRule type="expression" priority="1950" aboveAverage="0" equalAverage="0" bottom="0" percent="0" rank="0" text="" dxfId="0">
      <formula>$B980&lt;SinirDeger</formula>
    </cfRule>
    <cfRule type="expression" priority="1951" aboveAverage="0" equalAverage="0" bottom="0" percent="0" rank="0" text="" dxfId="2">
      <formula>$B980&gt;=SinirDeger</formula>
    </cfRule>
  </conditionalFormatting>
  <conditionalFormatting sqref="A981:C981">
    <cfRule type="expression" priority="1952" aboveAverage="0" equalAverage="0" bottom="0" percent="0" rank="0" text="" dxfId="0">
      <formula>$B981&lt;SinirDeger</formula>
    </cfRule>
    <cfRule type="expression" priority="1953" aboveAverage="0" equalAverage="0" bottom="0" percent="0" rank="0" text="" dxfId="2">
      <formula>$B981&gt;=SinirDeger</formula>
    </cfRule>
  </conditionalFormatting>
  <conditionalFormatting sqref="A982:C982">
    <cfRule type="expression" priority="1954" aboveAverage="0" equalAverage="0" bottom="0" percent="0" rank="0" text="" dxfId="0">
      <formula>$B982&lt;SinirDeger</formula>
    </cfRule>
    <cfRule type="expression" priority="1955" aboveAverage="0" equalAverage="0" bottom="0" percent="0" rank="0" text="" dxfId="2">
      <formula>$B982&gt;=SinirDeger</formula>
    </cfRule>
  </conditionalFormatting>
  <conditionalFormatting sqref="A983:C983">
    <cfRule type="expression" priority="1956" aboveAverage="0" equalAverage="0" bottom="0" percent="0" rank="0" text="" dxfId="0">
      <formula>$B983&lt;SinirDeger</formula>
    </cfRule>
    <cfRule type="expression" priority="1957" aboveAverage="0" equalAverage="0" bottom="0" percent="0" rank="0" text="" dxfId="2">
      <formula>$B983&gt;=SinirDeger</formula>
    </cfRule>
  </conditionalFormatting>
  <conditionalFormatting sqref="A984:C984">
    <cfRule type="expression" priority="1958" aboveAverage="0" equalAverage="0" bottom="0" percent="0" rank="0" text="" dxfId="0">
      <formula>$B984&lt;SinirDeger</formula>
    </cfRule>
    <cfRule type="expression" priority="1959" aboveAverage="0" equalAverage="0" bottom="0" percent="0" rank="0" text="" dxfId="2">
      <formula>$B984&gt;=SinirDeger</formula>
    </cfRule>
  </conditionalFormatting>
  <conditionalFormatting sqref="A985:C985">
    <cfRule type="expression" priority="1960" aboveAverage="0" equalAverage="0" bottom="0" percent="0" rank="0" text="" dxfId="0">
      <formula>$B985&lt;SinirDeger</formula>
    </cfRule>
    <cfRule type="expression" priority="1961" aboveAverage="0" equalAverage="0" bottom="0" percent="0" rank="0" text="" dxfId="2">
      <formula>$B985&gt;=SinirDeger</formula>
    </cfRule>
  </conditionalFormatting>
  <conditionalFormatting sqref="A986:C986">
    <cfRule type="expression" priority="1962" aboveAverage="0" equalAverage="0" bottom="0" percent="0" rank="0" text="" dxfId="0">
      <formula>$B986&lt;SinirDeger</formula>
    </cfRule>
    <cfRule type="expression" priority="1963" aboveAverage="0" equalAverage="0" bottom="0" percent="0" rank="0" text="" dxfId="2">
      <formula>$B986&gt;=SinirDeger</formula>
    </cfRule>
  </conditionalFormatting>
  <conditionalFormatting sqref="A987:C987">
    <cfRule type="expression" priority="1964" aboveAverage="0" equalAverage="0" bottom="0" percent="0" rank="0" text="" dxfId="0">
      <formula>$B987&lt;SinirDeger</formula>
    </cfRule>
    <cfRule type="expression" priority="1965" aboveAverage="0" equalAverage="0" bottom="0" percent="0" rank="0" text="" dxfId="2">
      <formula>$B987&gt;=SinirDeger</formula>
    </cfRule>
  </conditionalFormatting>
  <conditionalFormatting sqref="A988:C988">
    <cfRule type="expression" priority="1966" aboveAverage="0" equalAverage="0" bottom="0" percent="0" rank="0" text="" dxfId="0">
      <formula>$B988&lt;SinirDeger</formula>
    </cfRule>
    <cfRule type="expression" priority="1967" aboveAverage="0" equalAverage="0" bottom="0" percent="0" rank="0" text="" dxfId="2">
      <formula>$B988&gt;=SinirDeger</formula>
    </cfRule>
  </conditionalFormatting>
  <conditionalFormatting sqref="A989:C989">
    <cfRule type="expression" priority="1968" aboveAverage="0" equalAverage="0" bottom="0" percent="0" rank="0" text="" dxfId="0">
      <formula>$B989&lt;SinirDeger</formula>
    </cfRule>
    <cfRule type="expression" priority="1969" aboveAverage="0" equalAverage="0" bottom="0" percent="0" rank="0" text="" dxfId="2">
      <formula>$B989&gt;=SinirDeger</formula>
    </cfRule>
  </conditionalFormatting>
  <conditionalFormatting sqref="A990:C990">
    <cfRule type="expression" priority="1970" aboveAverage="0" equalAverage="0" bottom="0" percent="0" rank="0" text="" dxfId="0">
      <formula>$B990&lt;SinirDeger</formula>
    </cfRule>
    <cfRule type="expression" priority="1971" aboveAverage="0" equalAverage="0" bottom="0" percent="0" rank="0" text="" dxfId="2">
      <formula>$B990&gt;=SinirDeger</formula>
    </cfRule>
  </conditionalFormatting>
  <conditionalFormatting sqref="A991:C991">
    <cfRule type="expression" priority="1972" aboveAverage="0" equalAverage="0" bottom="0" percent="0" rank="0" text="" dxfId="0">
      <formula>$B991&lt;SinirDeger</formula>
    </cfRule>
    <cfRule type="expression" priority="1973" aboveAverage="0" equalAverage="0" bottom="0" percent="0" rank="0" text="" dxfId="2">
      <formula>$B991&gt;=SinirDeger</formula>
    </cfRule>
  </conditionalFormatting>
  <conditionalFormatting sqref="A992:C992">
    <cfRule type="expression" priority="1974" aboveAverage="0" equalAverage="0" bottom="0" percent="0" rank="0" text="" dxfId="0">
      <formula>$B992&lt;SinirDeger</formula>
    </cfRule>
    <cfRule type="expression" priority="1975" aboveAverage="0" equalAverage="0" bottom="0" percent="0" rank="0" text="" dxfId="2">
      <formula>$B992&gt;=SinirDeger</formula>
    </cfRule>
  </conditionalFormatting>
  <conditionalFormatting sqref="A993:C993">
    <cfRule type="expression" priority="1976" aboveAverage="0" equalAverage="0" bottom="0" percent="0" rank="0" text="" dxfId="0">
      <formula>$B993&lt;SinirDeger</formula>
    </cfRule>
    <cfRule type="expression" priority="1977" aboveAverage="0" equalAverage="0" bottom="0" percent="0" rank="0" text="" dxfId="2">
      <formula>$B993&gt;=SinirDeger</formula>
    </cfRule>
  </conditionalFormatting>
  <conditionalFormatting sqref="A994:C994">
    <cfRule type="expression" priority="1978" aboveAverage="0" equalAverage="0" bottom="0" percent="0" rank="0" text="" dxfId="0">
      <formula>$B994&lt;SinirDeger</formula>
    </cfRule>
    <cfRule type="expression" priority="1979" aboveAverage="0" equalAverage="0" bottom="0" percent="0" rank="0" text="" dxfId="2">
      <formula>$B994&gt;=SinirDeger</formula>
    </cfRule>
  </conditionalFormatting>
  <conditionalFormatting sqref="A995:C995">
    <cfRule type="expression" priority="1980" aboveAverage="0" equalAverage="0" bottom="0" percent="0" rank="0" text="" dxfId="0">
      <formula>$B995&lt;SinirDeger</formula>
    </cfRule>
    <cfRule type="expression" priority="1981" aboveAverage="0" equalAverage="0" bottom="0" percent="0" rank="0" text="" dxfId="2">
      <formula>$B995&gt;=SinirDeger</formula>
    </cfRule>
  </conditionalFormatting>
  <conditionalFormatting sqref="A996:C996">
    <cfRule type="expression" priority="1982" aboveAverage="0" equalAverage="0" bottom="0" percent="0" rank="0" text="" dxfId="0">
      <formula>$B996&lt;SinirDeger</formula>
    </cfRule>
    <cfRule type="expression" priority="1983" aboveAverage="0" equalAverage="0" bottom="0" percent="0" rank="0" text="" dxfId="2">
      <formula>$B996&gt;=SinirDeger</formula>
    </cfRule>
  </conditionalFormatting>
  <conditionalFormatting sqref="A997:C997">
    <cfRule type="expression" priority="1984" aboveAverage="0" equalAverage="0" bottom="0" percent="0" rank="0" text="" dxfId="0">
      <formula>$B997&lt;SinirDeger</formula>
    </cfRule>
    <cfRule type="expression" priority="1985" aboveAverage="0" equalAverage="0" bottom="0" percent="0" rank="0" text="" dxfId="2">
      <formula>$B997&gt;=SinirDeger</formula>
    </cfRule>
  </conditionalFormatting>
  <conditionalFormatting sqref="A998:C998">
    <cfRule type="expression" priority="1986" aboveAverage="0" equalAverage="0" bottom="0" percent="0" rank="0" text="" dxfId="0">
      <formula>$B998&lt;SinirDeger</formula>
    </cfRule>
    <cfRule type="expression" priority="1987" aboveAverage="0" equalAverage="0" bottom="0" percent="0" rank="0" text="" dxfId="2">
      <formula>$B998&gt;=SinirDeger</formula>
    </cfRule>
  </conditionalFormatting>
  <conditionalFormatting sqref="A999:C999">
    <cfRule type="expression" priority="1988" aboveAverage="0" equalAverage="0" bottom="0" percent="0" rank="0" text="" dxfId="0">
      <formula>$B999&lt;SinirDeger</formula>
    </cfRule>
    <cfRule type="expression" priority="1989" aboveAverage="0" equalAverage="0" bottom="0" percent="0" rank="0" text="" dxfId="2">
      <formula>$B999&gt;=SinirDeger</formula>
    </cfRule>
  </conditionalFormatting>
  <conditionalFormatting sqref="A1000:C1000">
    <cfRule type="expression" priority="1990" aboveAverage="0" equalAverage="0" bottom="0" percent="0" rank="0" text="" dxfId="0">
      <formula>$B1000&lt;SinirDeger</formula>
    </cfRule>
    <cfRule type="expression" priority="1991" aboveAverage="0" equalAverage="0" bottom="0" percent="0" rank="0" text="" dxfId="2">
      <formula>$B1000&gt;=SinirDeger</formula>
    </cfRule>
  </conditionalFormatting>
  <conditionalFormatting sqref="A1001:C1001">
    <cfRule type="expression" priority="1992" aboveAverage="0" equalAverage="0" bottom="0" percent="0" rank="0" text="" dxfId="0">
      <formula>$B1001&lt;SinirDeger</formula>
    </cfRule>
    <cfRule type="expression" priority="1993" aboveAverage="0" equalAverage="0" bottom="0" percent="0" rank="0" text="" dxfId="2">
      <formula>$B1001&gt;=SinirDeger</formula>
    </cfRule>
  </conditionalFormatting>
  <conditionalFormatting sqref="A1002:C1002">
    <cfRule type="expression" priority="1994" aboveAverage="0" equalAverage="0" bottom="0" percent="0" rank="0" text="" dxfId="0">
      <formula>$B1002&lt;SinirDeger</formula>
    </cfRule>
    <cfRule type="expression" priority="1995" aboveAverage="0" equalAverage="0" bottom="0" percent="0" rank="0" text="" dxfId="2">
      <formula>$B1002&gt;=SinirDeger</formula>
    </cfRule>
  </conditionalFormatting>
  <conditionalFormatting sqref="A1003:C1003">
    <cfRule type="expression" priority="1996" aboveAverage="0" equalAverage="0" bottom="0" percent="0" rank="0" text="" dxfId="0">
      <formula>$B1003&lt;SinirDeger</formula>
    </cfRule>
    <cfRule type="expression" priority="1997" aboveAverage="0" equalAverage="0" bottom="0" percent="0" rank="0" text="" dxfId="2">
      <formula>$B1003&gt;=SinirDeger</formula>
    </cfRule>
  </conditionalFormatting>
  <dataValidations count="2">
    <dataValidation allowBlank="true" error="Evet veya Hayır seçin." errorStyle="stop" errorTitle="Geçersiz seçim" operator="between" prompt="Bu teklif değerlendirmeye alınacak mı?" promptTitle="Geçerli Mi" showDropDown="false" showErrorMessage="true" showInputMessage="true" sqref="C6:C1004" type="list">
      <formula1>ListeEvetHayir</formula1>
      <formula2>0</formula2>
    </dataValidation>
    <dataValidation allowBlank="true" error="Tutar 1 ₺'den büyük olmalı." errorStyle="stop" errorTitle="Geçersiz tutar" operator="greaterThan" prompt="Rakip teklif tutarını TL olarak girin." promptTitle="Teklif Tutarı (₺)" showDropDown="false" showErrorMessage="true" showInputMessage="true" sqref="B6:B1004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2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60</v>
      </c>
    </row>
    <row r="5" customFormat="false" ht="30" hidden="false" customHeight="true" outlineLevel="0" collapsed="false">
      <c r="A5" s="20" t="s">
        <v>26</v>
      </c>
      <c r="B5" s="20" t="s">
        <v>61</v>
      </c>
      <c r="C5" s="20" t="s">
        <v>31</v>
      </c>
      <c r="D5" s="20" t="s">
        <v>62</v>
      </c>
      <c r="E5" s="20" t="s">
        <v>63</v>
      </c>
      <c r="F5" s="20" t="s">
        <v>64</v>
      </c>
      <c r="G5" s="20" t="s">
        <v>65</v>
      </c>
      <c r="H5" s="20" t="s">
        <v>66</v>
      </c>
    </row>
    <row r="6" customFormat="false" ht="15" hidden="false" customHeight="false" outlineLevel="0" collapsed="false">
      <c r="A6" s="21" t="s">
        <v>67</v>
      </c>
      <c r="B6" s="24" t="n">
        <v>46091</v>
      </c>
      <c r="C6" s="22" t="n">
        <v>9000000</v>
      </c>
      <c r="D6" s="22" t="n">
        <v>8500000</v>
      </c>
      <c r="E6" s="22" t="n">
        <v>8300000</v>
      </c>
      <c r="F6" s="22" t="n">
        <v>8300000</v>
      </c>
      <c r="G6" s="0" t="str">
        <f aca="false">IF(OR($A6="",$E6="",$D6=""),"",IF($E6&lt;$D6,"EVET","HAYIR"))</f>
        <v>EVET</v>
      </c>
      <c r="H6" s="0" t="str">
        <f aca="false">IF(OR($A6="",$E6="",$F6=""),"",IF($E6&lt;=$F6,"KAZANDI","KAYBETTİ"))</f>
        <v>KAZANDI</v>
      </c>
    </row>
    <row r="7" customFormat="false" ht="15" hidden="false" customHeight="false" outlineLevel="0" collapsed="false">
      <c r="A7" s="21" t="s">
        <v>68</v>
      </c>
      <c r="B7" s="24" t="n">
        <v>46044</v>
      </c>
      <c r="C7" s="22" t="n">
        <v>5000000</v>
      </c>
      <c r="D7" s="22" t="n">
        <v>4700000</v>
      </c>
      <c r="E7" s="22" t="n">
        <v>4500000</v>
      </c>
      <c r="F7" s="22" t="n">
        <v>4600000</v>
      </c>
      <c r="G7" s="0" t="str">
        <f aca="false">IF(OR($A7="",$E7="",$D7=""),"",IF($E7&lt;$D7,"EVET","HAYIR"))</f>
        <v>EVET</v>
      </c>
      <c r="H7" s="0" t="str">
        <f aca="false">IF(OR($A7="",$E7="",$F7=""),"",IF($E7&lt;=$F7,"KAZANDI","KAYBETTİ"))</f>
        <v>KAZANDI</v>
      </c>
    </row>
    <row r="8" customFormat="false" ht="15" hidden="false" customHeight="false" outlineLevel="0" collapsed="false">
      <c r="A8" s="21" t="s">
        <v>69</v>
      </c>
      <c r="B8" s="24" t="n">
        <v>45966</v>
      </c>
      <c r="C8" s="22" t="n">
        <v>3000000</v>
      </c>
      <c r="D8" s="22" t="n">
        <v>2800000</v>
      </c>
      <c r="E8" s="22" t="n">
        <v>2750000</v>
      </c>
      <c r="F8" s="22" t="n">
        <v>2750000</v>
      </c>
      <c r="G8" s="0" t="str">
        <f aca="false">IF(OR($A8="",$E8="",$D8=""),"",IF($E8&lt;$D8,"EVET","HAYIR"))</f>
        <v>EVET</v>
      </c>
      <c r="H8" s="0" t="str">
        <f aca="false">IF(OR($A8="",$E8="",$F8=""),"",IF($E8&lt;=$F8,"KAZANDI","KAYBETTİ"))</f>
        <v>KAZANDI</v>
      </c>
    </row>
    <row r="9" customFormat="false" ht="15" hidden="false" customHeight="false" outlineLevel="0" collapsed="false">
      <c r="A9" s="21" t="s">
        <v>70</v>
      </c>
      <c r="B9" s="24" t="n">
        <v>45883</v>
      </c>
      <c r="C9" s="22" t="n">
        <v>7000000</v>
      </c>
      <c r="D9" s="22" t="n">
        <v>6600000</v>
      </c>
      <c r="E9" s="22" t="n">
        <v>6500000</v>
      </c>
      <c r="F9" s="22" t="n">
        <v>6400000</v>
      </c>
      <c r="G9" s="0" t="str">
        <f aca="false">IF(OR($A9="",$E9="",$D9=""),"",IF($E9&lt;$D9,"EVET","HAYIR"))</f>
        <v>EVET</v>
      </c>
      <c r="H9" s="0" t="str">
        <f aca="false">IF(OR($A9="",$E9="",$F9=""),"",IF($E9&lt;=$F9,"KAZANDI","KAYBETTİ"))</f>
        <v>KAYBETTİ</v>
      </c>
    </row>
    <row r="10" customFormat="false" ht="15" hidden="false" customHeight="false" outlineLevel="0" collapsed="false">
      <c r="A10" s="21" t="s">
        <v>71</v>
      </c>
      <c r="B10" s="24" t="n">
        <v>45797</v>
      </c>
      <c r="C10" s="22" t="n">
        <v>4000000</v>
      </c>
      <c r="D10" s="22" t="n">
        <v>3800000</v>
      </c>
      <c r="E10" s="22" t="n">
        <v>3600000</v>
      </c>
      <c r="F10" s="22" t="n">
        <v>3700000</v>
      </c>
      <c r="G10" s="0" t="str">
        <f aca="false">IF(OR($A10="",$E10="",$D10=""),"",IF($E10&lt;$D10,"EVET","HAYIR"))</f>
        <v>EVET</v>
      </c>
      <c r="H10" s="0" t="str">
        <f aca="false">IF(OR($A10="",$E10="",$F10=""),"",IF($E10&lt;=$F10,"KAZANDI","KAYBETTİ"))</f>
        <v>KAZANDI</v>
      </c>
    </row>
    <row r="11" customFormat="false" ht="15" hidden="false" customHeight="false" outlineLevel="0" collapsed="false">
      <c r="A11" s="21" t="s">
        <v>72</v>
      </c>
      <c r="B11" s="24" t="n">
        <v>45700</v>
      </c>
      <c r="C11" s="22" t="n">
        <v>8500000</v>
      </c>
      <c r="D11" s="22" t="n">
        <v>8100000</v>
      </c>
      <c r="E11" s="22" t="n">
        <v>7950000</v>
      </c>
      <c r="F11" s="22" t="n">
        <v>8000000</v>
      </c>
      <c r="G11" s="0" t="str">
        <f aca="false">IF(OR($A11="",$E11="",$D11=""),"",IF($E11&lt;$D11,"EVET","HAYIR"))</f>
        <v>EVET</v>
      </c>
      <c r="H11" s="0" t="str">
        <f aca="false">IF(OR($A11="",$E11="",$F11=""),"",IF($E11&lt;=$F11,"KAZANDI","KAYBETTİ"))</f>
        <v>KAZANDI</v>
      </c>
    </row>
    <row r="12" customFormat="false" ht="15" hidden="false" customHeight="false" outlineLevel="0" collapsed="false">
      <c r="A12" s="21" t="s">
        <v>73</v>
      </c>
      <c r="B12" s="24" t="n">
        <v>45604</v>
      </c>
      <c r="C12" s="22" t="n">
        <v>2200000</v>
      </c>
      <c r="D12" s="22" t="n">
        <v>2050000</v>
      </c>
      <c r="E12" s="22" t="n">
        <v>2000000</v>
      </c>
      <c r="F12" s="22" t="n">
        <v>2000000</v>
      </c>
      <c r="G12" s="0" t="str">
        <f aca="false">IF(OR($A12="",$E12="",$D12=""),"",IF($E12&lt;$D12,"EVET","HAYIR"))</f>
        <v>EVET</v>
      </c>
      <c r="H12" s="0" t="str">
        <f aca="false">IF(OR($A12="",$E12="",$F12=""),"",IF($E12&lt;=$F12,"KAZANDI","KAYBETTİ"))</f>
        <v>KAZANDI</v>
      </c>
    </row>
    <row r="13" customFormat="false" ht="15" hidden="false" customHeight="false" outlineLevel="0" collapsed="false">
      <c r="A13" s="21" t="s">
        <v>74</v>
      </c>
      <c r="B13" s="24" t="n">
        <v>45523</v>
      </c>
      <c r="C13" s="22" t="n">
        <v>11500000</v>
      </c>
      <c r="D13" s="22" t="n">
        <v>10900000</v>
      </c>
      <c r="E13" s="22" t="n">
        <v>10750000</v>
      </c>
      <c r="F13" s="22" t="n">
        <v>10800000</v>
      </c>
      <c r="G13" s="0" t="str">
        <f aca="false">IF(OR($A13="",$E13="",$D13=""),"",IF($E13&lt;$D13,"EVET","HAYIR"))</f>
        <v>EVET</v>
      </c>
      <c r="H13" s="0" t="str">
        <f aca="false">IF(OR($A13="",$E13="",$F13=""),"",IF($E13&lt;=$F13,"KAZANDI","KAYBETTİ"))</f>
        <v>KAZANDI</v>
      </c>
    </row>
    <row r="14" customFormat="false" ht="15" hidden="false" customHeight="false" outlineLevel="0" collapsed="false">
      <c r="A14" s="21" t="s">
        <v>75</v>
      </c>
      <c r="B14" s="24" t="n">
        <v>45418</v>
      </c>
      <c r="C14" s="22" t="n">
        <v>3500000</v>
      </c>
      <c r="D14" s="22" t="n">
        <v>3300000</v>
      </c>
      <c r="E14" s="22" t="n">
        <v>3200000</v>
      </c>
      <c r="F14" s="22" t="n">
        <v>3250000</v>
      </c>
      <c r="G14" s="0" t="str">
        <f aca="false">IF(OR($A14="",$E14="",$D14=""),"",IF($E14&lt;$D14,"EVET","HAYIR"))</f>
        <v>EVET</v>
      </c>
      <c r="H14" s="0" t="str">
        <f aca="false">IF(OR($A14="",$E14="",$F14=""),"",IF($E14&lt;=$F14,"KAZANDI","KAYBETTİ"))</f>
        <v>KAZANDI</v>
      </c>
    </row>
    <row r="15" customFormat="false" ht="15" hidden="false" customHeight="false" outlineLevel="0" collapsed="false">
      <c r="A15" s="21" t="s">
        <v>76</v>
      </c>
      <c r="B15" s="24" t="n">
        <v>45337</v>
      </c>
      <c r="C15" s="22" t="n">
        <v>6000000</v>
      </c>
      <c r="D15" s="22" t="n">
        <v>5700000</v>
      </c>
      <c r="E15" s="22" t="n">
        <v>5600000</v>
      </c>
      <c r="F15" s="22" t="n">
        <v>5650000</v>
      </c>
      <c r="G15" s="0" t="str">
        <f aca="false">IF(OR($A15="",$E15="",$D15=""),"",IF($E15&lt;$D15,"EVET","HAYIR"))</f>
        <v>EVET</v>
      </c>
      <c r="H15" s="0" t="str">
        <f aca="false">IF(OR($A15="",$E15="",$F15=""),"",IF($E15&lt;=$F15,"KAZANDI","KAYBETTİ"))</f>
        <v>KAZANDI</v>
      </c>
    </row>
    <row r="16" customFormat="false" ht="15" hidden="false" customHeight="false" outlineLevel="0" collapsed="false">
      <c r="A16" s="23"/>
      <c r="B16" s="25"/>
      <c r="C16" s="26"/>
      <c r="D16" s="26"/>
      <c r="E16" s="26"/>
      <c r="F16" s="26"/>
      <c r="G16" s="0" t="str">
        <f aca="false">IF(OR($A16="",$E16="",$D16=""),"",IF($E16&lt;$D16,"EVET","HAYIR"))</f>
        <v/>
      </c>
      <c r="H16" s="0" t="str">
        <f aca="false">IF(OR($A16="",$E16="",$F16=""),"",IF($E16&lt;=$F16,"KAZANDI","KAYBETTİ"))</f>
        <v/>
      </c>
    </row>
    <row r="17" customFormat="false" ht="15" hidden="false" customHeight="false" outlineLevel="0" collapsed="false">
      <c r="A17" s="23"/>
      <c r="B17" s="25"/>
      <c r="C17" s="26"/>
      <c r="D17" s="26"/>
      <c r="E17" s="26"/>
      <c r="F17" s="26"/>
      <c r="G17" s="0" t="str">
        <f aca="false">IF(OR($A17="",$E17="",$D17=""),"",IF($E17&lt;$D17,"EVET","HAYIR"))</f>
        <v/>
      </c>
      <c r="H17" s="0" t="str">
        <f aca="false">IF(OR($A17="",$E17="",$F17=""),"",IF($E17&lt;=$F17,"KAZANDI","KAYBETTİ"))</f>
        <v/>
      </c>
    </row>
    <row r="18" customFormat="false" ht="15" hidden="false" customHeight="false" outlineLevel="0" collapsed="false">
      <c r="A18" s="23"/>
      <c r="B18" s="25"/>
      <c r="C18" s="26"/>
      <c r="D18" s="26"/>
      <c r="E18" s="26"/>
      <c r="F18" s="26"/>
      <c r="G18" s="0" t="str">
        <f aca="false">IF(OR($A18="",$E18="",$D18=""),"",IF($E18&lt;$D18,"EVET","HAYIR"))</f>
        <v/>
      </c>
      <c r="H18" s="0" t="str">
        <f aca="false">IF(OR($A18="",$E18="",$F18=""),"",IF($E18&lt;=$F18,"KAZANDI","KAYBETTİ"))</f>
        <v/>
      </c>
    </row>
    <row r="19" customFormat="false" ht="15" hidden="false" customHeight="false" outlineLevel="0" collapsed="false">
      <c r="A19" s="23"/>
      <c r="B19" s="25"/>
      <c r="C19" s="26"/>
      <c r="D19" s="26"/>
      <c r="E19" s="26"/>
      <c r="F19" s="26"/>
      <c r="G19" s="0" t="str">
        <f aca="false">IF(OR($A19="",$E19="",$D19=""),"",IF($E19&lt;$D19,"EVET","HAYIR"))</f>
        <v/>
      </c>
      <c r="H19" s="0" t="str">
        <f aca="false">IF(OR($A19="",$E19="",$F19=""),"",IF($E19&lt;=$F19,"KAZANDI","KAYBETTİ"))</f>
        <v/>
      </c>
    </row>
    <row r="20" customFormat="false" ht="15" hidden="false" customHeight="false" outlineLevel="0" collapsed="false">
      <c r="A20" s="23"/>
      <c r="B20" s="25"/>
      <c r="C20" s="26"/>
      <c r="D20" s="26"/>
      <c r="E20" s="26"/>
      <c r="F20" s="26"/>
      <c r="G20" s="0" t="str">
        <f aca="false">IF(OR($A20="",$E20="",$D20=""),"",IF($E20&lt;$D20,"EVET","HAYIR"))</f>
        <v/>
      </c>
      <c r="H20" s="0" t="str">
        <f aca="false">IF(OR($A20="",$E20="",$F20=""),"",IF($E20&lt;=$F20,"KAZANDI","KAYBETTİ"))</f>
        <v/>
      </c>
    </row>
    <row r="21" customFormat="false" ht="15" hidden="false" customHeight="false" outlineLevel="0" collapsed="false">
      <c r="A21" s="23"/>
      <c r="B21" s="25"/>
      <c r="C21" s="26"/>
      <c r="D21" s="26"/>
      <c r="E21" s="26"/>
      <c r="F21" s="26"/>
      <c r="G21" s="0" t="str">
        <f aca="false">IF(OR($A21="",$E21="",$D21=""),"",IF($E21&lt;$D21,"EVET","HAYIR"))</f>
        <v/>
      </c>
      <c r="H21" s="0" t="str">
        <f aca="false">IF(OR($A21="",$E21="",$F21=""),"",IF($E21&lt;=$F21,"KAZANDI","KAYBETTİ"))</f>
        <v/>
      </c>
    </row>
    <row r="22" customFormat="false" ht="15" hidden="false" customHeight="false" outlineLevel="0" collapsed="false">
      <c r="A22" s="23"/>
      <c r="B22" s="25"/>
      <c r="C22" s="26"/>
      <c r="D22" s="26"/>
      <c r="E22" s="26"/>
      <c r="F22" s="26"/>
      <c r="G22" s="0" t="str">
        <f aca="false">IF(OR($A22="",$E22="",$D22=""),"",IF($E22&lt;$D22,"EVET","HAYIR"))</f>
        <v/>
      </c>
      <c r="H22" s="0" t="str">
        <f aca="false">IF(OR($A22="",$E22="",$F22=""),"",IF($E22&lt;=$F22,"KAZANDI","KAYBETTİ"))</f>
        <v/>
      </c>
    </row>
    <row r="23" customFormat="false" ht="15" hidden="false" customHeight="false" outlineLevel="0" collapsed="false">
      <c r="A23" s="23"/>
      <c r="B23" s="25"/>
      <c r="C23" s="26"/>
      <c r="D23" s="26"/>
      <c r="E23" s="26"/>
      <c r="F23" s="26"/>
      <c r="G23" s="0" t="str">
        <f aca="false">IF(OR($A23="",$E23="",$D23=""),"",IF($E23&lt;$D23,"EVET","HAYIR"))</f>
        <v/>
      </c>
      <c r="H23" s="0" t="str">
        <f aca="false">IF(OR($A23="",$E23="",$F23=""),"",IF($E23&lt;=$F23,"KAZANDI","KAYBETTİ"))</f>
        <v/>
      </c>
    </row>
    <row r="24" customFormat="false" ht="15" hidden="false" customHeight="false" outlineLevel="0" collapsed="false">
      <c r="A24" s="23"/>
      <c r="B24" s="25"/>
      <c r="C24" s="26"/>
      <c r="D24" s="26"/>
      <c r="E24" s="26"/>
      <c r="F24" s="26"/>
      <c r="G24" s="0" t="str">
        <f aca="false">IF(OR($A24="",$E24="",$D24=""),"",IF($E24&lt;$D24,"EVET","HAYIR"))</f>
        <v/>
      </c>
      <c r="H24" s="0" t="str">
        <f aca="false">IF(OR($A24="",$E24="",$F24=""),"",IF($E24&lt;=$F24,"KAZANDI","KAYBETTİ"))</f>
        <v/>
      </c>
    </row>
    <row r="25" customFormat="false" ht="15" hidden="false" customHeight="false" outlineLevel="0" collapsed="false">
      <c r="A25" s="23"/>
      <c r="B25" s="25"/>
      <c r="C25" s="26"/>
      <c r="D25" s="26"/>
      <c r="E25" s="26"/>
      <c r="F25" s="26"/>
      <c r="G25" s="0" t="str">
        <f aca="false">IF(OR($A25="",$E25="",$D25=""),"",IF($E25&lt;$D25,"EVET","HAYIR"))</f>
        <v/>
      </c>
      <c r="H25" s="0" t="str">
        <f aca="false">IF(OR($A25="",$E25="",$F25=""),"",IF($E25&lt;=$F25,"KAZANDI","KAYBETTİ"))</f>
        <v/>
      </c>
    </row>
    <row r="26" customFormat="false" ht="15" hidden="false" customHeight="false" outlineLevel="0" collapsed="false">
      <c r="A26" s="23"/>
      <c r="B26" s="25"/>
      <c r="C26" s="26"/>
      <c r="D26" s="26"/>
      <c r="E26" s="26"/>
      <c r="F26" s="26"/>
      <c r="G26" s="0" t="str">
        <f aca="false">IF(OR($A26="",$E26="",$D26=""),"",IF($E26&lt;$D26,"EVET","HAYIR"))</f>
        <v/>
      </c>
      <c r="H26" s="0" t="str">
        <f aca="false">IF(OR($A26="",$E26="",$F26=""),"",IF($E26&lt;=$F26,"KAZANDI","KAYBETTİ"))</f>
        <v/>
      </c>
    </row>
    <row r="27" customFormat="false" ht="15" hidden="false" customHeight="false" outlineLevel="0" collapsed="false">
      <c r="A27" s="23"/>
      <c r="B27" s="25"/>
      <c r="C27" s="26"/>
      <c r="D27" s="26"/>
      <c r="E27" s="26"/>
      <c r="F27" s="26"/>
      <c r="G27" s="0" t="str">
        <f aca="false">IF(OR($A27="",$E27="",$D27=""),"",IF($E27&lt;$D27,"EVET","HAYIR"))</f>
        <v/>
      </c>
      <c r="H27" s="0" t="str">
        <f aca="false">IF(OR($A27="",$E27="",$F27=""),"",IF($E27&lt;=$F27,"KAZANDI","KAYBETTİ"))</f>
        <v/>
      </c>
    </row>
    <row r="28" customFormat="false" ht="15" hidden="false" customHeight="false" outlineLevel="0" collapsed="false">
      <c r="A28" s="23"/>
      <c r="B28" s="25"/>
      <c r="C28" s="26"/>
      <c r="D28" s="26"/>
      <c r="E28" s="26"/>
      <c r="F28" s="26"/>
      <c r="G28" s="0" t="str">
        <f aca="false">IF(OR($A28="",$E28="",$D28=""),"",IF($E28&lt;$D28,"EVET","HAYIR"))</f>
        <v/>
      </c>
      <c r="H28" s="0" t="str">
        <f aca="false">IF(OR($A28="",$E28="",$F28=""),"",IF($E28&lt;=$F28,"KAZANDI","KAYBETTİ"))</f>
        <v/>
      </c>
    </row>
    <row r="29" customFormat="false" ht="15" hidden="false" customHeight="false" outlineLevel="0" collapsed="false">
      <c r="A29" s="23"/>
      <c r="B29" s="25"/>
      <c r="C29" s="26"/>
      <c r="D29" s="26"/>
      <c r="E29" s="26"/>
      <c r="F29" s="26"/>
      <c r="G29" s="0" t="str">
        <f aca="false">IF(OR($A29="",$E29="",$D29=""),"",IF($E29&lt;$D29,"EVET","HAYIR"))</f>
        <v/>
      </c>
      <c r="H29" s="0" t="str">
        <f aca="false">IF(OR($A29="",$E29="",$F29=""),"",IF($E29&lt;=$F29,"KAZANDI","KAYBETTİ"))</f>
        <v/>
      </c>
    </row>
    <row r="30" customFormat="false" ht="15" hidden="false" customHeight="false" outlineLevel="0" collapsed="false">
      <c r="A30" s="23"/>
      <c r="B30" s="25"/>
      <c r="C30" s="26"/>
      <c r="D30" s="26"/>
      <c r="E30" s="26"/>
      <c r="F30" s="26"/>
      <c r="G30" s="0" t="str">
        <f aca="false">IF(OR($A30="",$E30="",$D30=""),"",IF($E30&lt;$D30,"EVET","HAYIR"))</f>
        <v/>
      </c>
      <c r="H30" s="0" t="str">
        <f aca="false">IF(OR($A30="",$E30="",$F30=""),"",IF($E30&lt;=$F30,"KAZANDI","KAYBETTİ"))</f>
        <v/>
      </c>
    </row>
    <row r="31" customFormat="false" ht="15" hidden="false" customHeight="false" outlineLevel="0" collapsed="false">
      <c r="A31" s="23"/>
      <c r="B31" s="25"/>
      <c r="C31" s="26"/>
      <c r="D31" s="26"/>
      <c r="E31" s="26"/>
      <c r="F31" s="26"/>
      <c r="G31" s="0" t="str">
        <f aca="false">IF(OR($A31="",$E31="",$D31=""),"",IF($E31&lt;$D31,"EVET","HAYIR"))</f>
        <v/>
      </c>
      <c r="H31" s="0" t="str">
        <f aca="false">IF(OR($A31="",$E31="",$F31=""),"",IF($E31&lt;=$F31,"KAZANDI","KAYBETTİ"))</f>
        <v/>
      </c>
    </row>
    <row r="32" customFormat="false" ht="15" hidden="false" customHeight="false" outlineLevel="0" collapsed="false">
      <c r="A32" s="23"/>
      <c r="B32" s="25"/>
      <c r="C32" s="26"/>
      <c r="D32" s="26"/>
      <c r="E32" s="26"/>
      <c r="F32" s="26"/>
      <c r="G32" s="0" t="str">
        <f aca="false">IF(OR($A32="",$E32="",$D32=""),"",IF($E32&lt;$D32,"EVET","HAYIR"))</f>
        <v/>
      </c>
      <c r="H32" s="0" t="str">
        <f aca="false">IF(OR($A32="",$E32="",$F32=""),"",IF($E32&lt;=$F32,"KAZANDI","KAYBETTİ"))</f>
        <v/>
      </c>
    </row>
    <row r="33" customFormat="false" ht="15" hidden="false" customHeight="false" outlineLevel="0" collapsed="false">
      <c r="A33" s="23"/>
      <c r="B33" s="25"/>
      <c r="C33" s="26"/>
      <c r="D33" s="26"/>
      <c r="E33" s="26"/>
      <c r="F33" s="26"/>
      <c r="G33" s="0" t="str">
        <f aca="false">IF(OR($A33="",$E33="",$D33=""),"",IF($E33&lt;$D33,"EVET","HAYIR"))</f>
        <v/>
      </c>
      <c r="H33" s="0" t="str">
        <f aca="false">IF(OR($A33="",$E33="",$F33=""),"",IF($E33&lt;=$F33,"KAZANDI","KAYBETTİ"))</f>
        <v/>
      </c>
    </row>
    <row r="34" customFormat="false" ht="15" hidden="false" customHeight="false" outlineLevel="0" collapsed="false">
      <c r="A34" s="23"/>
      <c r="B34" s="25"/>
      <c r="C34" s="26"/>
      <c r="D34" s="26"/>
      <c r="E34" s="26"/>
      <c r="F34" s="26"/>
      <c r="G34" s="0" t="str">
        <f aca="false">IF(OR($A34="",$E34="",$D34=""),"",IF($E34&lt;$D34,"EVET","HAYIR"))</f>
        <v/>
      </c>
      <c r="H34" s="0" t="str">
        <f aca="false">IF(OR($A34="",$E34="",$F34=""),"",IF($E34&lt;=$F34,"KAZANDI","KAYBETTİ"))</f>
        <v/>
      </c>
    </row>
    <row r="35" customFormat="false" ht="15" hidden="false" customHeight="false" outlineLevel="0" collapsed="false">
      <c r="A35" s="23"/>
      <c r="B35" s="25"/>
      <c r="C35" s="26"/>
      <c r="D35" s="26"/>
      <c r="E35" s="26"/>
      <c r="F35" s="26"/>
      <c r="G35" s="0" t="str">
        <f aca="false">IF(OR($A35="",$E35="",$D35=""),"",IF($E35&lt;$D35,"EVET","HAYIR"))</f>
        <v/>
      </c>
      <c r="H35" s="0" t="str">
        <f aca="false">IF(OR($A35="",$E35="",$F35=""),"",IF($E35&lt;=$F35,"KAZANDI","KAYBETTİ"))</f>
        <v/>
      </c>
    </row>
    <row r="36" customFormat="false" ht="15" hidden="false" customHeight="false" outlineLevel="0" collapsed="false">
      <c r="A36" s="23"/>
      <c r="B36" s="25"/>
      <c r="C36" s="26"/>
      <c r="D36" s="26"/>
      <c r="E36" s="26"/>
      <c r="F36" s="26"/>
      <c r="G36" s="0" t="str">
        <f aca="false">IF(OR($A36="",$E36="",$D36=""),"",IF($E36&lt;$D36,"EVET","HAYIR"))</f>
        <v/>
      </c>
      <c r="H36" s="0" t="str">
        <f aca="false">IF(OR($A36="",$E36="",$F36=""),"",IF($E36&lt;=$F36,"KAZANDI","KAYBETTİ"))</f>
        <v/>
      </c>
    </row>
    <row r="37" customFormat="false" ht="15" hidden="false" customHeight="false" outlineLevel="0" collapsed="false">
      <c r="A37" s="23"/>
      <c r="B37" s="25"/>
      <c r="C37" s="26"/>
      <c r="D37" s="26"/>
      <c r="E37" s="26"/>
      <c r="F37" s="26"/>
      <c r="G37" s="0" t="str">
        <f aca="false">IF(OR($A37="",$E37="",$D37=""),"",IF($E37&lt;$D37,"EVET","HAYIR"))</f>
        <v/>
      </c>
      <c r="H37" s="0" t="str">
        <f aca="false">IF(OR($A37="",$E37="",$F37=""),"",IF($E37&lt;=$F37,"KAZANDI","KAYBETTİ"))</f>
        <v/>
      </c>
    </row>
    <row r="38" customFormat="false" ht="15" hidden="false" customHeight="false" outlineLevel="0" collapsed="false">
      <c r="A38" s="23"/>
      <c r="B38" s="25"/>
      <c r="C38" s="26"/>
      <c r="D38" s="26"/>
      <c r="E38" s="26"/>
      <c r="F38" s="26"/>
      <c r="G38" s="0" t="str">
        <f aca="false">IF(OR($A38="",$E38="",$D38=""),"",IF($E38&lt;$D38,"EVET","HAYIR"))</f>
        <v/>
      </c>
      <c r="H38" s="0" t="str">
        <f aca="false">IF(OR($A38="",$E38="",$F38=""),"",IF($E38&lt;=$F38,"KAZANDI","KAYBETTİ"))</f>
        <v/>
      </c>
    </row>
    <row r="39" customFormat="false" ht="15" hidden="false" customHeight="false" outlineLevel="0" collapsed="false">
      <c r="A39" s="23"/>
      <c r="B39" s="25"/>
      <c r="C39" s="26"/>
      <c r="D39" s="26"/>
      <c r="E39" s="26"/>
      <c r="F39" s="26"/>
      <c r="G39" s="0" t="str">
        <f aca="false">IF(OR($A39="",$E39="",$D39=""),"",IF($E39&lt;$D39,"EVET","HAYIR"))</f>
        <v/>
      </c>
      <c r="H39" s="0" t="str">
        <f aca="false">IF(OR($A39="",$E39="",$F39=""),"",IF($E39&lt;=$F39,"KAZANDI","KAYBETTİ"))</f>
        <v/>
      </c>
    </row>
    <row r="40" customFormat="false" ht="15" hidden="false" customHeight="false" outlineLevel="0" collapsed="false">
      <c r="A40" s="23"/>
      <c r="B40" s="25"/>
      <c r="C40" s="26"/>
      <c r="D40" s="26"/>
      <c r="E40" s="26"/>
      <c r="F40" s="26"/>
      <c r="G40" s="0" t="str">
        <f aca="false">IF(OR($A40="",$E40="",$D40=""),"",IF($E40&lt;$D40,"EVET","HAYIR"))</f>
        <v/>
      </c>
      <c r="H40" s="0" t="str">
        <f aca="false">IF(OR($A40="",$E40="",$F40=""),"",IF($E40&lt;=$F40,"KAZANDI","KAYBETTİ"))</f>
        <v/>
      </c>
    </row>
    <row r="41" customFormat="false" ht="15" hidden="false" customHeight="false" outlineLevel="0" collapsed="false">
      <c r="A41" s="23"/>
      <c r="B41" s="25"/>
      <c r="C41" s="26"/>
      <c r="D41" s="26"/>
      <c r="E41" s="26"/>
      <c r="F41" s="26"/>
      <c r="G41" s="0" t="str">
        <f aca="false">IF(OR($A41="",$E41="",$D41=""),"",IF($E41&lt;$D41,"EVET","HAYIR"))</f>
        <v/>
      </c>
      <c r="H41" s="0" t="str">
        <f aca="false">IF(OR($A41="",$E41="",$F41=""),"",IF($E41&lt;=$F41,"KAZANDI","KAYBETTİ"))</f>
        <v/>
      </c>
    </row>
    <row r="42" customFormat="false" ht="15" hidden="false" customHeight="false" outlineLevel="0" collapsed="false">
      <c r="A42" s="23"/>
      <c r="B42" s="25"/>
      <c r="C42" s="26"/>
      <c r="D42" s="26"/>
      <c r="E42" s="26"/>
      <c r="F42" s="26"/>
      <c r="G42" s="0" t="str">
        <f aca="false">IF(OR($A42="",$E42="",$D42=""),"",IF($E42&lt;$D42,"EVET","HAYIR"))</f>
        <v/>
      </c>
      <c r="H42" s="0" t="str">
        <f aca="false">IF(OR($A42="",$E42="",$F42=""),"",IF($E42&lt;=$F42,"KAZANDI","KAYBETTİ"))</f>
        <v/>
      </c>
    </row>
    <row r="43" customFormat="false" ht="15" hidden="false" customHeight="false" outlineLevel="0" collapsed="false">
      <c r="A43" s="23"/>
      <c r="B43" s="25"/>
      <c r="C43" s="26"/>
      <c r="D43" s="26"/>
      <c r="E43" s="26"/>
      <c r="F43" s="26"/>
      <c r="G43" s="0" t="str">
        <f aca="false">IF(OR($A43="",$E43="",$D43=""),"",IF($E43&lt;$D43,"EVET","HAYIR"))</f>
        <v/>
      </c>
      <c r="H43" s="0" t="str">
        <f aca="false">IF(OR($A43="",$E43="",$F43=""),"",IF($E43&lt;=$F43,"KAZANDI","KAYBETTİ"))</f>
        <v/>
      </c>
    </row>
    <row r="44" customFormat="false" ht="15" hidden="false" customHeight="false" outlineLevel="0" collapsed="false">
      <c r="A44" s="23"/>
      <c r="B44" s="25"/>
      <c r="C44" s="26"/>
      <c r="D44" s="26"/>
      <c r="E44" s="26"/>
      <c r="F44" s="26"/>
      <c r="G44" s="0" t="str">
        <f aca="false">IF(OR($A44="",$E44="",$D44=""),"",IF($E44&lt;$D44,"EVET","HAYIR"))</f>
        <v/>
      </c>
      <c r="H44" s="0" t="str">
        <f aca="false">IF(OR($A44="",$E44="",$F44=""),"",IF($E44&lt;=$F44,"KAZANDI","KAYBETTİ"))</f>
        <v/>
      </c>
    </row>
    <row r="45" customFormat="false" ht="15" hidden="false" customHeight="false" outlineLevel="0" collapsed="false">
      <c r="A45" s="23"/>
      <c r="B45" s="25"/>
      <c r="C45" s="26"/>
      <c r="D45" s="26"/>
      <c r="E45" s="26"/>
      <c r="F45" s="26"/>
      <c r="G45" s="0" t="str">
        <f aca="false">IF(OR($A45="",$E45="",$D45=""),"",IF($E45&lt;$D45,"EVET","HAYIR"))</f>
        <v/>
      </c>
      <c r="H45" s="0" t="str">
        <f aca="false">IF(OR($A45="",$E45="",$F45=""),"",IF($E45&lt;=$F45,"KAZANDI","KAYBETTİ"))</f>
        <v/>
      </c>
    </row>
    <row r="46" customFormat="false" ht="15" hidden="false" customHeight="false" outlineLevel="0" collapsed="false">
      <c r="A46" s="23"/>
      <c r="B46" s="25"/>
      <c r="C46" s="26"/>
      <c r="D46" s="26"/>
      <c r="E46" s="26"/>
      <c r="F46" s="26"/>
      <c r="G46" s="0" t="str">
        <f aca="false">IF(OR($A46="",$E46="",$D46=""),"",IF($E46&lt;$D46,"EVET","HAYIR"))</f>
        <v/>
      </c>
      <c r="H46" s="0" t="str">
        <f aca="false">IF(OR($A46="",$E46="",$F46=""),"",IF($E46&lt;=$F46,"KAZANDI","KAYBETTİ"))</f>
        <v/>
      </c>
    </row>
    <row r="47" customFormat="false" ht="15" hidden="false" customHeight="false" outlineLevel="0" collapsed="false">
      <c r="A47" s="23"/>
      <c r="B47" s="25"/>
      <c r="C47" s="26"/>
      <c r="D47" s="26"/>
      <c r="E47" s="26"/>
      <c r="F47" s="26"/>
      <c r="G47" s="0" t="str">
        <f aca="false">IF(OR($A47="",$E47="",$D47=""),"",IF($E47&lt;$D47,"EVET","HAYIR"))</f>
        <v/>
      </c>
      <c r="H47" s="0" t="str">
        <f aca="false">IF(OR($A47="",$E47="",$F47=""),"",IF($E47&lt;=$F47,"KAZANDI","KAYBETTİ"))</f>
        <v/>
      </c>
    </row>
    <row r="48" customFormat="false" ht="15" hidden="false" customHeight="false" outlineLevel="0" collapsed="false">
      <c r="A48" s="23"/>
      <c r="B48" s="25"/>
      <c r="C48" s="26"/>
      <c r="D48" s="26"/>
      <c r="E48" s="26"/>
      <c r="F48" s="26"/>
      <c r="G48" s="0" t="str">
        <f aca="false">IF(OR($A48="",$E48="",$D48=""),"",IF($E48&lt;$D48,"EVET","HAYIR"))</f>
        <v/>
      </c>
      <c r="H48" s="0" t="str">
        <f aca="false">IF(OR($A48="",$E48="",$F48=""),"",IF($E48&lt;=$F48,"KAZANDI","KAYBETTİ"))</f>
        <v/>
      </c>
    </row>
    <row r="49" customFormat="false" ht="15" hidden="false" customHeight="false" outlineLevel="0" collapsed="false">
      <c r="A49" s="23"/>
      <c r="B49" s="25"/>
      <c r="C49" s="26"/>
      <c r="D49" s="26"/>
      <c r="E49" s="26"/>
      <c r="F49" s="26"/>
      <c r="G49" s="0" t="str">
        <f aca="false">IF(OR($A49="",$E49="",$D49=""),"",IF($E49&lt;$D49,"EVET","HAYIR"))</f>
        <v/>
      </c>
      <c r="H49" s="0" t="str">
        <f aca="false">IF(OR($A49="",$E49="",$F49=""),"",IF($E49&lt;=$F49,"KAZANDI","KAYBETTİ"))</f>
        <v/>
      </c>
    </row>
    <row r="50" customFormat="false" ht="15" hidden="false" customHeight="false" outlineLevel="0" collapsed="false">
      <c r="A50" s="23"/>
      <c r="B50" s="25"/>
      <c r="C50" s="26"/>
      <c r="D50" s="26"/>
      <c r="E50" s="26"/>
      <c r="F50" s="26"/>
      <c r="G50" s="0" t="str">
        <f aca="false">IF(OR($A50="",$E50="",$D50=""),"",IF($E50&lt;$D50,"EVET","HAYIR"))</f>
        <v/>
      </c>
      <c r="H50" s="0" t="str">
        <f aca="false">IF(OR($A50="",$E50="",$F50=""),"",IF($E50&lt;=$F50,"KAZANDI","KAYBETTİ"))</f>
        <v/>
      </c>
    </row>
    <row r="51" customFormat="false" ht="15" hidden="false" customHeight="false" outlineLevel="0" collapsed="false">
      <c r="A51" s="23"/>
      <c r="B51" s="25"/>
      <c r="C51" s="26"/>
      <c r="D51" s="26"/>
      <c r="E51" s="26"/>
      <c r="F51" s="26"/>
      <c r="G51" s="0" t="str">
        <f aca="false">IF(OR($A51="",$E51="",$D51=""),"",IF($E51&lt;$D51,"EVET","HAYIR"))</f>
        <v/>
      </c>
      <c r="H51" s="0" t="str">
        <f aca="false">IF(OR($A51="",$E51="",$F51=""),"",IF($E51&lt;=$F51,"KAZANDI","KAYBETTİ"))</f>
        <v/>
      </c>
    </row>
    <row r="52" customFormat="false" ht="15" hidden="false" customHeight="false" outlineLevel="0" collapsed="false">
      <c r="A52" s="23"/>
      <c r="B52" s="25"/>
      <c r="C52" s="26"/>
      <c r="D52" s="26"/>
      <c r="E52" s="26"/>
      <c r="F52" s="26"/>
      <c r="G52" s="0" t="str">
        <f aca="false">IF(OR($A52="",$E52="",$D52=""),"",IF($E52&lt;$D52,"EVET","HAYIR"))</f>
        <v/>
      </c>
      <c r="H52" s="0" t="str">
        <f aca="false">IF(OR($A52="",$E52="",$F52=""),"",IF($E52&lt;=$F52,"KAZANDI","KAYBETTİ"))</f>
        <v/>
      </c>
    </row>
    <row r="53" customFormat="false" ht="15" hidden="false" customHeight="false" outlineLevel="0" collapsed="false">
      <c r="A53" s="23"/>
      <c r="B53" s="25"/>
      <c r="C53" s="26"/>
      <c r="D53" s="26"/>
      <c r="E53" s="26"/>
      <c r="F53" s="26"/>
      <c r="G53" s="0" t="str">
        <f aca="false">IF(OR($A53="",$E53="",$D53=""),"",IF($E53&lt;$D53,"EVET","HAYIR"))</f>
        <v/>
      </c>
      <c r="H53" s="0" t="str">
        <f aca="false">IF(OR($A53="",$E53="",$F53=""),"",IF($E53&lt;=$F53,"KAZANDI","KAYBETTİ"))</f>
        <v/>
      </c>
    </row>
    <row r="54" customFormat="false" ht="15" hidden="false" customHeight="false" outlineLevel="0" collapsed="false">
      <c r="A54" s="23"/>
      <c r="B54" s="25"/>
      <c r="C54" s="26"/>
      <c r="D54" s="26"/>
      <c r="E54" s="26"/>
      <c r="F54" s="26"/>
      <c r="G54" s="0" t="str">
        <f aca="false">IF(OR($A54="",$E54="",$D54=""),"",IF($E54&lt;$D54,"EVET","HAYIR"))</f>
        <v/>
      </c>
      <c r="H54" s="0" t="str">
        <f aca="false">IF(OR($A54="",$E54="",$F54=""),"",IF($E54&lt;=$F54,"KAZANDI","KAYBETTİ"))</f>
        <v/>
      </c>
    </row>
    <row r="55" customFormat="false" ht="15" hidden="false" customHeight="false" outlineLevel="0" collapsed="false">
      <c r="A55" s="23"/>
      <c r="B55" s="25"/>
      <c r="C55" s="26"/>
      <c r="D55" s="26"/>
      <c r="E55" s="26"/>
      <c r="F55" s="26"/>
      <c r="G55" s="0" t="str">
        <f aca="false">IF(OR($A55="",$E55="",$D55=""),"",IF($E55&lt;$D55,"EVET","HAYIR"))</f>
        <v/>
      </c>
      <c r="H55" s="0" t="str">
        <f aca="false">IF(OR($A55="",$E55="",$F55=""),"",IF($E55&lt;=$F55,"KAZANDI","KAYBETTİ"))</f>
        <v/>
      </c>
    </row>
    <row r="56" customFormat="false" ht="15" hidden="false" customHeight="false" outlineLevel="0" collapsed="false">
      <c r="A56" s="23"/>
      <c r="B56" s="25"/>
      <c r="C56" s="26"/>
      <c r="D56" s="26"/>
      <c r="E56" s="26"/>
      <c r="F56" s="26"/>
      <c r="G56" s="0" t="str">
        <f aca="false">IF(OR($A56="",$E56="",$D56=""),"",IF($E56&lt;$D56,"EVET","HAYIR"))</f>
        <v/>
      </c>
      <c r="H56" s="0" t="str">
        <f aca="false">IF(OR($A56="",$E56="",$F56=""),"",IF($E56&lt;=$F56,"KAZANDI","KAYBETTİ"))</f>
        <v/>
      </c>
    </row>
    <row r="57" customFormat="false" ht="15" hidden="false" customHeight="false" outlineLevel="0" collapsed="false">
      <c r="A57" s="23"/>
      <c r="B57" s="25"/>
      <c r="C57" s="26"/>
      <c r="D57" s="26"/>
      <c r="E57" s="26"/>
      <c r="F57" s="26"/>
      <c r="G57" s="0" t="str">
        <f aca="false">IF(OR($A57="",$E57="",$D57=""),"",IF($E57&lt;$D57,"EVET","HAYIR"))</f>
        <v/>
      </c>
      <c r="H57" s="0" t="str">
        <f aca="false">IF(OR($A57="",$E57="",$F57=""),"",IF($E57&lt;=$F57,"KAZANDI","KAYBETTİ"))</f>
        <v/>
      </c>
    </row>
    <row r="58" customFormat="false" ht="15" hidden="false" customHeight="false" outlineLevel="0" collapsed="false">
      <c r="A58" s="23"/>
      <c r="B58" s="25"/>
      <c r="C58" s="26"/>
      <c r="D58" s="26"/>
      <c r="E58" s="26"/>
      <c r="F58" s="26"/>
      <c r="G58" s="0" t="str">
        <f aca="false">IF(OR($A58="",$E58="",$D58=""),"",IF($E58&lt;$D58,"EVET","HAYIR"))</f>
        <v/>
      </c>
      <c r="H58" s="0" t="str">
        <f aca="false">IF(OR($A58="",$E58="",$F58=""),"",IF($E58&lt;=$F58,"KAZANDI","KAYBETTİ"))</f>
        <v/>
      </c>
    </row>
    <row r="59" customFormat="false" ht="15" hidden="false" customHeight="false" outlineLevel="0" collapsed="false">
      <c r="A59" s="23"/>
      <c r="B59" s="25"/>
      <c r="C59" s="26"/>
      <c r="D59" s="26"/>
      <c r="E59" s="26"/>
      <c r="F59" s="26"/>
      <c r="G59" s="0" t="str">
        <f aca="false">IF(OR($A59="",$E59="",$D59=""),"",IF($E59&lt;$D59,"EVET","HAYIR"))</f>
        <v/>
      </c>
      <c r="H59" s="0" t="str">
        <f aca="false">IF(OR($A59="",$E59="",$F59=""),"",IF($E59&lt;=$F59,"KAZANDI","KAYBETTİ"))</f>
        <v/>
      </c>
    </row>
    <row r="60" customFormat="false" ht="15" hidden="false" customHeight="false" outlineLevel="0" collapsed="false">
      <c r="A60" s="23"/>
      <c r="B60" s="25"/>
      <c r="C60" s="26"/>
      <c r="D60" s="26"/>
      <c r="E60" s="26"/>
      <c r="F60" s="26"/>
      <c r="G60" s="0" t="str">
        <f aca="false">IF(OR($A60="",$E60="",$D60=""),"",IF($E60&lt;$D60,"EVET","HAYIR"))</f>
        <v/>
      </c>
      <c r="H60" s="0" t="str">
        <f aca="false">IF(OR($A60="",$E60="",$F60=""),"",IF($E60&lt;=$F60,"KAZANDI","KAYBETTİ"))</f>
        <v/>
      </c>
    </row>
    <row r="61" customFormat="false" ht="15" hidden="false" customHeight="false" outlineLevel="0" collapsed="false">
      <c r="A61" s="23"/>
      <c r="B61" s="25"/>
      <c r="C61" s="26"/>
      <c r="D61" s="26"/>
      <c r="E61" s="26"/>
      <c r="F61" s="26"/>
      <c r="G61" s="0" t="str">
        <f aca="false">IF(OR($A61="",$E61="",$D61=""),"",IF($E61&lt;$D61,"EVET","HAYIR"))</f>
        <v/>
      </c>
      <c r="H61" s="0" t="str">
        <f aca="false">IF(OR($A61="",$E61="",$F61=""),"",IF($E61&lt;=$F61,"KAZANDI","KAYBETTİ"))</f>
        <v/>
      </c>
    </row>
    <row r="62" customFormat="false" ht="15" hidden="false" customHeight="false" outlineLevel="0" collapsed="false">
      <c r="A62" s="23"/>
      <c r="B62" s="25"/>
      <c r="C62" s="26"/>
      <c r="D62" s="26"/>
      <c r="E62" s="26"/>
      <c r="F62" s="26"/>
      <c r="G62" s="0" t="str">
        <f aca="false">IF(OR($A62="",$E62="",$D62=""),"",IF($E62&lt;$D62,"EVET","HAYIR"))</f>
        <v/>
      </c>
      <c r="H62" s="0" t="str">
        <f aca="false">IF(OR($A62="",$E62="",$F62=""),"",IF($E62&lt;=$F62,"KAZANDI","KAYBETTİ"))</f>
        <v/>
      </c>
    </row>
    <row r="63" customFormat="false" ht="15" hidden="false" customHeight="false" outlineLevel="0" collapsed="false">
      <c r="A63" s="23"/>
      <c r="B63" s="25"/>
      <c r="C63" s="26"/>
      <c r="D63" s="26"/>
      <c r="E63" s="26"/>
      <c r="F63" s="26"/>
      <c r="G63" s="0" t="str">
        <f aca="false">IF(OR($A63="",$E63="",$D63=""),"",IF($E63&lt;$D63,"EVET","HAYIR"))</f>
        <v/>
      </c>
      <c r="H63" s="0" t="str">
        <f aca="false">IF(OR($A63="",$E63="",$F63=""),"",IF($E63&lt;=$F63,"KAZANDI","KAYBETTİ"))</f>
        <v/>
      </c>
    </row>
    <row r="64" customFormat="false" ht="15" hidden="false" customHeight="false" outlineLevel="0" collapsed="false">
      <c r="A64" s="23"/>
      <c r="B64" s="25"/>
      <c r="C64" s="26"/>
      <c r="D64" s="26"/>
      <c r="E64" s="26"/>
      <c r="F64" s="26"/>
      <c r="G64" s="0" t="str">
        <f aca="false">IF(OR($A64="",$E64="",$D64=""),"",IF($E64&lt;$D64,"EVET","HAYIR"))</f>
        <v/>
      </c>
      <c r="H64" s="0" t="str">
        <f aca="false">IF(OR($A64="",$E64="",$F64=""),"",IF($E64&lt;=$F64,"KAZANDI","KAYBETTİ"))</f>
        <v/>
      </c>
    </row>
    <row r="65" customFormat="false" ht="15" hidden="false" customHeight="false" outlineLevel="0" collapsed="false">
      <c r="A65" s="23"/>
      <c r="B65" s="25"/>
      <c r="C65" s="26"/>
      <c r="D65" s="26"/>
      <c r="E65" s="26"/>
      <c r="F65" s="26"/>
      <c r="G65" s="0" t="str">
        <f aca="false">IF(OR($A65="",$E65="",$D65=""),"",IF($E65&lt;$D65,"EVET","HAYIR"))</f>
        <v/>
      </c>
      <c r="H65" s="0" t="str">
        <f aca="false">IF(OR($A65="",$E65="",$F65=""),"",IF($E65&lt;=$F65,"KAZANDI","KAYBETTİ"))</f>
        <v/>
      </c>
    </row>
    <row r="66" customFormat="false" ht="15" hidden="false" customHeight="false" outlineLevel="0" collapsed="false">
      <c r="A66" s="23"/>
      <c r="B66" s="25"/>
      <c r="C66" s="26"/>
      <c r="D66" s="26"/>
      <c r="E66" s="26"/>
      <c r="F66" s="26"/>
      <c r="G66" s="0" t="str">
        <f aca="false">IF(OR($A66="",$E66="",$D66=""),"",IF($E66&lt;$D66,"EVET","HAYIR"))</f>
        <v/>
      </c>
      <c r="H66" s="0" t="str">
        <f aca="false">IF(OR($A66="",$E66="",$F66=""),"",IF($E66&lt;=$F66,"KAZANDI","KAYBETTİ"))</f>
        <v/>
      </c>
    </row>
    <row r="67" customFormat="false" ht="15" hidden="false" customHeight="false" outlineLevel="0" collapsed="false">
      <c r="A67" s="23"/>
      <c r="B67" s="25"/>
      <c r="C67" s="26"/>
      <c r="D67" s="26"/>
      <c r="E67" s="26"/>
      <c r="F67" s="26"/>
      <c r="G67" s="0" t="str">
        <f aca="false">IF(OR($A67="",$E67="",$D67=""),"",IF($E67&lt;$D67,"EVET","HAYIR"))</f>
        <v/>
      </c>
      <c r="H67" s="0" t="str">
        <f aca="false">IF(OR($A67="",$E67="",$F67=""),"",IF($E67&lt;=$F67,"KAZANDI","KAYBETTİ"))</f>
        <v/>
      </c>
    </row>
    <row r="68" customFormat="false" ht="15" hidden="false" customHeight="false" outlineLevel="0" collapsed="false">
      <c r="A68" s="23"/>
      <c r="B68" s="25"/>
      <c r="C68" s="26"/>
      <c r="D68" s="26"/>
      <c r="E68" s="26"/>
      <c r="F68" s="26"/>
      <c r="G68" s="0" t="str">
        <f aca="false">IF(OR($A68="",$E68="",$D68=""),"",IF($E68&lt;$D68,"EVET","HAYIR"))</f>
        <v/>
      </c>
      <c r="H68" s="0" t="str">
        <f aca="false">IF(OR($A68="",$E68="",$F68=""),"",IF($E68&lt;=$F68,"KAZANDI","KAYBETTİ"))</f>
        <v/>
      </c>
    </row>
    <row r="69" customFormat="false" ht="15" hidden="false" customHeight="false" outlineLevel="0" collapsed="false">
      <c r="A69" s="23"/>
      <c r="B69" s="25"/>
      <c r="C69" s="26"/>
      <c r="D69" s="26"/>
      <c r="E69" s="26"/>
      <c r="F69" s="26"/>
      <c r="G69" s="0" t="str">
        <f aca="false">IF(OR($A69="",$E69="",$D69=""),"",IF($E69&lt;$D69,"EVET","HAYIR"))</f>
        <v/>
      </c>
      <c r="H69" s="0" t="str">
        <f aca="false">IF(OR($A69="",$E69="",$F69=""),"",IF($E69&lt;=$F69,"KAZANDI","KAYBETTİ"))</f>
        <v/>
      </c>
    </row>
    <row r="70" customFormat="false" ht="15" hidden="false" customHeight="false" outlineLevel="0" collapsed="false">
      <c r="A70" s="23"/>
      <c r="B70" s="25"/>
      <c r="C70" s="26"/>
      <c r="D70" s="26"/>
      <c r="E70" s="26"/>
      <c r="F70" s="26"/>
      <c r="G70" s="0" t="str">
        <f aca="false">IF(OR($A70="",$E70="",$D70=""),"",IF($E70&lt;$D70,"EVET","HAYIR"))</f>
        <v/>
      </c>
      <c r="H70" s="0" t="str">
        <f aca="false">IF(OR($A70="",$E70="",$F70=""),"",IF($E70&lt;=$F70,"KAZANDI","KAYBETTİ"))</f>
        <v/>
      </c>
    </row>
    <row r="71" customFormat="false" ht="15" hidden="false" customHeight="false" outlineLevel="0" collapsed="false">
      <c r="A71" s="23"/>
      <c r="B71" s="25"/>
      <c r="C71" s="26"/>
      <c r="D71" s="26"/>
      <c r="E71" s="26"/>
      <c r="F71" s="26"/>
      <c r="G71" s="0" t="str">
        <f aca="false">IF(OR($A71="",$E71="",$D71=""),"",IF($E71&lt;$D71,"EVET","HAYIR"))</f>
        <v/>
      </c>
      <c r="H71" s="0" t="str">
        <f aca="false">IF(OR($A71="",$E71="",$F71=""),"",IF($E71&lt;=$F71,"KAZANDI","KAYBETTİ"))</f>
        <v/>
      </c>
    </row>
    <row r="72" customFormat="false" ht="15" hidden="false" customHeight="false" outlineLevel="0" collapsed="false">
      <c r="A72" s="23"/>
      <c r="B72" s="25"/>
      <c r="C72" s="26"/>
      <c r="D72" s="26"/>
      <c r="E72" s="26"/>
      <c r="F72" s="26"/>
      <c r="G72" s="0" t="str">
        <f aca="false">IF(OR($A72="",$E72="",$D72=""),"",IF($E72&lt;$D72,"EVET","HAYIR"))</f>
        <v/>
      </c>
      <c r="H72" s="0" t="str">
        <f aca="false">IF(OR($A72="",$E72="",$F72=""),"",IF($E72&lt;=$F72,"KAZANDI","KAYBETTİ"))</f>
        <v/>
      </c>
    </row>
    <row r="73" customFormat="false" ht="15" hidden="false" customHeight="false" outlineLevel="0" collapsed="false">
      <c r="A73" s="23"/>
      <c r="B73" s="25"/>
      <c r="C73" s="26"/>
      <c r="D73" s="26"/>
      <c r="E73" s="26"/>
      <c r="F73" s="26"/>
      <c r="G73" s="0" t="str">
        <f aca="false">IF(OR($A73="",$E73="",$D73=""),"",IF($E73&lt;$D73,"EVET","HAYIR"))</f>
        <v/>
      </c>
      <c r="H73" s="0" t="str">
        <f aca="false">IF(OR($A73="",$E73="",$F73=""),"",IF($E73&lt;=$F73,"KAZANDI","KAYBETTİ"))</f>
        <v/>
      </c>
    </row>
    <row r="74" customFormat="false" ht="15" hidden="false" customHeight="false" outlineLevel="0" collapsed="false">
      <c r="A74" s="23"/>
      <c r="B74" s="25"/>
      <c r="C74" s="26"/>
      <c r="D74" s="26"/>
      <c r="E74" s="26"/>
      <c r="F74" s="26"/>
      <c r="G74" s="0" t="str">
        <f aca="false">IF(OR($A74="",$E74="",$D74=""),"",IF($E74&lt;$D74,"EVET","HAYIR"))</f>
        <v/>
      </c>
      <c r="H74" s="0" t="str">
        <f aca="false">IF(OR($A74="",$E74="",$F74=""),"",IF($E74&lt;=$F74,"KAZANDI","KAYBETTİ"))</f>
        <v/>
      </c>
    </row>
    <row r="75" customFormat="false" ht="15" hidden="false" customHeight="false" outlineLevel="0" collapsed="false">
      <c r="A75" s="23"/>
      <c r="B75" s="25"/>
      <c r="C75" s="26"/>
      <c r="D75" s="26"/>
      <c r="E75" s="26"/>
      <c r="F75" s="26"/>
      <c r="G75" s="0" t="str">
        <f aca="false">IF(OR($A75="",$E75="",$D75=""),"",IF($E75&lt;$D75,"EVET","HAYIR"))</f>
        <v/>
      </c>
      <c r="H75" s="0" t="str">
        <f aca="false">IF(OR($A75="",$E75="",$F75=""),"",IF($E75&lt;=$F75,"KAZANDI","KAYBETTİ"))</f>
        <v/>
      </c>
    </row>
    <row r="76" customFormat="false" ht="15" hidden="false" customHeight="false" outlineLevel="0" collapsed="false">
      <c r="A76" s="23"/>
      <c r="B76" s="25"/>
      <c r="C76" s="26"/>
      <c r="D76" s="26"/>
      <c r="E76" s="26"/>
      <c r="F76" s="26"/>
      <c r="G76" s="0" t="str">
        <f aca="false">IF(OR($A76="",$E76="",$D76=""),"",IF($E76&lt;$D76,"EVET","HAYIR"))</f>
        <v/>
      </c>
      <c r="H76" s="0" t="str">
        <f aca="false">IF(OR($A76="",$E76="",$F76=""),"",IF($E76&lt;=$F76,"KAZANDI","KAYBETTİ"))</f>
        <v/>
      </c>
    </row>
    <row r="77" customFormat="false" ht="15" hidden="false" customHeight="false" outlineLevel="0" collapsed="false">
      <c r="A77" s="23"/>
      <c r="B77" s="25"/>
      <c r="C77" s="26"/>
      <c r="D77" s="26"/>
      <c r="E77" s="26"/>
      <c r="F77" s="26"/>
      <c r="G77" s="0" t="str">
        <f aca="false">IF(OR($A77="",$E77="",$D77=""),"",IF($E77&lt;$D77,"EVET","HAYIR"))</f>
        <v/>
      </c>
      <c r="H77" s="0" t="str">
        <f aca="false">IF(OR($A77="",$E77="",$F77=""),"",IF($E77&lt;=$F77,"KAZANDI","KAYBETTİ"))</f>
        <v/>
      </c>
    </row>
    <row r="78" customFormat="false" ht="15" hidden="false" customHeight="false" outlineLevel="0" collapsed="false">
      <c r="A78" s="23"/>
      <c r="B78" s="25"/>
      <c r="C78" s="26"/>
      <c r="D78" s="26"/>
      <c r="E78" s="26"/>
      <c r="F78" s="26"/>
      <c r="G78" s="0" t="str">
        <f aca="false">IF(OR($A78="",$E78="",$D78=""),"",IF($E78&lt;$D78,"EVET","HAYIR"))</f>
        <v/>
      </c>
      <c r="H78" s="0" t="str">
        <f aca="false">IF(OR($A78="",$E78="",$F78=""),"",IF($E78&lt;=$F78,"KAZANDI","KAYBETTİ"))</f>
        <v/>
      </c>
    </row>
    <row r="79" customFormat="false" ht="15" hidden="false" customHeight="false" outlineLevel="0" collapsed="false">
      <c r="A79" s="23"/>
      <c r="B79" s="25"/>
      <c r="C79" s="26"/>
      <c r="D79" s="26"/>
      <c r="E79" s="26"/>
      <c r="F79" s="26"/>
      <c r="G79" s="0" t="str">
        <f aca="false">IF(OR($A79="",$E79="",$D79=""),"",IF($E79&lt;$D79,"EVET","HAYIR"))</f>
        <v/>
      </c>
      <c r="H79" s="0" t="str">
        <f aca="false">IF(OR($A79="",$E79="",$F79=""),"",IF($E79&lt;=$F79,"KAZANDI","KAYBETTİ"))</f>
        <v/>
      </c>
    </row>
    <row r="80" customFormat="false" ht="15" hidden="false" customHeight="false" outlineLevel="0" collapsed="false">
      <c r="A80" s="23"/>
      <c r="B80" s="25"/>
      <c r="C80" s="26"/>
      <c r="D80" s="26"/>
      <c r="E80" s="26"/>
      <c r="F80" s="26"/>
      <c r="G80" s="0" t="str">
        <f aca="false">IF(OR($A80="",$E80="",$D80=""),"",IF($E80&lt;$D80,"EVET","HAYIR"))</f>
        <v/>
      </c>
      <c r="H80" s="0" t="str">
        <f aca="false">IF(OR($A80="",$E80="",$F80=""),"",IF($E80&lt;=$F80,"KAZANDI","KAYBETTİ"))</f>
        <v/>
      </c>
    </row>
    <row r="81" customFormat="false" ht="15" hidden="false" customHeight="false" outlineLevel="0" collapsed="false">
      <c r="A81" s="23"/>
      <c r="B81" s="25"/>
      <c r="C81" s="26"/>
      <c r="D81" s="26"/>
      <c r="E81" s="26"/>
      <c r="F81" s="26"/>
      <c r="G81" s="0" t="str">
        <f aca="false">IF(OR($A81="",$E81="",$D81=""),"",IF($E81&lt;$D81,"EVET","HAYIR"))</f>
        <v/>
      </c>
      <c r="H81" s="0" t="str">
        <f aca="false">IF(OR($A81="",$E81="",$F81=""),"",IF($E81&lt;=$F81,"KAZANDI","KAYBETTİ"))</f>
        <v/>
      </c>
    </row>
    <row r="82" customFormat="false" ht="15" hidden="false" customHeight="false" outlineLevel="0" collapsed="false">
      <c r="A82" s="23"/>
      <c r="B82" s="25"/>
      <c r="C82" s="26"/>
      <c r="D82" s="26"/>
      <c r="E82" s="26"/>
      <c r="F82" s="26"/>
      <c r="G82" s="0" t="str">
        <f aca="false">IF(OR($A82="",$E82="",$D82=""),"",IF($E82&lt;$D82,"EVET","HAYIR"))</f>
        <v/>
      </c>
      <c r="H82" s="0" t="str">
        <f aca="false">IF(OR($A82="",$E82="",$F82=""),"",IF($E82&lt;=$F82,"KAZANDI","KAYBETTİ"))</f>
        <v/>
      </c>
    </row>
    <row r="83" customFormat="false" ht="15" hidden="false" customHeight="false" outlineLevel="0" collapsed="false">
      <c r="A83" s="23"/>
      <c r="B83" s="25"/>
      <c r="C83" s="26"/>
      <c r="D83" s="26"/>
      <c r="E83" s="26"/>
      <c r="F83" s="26"/>
      <c r="G83" s="0" t="str">
        <f aca="false">IF(OR($A83="",$E83="",$D83=""),"",IF($E83&lt;$D83,"EVET","HAYIR"))</f>
        <v/>
      </c>
      <c r="H83" s="0" t="str">
        <f aca="false">IF(OR($A83="",$E83="",$F83=""),"",IF($E83&lt;=$F83,"KAZANDI","KAYBETTİ"))</f>
        <v/>
      </c>
    </row>
    <row r="84" customFormat="false" ht="15" hidden="false" customHeight="false" outlineLevel="0" collapsed="false">
      <c r="A84" s="23"/>
      <c r="B84" s="25"/>
      <c r="C84" s="26"/>
      <c r="D84" s="26"/>
      <c r="E84" s="26"/>
      <c r="F84" s="26"/>
      <c r="G84" s="0" t="str">
        <f aca="false">IF(OR($A84="",$E84="",$D84=""),"",IF($E84&lt;$D84,"EVET","HAYIR"))</f>
        <v/>
      </c>
      <c r="H84" s="0" t="str">
        <f aca="false">IF(OR($A84="",$E84="",$F84=""),"",IF($E84&lt;=$F84,"KAZANDI","KAYBETTİ"))</f>
        <v/>
      </c>
    </row>
    <row r="85" customFormat="false" ht="15" hidden="false" customHeight="false" outlineLevel="0" collapsed="false">
      <c r="A85" s="23"/>
      <c r="B85" s="25"/>
      <c r="C85" s="26"/>
      <c r="D85" s="26"/>
      <c r="E85" s="26"/>
      <c r="F85" s="26"/>
      <c r="G85" s="0" t="str">
        <f aca="false">IF(OR($A85="",$E85="",$D85=""),"",IF($E85&lt;$D85,"EVET","HAYIR"))</f>
        <v/>
      </c>
      <c r="H85" s="0" t="str">
        <f aca="false">IF(OR($A85="",$E85="",$F85=""),"",IF($E85&lt;=$F85,"KAZANDI","KAYBETTİ"))</f>
        <v/>
      </c>
    </row>
    <row r="86" customFormat="false" ht="15" hidden="false" customHeight="false" outlineLevel="0" collapsed="false">
      <c r="A86" s="23"/>
      <c r="B86" s="25"/>
      <c r="C86" s="26"/>
      <c r="D86" s="26"/>
      <c r="E86" s="26"/>
      <c r="F86" s="26"/>
      <c r="G86" s="0" t="str">
        <f aca="false">IF(OR($A86="",$E86="",$D86=""),"",IF($E86&lt;$D86,"EVET","HAYIR"))</f>
        <v/>
      </c>
      <c r="H86" s="0" t="str">
        <f aca="false">IF(OR($A86="",$E86="",$F86=""),"",IF($E86&lt;=$F86,"KAZANDI","KAYBETTİ"))</f>
        <v/>
      </c>
    </row>
    <row r="87" customFormat="false" ht="15" hidden="false" customHeight="false" outlineLevel="0" collapsed="false">
      <c r="A87" s="23"/>
      <c r="B87" s="25"/>
      <c r="C87" s="26"/>
      <c r="D87" s="26"/>
      <c r="E87" s="26"/>
      <c r="F87" s="26"/>
      <c r="G87" s="0" t="str">
        <f aca="false">IF(OR($A87="",$E87="",$D87=""),"",IF($E87&lt;$D87,"EVET","HAYIR"))</f>
        <v/>
      </c>
      <c r="H87" s="0" t="str">
        <f aca="false">IF(OR($A87="",$E87="",$F87=""),"",IF($E87&lt;=$F87,"KAZANDI","KAYBETTİ"))</f>
        <v/>
      </c>
    </row>
    <row r="88" customFormat="false" ht="15" hidden="false" customHeight="false" outlineLevel="0" collapsed="false">
      <c r="A88" s="23"/>
      <c r="B88" s="25"/>
      <c r="C88" s="26"/>
      <c r="D88" s="26"/>
      <c r="E88" s="26"/>
      <c r="F88" s="26"/>
      <c r="G88" s="0" t="str">
        <f aca="false">IF(OR($A88="",$E88="",$D88=""),"",IF($E88&lt;$D88,"EVET","HAYIR"))</f>
        <v/>
      </c>
      <c r="H88" s="0" t="str">
        <f aca="false">IF(OR($A88="",$E88="",$F88=""),"",IF($E88&lt;=$F88,"KAZANDI","KAYBETTİ"))</f>
        <v/>
      </c>
    </row>
    <row r="89" customFormat="false" ht="15" hidden="false" customHeight="false" outlineLevel="0" collapsed="false">
      <c r="A89" s="23"/>
      <c r="B89" s="25"/>
      <c r="C89" s="26"/>
      <c r="D89" s="26"/>
      <c r="E89" s="26"/>
      <c r="F89" s="26"/>
      <c r="G89" s="0" t="str">
        <f aca="false">IF(OR($A89="",$E89="",$D89=""),"",IF($E89&lt;$D89,"EVET","HAYIR"))</f>
        <v/>
      </c>
      <c r="H89" s="0" t="str">
        <f aca="false">IF(OR($A89="",$E89="",$F89=""),"",IF($E89&lt;=$F89,"KAZANDI","KAYBETTİ"))</f>
        <v/>
      </c>
    </row>
    <row r="90" customFormat="false" ht="15" hidden="false" customHeight="false" outlineLevel="0" collapsed="false">
      <c r="A90" s="23"/>
      <c r="B90" s="25"/>
      <c r="C90" s="26"/>
      <c r="D90" s="26"/>
      <c r="E90" s="26"/>
      <c r="F90" s="26"/>
      <c r="G90" s="0" t="str">
        <f aca="false">IF(OR($A90="",$E90="",$D90=""),"",IF($E90&lt;$D90,"EVET","HAYIR"))</f>
        <v/>
      </c>
      <c r="H90" s="0" t="str">
        <f aca="false">IF(OR($A90="",$E90="",$F90=""),"",IF($E90&lt;=$F90,"KAZANDI","KAYBETTİ"))</f>
        <v/>
      </c>
    </row>
    <row r="91" customFormat="false" ht="15" hidden="false" customHeight="false" outlineLevel="0" collapsed="false">
      <c r="A91" s="23"/>
      <c r="B91" s="25"/>
      <c r="C91" s="26"/>
      <c r="D91" s="26"/>
      <c r="E91" s="26"/>
      <c r="F91" s="26"/>
      <c r="G91" s="0" t="str">
        <f aca="false">IF(OR($A91="",$E91="",$D91=""),"",IF($E91&lt;$D91,"EVET","HAYIR"))</f>
        <v/>
      </c>
      <c r="H91" s="0" t="str">
        <f aca="false">IF(OR($A91="",$E91="",$F91=""),"",IF($E91&lt;=$F91,"KAZANDI","KAYBETTİ"))</f>
        <v/>
      </c>
    </row>
    <row r="92" customFormat="false" ht="15" hidden="false" customHeight="false" outlineLevel="0" collapsed="false">
      <c r="A92" s="23"/>
      <c r="B92" s="25"/>
      <c r="C92" s="26"/>
      <c r="D92" s="26"/>
      <c r="E92" s="26"/>
      <c r="F92" s="26"/>
      <c r="G92" s="0" t="str">
        <f aca="false">IF(OR($A92="",$E92="",$D92=""),"",IF($E92&lt;$D92,"EVET","HAYIR"))</f>
        <v/>
      </c>
      <c r="H92" s="0" t="str">
        <f aca="false">IF(OR($A92="",$E92="",$F92=""),"",IF($E92&lt;=$F92,"KAZANDI","KAYBETTİ"))</f>
        <v/>
      </c>
    </row>
    <row r="93" customFormat="false" ht="15" hidden="false" customHeight="false" outlineLevel="0" collapsed="false">
      <c r="A93" s="23"/>
      <c r="B93" s="25"/>
      <c r="C93" s="26"/>
      <c r="D93" s="26"/>
      <c r="E93" s="26"/>
      <c r="F93" s="26"/>
      <c r="G93" s="0" t="str">
        <f aca="false">IF(OR($A93="",$E93="",$D93=""),"",IF($E93&lt;$D93,"EVET","HAYIR"))</f>
        <v/>
      </c>
      <c r="H93" s="0" t="str">
        <f aca="false">IF(OR($A93="",$E93="",$F93=""),"",IF($E93&lt;=$F93,"KAZANDI","KAYBETTİ"))</f>
        <v/>
      </c>
    </row>
    <row r="94" customFormat="false" ht="15" hidden="false" customHeight="false" outlineLevel="0" collapsed="false">
      <c r="A94" s="23"/>
      <c r="B94" s="25"/>
      <c r="C94" s="26"/>
      <c r="D94" s="26"/>
      <c r="E94" s="26"/>
      <c r="F94" s="26"/>
      <c r="G94" s="0" t="str">
        <f aca="false">IF(OR($A94="",$E94="",$D94=""),"",IF($E94&lt;$D94,"EVET","HAYIR"))</f>
        <v/>
      </c>
      <c r="H94" s="0" t="str">
        <f aca="false">IF(OR($A94="",$E94="",$F94=""),"",IF($E94&lt;=$F94,"KAZANDI","KAYBETTİ"))</f>
        <v/>
      </c>
    </row>
    <row r="95" customFormat="false" ht="15" hidden="false" customHeight="false" outlineLevel="0" collapsed="false">
      <c r="A95" s="23"/>
      <c r="B95" s="25"/>
      <c r="C95" s="26"/>
      <c r="D95" s="26"/>
      <c r="E95" s="26"/>
      <c r="F95" s="26"/>
      <c r="G95" s="0" t="str">
        <f aca="false">IF(OR($A95="",$E95="",$D95=""),"",IF($E95&lt;$D95,"EVET","HAYIR"))</f>
        <v/>
      </c>
      <c r="H95" s="0" t="str">
        <f aca="false">IF(OR($A95="",$E95="",$F95=""),"",IF($E95&lt;=$F95,"KAZANDI","KAYBETTİ"))</f>
        <v/>
      </c>
    </row>
    <row r="96" customFormat="false" ht="15" hidden="false" customHeight="false" outlineLevel="0" collapsed="false">
      <c r="A96" s="23"/>
      <c r="B96" s="25"/>
      <c r="C96" s="26"/>
      <c r="D96" s="26"/>
      <c r="E96" s="26"/>
      <c r="F96" s="26"/>
      <c r="G96" s="0" t="str">
        <f aca="false">IF(OR($A96="",$E96="",$D96=""),"",IF($E96&lt;$D96,"EVET","HAYIR"))</f>
        <v/>
      </c>
      <c r="H96" s="0" t="str">
        <f aca="false">IF(OR($A96="",$E96="",$F96=""),"",IF($E96&lt;=$F96,"KAZANDI","KAYBETTİ"))</f>
        <v/>
      </c>
    </row>
    <row r="97" customFormat="false" ht="15" hidden="false" customHeight="false" outlineLevel="0" collapsed="false">
      <c r="A97" s="23"/>
      <c r="B97" s="25"/>
      <c r="C97" s="26"/>
      <c r="D97" s="26"/>
      <c r="E97" s="26"/>
      <c r="F97" s="26"/>
      <c r="G97" s="0" t="str">
        <f aca="false">IF(OR($A97="",$E97="",$D97=""),"",IF($E97&lt;$D97,"EVET","HAYIR"))</f>
        <v/>
      </c>
      <c r="H97" s="0" t="str">
        <f aca="false">IF(OR($A97="",$E97="",$F97=""),"",IF($E97&lt;=$F97,"KAZANDI","KAYBETTİ"))</f>
        <v/>
      </c>
    </row>
    <row r="98" customFormat="false" ht="15" hidden="false" customHeight="false" outlineLevel="0" collapsed="false">
      <c r="A98" s="23"/>
      <c r="B98" s="25"/>
      <c r="C98" s="26"/>
      <c r="D98" s="26"/>
      <c r="E98" s="26"/>
      <c r="F98" s="26"/>
      <c r="G98" s="0" t="str">
        <f aca="false">IF(OR($A98="",$E98="",$D98=""),"",IF($E98&lt;$D98,"EVET","HAYIR"))</f>
        <v/>
      </c>
      <c r="H98" s="0" t="str">
        <f aca="false">IF(OR($A98="",$E98="",$F98=""),"",IF($E98&lt;=$F98,"KAZANDI","KAYBETTİ"))</f>
        <v/>
      </c>
    </row>
    <row r="99" customFormat="false" ht="15" hidden="false" customHeight="false" outlineLevel="0" collapsed="false">
      <c r="A99" s="23"/>
      <c r="B99" s="25"/>
      <c r="C99" s="26"/>
      <c r="D99" s="26"/>
      <c r="E99" s="26"/>
      <c r="F99" s="26"/>
      <c r="G99" s="0" t="str">
        <f aca="false">IF(OR($A99="",$E99="",$D99=""),"",IF($E99&lt;$D99,"EVET","HAYIR"))</f>
        <v/>
      </c>
      <c r="H99" s="0" t="str">
        <f aca="false">IF(OR($A99="",$E99="",$F99=""),"",IF($E99&lt;=$F99,"KAZANDI","KAYBETTİ"))</f>
        <v/>
      </c>
    </row>
    <row r="100" customFormat="false" ht="15" hidden="false" customHeight="false" outlineLevel="0" collapsed="false">
      <c r="A100" s="23"/>
      <c r="B100" s="25"/>
      <c r="C100" s="26"/>
      <c r="D100" s="26"/>
      <c r="E100" s="26"/>
      <c r="F100" s="26"/>
      <c r="G100" s="0" t="str">
        <f aca="false">IF(OR($A100="",$E100="",$D100=""),"",IF($E100&lt;$D100,"EVET","HAYIR"))</f>
        <v/>
      </c>
      <c r="H100" s="0" t="str">
        <f aca="false">IF(OR($A100="",$E100="",$F100=""),"",IF($E100&lt;=$F100,"KAZANDI","KAYBETTİ"))</f>
        <v/>
      </c>
    </row>
    <row r="101" customFormat="false" ht="15" hidden="false" customHeight="false" outlineLevel="0" collapsed="false">
      <c r="A101" s="23"/>
      <c r="B101" s="25"/>
      <c r="C101" s="26"/>
      <c r="D101" s="26"/>
      <c r="E101" s="26"/>
      <c r="F101" s="26"/>
      <c r="G101" s="0" t="str">
        <f aca="false">IF(OR($A101="",$E101="",$D101=""),"",IF($E101&lt;$D101,"EVET","HAYIR"))</f>
        <v/>
      </c>
      <c r="H101" s="0" t="str">
        <f aca="false">IF(OR($A101="",$E101="",$F101=""),"",IF($E101&lt;=$F101,"KAZANDI","KAYBETTİ"))</f>
        <v/>
      </c>
    </row>
    <row r="102" customFormat="false" ht="15" hidden="false" customHeight="false" outlineLevel="0" collapsed="false">
      <c r="A102" s="23"/>
      <c r="B102" s="25"/>
      <c r="C102" s="26"/>
      <c r="D102" s="26"/>
      <c r="E102" s="26"/>
      <c r="F102" s="26"/>
      <c r="G102" s="0" t="str">
        <f aca="false">IF(OR($A102="",$E102="",$D102=""),"",IF($E102&lt;$D102,"EVET","HAYIR"))</f>
        <v/>
      </c>
      <c r="H102" s="0" t="str">
        <f aca="false">IF(OR($A102="",$E102="",$F102=""),"",IF($E102&lt;=$F102,"KAZANDI","KAYBETTİ"))</f>
        <v/>
      </c>
    </row>
    <row r="103" customFormat="false" ht="15" hidden="false" customHeight="false" outlineLevel="0" collapsed="false">
      <c r="A103" s="23"/>
      <c r="B103" s="25"/>
      <c r="C103" s="26"/>
      <c r="D103" s="26"/>
      <c r="E103" s="26"/>
      <c r="F103" s="26"/>
      <c r="G103" s="0" t="str">
        <f aca="false">IF(OR($A103="",$E103="",$D103=""),"",IF($E103&lt;$D103,"EVET","HAYIR"))</f>
        <v/>
      </c>
      <c r="H103" s="0" t="str">
        <f aca="false">IF(OR($A103="",$E103="",$F103=""),"",IF($E103&lt;=$F103,"KAZANDI","KAYBETTİ"))</f>
        <v/>
      </c>
    </row>
    <row r="104" customFormat="false" ht="15" hidden="false" customHeight="false" outlineLevel="0" collapsed="false">
      <c r="A104" s="23"/>
      <c r="B104" s="25"/>
      <c r="C104" s="26"/>
      <c r="D104" s="26"/>
      <c r="E104" s="26"/>
      <c r="F104" s="26"/>
      <c r="G104" s="0" t="str">
        <f aca="false">IF(OR($A104="",$E104="",$D104=""),"",IF($E104&lt;$D104,"EVET","HAYIR"))</f>
        <v/>
      </c>
      <c r="H104" s="0" t="str">
        <f aca="false">IF(OR($A104="",$E104="",$F104=""),"",IF($E104&lt;=$F104,"KAZANDI","KAYBETTİ"))</f>
        <v/>
      </c>
    </row>
    <row r="105" customFormat="false" ht="15" hidden="false" customHeight="false" outlineLevel="0" collapsed="false">
      <c r="A105" s="23"/>
      <c r="B105" s="25"/>
      <c r="C105" s="26"/>
      <c r="D105" s="26"/>
      <c r="E105" s="26"/>
      <c r="F105" s="26"/>
      <c r="G105" s="0" t="str">
        <f aca="false">IF(OR($A105="",$E105="",$D105=""),"",IF($E105&lt;$D105,"EVET","HAYIR"))</f>
        <v/>
      </c>
      <c r="H105" s="0" t="str">
        <f aca="false">IF(OR($A105="",$E105="",$F105=""),"",IF($E105&lt;=$F105,"KAZANDI","KAYBETTİ"))</f>
        <v/>
      </c>
    </row>
    <row r="106" customFormat="false" ht="15" hidden="false" customHeight="false" outlineLevel="0" collapsed="false">
      <c r="A106" s="23"/>
      <c r="B106" s="25"/>
      <c r="C106" s="26"/>
      <c r="D106" s="26"/>
      <c r="E106" s="26"/>
      <c r="F106" s="26"/>
      <c r="G106" s="0" t="str">
        <f aca="false">IF(OR($A106="",$E106="",$D106=""),"",IF($E106&lt;$D106,"EVET","HAYIR"))</f>
        <v/>
      </c>
      <c r="H106" s="0" t="str">
        <f aca="false">IF(OR($A106="",$E106="",$F106=""),"",IF($E106&lt;=$F106,"KAZANDI","KAYBETTİ"))</f>
        <v/>
      </c>
    </row>
    <row r="107" customFormat="false" ht="15" hidden="false" customHeight="false" outlineLevel="0" collapsed="false">
      <c r="A107" s="23"/>
      <c r="B107" s="25"/>
      <c r="C107" s="26"/>
      <c r="D107" s="26"/>
      <c r="E107" s="26"/>
      <c r="F107" s="26"/>
      <c r="G107" s="0" t="str">
        <f aca="false">IF(OR($A107="",$E107="",$D107=""),"",IF($E107&lt;$D107,"EVET","HAYIR"))</f>
        <v/>
      </c>
      <c r="H107" s="0" t="str">
        <f aca="false">IF(OR($A107="",$E107="",$F107=""),"",IF($E107&lt;=$F107,"KAZANDI","KAYBETTİ"))</f>
        <v/>
      </c>
    </row>
    <row r="108" customFormat="false" ht="15" hidden="false" customHeight="false" outlineLevel="0" collapsed="false">
      <c r="A108" s="23"/>
      <c r="B108" s="25"/>
      <c r="C108" s="26"/>
      <c r="D108" s="26"/>
      <c r="E108" s="26"/>
      <c r="F108" s="26"/>
      <c r="G108" s="0" t="str">
        <f aca="false">IF(OR($A108="",$E108="",$D108=""),"",IF($E108&lt;$D108,"EVET","HAYIR"))</f>
        <v/>
      </c>
      <c r="H108" s="0" t="str">
        <f aca="false">IF(OR($A108="",$E108="",$F108=""),"",IF($E108&lt;=$F108,"KAZANDI","KAYBETTİ"))</f>
        <v/>
      </c>
    </row>
    <row r="109" customFormat="false" ht="15" hidden="false" customHeight="false" outlineLevel="0" collapsed="false">
      <c r="A109" s="23"/>
      <c r="B109" s="25"/>
      <c r="C109" s="26"/>
      <c r="D109" s="26"/>
      <c r="E109" s="26"/>
      <c r="F109" s="26"/>
      <c r="G109" s="0" t="str">
        <f aca="false">IF(OR($A109="",$E109="",$D109=""),"",IF($E109&lt;$D109,"EVET","HAYIR"))</f>
        <v/>
      </c>
      <c r="H109" s="0" t="str">
        <f aca="false">IF(OR($A109="",$E109="",$F109=""),"",IF($E109&lt;=$F109,"KAZANDI","KAYBETTİ"))</f>
        <v/>
      </c>
    </row>
    <row r="110" customFormat="false" ht="15" hidden="false" customHeight="false" outlineLevel="0" collapsed="false">
      <c r="A110" s="23"/>
      <c r="B110" s="25"/>
      <c r="C110" s="26"/>
      <c r="D110" s="26"/>
      <c r="E110" s="26"/>
      <c r="F110" s="26"/>
      <c r="G110" s="0" t="str">
        <f aca="false">IF(OR($A110="",$E110="",$D110=""),"",IF($E110&lt;$D110,"EVET","HAYIR"))</f>
        <v/>
      </c>
      <c r="H110" s="0" t="str">
        <f aca="false">IF(OR($A110="",$E110="",$F110=""),"",IF($E110&lt;=$F110,"KAZANDI","KAYBETTİ"))</f>
        <v/>
      </c>
    </row>
    <row r="111" customFormat="false" ht="15" hidden="false" customHeight="false" outlineLevel="0" collapsed="false">
      <c r="A111" s="23"/>
      <c r="B111" s="25"/>
      <c r="C111" s="26"/>
      <c r="D111" s="26"/>
      <c r="E111" s="26"/>
      <c r="F111" s="26"/>
      <c r="G111" s="0" t="str">
        <f aca="false">IF(OR($A111="",$E111="",$D111=""),"",IF($E111&lt;$D111,"EVET","HAYIR"))</f>
        <v/>
      </c>
      <c r="H111" s="0" t="str">
        <f aca="false">IF(OR($A111="",$E111="",$F111=""),"",IF($E111&lt;=$F111,"KAZANDI","KAYBETTİ"))</f>
        <v/>
      </c>
    </row>
    <row r="112" customFormat="false" ht="15" hidden="false" customHeight="false" outlineLevel="0" collapsed="false">
      <c r="A112" s="23"/>
      <c r="B112" s="25"/>
      <c r="C112" s="26"/>
      <c r="D112" s="26"/>
      <c r="E112" s="26"/>
      <c r="F112" s="26"/>
      <c r="G112" s="0" t="str">
        <f aca="false">IF(OR($A112="",$E112="",$D112=""),"",IF($E112&lt;$D112,"EVET","HAYIR"))</f>
        <v/>
      </c>
      <c r="H112" s="0" t="str">
        <f aca="false">IF(OR($A112="",$E112="",$F112=""),"",IF($E112&lt;=$F112,"KAZANDI","KAYBETTİ"))</f>
        <v/>
      </c>
    </row>
    <row r="113" customFormat="false" ht="15" hidden="false" customHeight="false" outlineLevel="0" collapsed="false">
      <c r="A113" s="23"/>
      <c r="B113" s="25"/>
      <c r="C113" s="26"/>
      <c r="D113" s="26"/>
      <c r="E113" s="26"/>
      <c r="F113" s="26"/>
      <c r="G113" s="0" t="str">
        <f aca="false">IF(OR($A113="",$E113="",$D113=""),"",IF($E113&lt;$D113,"EVET","HAYIR"))</f>
        <v/>
      </c>
      <c r="H113" s="0" t="str">
        <f aca="false">IF(OR($A113="",$E113="",$F113=""),"",IF($E113&lt;=$F113,"KAZANDI","KAYBETTİ"))</f>
        <v/>
      </c>
    </row>
    <row r="114" customFormat="false" ht="15" hidden="false" customHeight="false" outlineLevel="0" collapsed="false">
      <c r="A114" s="23"/>
      <c r="B114" s="25"/>
      <c r="C114" s="26"/>
      <c r="D114" s="26"/>
      <c r="E114" s="26"/>
      <c r="F114" s="26"/>
      <c r="G114" s="0" t="str">
        <f aca="false">IF(OR($A114="",$E114="",$D114=""),"",IF($E114&lt;$D114,"EVET","HAYIR"))</f>
        <v/>
      </c>
      <c r="H114" s="0" t="str">
        <f aca="false">IF(OR($A114="",$E114="",$F114=""),"",IF($E114&lt;=$F114,"KAZANDI","KAYBETTİ"))</f>
        <v/>
      </c>
    </row>
    <row r="115" customFormat="false" ht="15" hidden="false" customHeight="false" outlineLevel="0" collapsed="false">
      <c r="A115" s="23"/>
      <c r="B115" s="25"/>
      <c r="C115" s="26"/>
      <c r="D115" s="26"/>
      <c r="E115" s="26"/>
      <c r="F115" s="26"/>
      <c r="G115" s="0" t="str">
        <f aca="false">IF(OR($A115="",$E115="",$D115=""),"",IF($E115&lt;$D115,"EVET","HAYIR"))</f>
        <v/>
      </c>
      <c r="H115" s="0" t="str">
        <f aca="false">IF(OR($A115="",$E115="",$F115=""),"",IF($E115&lt;=$F115,"KAZANDI","KAYBETTİ"))</f>
        <v/>
      </c>
    </row>
    <row r="116" customFormat="false" ht="15" hidden="false" customHeight="false" outlineLevel="0" collapsed="false">
      <c r="A116" s="23"/>
      <c r="B116" s="25"/>
      <c r="C116" s="26"/>
      <c r="D116" s="26"/>
      <c r="E116" s="26"/>
      <c r="F116" s="26"/>
      <c r="G116" s="0" t="str">
        <f aca="false">IF(OR($A116="",$E116="",$D116=""),"",IF($E116&lt;$D116,"EVET","HAYIR"))</f>
        <v/>
      </c>
      <c r="H116" s="0" t="str">
        <f aca="false">IF(OR($A116="",$E116="",$F116=""),"",IF($E116&lt;=$F116,"KAZANDI","KAYBETTİ"))</f>
        <v/>
      </c>
    </row>
    <row r="117" customFormat="false" ht="15" hidden="false" customHeight="false" outlineLevel="0" collapsed="false">
      <c r="A117" s="23"/>
      <c r="B117" s="25"/>
      <c r="C117" s="26"/>
      <c r="D117" s="26"/>
      <c r="E117" s="26"/>
      <c r="F117" s="26"/>
      <c r="G117" s="0" t="str">
        <f aca="false">IF(OR($A117="",$E117="",$D117=""),"",IF($E117&lt;$D117,"EVET","HAYIR"))</f>
        <v/>
      </c>
      <c r="H117" s="0" t="str">
        <f aca="false">IF(OR($A117="",$E117="",$F117=""),"",IF($E117&lt;=$F117,"KAZANDI","KAYBETTİ"))</f>
        <v/>
      </c>
    </row>
    <row r="118" customFormat="false" ht="15" hidden="false" customHeight="false" outlineLevel="0" collapsed="false">
      <c r="A118" s="23"/>
      <c r="B118" s="25"/>
      <c r="C118" s="26"/>
      <c r="D118" s="26"/>
      <c r="E118" s="26"/>
      <c r="F118" s="26"/>
      <c r="G118" s="0" t="str">
        <f aca="false">IF(OR($A118="",$E118="",$D118=""),"",IF($E118&lt;$D118,"EVET","HAYIR"))</f>
        <v/>
      </c>
      <c r="H118" s="0" t="str">
        <f aca="false">IF(OR($A118="",$E118="",$F118=""),"",IF($E118&lt;=$F118,"KAZANDI","KAYBETTİ"))</f>
        <v/>
      </c>
    </row>
    <row r="119" customFormat="false" ht="15" hidden="false" customHeight="false" outlineLevel="0" collapsed="false">
      <c r="A119" s="23"/>
      <c r="B119" s="25"/>
      <c r="C119" s="26"/>
      <c r="D119" s="26"/>
      <c r="E119" s="26"/>
      <c r="F119" s="26"/>
      <c r="G119" s="0" t="str">
        <f aca="false">IF(OR($A119="",$E119="",$D119=""),"",IF($E119&lt;$D119,"EVET","HAYIR"))</f>
        <v/>
      </c>
      <c r="H119" s="0" t="str">
        <f aca="false">IF(OR($A119="",$E119="",$F119=""),"",IF($E119&lt;=$F119,"KAZANDI","KAYBETTİ"))</f>
        <v/>
      </c>
    </row>
    <row r="120" customFormat="false" ht="15" hidden="false" customHeight="false" outlineLevel="0" collapsed="false">
      <c r="A120" s="23"/>
      <c r="B120" s="25"/>
      <c r="C120" s="26"/>
      <c r="D120" s="26"/>
      <c r="E120" s="26"/>
      <c r="F120" s="26"/>
      <c r="G120" s="0" t="str">
        <f aca="false">IF(OR($A120="",$E120="",$D120=""),"",IF($E120&lt;$D120,"EVET","HAYIR"))</f>
        <v/>
      </c>
      <c r="H120" s="0" t="str">
        <f aca="false">IF(OR($A120="",$E120="",$F120=""),"",IF($E120&lt;=$F120,"KAZANDI","KAYBETTİ"))</f>
        <v/>
      </c>
    </row>
    <row r="121" customFormat="false" ht="15" hidden="false" customHeight="false" outlineLevel="0" collapsed="false">
      <c r="A121" s="23"/>
      <c r="B121" s="25"/>
      <c r="C121" s="26"/>
      <c r="D121" s="26"/>
      <c r="E121" s="26"/>
      <c r="F121" s="26"/>
      <c r="G121" s="0" t="str">
        <f aca="false">IF(OR($A121="",$E121="",$D121=""),"",IF($E121&lt;$D121,"EVET","HAYIR"))</f>
        <v/>
      </c>
      <c r="H121" s="0" t="str">
        <f aca="false">IF(OR($A121="",$E121="",$F121=""),"",IF($E121&lt;=$F121,"KAZANDI","KAYBETTİ"))</f>
        <v/>
      </c>
    </row>
    <row r="122" customFormat="false" ht="15" hidden="false" customHeight="false" outlineLevel="0" collapsed="false">
      <c r="A122" s="23"/>
      <c r="B122" s="25"/>
      <c r="C122" s="26"/>
      <c r="D122" s="26"/>
      <c r="E122" s="26"/>
      <c r="F122" s="26"/>
      <c r="G122" s="0" t="str">
        <f aca="false">IF(OR($A122="",$E122="",$D122=""),"",IF($E122&lt;$D122,"EVET","HAYIR"))</f>
        <v/>
      </c>
      <c r="H122" s="0" t="str">
        <f aca="false">IF(OR($A122="",$E122="",$F122=""),"",IF($E122&lt;=$F122,"KAZANDI","KAYBETTİ"))</f>
        <v/>
      </c>
    </row>
    <row r="123" customFormat="false" ht="15" hidden="false" customHeight="false" outlineLevel="0" collapsed="false">
      <c r="A123" s="23"/>
      <c r="B123" s="25"/>
      <c r="C123" s="26"/>
      <c r="D123" s="26"/>
      <c r="E123" s="26"/>
      <c r="F123" s="26"/>
      <c r="G123" s="0" t="str">
        <f aca="false">IF(OR($A123="",$E123="",$D123=""),"",IF($E123&lt;$D123,"EVET","HAYIR"))</f>
        <v/>
      </c>
      <c r="H123" s="0" t="str">
        <f aca="false">IF(OR($A123="",$E123="",$F123=""),"",IF($E123&lt;=$F123,"KAZANDI","KAYBETTİ"))</f>
        <v/>
      </c>
    </row>
    <row r="124" customFormat="false" ht="15" hidden="false" customHeight="false" outlineLevel="0" collapsed="false">
      <c r="A124" s="23"/>
      <c r="B124" s="25"/>
      <c r="C124" s="26"/>
      <c r="D124" s="26"/>
      <c r="E124" s="26"/>
      <c r="F124" s="26"/>
      <c r="G124" s="0" t="str">
        <f aca="false">IF(OR($A124="",$E124="",$D124=""),"",IF($E124&lt;$D124,"EVET","HAYIR"))</f>
        <v/>
      </c>
      <c r="H124" s="0" t="str">
        <f aca="false">IF(OR($A124="",$E124="",$F124=""),"",IF($E124&lt;=$F124,"KAZANDI","KAYBETTİ"))</f>
        <v/>
      </c>
    </row>
    <row r="125" customFormat="false" ht="15" hidden="false" customHeight="false" outlineLevel="0" collapsed="false">
      <c r="A125" s="23"/>
      <c r="B125" s="25"/>
      <c r="C125" s="26"/>
      <c r="D125" s="26"/>
      <c r="E125" s="26"/>
      <c r="F125" s="26"/>
      <c r="G125" s="0" t="str">
        <f aca="false">IF(OR($A125="",$E125="",$D125=""),"",IF($E125&lt;$D125,"EVET","HAYIR"))</f>
        <v/>
      </c>
      <c r="H125" s="0" t="str">
        <f aca="false">IF(OR($A125="",$E125="",$F125=""),"",IF($E125&lt;=$F125,"KAZANDI","KAYBETTİ"))</f>
        <v/>
      </c>
    </row>
    <row r="126" customFormat="false" ht="15" hidden="false" customHeight="false" outlineLevel="0" collapsed="false">
      <c r="A126" s="23"/>
      <c r="B126" s="25"/>
      <c r="C126" s="26"/>
      <c r="D126" s="26"/>
      <c r="E126" s="26"/>
      <c r="F126" s="26"/>
      <c r="G126" s="0" t="str">
        <f aca="false">IF(OR($A126="",$E126="",$D126=""),"",IF($E126&lt;$D126,"EVET","HAYIR"))</f>
        <v/>
      </c>
      <c r="H126" s="0" t="str">
        <f aca="false">IF(OR($A126="",$E126="",$F126=""),"",IF($E126&lt;=$F126,"KAZANDI","KAYBETTİ"))</f>
        <v/>
      </c>
    </row>
    <row r="127" customFormat="false" ht="15" hidden="false" customHeight="false" outlineLevel="0" collapsed="false">
      <c r="A127" s="23"/>
      <c r="B127" s="25"/>
      <c r="C127" s="26"/>
      <c r="D127" s="26"/>
      <c r="E127" s="26"/>
      <c r="F127" s="26"/>
      <c r="G127" s="0" t="str">
        <f aca="false">IF(OR($A127="",$E127="",$D127=""),"",IF($E127&lt;$D127,"EVET","HAYIR"))</f>
        <v/>
      </c>
      <c r="H127" s="0" t="str">
        <f aca="false">IF(OR($A127="",$E127="",$F127=""),"",IF($E127&lt;=$F127,"KAZANDI","KAYBETTİ"))</f>
        <v/>
      </c>
    </row>
    <row r="128" customFormat="false" ht="15" hidden="false" customHeight="false" outlineLevel="0" collapsed="false">
      <c r="A128" s="23"/>
      <c r="B128" s="25"/>
      <c r="C128" s="26"/>
      <c r="D128" s="26"/>
      <c r="E128" s="26"/>
      <c r="F128" s="26"/>
      <c r="G128" s="0" t="str">
        <f aca="false">IF(OR($A128="",$E128="",$D128=""),"",IF($E128&lt;$D128,"EVET","HAYIR"))</f>
        <v/>
      </c>
      <c r="H128" s="0" t="str">
        <f aca="false">IF(OR($A128="",$E128="",$F128=""),"",IF($E128&lt;=$F128,"KAZANDI","KAYBETTİ"))</f>
        <v/>
      </c>
    </row>
    <row r="129" customFormat="false" ht="15" hidden="false" customHeight="false" outlineLevel="0" collapsed="false">
      <c r="A129" s="23"/>
      <c r="B129" s="25"/>
      <c r="C129" s="26"/>
      <c r="D129" s="26"/>
      <c r="E129" s="26"/>
      <c r="F129" s="26"/>
      <c r="G129" s="0" t="str">
        <f aca="false">IF(OR($A129="",$E129="",$D129=""),"",IF($E129&lt;$D129,"EVET","HAYIR"))</f>
        <v/>
      </c>
      <c r="H129" s="0" t="str">
        <f aca="false">IF(OR($A129="",$E129="",$F129=""),"",IF($E129&lt;=$F129,"KAZANDI","KAYBETTİ"))</f>
        <v/>
      </c>
    </row>
    <row r="130" customFormat="false" ht="15" hidden="false" customHeight="false" outlineLevel="0" collapsed="false">
      <c r="A130" s="23"/>
      <c r="B130" s="25"/>
      <c r="C130" s="26"/>
      <c r="D130" s="26"/>
      <c r="E130" s="26"/>
      <c r="F130" s="26"/>
      <c r="G130" s="0" t="str">
        <f aca="false">IF(OR($A130="",$E130="",$D130=""),"",IF($E130&lt;$D130,"EVET","HAYIR"))</f>
        <v/>
      </c>
      <c r="H130" s="0" t="str">
        <f aca="false">IF(OR($A130="",$E130="",$F130=""),"",IF($E130&lt;=$F130,"KAZANDI","KAYBETTİ"))</f>
        <v/>
      </c>
    </row>
    <row r="131" customFormat="false" ht="15" hidden="false" customHeight="false" outlineLevel="0" collapsed="false">
      <c r="A131" s="23"/>
      <c r="B131" s="25"/>
      <c r="C131" s="26"/>
      <c r="D131" s="26"/>
      <c r="E131" s="26"/>
      <c r="F131" s="26"/>
      <c r="G131" s="0" t="str">
        <f aca="false">IF(OR($A131="",$E131="",$D131=""),"",IF($E131&lt;$D131,"EVET","HAYIR"))</f>
        <v/>
      </c>
      <c r="H131" s="0" t="str">
        <f aca="false">IF(OR($A131="",$E131="",$F131=""),"",IF($E131&lt;=$F131,"KAZANDI","KAYBETTİ"))</f>
        <v/>
      </c>
    </row>
    <row r="132" customFormat="false" ht="15" hidden="false" customHeight="false" outlineLevel="0" collapsed="false">
      <c r="A132" s="23"/>
      <c r="B132" s="25"/>
      <c r="C132" s="26"/>
      <c r="D132" s="26"/>
      <c r="E132" s="26"/>
      <c r="F132" s="26"/>
      <c r="G132" s="0" t="str">
        <f aca="false">IF(OR($A132="",$E132="",$D132=""),"",IF($E132&lt;$D132,"EVET","HAYIR"))</f>
        <v/>
      </c>
      <c r="H132" s="0" t="str">
        <f aca="false">IF(OR($A132="",$E132="",$F132=""),"",IF($E132&lt;=$F132,"KAZANDI","KAYBETTİ"))</f>
        <v/>
      </c>
    </row>
    <row r="133" customFormat="false" ht="15" hidden="false" customHeight="false" outlineLevel="0" collapsed="false">
      <c r="A133" s="23"/>
      <c r="B133" s="25"/>
      <c r="C133" s="26"/>
      <c r="D133" s="26"/>
      <c r="E133" s="26"/>
      <c r="F133" s="26"/>
      <c r="G133" s="0" t="str">
        <f aca="false">IF(OR($A133="",$E133="",$D133=""),"",IF($E133&lt;$D133,"EVET","HAYIR"))</f>
        <v/>
      </c>
      <c r="H133" s="0" t="str">
        <f aca="false">IF(OR($A133="",$E133="",$F133=""),"",IF($E133&lt;=$F133,"KAZANDI","KAYBETTİ"))</f>
        <v/>
      </c>
    </row>
    <row r="134" customFormat="false" ht="15" hidden="false" customHeight="false" outlineLevel="0" collapsed="false">
      <c r="A134" s="23"/>
      <c r="B134" s="25"/>
      <c r="C134" s="26"/>
      <c r="D134" s="26"/>
      <c r="E134" s="26"/>
      <c r="F134" s="26"/>
      <c r="G134" s="0" t="str">
        <f aca="false">IF(OR($A134="",$E134="",$D134=""),"",IF($E134&lt;$D134,"EVET","HAYIR"))</f>
        <v/>
      </c>
      <c r="H134" s="0" t="str">
        <f aca="false">IF(OR($A134="",$E134="",$F134=""),"",IF($E134&lt;=$F134,"KAZANDI","KAYBETTİ"))</f>
        <v/>
      </c>
    </row>
    <row r="135" customFormat="false" ht="15" hidden="false" customHeight="false" outlineLevel="0" collapsed="false">
      <c r="A135" s="23"/>
      <c r="B135" s="25"/>
      <c r="C135" s="26"/>
      <c r="D135" s="26"/>
      <c r="E135" s="26"/>
      <c r="F135" s="26"/>
      <c r="G135" s="0" t="str">
        <f aca="false">IF(OR($A135="",$E135="",$D135=""),"",IF($E135&lt;$D135,"EVET","HAYIR"))</f>
        <v/>
      </c>
      <c r="H135" s="0" t="str">
        <f aca="false">IF(OR($A135="",$E135="",$F135=""),"",IF($E135&lt;=$F135,"KAZANDI","KAYBETTİ"))</f>
        <v/>
      </c>
    </row>
    <row r="136" customFormat="false" ht="15" hidden="false" customHeight="false" outlineLevel="0" collapsed="false">
      <c r="A136" s="23"/>
      <c r="B136" s="25"/>
      <c r="C136" s="26"/>
      <c r="D136" s="26"/>
      <c r="E136" s="26"/>
      <c r="F136" s="26"/>
      <c r="G136" s="0" t="str">
        <f aca="false">IF(OR($A136="",$E136="",$D136=""),"",IF($E136&lt;$D136,"EVET","HAYIR"))</f>
        <v/>
      </c>
      <c r="H136" s="0" t="str">
        <f aca="false">IF(OR($A136="",$E136="",$F136=""),"",IF($E136&lt;=$F136,"KAZANDI","KAYBETTİ"))</f>
        <v/>
      </c>
    </row>
    <row r="137" customFormat="false" ht="15" hidden="false" customHeight="false" outlineLevel="0" collapsed="false">
      <c r="A137" s="23"/>
      <c r="B137" s="25"/>
      <c r="C137" s="26"/>
      <c r="D137" s="26"/>
      <c r="E137" s="26"/>
      <c r="F137" s="26"/>
      <c r="G137" s="0" t="str">
        <f aca="false">IF(OR($A137="",$E137="",$D137=""),"",IF($E137&lt;$D137,"EVET","HAYIR"))</f>
        <v/>
      </c>
      <c r="H137" s="0" t="str">
        <f aca="false">IF(OR($A137="",$E137="",$F137=""),"",IF($E137&lt;=$F137,"KAZANDI","KAYBETTİ"))</f>
        <v/>
      </c>
    </row>
    <row r="138" customFormat="false" ht="15" hidden="false" customHeight="false" outlineLevel="0" collapsed="false">
      <c r="A138" s="23"/>
      <c r="B138" s="25"/>
      <c r="C138" s="26"/>
      <c r="D138" s="26"/>
      <c r="E138" s="26"/>
      <c r="F138" s="26"/>
      <c r="G138" s="0" t="str">
        <f aca="false">IF(OR($A138="",$E138="",$D138=""),"",IF($E138&lt;$D138,"EVET","HAYIR"))</f>
        <v/>
      </c>
      <c r="H138" s="0" t="str">
        <f aca="false">IF(OR($A138="",$E138="",$F138=""),"",IF($E138&lt;=$F138,"KAZANDI","KAYBETTİ"))</f>
        <v/>
      </c>
    </row>
    <row r="139" customFormat="false" ht="15" hidden="false" customHeight="false" outlineLevel="0" collapsed="false">
      <c r="A139" s="23"/>
      <c r="B139" s="25"/>
      <c r="C139" s="26"/>
      <c r="D139" s="26"/>
      <c r="E139" s="26"/>
      <c r="F139" s="26"/>
      <c r="G139" s="0" t="str">
        <f aca="false">IF(OR($A139="",$E139="",$D139=""),"",IF($E139&lt;$D139,"EVET","HAYIR"))</f>
        <v/>
      </c>
      <c r="H139" s="0" t="str">
        <f aca="false">IF(OR($A139="",$E139="",$F139=""),"",IF($E139&lt;=$F139,"KAZANDI","KAYBETTİ"))</f>
        <v/>
      </c>
    </row>
    <row r="140" customFormat="false" ht="15" hidden="false" customHeight="false" outlineLevel="0" collapsed="false">
      <c r="A140" s="23"/>
      <c r="B140" s="25"/>
      <c r="C140" s="26"/>
      <c r="D140" s="26"/>
      <c r="E140" s="26"/>
      <c r="F140" s="26"/>
      <c r="G140" s="0" t="str">
        <f aca="false">IF(OR($A140="",$E140="",$D140=""),"",IF($E140&lt;$D140,"EVET","HAYIR"))</f>
        <v/>
      </c>
      <c r="H140" s="0" t="str">
        <f aca="false">IF(OR($A140="",$E140="",$F140=""),"",IF($E140&lt;=$F140,"KAZANDI","KAYBETTİ"))</f>
        <v/>
      </c>
    </row>
    <row r="141" customFormat="false" ht="15" hidden="false" customHeight="false" outlineLevel="0" collapsed="false">
      <c r="A141" s="23"/>
      <c r="B141" s="25"/>
      <c r="C141" s="26"/>
      <c r="D141" s="26"/>
      <c r="E141" s="26"/>
      <c r="F141" s="26"/>
      <c r="G141" s="0" t="str">
        <f aca="false">IF(OR($A141="",$E141="",$D141=""),"",IF($E141&lt;$D141,"EVET","HAYIR"))</f>
        <v/>
      </c>
      <c r="H141" s="0" t="str">
        <f aca="false">IF(OR($A141="",$E141="",$F141=""),"",IF($E141&lt;=$F141,"KAZANDI","KAYBETTİ"))</f>
        <v/>
      </c>
    </row>
    <row r="142" customFormat="false" ht="15" hidden="false" customHeight="false" outlineLevel="0" collapsed="false">
      <c r="A142" s="23"/>
      <c r="B142" s="25"/>
      <c r="C142" s="26"/>
      <c r="D142" s="26"/>
      <c r="E142" s="26"/>
      <c r="F142" s="26"/>
      <c r="G142" s="0" t="str">
        <f aca="false">IF(OR($A142="",$E142="",$D142=""),"",IF($E142&lt;$D142,"EVET","HAYIR"))</f>
        <v/>
      </c>
      <c r="H142" s="0" t="str">
        <f aca="false">IF(OR($A142="",$E142="",$F142=""),"",IF($E142&lt;=$F142,"KAZANDI","KAYBETTİ"))</f>
        <v/>
      </c>
    </row>
    <row r="143" customFormat="false" ht="15" hidden="false" customHeight="false" outlineLevel="0" collapsed="false">
      <c r="A143" s="23"/>
      <c r="B143" s="25"/>
      <c r="C143" s="26"/>
      <c r="D143" s="26"/>
      <c r="E143" s="26"/>
      <c r="F143" s="26"/>
      <c r="G143" s="0" t="str">
        <f aca="false">IF(OR($A143="",$E143="",$D143=""),"",IF($E143&lt;$D143,"EVET","HAYIR"))</f>
        <v/>
      </c>
      <c r="H143" s="0" t="str">
        <f aca="false">IF(OR($A143="",$E143="",$F143=""),"",IF($E143&lt;=$F143,"KAZANDI","KAYBETTİ"))</f>
        <v/>
      </c>
    </row>
    <row r="144" customFormat="false" ht="15" hidden="false" customHeight="false" outlineLevel="0" collapsed="false">
      <c r="A144" s="23"/>
      <c r="B144" s="25"/>
      <c r="C144" s="26"/>
      <c r="D144" s="26"/>
      <c r="E144" s="26"/>
      <c r="F144" s="26"/>
      <c r="G144" s="0" t="str">
        <f aca="false">IF(OR($A144="",$E144="",$D144=""),"",IF($E144&lt;$D144,"EVET","HAYIR"))</f>
        <v/>
      </c>
      <c r="H144" s="0" t="str">
        <f aca="false">IF(OR($A144="",$E144="",$F144=""),"",IF($E144&lt;=$F144,"KAZANDI","KAYBETTİ"))</f>
        <v/>
      </c>
    </row>
    <row r="145" customFormat="false" ht="15" hidden="false" customHeight="false" outlineLevel="0" collapsed="false">
      <c r="A145" s="23"/>
      <c r="B145" s="25"/>
      <c r="C145" s="26"/>
      <c r="D145" s="26"/>
      <c r="E145" s="26"/>
      <c r="F145" s="26"/>
      <c r="G145" s="0" t="str">
        <f aca="false">IF(OR($A145="",$E145="",$D145=""),"",IF($E145&lt;$D145,"EVET","HAYIR"))</f>
        <v/>
      </c>
      <c r="H145" s="0" t="str">
        <f aca="false">IF(OR($A145="",$E145="",$F145=""),"",IF($E145&lt;=$F145,"KAZANDI","KAYBETTİ"))</f>
        <v/>
      </c>
    </row>
    <row r="146" customFormat="false" ht="15" hidden="false" customHeight="false" outlineLevel="0" collapsed="false">
      <c r="A146" s="23"/>
      <c r="B146" s="25"/>
      <c r="C146" s="26"/>
      <c r="D146" s="26"/>
      <c r="E146" s="26"/>
      <c r="F146" s="26"/>
      <c r="G146" s="0" t="str">
        <f aca="false">IF(OR($A146="",$E146="",$D146=""),"",IF($E146&lt;$D146,"EVET","HAYIR"))</f>
        <v/>
      </c>
      <c r="H146" s="0" t="str">
        <f aca="false">IF(OR($A146="",$E146="",$F146=""),"",IF($E146&lt;=$F146,"KAZANDI","KAYBETTİ"))</f>
        <v/>
      </c>
    </row>
    <row r="147" customFormat="false" ht="15" hidden="false" customHeight="false" outlineLevel="0" collapsed="false">
      <c r="A147" s="23"/>
      <c r="B147" s="25"/>
      <c r="C147" s="26"/>
      <c r="D147" s="26"/>
      <c r="E147" s="26"/>
      <c r="F147" s="26"/>
      <c r="G147" s="0" t="str">
        <f aca="false">IF(OR($A147="",$E147="",$D147=""),"",IF($E147&lt;$D147,"EVET","HAYIR"))</f>
        <v/>
      </c>
      <c r="H147" s="0" t="str">
        <f aca="false">IF(OR($A147="",$E147="",$F147=""),"",IF($E147&lt;=$F147,"KAZANDI","KAYBETTİ"))</f>
        <v/>
      </c>
    </row>
    <row r="148" customFormat="false" ht="15" hidden="false" customHeight="false" outlineLevel="0" collapsed="false">
      <c r="A148" s="23"/>
      <c r="B148" s="25"/>
      <c r="C148" s="26"/>
      <c r="D148" s="26"/>
      <c r="E148" s="26"/>
      <c r="F148" s="26"/>
      <c r="G148" s="0" t="str">
        <f aca="false">IF(OR($A148="",$E148="",$D148=""),"",IF($E148&lt;$D148,"EVET","HAYIR"))</f>
        <v/>
      </c>
      <c r="H148" s="0" t="str">
        <f aca="false">IF(OR($A148="",$E148="",$F148=""),"",IF($E148&lt;=$F148,"KAZANDI","KAYBETTİ"))</f>
        <v/>
      </c>
    </row>
    <row r="149" customFormat="false" ht="15" hidden="false" customHeight="false" outlineLevel="0" collapsed="false">
      <c r="A149" s="23"/>
      <c r="B149" s="25"/>
      <c r="C149" s="26"/>
      <c r="D149" s="26"/>
      <c r="E149" s="26"/>
      <c r="F149" s="26"/>
      <c r="G149" s="0" t="str">
        <f aca="false">IF(OR($A149="",$E149="",$D149=""),"",IF($E149&lt;$D149,"EVET","HAYIR"))</f>
        <v/>
      </c>
      <c r="H149" s="0" t="str">
        <f aca="false">IF(OR($A149="",$E149="",$F149=""),"",IF($E149&lt;=$F149,"KAZANDI","KAYBETTİ"))</f>
        <v/>
      </c>
    </row>
    <row r="150" customFormat="false" ht="15" hidden="false" customHeight="false" outlineLevel="0" collapsed="false">
      <c r="A150" s="23"/>
      <c r="B150" s="25"/>
      <c r="C150" s="26"/>
      <c r="D150" s="26"/>
      <c r="E150" s="26"/>
      <c r="F150" s="26"/>
      <c r="G150" s="0" t="str">
        <f aca="false">IF(OR($A150="",$E150="",$D150=""),"",IF($E150&lt;$D150,"EVET","HAYIR"))</f>
        <v/>
      </c>
      <c r="H150" s="0" t="str">
        <f aca="false">IF(OR($A150="",$E150="",$F150=""),"",IF($E150&lt;=$F150,"KAZANDI","KAYBETTİ"))</f>
        <v/>
      </c>
    </row>
    <row r="151" customFormat="false" ht="15" hidden="false" customHeight="false" outlineLevel="0" collapsed="false">
      <c r="A151" s="23"/>
      <c r="B151" s="25"/>
      <c r="C151" s="26"/>
      <c r="D151" s="26"/>
      <c r="E151" s="26"/>
      <c r="F151" s="26"/>
      <c r="G151" s="0" t="str">
        <f aca="false">IF(OR($A151="",$E151="",$D151=""),"",IF($E151&lt;$D151,"EVET","HAYIR"))</f>
        <v/>
      </c>
      <c r="H151" s="0" t="str">
        <f aca="false">IF(OR($A151="",$E151="",$F151=""),"",IF($E151&lt;=$F151,"KAZANDI","KAYBETTİ"))</f>
        <v/>
      </c>
    </row>
    <row r="152" customFormat="false" ht="15" hidden="false" customHeight="false" outlineLevel="0" collapsed="false">
      <c r="A152" s="23"/>
      <c r="B152" s="25"/>
      <c r="C152" s="26"/>
      <c r="D152" s="26"/>
      <c r="E152" s="26"/>
      <c r="F152" s="26"/>
      <c r="G152" s="0" t="str">
        <f aca="false">IF(OR($A152="",$E152="",$D152=""),"",IF($E152&lt;$D152,"EVET","HAYIR"))</f>
        <v/>
      </c>
      <c r="H152" s="0" t="str">
        <f aca="false">IF(OR($A152="",$E152="",$F152=""),"",IF($E152&lt;=$F152,"KAZANDI","KAYBETTİ"))</f>
        <v/>
      </c>
    </row>
    <row r="153" customFormat="false" ht="15" hidden="false" customHeight="false" outlineLevel="0" collapsed="false">
      <c r="A153" s="23"/>
      <c r="B153" s="25"/>
      <c r="C153" s="26"/>
      <c r="D153" s="26"/>
      <c r="E153" s="26"/>
      <c r="F153" s="26"/>
      <c r="G153" s="0" t="str">
        <f aca="false">IF(OR($A153="",$E153="",$D153=""),"",IF($E153&lt;$D153,"EVET","HAYIR"))</f>
        <v/>
      </c>
      <c r="H153" s="0" t="str">
        <f aca="false">IF(OR($A153="",$E153="",$F153=""),"",IF($E153&lt;=$F153,"KAZANDI","KAYBETTİ"))</f>
        <v/>
      </c>
    </row>
    <row r="154" customFormat="false" ht="15" hidden="false" customHeight="false" outlineLevel="0" collapsed="false">
      <c r="A154" s="23"/>
      <c r="B154" s="25"/>
      <c r="C154" s="26"/>
      <c r="D154" s="26"/>
      <c r="E154" s="26"/>
      <c r="F154" s="26"/>
      <c r="G154" s="0" t="str">
        <f aca="false">IF(OR($A154="",$E154="",$D154=""),"",IF($E154&lt;$D154,"EVET","HAYIR"))</f>
        <v/>
      </c>
      <c r="H154" s="0" t="str">
        <f aca="false">IF(OR($A154="",$E154="",$F154=""),"",IF($E154&lt;=$F154,"KAZANDI","KAYBETTİ"))</f>
        <v/>
      </c>
    </row>
    <row r="155" customFormat="false" ht="15" hidden="false" customHeight="false" outlineLevel="0" collapsed="false">
      <c r="A155" s="23"/>
      <c r="B155" s="25"/>
      <c r="C155" s="26"/>
      <c r="D155" s="26"/>
      <c r="E155" s="26"/>
      <c r="F155" s="26"/>
      <c r="G155" s="0" t="str">
        <f aca="false">IF(OR($A155="",$E155="",$D155=""),"",IF($E155&lt;$D155,"EVET","HAYIR"))</f>
        <v/>
      </c>
      <c r="H155" s="0" t="str">
        <f aca="false">IF(OR($A155="",$E155="",$F155=""),"",IF($E155&lt;=$F155,"KAZANDI","KAYBETTİ"))</f>
        <v/>
      </c>
    </row>
    <row r="156" customFormat="false" ht="15" hidden="false" customHeight="false" outlineLevel="0" collapsed="false">
      <c r="A156" s="23"/>
      <c r="B156" s="25"/>
      <c r="C156" s="26"/>
      <c r="D156" s="26"/>
      <c r="E156" s="26"/>
      <c r="F156" s="26"/>
      <c r="G156" s="0" t="str">
        <f aca="false">IF(OR($A156="",$E156="",$D156=""),"",IF($E156&lt;$D156,"EVET","HAYIR"))</f>
        <v/>
      </c>
      <c r="H156" s="0" t="str">
        <f aca="false">IF(OR($A156="",$E156="",$F156=""),"",IF($E156&lt;=$F156,"KAZANDI","KAYBETTİ"))</f>
        <v/>
      </c>
    </row>
    <row r="157" customFormat="false" ht="15" hidden="false" customHeight="false" outlineLevel="0" collapsed="false">
      <c r="A157" s="23"/>
      <c r="B157" s="25"/>
      <c r="C157" s="26"/>
      <c r="D157" s="26"/>
      <c r="E157" s="26"/>
      <c r="F157" s="26"/>
      <c r="G157" s="0" t="str">
        <f aca="false">IF(OR($A157="",$E157="",$D157=""),"",IF($E157&lt;$D157,"EVET","HAYIR"))</f>
        <v/>
      </c>
      <c r="H157" s="0" t="str">
        <f aca="false">IF(OR($A157="",$E157="",$F157=""),"",IF($E157&lt;=$F157,"KAZANDI","KAYBETTİ"))</f>
        <v/>
      </c>
    </row>
    <row r="158" customFormat="false" ht="15" hidden="false" customHeight="false" outlineLevel="0" collapsed="false">
      <c r="A158" s="23"/>
      <c r="B158" s="25"/>
      <c r="C158" s="26"/>
      <c r="D158" s="26"/>
      <c r="E158" s="26"/>
      <c r="F158" s="26"/>
      <c r="G158" s="0" t="str">
        <f aca="false">IF(OR($A158="",$E158="",$D158=""),"",IF($E158&lt;$D158,"EVET","HAYIR"))</f>
        <v/>
      </c>
      <c r="H158" s="0" t="str">
        <f aca="false">IF(OR($A158="",$E158="",$F158=""),"",IF($E158&lt;=$F158,"KAZANDI","KAYBETTİ"))</f>
        <v/>
      </c>
    </row>
    <row r="159" customFormat="false" ht="15" hidden="false" customHeight="false" outlineLevel="0" collapsed="false">
      <c r="A159" s="23"/>
      <c r="B159" s="25"/>
      <c r="C159" s="26"/>
      <c r="D159" s="26"/>
      <c r="E159" s="26"/>
      <c r="F159" s="26"/>
      <c r="G159" s="0" t="str">
        <f aca="false">IF(OR($A159="",$E159="",$D159=""),"",IF($E159&lt;$D159,"EVET","HAYIR"))</f>
        <v/>
      </c>
      <c r="H159" s="0" t="str">
        <f aca="false">IF(OR($A159="",$E159="",$F159=""),"",IF($E159&lt;=$F159,"KAZANDI","KAYBETTİ"))</f>
        <v/>
      </c>
    </row>
    <row r="160" customFormat="false" ht="15" hidden="false" customHeight="false" outlineLevel="0" collapsed="false">
      <c r="A160" s="23"/>
      <c r="B160" s="25"/>
      <c r="C160" s="26"/>
      <c r="D160" s="26"/>
      <c r="E160" s="26"/>
      <c r="F160" s="26"/>
      <c r="G160" s="0" t="str">
        <f aca="false">IF(OR($A160="",$E160="",$D160=""),"",IF($E160&lt;$D160,"EVET","HAYIR"))</f>
        <v/>
      </c>
      <c r="H160" s="0" t="str">
        <f aca="false">IF(OR($A160="",$E160="",$F160=""),"",IF($E160&lt;=$F160,"KAZANDI","KAYBETTİ"))</f>
        <v/>
      </c>
    </row>
    <row r="161" customFormat="false" ht="15" hidden="false" customHeight="false" outlineLevel="0" collapsed="false">
      <c r="A161" s="23"/>
      <c r="B161" s="25"/>
      <c r="C161" s="26"/>
      <c r="D161" s="26"/>
      <c r="E161" s="26"/>
      <c r="F161" s="26"/>
      <c r="G161" s="0" t="str">
        <f aca="false">IF(OR($A161="",$E161="",$D161=""),"",IF($E161&lt;$D161,"EVET","HAYIR"))</f>
        <v/>
      </c>
      <c r="H161" s="0" t="str">
        <f aca="false">IF(OR($A161="",$E161="",$F161=""),"",IF($E161&lt;=$F161,"KAZANDI","KAYBETTİ"))</f>
        <v/>
      </c>
    </row>
    <row r="162" customFormat="false" ht="15" hidden="false" customHeight="false" outlineLevel="0" collapsed="false">
      <c r="A162" s="23"/>
      <c r="B162" s="25"/>
      <c r="C162" s="26"/>
      <c r="D162" s="26"/>
      <c r="E162" s="26"/>
      <c r="F162" s="26"/>
      <c r="G162" s="0" t="str">
        <f aca="false">IF(OR($A162="",$E162="",$D162=""),"",IF($E162&lt;$D162,"EVET","HAYIR"))</f>
        <v/>
      </c>
      <c r="H162" s="0" t="str">
        <f aca="false">IF(OR($A162="",$E162="",$F162=""),"",IF($E162&lt;=$F162,"KAZANDI","KAYBETTİ"))</f>
        <v/>
      </c>
    </row>
    <row r="163" customFormat="false" ht="15" hidden="false" customHeight="false" outlineLevel="0" collapsed="false">
      <c r="A163" s="23"/>
      <c r="B163" s="25"/>
      <c r="C163" s="26"/>
      <c r="D163" s="26"/>
      <c r="E163" s="26"/>
      <c r="F163" s="26"/>
      <c r="G163" s="0" t="str">
        <f aca="false">IF(OR($A163="",$E163="",$D163=""),"",IF($E163&lt;$D163,"EVET","HAYIR"))</f>
        <v/>
      </c>
      <c r="H163" s="0" t="str">
        <f aca="false">IF(OR($A163="",$E163="",$F163=""),"",IF($E163&lt;=$F163,"KAZANDI","KAYBETTİ"))</f>
        <v/>
      </c>
    </row>
    <row r="164" customFormat="false" ht="15" hidden="false" customHeight="false" outlineLevel="0" collapsed="false">
      <c r="A164" s="23"/>
      <c r="B164" s="25"/>
      <c r="C164" s="26"/>
      <c r="D164" s="26"/>
      <c r="E164" s="26"/>
      <c r="F164" s="26"/>
      <c r="G164" s="0" t="str">
        <f aca="false">IF(OR($A164="",$E164="",$D164=""),"",IF($E164&lt;$D164,"EVET","HAYIR"))</f>
        <v/>
      </c>
      <c r="H164" s="0" t="str">
        <f aca="false">IF(OR($A164="",$E164="",$F164=""),"",IF($E164&lt;=$F164,"KAZANDI","KAYBETTİ"))</f>
        <v/>
      </c>
    </row>
    <row r="165" customFormat="false" ht="15" hidden="false" customHeight="false" outlineLevel="0" collapsed="false">
      <c r="A165" s="23"/>
      <c r="B165" s="25"/>
      <c r="C165" s="26"/>
      <c r="D165" s="26"/>
      <c r="E165" s="26"/>
      <c r="F165" s="26"/>
      <c r="G165" s="0" t="str">
        <f aca="false">IF(OR($A165="",$E165="",$D165=""),"",IF($E165&lt;$D165,"EVET","HAYIR"))</f>
        <v/>
      </c>
      <c r="H165" s="0" t="str">
        <f aca="false">IF(OR($A165="",$E165="",$F165=""),"",IF($E165&lt;=$F165,"KAZANDI","KAYBETTİ"))</f>
        <v/>
      </c>
    </row>
    <row r="166" customFormat="false" ht="15" hidden="false" customHeight="false" outlineLevel="0" collapsed="false">
      <c r="A166" s="23"/>
      <c r="B166" s="25"/>
      <c r="C166" s="26"/>
      <c r="D166" s="26"/>
      <c r="E166" s="26"/>
      <c r="F166" s="26"/>
      <c r="G166" s="0" t="str">
        <f aca="false">IF(OR($A166="",$E166="",$D166=""),"",IF($E166&lt;$D166,"EVET","HAYIR"))</f>
        <v/>
      </c>
      <c r="H166" s="0" t="str">
        <f aca="false">IF(OR($A166="",$E166="",$F166=""),"",IF($E166&lt;=$F166,"KAZANDI","KAYBETTİ"))</f>
        <v/>
      </c>
    </row>
    <row r="167" customFormat="false" ht="15" hidden="false" customHeight="false" outlineLevel="0" collapsed="false">
      <c r="A167" s="23"/>
      <c r="B167" s="25"/>
      <c r="C167" s="26"/>
      <c r="D167" s="26"/>
      <c r="E167" s="26"/>
      <c r="F167" s="26"/>
      <c r="G167" s="0" t="str">
        <f aca="false">IF(OR($A167="",$E167="",$D167=""),"",IF($E167&lt;$D167,"EVET","HAYIR"))</f>
        <v/>
      </c>
      <c r="H167" s="0" t="str">
        <f aca="false">IF(OR($A167="",$E167="",$F167=""),"",IF($E167&lt;=$F167,"KAZANDI","KAYBETTİ"))</f>
        <v/>
      </c>
    </row>
    <row r="168" customFormat="false" ht="15" hidden="false" customHeight="false" outlineLevel="0" collapsed="false">
      <c r="A168" s="23"/>
      <c r="B168" s="25"/>
      <c r="C168" s="26"/>
      <c r="D168" s="26"/>
      <c r="E168" s="26"/>
      <c r="F168" s="26"/>
      <c r="G168" s="0" t="str">
        <f aca="false">IF(OR($A168="",$E168="",$D168=""),"",IF($E168&lt;$D168,"EVET","HAYIR"))</f>
        <v/>
      </c>
      <c r="H168" s="0" t="str">
        <f aca="false">IF(OR($A168="",$E168="",$F168=""),"",IF($E168&lt;=$F168,"KAZANDI","KAYBETTİ"))</f>
        <v/>
      </c>
    </row>
    <row r="169" customFormat="false" ht="15" hidden="false" customHeight="false" outlineLevel="0" collapsed="false">
      <c r="A169" s="23"/>
      <c r="B169" s="25"/>
      <c r="C169" s="26"/>
      <c r="D169" s="26"/>
      <c r="E169" s="26"/>
      <c r="F169" s="26"/>
      <c r="G169" s="0" t="str">
        <f aca="false">IF(OR($A169="",$E169="",$D169=""),"",IF($E169&lt;$D169,"EVET","HAYIR"))</f>
        <v/>
      </c>
      <c r="H169" s="0" t="str">
        <f aca="false">IF(OR($A169="",$E169="",$F169=""),"",IF($E169&lt;=$F169,"KAZANDI","KAYBETTİ"))</f>
        <v/>
      </c>
    </row>
    <row r="170" customFormat="false" ht="15" hidden="false" customHeight="false" outlineLevel="0" collapsed="false">
      <c r="A170" s="23"/>
      <c r="B170" s="25"/>
      <c r="C170" s="26"/>
      <c r="D170" s="26"/>
      <c r="E170" s="26"/>
      <c r="F170" s="26"/>
      <c r="G170" s="0" t="str">
        <f aca="false">IF(OR($A170="",$E170="",$D170=""),"",IF($E170&lt;$D170,"EVET","HAYIR"))</f>
        <v/>
      </c>
      <c r="H170" s="0" t="str">
        <f aca="false">IF(OR($A170="",$E170="",$F170=""),"",IF($E170&lt;=$F170,"KAZANDI","KAYBETTİ"))</f>
        <v/>
      </c>
    </row>
    <row r="171" customFormat="false" ht="15" hidden="false" customHeight="false" outlineLevel="0" collapsed="false">
      <c r="A171" s="23"/>
      <c r="B171" s="25"/>
      <c r="C171" s="26"/>
      <c r="D171" s="26"/>
      <c r="E171" s="26"/>
      <c r="F171" s="26"/>
      <c r="G171" s="0" t="str">
        <f aca="false">IF(OR($A171="",$E171="",$D171=""),"",IF($E171&lt;$D171,"EVET","HAYIR"))</f>
        <v/>
      </c>
      <c r="H171" s="0" t="str">
        <f aca="false">IF(OR($A171="",$E171="",$F171=""),"",IF($E171&lt;=$F171,"KAZANDI","KAYBETTİ"))</f>
        <v/>
      </c>
    </row>
    <row r="172" customFormat="false" ht="15" hidden="false" customHeight="false" outlineLevel="0" collapsed="false">
      <c r="A172" s="23"/>
      <c r="B172" s="25"/>
      <c r="C172" s="26"/>
      <c r="D172" s="26"/>
      <c r="E172" s="26"/>
      <c r="F172" s="26"/>
      <c r="G172" s="0" t="str">
        <f aca="false">IF(OR($A172="",$E172="",$D172=""),"",IF($E172&lt;$D172,"EVET","HAYIR"))</f>
        <v/>
      </c>
      <c r="H172" s="0" t="str">
        <f aca="false">IF(OR($A172="",$E172="",$F172=""),"",IF($E172&lt;=$F172,"KAZANDI","KAYBETTİ"))</f>
        <v/>
      </c>
    </row>
    <row r="173" customFormat="false" ht="15" hidden="false" customHeight="false" outlineLevel="0" collapsed="false">
      <c r="A173" s="23"/>
      <c r="B173" s="25"/>
      <c r="C173" s="26"/>
      <c r="D173" s="26"/>
      <c r="E173" s="26"/>
      <c r="F173" s="26"/>
      <c r="G173" s="0" t="str">
        <f aca="false">IF(OR($A173="",$E173="",$D173=""),"",IF($E173&lt;$D173,"EVET","HAYIR"))</f>
        <v/>
      </c>
      <c r="H173" s="0" t="str">
        <f aca="false">IF(OR($A173="",$E173="",$F173=""),"",IF($E173&lt;=$F173,"KAZANDI","KAYBETTİ"))</f>
        <v/>
      </c>
    </row>
    <row r="174" customFormat="false" ht="15" hidden="false" customHeight="false" outlineLevel="0" collapsed="false">
      <c r="A174" s="23"/>
      <c r="B174" s="25"/>
      <c r="C174" s="26"/>
      <c r="D174" s="26"/>
      <c r="E174" s="26"/>
      <c r="F174" s="26"/>
      <c r="G174" s="0" t="str">
        <f aca="false">IF(OR($A174="",$E174="",$D174=""),"",IF($E174&lt;$D174,"EVET","HAYIR"))</f>
        <v/>
      </c>
      <c r="H174" s="0" t="str">
        <f aca="false">IF(OR($A174="",$E174="",$F174=""),"",IF($E174&lt;=$F174,"KAZANDI","KAYBETTİ"))</f>
        <v/>
      </c>
    </row>
    <row r="175" customFormat="false" ht="15" hidden="false" customHeight="false" outlineLevel="0" collapsed="false">
      <c r="A175" s="23"/>
      <c r="B175" s="25"/>
      <c r="C175" s="26"/>
      <c r="D175" s="26"/>
      <c r="E175" s="26"/>
      <c r="F175" s="26"/>
      <c r="G175" s="0" t="str">
        <f aca="false">IF(OR($A175="",$E175="",$D175=""),"",IF($E175&lt;$D175,"EVET","HAYIR"))</f>
        <v/>
      </c>
      <c r="H175" s="0" t="str">
        <f aca="false">IF(OR($A175="",$E175="",$F175=""),"",IF($E175&lt;=$F175,"KAZANDI","KAYBETTİ"))</f>
        <v/>
      </c>
    </row>
    <row r="176" customFormat="false" ht="15" hidden="false" customHeight="false" outlineLevel="0" collapsed="false">
      <c r="A176" s="23"/>
      <c r="B176" s="25"/>
      <c r="C176" s="26"/>
      <c r="D176" s="26"/>
      <c r="E176" s="26"/>
      <c r="F176" s="26"/>
      <c r="G176" s="0" t="str">
        <f aca="false">IF(OR($A176="",$E176="",$D176=""),"",IF($E176&lt;$D176,"EVET","HAYIR"))</f>
        <v/>
      </c>
      <c r="H176" s="0" t="str">
        <f aca="false">IF(OR($A176="",$E176="",$F176=""),"",IF($E176&lt;=$F176,"KAZANDI","KAYBETTİ"))</f>
        <v/>
      </c>
    </row>
    <row r="177" customFormat="false" ht="15" hidden="false" customHeight="false" outlineLevel="0" collapsed="false">
      <c r="A177" s="23"/>
      <c r="B177" s="25"/>
      <c r="C177" s="26"/>
      <c r="D177" s="26"/>
      <c r="E177" s="26"/>
      <c r="F177" s="26"/>
      <c r="G177" s="0" t="str">
        <f aca="false">IF(OR($A177="",$E177="",$D177=""),"",IF($E177&lt;$D177,"EVET","HAYIR"))</f>
        <v/>
      </c>
      <c r="H177" s="0" t="str">
        <f aca="false">IF(OR($A177="",$E177="",$F177=""),"",IF($E177&lt;=$F177,"KAZANDI","KAYBETTİ"))</f>
        <v/>
      </c>
    </row>
    <row r="178" customFormat="false" ht="15" hidden="false" customHeight="false" outlineLevel="0" collapsed="false">
      <c r="A178" s="23"/>
      <c r="B178" s="25"/>
      <c r="C178" s="26"/>
      <c r="D178" s="26"/>
      <c r="E178" s="26"/>
      <c r="F178" s="26"/>
      <c r="G178" s="0" t="str">
        <f aca="false">IF(OR($A178="",$E178="",$D178=""),"",IF($E178&lt;$D178,"EVET","HAYIR"))</f>
        <v/>
      </c>
      <c r="H178" s="0" t="str">
        <f aca="false">IF(OR($A178="",$E178="",$F178=""),"",IF($E178&lt;=$F178,"KAZANDI","KAYBETTİ"))</f>
        <v/>
      </c>
    </row>
    <row r="179" customFormat="false" ht="15" hidden="false" customHeight="false" outlineLevel="0" collapsed="false">
      <c r="A179" s="23"/>
      <c r="B179" s="25"/>
      <c r="C179" s="26"/>
      <c r="D179" s="26"/>
      <c r="E179" s="26"/>
      <c r="F179" s="26"/>
      <c r="G179" s="0" t="str">
        <f aca="false">IF(OR($A179="",$E179="",$D179=""),"",IF($E179&lt;$D179,"EVET","HAYIR"))</f>
        <v/>
      </c>
      <c r="H179" s="0" t="str">
        <f aca="false">IF(OR($A179="",$E179="",$F179=""),"",IF($E179&lt;=$F179,"KAZANDI","KAYBETTİ"))</f>
        <v/>
      </c>
    </row>
    <row r="180" customFormat="false" ht="15" hidden="false" customHeight="false" outlineLevel="0" collapsed="false">
      <c r="A180" s="23"/>
      <c r="B180" s="25"/>
      <c r="C180" s="26"/>
      <c r="D180" s="26"/>
      <c r="E180" s="26"/>
      <c r="F180" s="26"/>
      <c r="G180" s="0" t="str">
        <f aca="false">IF(OR($A180="",$E180="",$D180=""),"",IF($E180&lt;$D180,"EVET","HAYIR"))</f>
        <v/>
      </c>
      <c r="H180" s="0" t="str">
        <f aca="false">IF(OR($A180="",$E180="",$F180=""),"",IF($E180&lt;=$F180,"KAZANDI","KAYBETTİ"))</f>
        <v/>
      </c>
    </row>
    <row r="181" customFormat="false" ht="15" hidden="false" customHeight="false" outlineLevel="0" collapsed="false">
      <c r="A181" s="23"/>
      <c r="B181" s="25"/>
      <c r="C181" s="26"/>
      <c r="D181" s="26"/>
      <c r="E181" s="26"/>
      <c r="F181" s="26"/>
      <c r="G181" s="0" t="str">
        <f aca="false">IF(OR($A181="",$E181="",$D181=""),"",IF($E181&lt;$D181,"EVET","HAYIR"))</f>
        <v/>
      </c>
      <c r="H181" s="0" t="str">
        <f aca="false">IF(OR($A181="",$E181="",$F181=""),"",IF($E181&lt;=$F181,"KAZANDI","KAYBETTİ"))</f>
        <v/>
      </c>
    </row>
    <row r="182" customFormat="false" ht="15" hidden="false" customHeight="false" outlineLevel="0" collapsed="false">
      <c r="A182" s="23"/>
      <c r="B182" s="25"/>
      <c r="C182" s="26"/>
      <c r="D182" s="26"/>
      <c r="E182" s="26"/>
      <c r="F182" s="26"/>
      <c r="G182" s="0" t="str">
        <f aca="false">IF(OR($A182="",$E182="",$D182=""),"",IF($E182&lt;$D182,"EVET","HAYIR"))</f>
        <v/>
      </c>
      <c r="H182" s="0" t="str">
        <f aca="false">IF(OR($A182="",$E182="",$F182=""),"",IF($E182&lt;=$F182,"KAZANDI","KAYBETTİ"))</f>
        <v/>
      </c>
    </row>
    <row r="183" customFormat="false" ht="15" hidden="false" customHeight="false" outlineLevel="0" collapsed="false">
      <c r="A183" s="23"/>
      <c r="B183" s="25"/>
      <c r="C183" s="26"/>
      <c r="D183" s="26"/>
      <c r="E183" s="26"/>
      <c r="F183" s="26"/>
      <c r="G183" s="0" t="str">
        <f aca="false">IF(OR($A183="",$E183="",$D183=""),"",IF($E183&lt;$D183,"EVET","HAYIR"))</f>
        <v/>
      </c>
      <c r="H183" s="0" t="str">
        <f aca="false">IF(OR($A183="",$E183="",$F183=""),"",IF($E183&lt;=$F183,"KAZANDI","KAYBETTİ"))</f>
        <v/>
      </c>
    </row>
    <row r="184" customFormat="false" ht="15" hidden="false" customHeight="false" outlineLevel="0" collapsed="false">
      <c r="A184" s="23"/>
      <c r="B184" s="25"/>
      <c r="C184" s="26"/>
      <c r="D184" s="26"/>
      <c r="E184" s="26"/>
      <c r="F184" s="26"/>
      <c r="G184" s="0" t="str">
        <f aca="false">IF(OR($A184="",$E184="",$D184=""),"",IF($E184&lt;$D184,"EVET","HAYIR"))</f>
        <v/>
      </c>
      <c r="H184" s="0" t="str">
        <f aca="false">IF(OR($A184="",$E184="",$F184=""),"",IF($E184&lt;=$F184,"KAZANDI","KAYBETTİ"))</f>
        <v/>
      </c>
    </row>
    <row r="185" customFormat="false" ht="15" hidden="false" customHeight="false" outlineLevel="0" collapsed="false">
      <c r="A185" s="23"/>
      <c r="B185" s="25"/>
      <c r="C185" s="26"/>
      <c r="D185" s="26"/>
      <c r="E185" s="26"/>
      <c r="F185" s="26"/>
      <c r="G185" s="0" t="str">
        <f aca="false">IF(OR($A185="",$E185="",$D185=""),"",IF($E185&lt;$D185,"EVET","HAYIR"))</f>
        <v/>
      </c>
      <c r="H185" s="0" t="str">
        <f aca="false">IF(OR($A185="",$E185="",$F185=""),"",IF($E185&lt;=$F185,"KAZANDI","KAYBETTİ"))</f>
        <v/>
      </c>
    </row>
    <row r="186" customFormat="false" ht="15" hidden="false" customHeight="false" outlineLevel="0" collapsed="false">
      <c r="A186" s="23"/>
      <c r="B186" s="25"/>
      <c r="C186" s="26"/>
      <c r="D186" s="26"/>
      <c r="E186" s="26"/>
      <c r="F186" s="26"/>
      <c r="G186" s="0" t="str">
        <f aca="false">IF(OR($A186="",$E186="",$D186=""),"",IF($E186&lt;$D186,"EVET","HAYIR"))</f>
        <v/>
      </c>
      <c r="H186" s="0" t="str">
        <f aca="false">IF(OR($A186="",$E186="",$F186=""),"",IF($E186&lt;=$F186,"KAZANDI","KAYBETTİ"))</f>
        <v/>
      </c>
    </row>
    <row r="187" customFormat="false" ht="15" hidden="false" customHeight="false" outlineLevel="0" collapsed="false">
      <c r="A187" s="23"/>
      <c r="B187" s="25"/>
      <c r="C187" s="26"/>
      <c r="D187" s="26"/>
      <c r="E187" s="26"/>
      <c r="F187" s="26"/>
      <c r="G187" s="0" t="str">
        <f aca="false">IF(OR($A187="",$E187="",$D187=""),"",IF($E187&lt;$D187,"EVET","HAYIR"))</f>
        <v/>
      </c>
      <c r="H187" s="0" t="str">
        <f aca="false">IF(OR($A187="",$E187="",$F187=""),"",IF($E187&lt;=$F187,"KAZANDI","KAYBETTİ"))</f>
        <v/>
      </c>
    </row>
    <row r="188" customFormat="false" ht="15" hidden="false" customHeight="false" outlineLevel="0" collapsed="false">
      <c r="A188" s="23"/>
      <c r="B188" s="25"/>
      <c r="C188" s="26"/>
      <c r="D188" s="26"/>
      <c r="E188" s="26"/>
      <c r="F188" s="26"/>
      <c r="G188" s="0" t="str">
        <f aca="false">IF(OR($A188="",$E188="",$D188=""),"",IF($E188&lt;$D188,"EVET","HAYIR"))</f>
        <v/>
      </c>
      <c r="H188" s="0" t="str">
        <f aca="false">IF(OR($A188="",$E188="",$F188=""),"",IF($E188&lt;=$F188,"KAZANDI","KAYBETTİ"))</f>
        <v/>
      </c>
    </row>
    <row r="189" customFormat="false" ht="15" hidden="false" customHeight="false" outlineLevel="0" collapsed="false">
      <c r="A189" s="23"/>
      <c r="B189" s="25"/>
      <c r="C189" s="26"/>
      <c r="D189" s="26"/>
      <c r="E189" s="26"/>
      <c r="F189" s="26"/>
      <c r="G189" s="0" t="str">
        <f aca="false">IF(OR($A189="",$E189="",$D189=""),"",IF($E189&lt;$D189,"EVET","HAYIR"))</f>
        <v/>
      </c>
      <c r="H189" s="0" t="str">
        <f aca="false">IF(OR($A189="",$E189="",$F189=""),"",IF($E189&lt;=$F189,"KAZANDI","KAYBETTİ"))</f>
        <v/>
      </c>
    </row>
    <row r="190" customFormat="false" ht="15" hidden="false" customHeight="false" outlineLevel="0" collapsed="false">
      <c r="A190" s="23"/>
      <c r="B190" s="25"/>
      <c r="C190" s="26"/>
      <c r="D190" s="26"/>
      <c r="E190" s="26"/>
      <c r="F190" s="26"/>
      <c r="G190" s="0" t="str">
        <f aca="false">IF(OR($A190="",$E190="",$D190=""),"",IF($E190&lt;$D190,"EVET","HAYIR"))</f>
        <v/>
      </c>
      <c r="H190" s="0" t="str">
        <f aca="false">IF(OR($A190="",$E190="",$F190=""),"",IF($E190&lt;=$F190,"KAZANDI","KAYBETTİ"))</f>
        <v/>
      </c>
    </row>
    <row r="191" customFormat="false" ht="15" hidden="false" customHeight="false" outlineLevel="0" collapsed="false">
      <c r="A191" s="23"/>
      <c r="B191" s="25"/>
      <c r="C191" s="26"/>
      <c r="D191" s="26"/>
      <c r="E191" s="26"/>
      <c r="F191" s="26"/>
      <c r="G191" s="0" t="str">
        <f aca="false">IF(OR($A191="",$E191="",$D191=""),"",IF($E191&lt;$D191,"EVET","HAYIR"))</f>
        <v/>
      </c>
      <c r="H191" s="0" t="str">
        <f aca="false">IF(OR($A191="",$E191="",$F191=""),"",IF($E191&lt;=$F191,"KAZANDI","KAYBETTİ"))</f>
        <v/>
      </c>
    </row>
    <row r="192" customFormat="false" ht="15" hidden="false" customHeight="false" outlineLevel="0" collapsed="false">
      <c r="A192" s="23"/>
      <c r="B192" s="25"/>
      <c r="C192" s="26"/>
      <c r="D192" s="26"/>
      <c r="E192" s="26"/>
      <c r="F192" s="26"/>
      <c r="G192" s="0" t="str">
        <f aca="false">IF(OR($A192="",$E192="",$D192=""),"",IF($E192&lt;$D192,"EVET","HAYIR"))</f>
        <v/>
      </c>
      <c r="H192" s="0" t="str">
        <f aca="false">IF(OR($A192="",$E192="",$F192=""),"",IF($E192&lt;=$F192,"KAZANDI","KAYBETTİ"))</f>
        <v/>
      </c>
    </row>
    <row r="193" customFormat="false" ht="15" hidden="false" customHeight="false" outlineLevel="0" collapsed="false">
      <c r="A193" s="23"/>
      <c r="B193" s="25"/>
      <c r="C193" s="26"/>
      <c r="D193" s="26"/>
      <c r="E193" s="26"/>
      <c r="F193" s="26"/>
      <c r="G193" s="0" t="str">
        <f aca="false">IF(OR($A193="",$E193="",$D193=""),"",IF($E193&lt;$D193,"EVET","HAYIR"))</f>
        <v/>
      </c>
      <c r="H193" s="0" t="str">
        <f aca="false">IF(OR($A193="",$E193="",$F193=""),"",IF($E193&lt;=$F193,"KAZANDI","KAYBETTİ"))</f>
        <v/>
      </c>
    </row>
    <row r="194" customFormat="false" ht="15" hidden="false" customHeight="false" outlineLevel="0" collapsed="false">
      <c r="A194" s="23"/>
      <c r="B194" s="25"/>
      <c r="C194" s="26"/>
      <c r="D194" s="26"/>
      <c r="E194" s="26"/>
      <c r="F194" s="26"/>
      <c r="G194" s="0" t="str">
        <f aca="false">IF(OR($A194="",$E194="",$D194=""),"",IF($E194&lt;$D194,"EVET","HAYIR"))</f>
        <v/>
      </c>
      <c r="H194" s="0" t="str">
        <f aca="false">IF(OR($A194="",$E194="",$F194=""),"",IF($E194&lt;=$F194,"KAZANDI","KAYBETTİ"))</f>
        <v/>
      </c>
    </row>
    <row r="195" customFormat="false" ht="15" hidden="false" customHeight="false" outlineLevel="0" collapsed="false">
      <c r="A195" s="23"/>
      <c r="B195" s="25"/>
      <c r="C195" s="26"/>
      <c r="D195" s="26"/>
      <c r="E195" s="26"/>
      <c r="F195" s="26"/>
      <c r="G195" s="0" t="str">
        <f aca="false">IF(OR($A195="",$E195="",$D195=""),"",IF($E195&lt;$D195,"EVET","HAYIR"))</f>
        <v/>
      </c>
      <c r="H195" s="0" t="str">
        <f aca="false">IF(OR($A195="",$E195="",$F195=""),"",IF($E195&lt;=$F195,"KAZANDI","KAYBETTİ"))</f>
        <v/>
      </c>
    </row>
    <row r="196" customFormat="false" ht="15" hidden="false" customHeight="false" outlineLevel="0" collapsed="false">
      <c r="A196" s="23"/>
      <c r="B196" s="25"/>
      <c r="C196" s="26"/>
      <c r="D196" s="26"/>
      <c r="E196" s="26"/>
      <c r="F196" s="26"/>
      <c r="G196" s="0" t="str">
        <f aca="false">IF(OR($A196="",$E196="",$D196=""),"",IF($E196&lt;$D196,"EVET","HAYIR"))</f>
        <v/>
      </c>
      <c r="H196" s="0" t="str">
        <f aca="false">IF(OR($A196="",$E196="",$F196=""),"",IF($E196&lt;=$F196,"KAZANDI","KAYBETTİ"))</f>
        <v/>
      </c>
    </row>
    <row r="197" customFormat="false" ht="15" hidden="false" customHeight="false" outlineLevel="0" collapsed="false">
      <c r="A197" s="23"/>
      <c r="B197" s="25"/>
      <c r="C197" s="26"/>
      <c r="D197" s="26"/>
      <c r="E197" s="26"/>
      <c r="F197" s="26"/>
      <c r="G197" s="0" t="str">
        <f aca="false">IF(OR($A197="",$E197="",$D197=""),"",IF($E197&lt;$D197,"EVET","HAYIR"))</f>
        <v/>
      </c>
      <c r="H197" s="0" t="str">
        <f aca="false">IF(OR($A197="",$E197="",$F197=""),"",IF($E197&lt;=$F197,"KAZANDI","KAYBETTİ"))</f>
        <v/>
      </c>
    </row>
    <row r="198" customFormat="false" ht="15" hidden="false" customHeight="false" outlineLevel="0" collapsed="false">
      <c r="A198" s="23"/>
      <c r="B198" s="25"/>
      <c r="C198" s="26"/>
      <c r="D198" s="26"/>
      <c r="E198" s="26"/>
      <c r="F198" s="26"/>
      <c r="G198" s="0" t="str">
        <f aca="false">IF(OR($A198="",$E198="",$D198=""),"",IF($E198&lt;$D198,"EVET","HAYIR"))</f>
        <v/>
      </c>
      <c r="H198" s="0" t="str">
        <f aca="false">IF(OR($A198="",$E198="",$F198=""),"",IF($E198&lt;=$F198,"KAZANDI","KAYBETTİ"))</f>
        <v/>
      </c>
    </row>
    <row r="199" customFormat="false" ht="15" hidden="false" customHeight="false" outlineLevel="0" collapsed="false">
      <c r="A199" s="23"/>
      <c r="B199" s="25"/>
      <c r="C199" s="26"/>
      <c r="D199" s="26"/>
      <c r="E199" s="26"/>
      <c r="F199" s="26"/>
      <c r="G199" s="0" t="str">
        <f aca="false">IF(OR($A199="",$E199="",$D199=""),"",IF($E199&lt;$D199,"EVET","HAYIR"))</f>
        <v/>
      </c>
      <c r="H199" s="0" t="str">
        <f aca="false">IF(OR($A199="",$E199="",$F199=""),"",IF($E199&lt;=$F199,"KAZANDI","KAYBETTİ"))</f>
        <v/>
      </c>
    </row>
    <row r="200" customFormat="false" ht="15" hidden="false" customHeight="false" outlineLevel="0" collapsed="false">
      <c r="A200" s="23"/>
      <c r="B200" s="25"/>
      <c r="C200" s="26"/>
      <c r="D200" s="26"/>
      <c r="E200" s="26"/>
      <c r="F200" s="26"/>
      <c r="G200" s="0" t="str">
        <f aca="false">IF(OR($A200="",$E200="",$D200=""),"",IF($E200&lt;$D200,"EVET","HAYIR"))</f>
        <v/>
      </c>
      <c r="H200" s="0" t="str">
        <f aca="false">IF(OR($A200="",$E200="",$F200=""),"",IF($E200&lt;=$F200,"KAZANDI","KAYBETTİ"))</f>
        <v/>
      </c>
    </row>
    <row r="201" customFormat="false" ht="15" hidden="false" customHeight="false" outlineLevel="0" collapsed="false">
      <c r="A201" s="23"/>
      <c r="B201" s="25"/>
      <c r="C201" s="26"/>
      <c r="D201" s="26"/>
      <c r="E201" s="26"/>
      <c r="F201" s="26"/>
      <c r="G201" s="0" t="str">
        <f aca="false">IF(OR($A201="",$E201="",$D201=""),"",IF($E201&lt;$D201,"EVET","HAYIR"))</f>
        <v/>
      </c>
      <c r="H201" s="0" t="str">
        <f aca="false">IF(OR($A201="",$E201="",$F201=""),"",IF($E201&lt;=$F201,"KAZANDI","KAYBETTİ"))</f>
        <v/>
      </c>
    </row>
    <row r="202" customFormat="false" ht="15" hidden="false" customHeight="false" outlineLevel="0" collapsed="false">
      <c r="A202" s="23"/>
      <c r="B202" s="25"/>
      <c r="C202" s="26"/>
      <c r="D202" s="26"/>
      <c r="E202" s="26"/>
      <c r="F202" s="26"/>
      <c r="G202" s="0" t="str">
        <f aca="false">IF(OR($A202="",$E202="",$D202=""),"",IF($E202&lt;$D202,"EVET","HAYIR"))</f>
        <v/>
      </c>
      <c r="H202" s="0" t="str">
        <f aca="false">IF(OR($A202="",$E202="",$F202=""),"",IF($E202&lt;=$F202,"KAZANDI","KAYBETTİ"))</f>
        <v/>
      </c>
    </row>
    <row r="203" customFormat="false" ht="15" hidden="false" customHeight="false" outlineLevel="0" collapsed="false">
      <c r="A203" s="23"/>
      <c r="B203" s="25"/>
      <c r="C203" s="26"/>
      <c r="D203" s="26"/>
      <c r="E203" s="26"/>
      <c r="F203" s="26"/>
      <c r="G203" s="0" t="str">
        <f aca="false">IF(OR($A203="",$E203="",$D203=""),"",IF($E203&lt;$D203,"EVET","HAYIR"))</f>
        <v/>
      </c>
      <c r="H203" s="0" t="str">
        <f aca="false">IF(OR($A203="",$E203="",$F203=""),"",IF($E203&lt;=$F203,"KAZANDI","KAYBETTİ"))</f>
        <v/>
      </c>
    </row>
    <row r="204" customFormat="false" ht="15" hidden="false" customHeight="false" outlineLevel="0" collapsed="false">
      <c r="A204" s="23"/>
      <c r="B204" s="25"/>
      <c r="C204" s="26"/>
      <c r="D204" s="26"/>
      <c r="E204" s="26"/>
      <c r="F204" s="26"/>
      <c r="G204" s="0" t="str">
        <f aca="false">IF(OR($A204="",$E204="",$D204=""),"",IF($E204&lt;$D204,"EVET","HAYIR"))</f>
        <v/>
      </c>
      <c r="H204" s="0" t="str">
        <f aca="false">IF(OR($A204="",$E204="",$F204=""),"",IF($E204&lt;=$F204,"KAZANDI","KAYBETTİ"))</f>
        <v/>
      </c>
    </row>
    <row r="205" customFormat="false" ht="15" hidden="false" customHeight="false" outlineLevel="0" collapsed="false">
      <c r="A205" s="23"/>
      <c r="B205" s="25"/>
      <c r="C205" s="26"/>
      <c r="D205" s="26"/>
      <c r="E205" s="26"/>
      <c r="F205" s="26"/>
      <c r="G205" s="0" t="str">
        <f aca="false">IF(OR($A205="",$E205="",$D205=""),"",IF($E205&lt;$D205,"EVET","HAYIR"))</f>
        <v/>
      </c>
      <c r="H205" s="0" t="str">
        <f aca="false">IF(OR($A205="",$E205="",$F205=""),"",IF($E205&lt;=$F205,"KAZANDI","KAYBETTİ"))</f>
        <v/>
      </c>
    </row>
    <row r="206" customFormat="false" ht="15" hidden="false" customHeight="false" outlineLevel="0" collapsed="false">
      <c r="A206" s="23"/>
      <c r="B206" s="25"/>
      <c r="C206" s="26"/>
      <c r="D206" s="26"/>
      <c r="E206" s="26"/>
      <c r="F206" s="26"/>
      <c r="G206" s="0" t="str">
        <f aca="false">IF(OR($A206="",$E206="",$D206=""),"",IF($E206&lt;$D206,"EVET","HAYIR"))</f>
        <v/>
      </c>
      <c r="H206" s="0" t="str">
        <f aca="false">IF(OR($A206="",$E206="",$F206=""),"",IF($E206&lt;=$F206,"KAZANDI","KAYBETTİ"))</f>
        <v/>
      </c>
    </row>
    <row r="207" customFormat="false" ht="15" hidden="false" customHeight="false" outlineLevel="0" collapsed="false">
      <c r="A207" s="23"/>
      <c r="B207" s="25"/>
      <c r="C207" s="26"/>
      <c r="D207" s="26"/>
      <c r="E207" s="26"/>
      <c r="F207" s="26"/>
      <c r="G207" s="0" t="str">
        <f aca="false">IF(OR($A207="",$E207="",$D207=""),"",IF($E207&lt;$D207,"EVET","HAYIR"))</f>
        <v/>
      </c>
      <c r="H207" s="0" t="str">
        <f aca="false">IF(OR($A207="",$E207="",$F207=""),"",IF($E207&lt;=$F207,"KAZANDI","KAYBETTİ"))</f>
        <v/>
      </c>
    </row>
    <row r="208" customFormat="false" ht="15" hidden="false" customHeight="false" outlineLevel="0" collapsed="false">
      <c r="A208" s="23"/>
      <c r="B208" s="25"/>
      <c r="C208" s="26"/>
      <c r="D208" s="26"/>
      <c r="E208" s="26"/>
      <c r="F208" s="26"/>
      <c r="G208" s="0" t="str">
        <f aca="false">IF(OR($A208="",$E208="",$D208=""),"",IF($E208&lt;$D208,"EVET","HAYIR"))</f>
        <v/>
      </c>
      <c r="H208" s="0" t="str">
        <f aca="false">IF(OR($A208="",$E208="",$F208=""),"",IF($E208&lt;=$F208,"KAZANDI","KAYBETTİ"))</f>
        <v/>
      </c>
    </row>
    <row r="209" customFormat="false" ht="15" hidden="false" customHeight="false" outlineLevel="0" collapsed="false">
      <c r="A209" s="23"/>
      <c r="B209" s="25"/>
      <c r="C209" s="26"/>
      <c r="D209" s="26"/>
      <c r="E209" s="26"/>
      <c r="F209" s="26"/>
      <c r="G209" s="0" t="str">
        <f aca="false">IF(OR($A209="",$E209="",$D209=""),"",IF($E209&lt;$D209,"EVET","HAYIR"))</f>
        <v/>
      </c>
      <c r="H209" s="0" t="str">
        <f aca="false">IF(OR($A209="",$E209="",$F209=""),"",IF($E209&lt;=$F209,"KAZANDI","KAYBETTİ"))</f>
        <v/>
      </c>
    </row>
    <row r="210" customFormat="false" ht="15" hidden="false" customHeight="false" outlineLevel="0" collapsed="false">
      <c r="A210" s="23"/>
      <c r="B210" s="25"/>
      <c r="C210" s="26"/>
      <c r="D210" s="26"/>
      <c r="E210" s="26"/>
      <c r="F210" s="26"/>
      <c r="G210" s="0" t="str">
        <f aca="false">IF(OR($A210="",$E210="",$D210=""),"",IF($E210&lt;$D210,"EVET","HAYIR"))</f>
        <v/>
      </c>
      <c r="H210" s="0" t="str">
        <f aca="false">IF(OR($A210="",$E210="",$F210=""),"",IF($E210&lt;=$F210,"KAZANDI","KAYBETTİ"))</f>
        <v/>
      </c>
    </row>
    <row r="211" customFormat="false" ht="15" hidden="false" customHeight="false" outlineLevel="0" collapsed="false">
      <c r="A211" s="23"/>
      <c r="B211" s="25"/>
      <c r="C211" s="26"/>
      <c r="D211" s="26"/>
      <c r="E211" s="26"/>
      <c r="F211" s="26"/>
      <c r="G211" s="0" t="str">
        <f aca="false">IF(OR($A211="",$E211="",$D211=""),"",IF($E211&lt;$D211,"EVET","HAYIR"))</f>
        <v/>
      </c>
      <c r="H211" s="0" t="str">
        <f aca="false">IF(OR($A211="",$E211="",$F211=""),"",IF($E211&lt;=$F211,"KAZANDI","KAYBETTİ"))</f>
        <v/>
      </c>
    </row>
    <row r="212" customFormat="false" ht="15" hidden="false" customHeight="false" outlineLevel="0" collapsed="false">
      <c r="A212" s="23"/>
      <c r="B212" s="25"/>
      <c r="C212" s="26"/>
      <c r="D212" s="26"/>
      <c r="E212" s="26"/>
      <c r="F212" s="26"/>
      <c r="G212" s="0" t="str">
        <f aca="false">IF(OR($A212="",$E212="",$D212=""),"",IF($E212&lt;$D212,"EVET","HAYIR"))</f>
        <v/>
      </c>
      <c r="H212" s="0" t="str">
        <f aca="false">IF(OR($A212="",$E212="",$F212=""),"",IF($E212&lt;=$F212,"KAZANDI","KAYBETTİ"))</f>
        <v/>
      </c>
    </row>
    <row r="213" customFormat="false" ht="15" hidden="false" customHeight="false" outlineLevel="0" collapsed="false">
      <c r="A213" s="23"/>
      <c r="B213" s="25"/>
      <c r="C213" s="26"/>
      <c r="D213" s="26"/>
      <c r="E213" s="26"/>
      <c r="F213" s="26"/>
      <c r="G213" s="0" t="str">
        <f aca="false">IF(OR($A213="",$E213="",$D213=""),"",IF($E213&lt;$D213,"EVET","HAYIR"))</f>
        <v/>
      </c>
      <c r="H213" s="0" t="str">
        <f aca="false">IF(OR($A213="",$E213="",$F213=""),"",IF($E213&lt;=$F213,"KAZANDI","KAYBETTİ"))</f>
        <v/>
      </c>
    </row>
    <row r="214" customFormat="false" ht="15" hidden="false" customHeight="false" outlineLevel="0" collapsed="false">
      <c r="A214" s="23"/>
      <c r="B214" s="25"/>
      <c r="C214" s="26"/>
      <c r="D214" s="26"/>
      <c r="E214" s="26"/>
      <c r="F214" s="26"/>
      <c r="G214" s="0" t="str">
        <f aca="false">IF(OR($A214="",$E214="",$D214=""),"",IF($E214&lt;$D214,"EVET","HAYIR"))</f>
        <v/>
      </c>
      <c r="H214" s="0" t="str">
        <f aca="false">IF(OR($A214="",$E214="",$F214=""),"",IF($E214&lt;=$F214,"KAZANDI","KAYBETTİ"))</f>
        <v/>
      </c>
    </row>
    <row r="215" customFormat="false" ht="15" hidden="false" customHeight="false" outlineLevel="0" collapsed="false">
      <c r="A215" s="23"/>
      <c r="B215" s="25"/>
      <c r="C215" s="26"/>
      <c r="D215" s="26"/>
      <c r="E215" s="26"/>
      <c r="F215" s="26"/>
      <c r="G215" s="0" t="str">
        <f aca="false">IF(OR($A215="",$E215="",$D215=""),"",IF($E215&lt;$D215,"EVET","HAYIR"))</f>
        <v/>
      </c>
      <c r="H215" s="0" t="str">
        <f aca="false">IF(OR($A215="",$E215="",$F215=""),"",IF($E215&lt;=$F215,"KAZANDI","KAYBETTİ"))</f>
        <v/>
      </c>
    </row>
    <row r="216" customFormat="false" ht="15" hidden="false" customHeight="false" outlineLevel="0" collapsed="false">
      <c r="A216" s="23"/>
      <c r="B216" s="25"/>
      <c r="C216" s="26"/>
      <c r="D216" s="26"/>
      <c r="E216" s="26"/>
      <c r="F216" s="26"/>
      <c r="G216" s="0" t="str">
        <f aca="false">IF(OR($A216="",$E216="",$D216=""),"",IF($E216&lt;$D216,"EVET","HAYIR"))</f>
        <v/>
      </c>
      <c r="H216" s="0" t="str">
        <f aca="false">IF(OR($A216="",$E216="",$F216=""),"",IF($E216&lt;=$F216,"KAZANDI","KAYBETTİ"))</f>
        <v/>
      </c>
    </row>
    <row r="217" customFormat="false" ht="15" hidden="false" customHeight="false" outlineLevel="0" collapsed="false">
      <c r="A217" s="23"/>
      <c r="B217" s="25"/>
      <c r="C217" s="26"/>
      <c r="D217" s="26"/>
      <c r="E217" s="26"/>
      <c r="F217" s="26"/>
      <c r="G217" s="0" t="str">
        <f aca="false">IF(OR($A217="",$E217="",$D217=""),"",IF($E217&lt;$D217,"EVET","HAYIR"))</f>
        <v/>
      </c>
      <c r="H217" s="0" t="str">
        <f aca="false">IF(OR($A217="",$E217="",$F217=""),"",IF($E217&lt;=$F217,"KAZANDI","KAYBETTİ"))</f>
        <v/>
      </c>
    </row>
    <row r="218" customFormat="false" ht="15" hidden="false" customHeight="false" outlineLevel="0" collapsed="false">
      <c r="A218" s="23"/>
      <c r="B218" s="25"/>
      <c r="C218" s="26"/>
      <c r="D218" s="26"/>
      <c r="E218" s="26"/>
      <c r="F218" s="26"/>
      <c r="G218" s="0" t="str">
        <f aca="false">IF(OR($A218="",$E218="",$D218=""),"",IF($E218&lt;$D218,"EVET","HAYIR"))</f>
        <v/>
      </c>
      <c r="H218" s="0" t="str">
        <f aca="false">IF(OR($A218="",$E218="",$F218=""),"",IF($E218&lt;=$F218,"KAZANDI","KAYBETTİ"))</f>
        <v/>
      </c>
    </row>
    <row r="219" customFormat="false" ht="15" hidden="false" customHeight="false" outlineLevel="0" collapsed="false">
      <c r="A219" s="23"/>
      <c r="B219" s="25"/>
      <c r="C219" s="26"/>
      <c r="D219" s="26"/>
      <c r="E219" s="26"/>
      <c r="F219" s="26"/>
      <c r="G219" s="0" t="str">
        <f aca="false">IF(OR($A219="",$E219="",$D219=""),"",IF($E219&lt;$D219,"EVET","HAYIR"))</f>
        <v/>
      </c>
      <c r="H219" s="0" t="str">
        <f aca="false">IF(OR($A219="",$E219="",$F219=""),"",IF($E219&lt;=$F219,"KAZANDI","KAYBETTİ"))</f>
        <v/>
      </c>
    </row>
    <row r="220" customFormat="false" ht="15" hidden="false" customHeight="false" outlineLevel="0" collapsed="false">
      <c r="A220" s="23"/>
      <c r="B220" s="25"/>
      <c r="C220" s="26"/>
      <c r="D220" s="26"/>
      <c r="E220" s="26"/>
      <c r="F220" s="26"/>
      <c r="G220" s="0" t="str">
        <f aca="false">IF(OR($A220="",$E220="",$D220=""),"",IF($E220&lt;$D220,"EVET","HAYIR"))</f>
        <v/>
      </c>
      <c r="H220" s="0" t="str">
        <f aca="false">IF(OR($A220="",$E220="",$F220=""),"",IF($E220&lt;=$F220,"KAZANDI","KAYBETTİ"))</f>
        <v/>
      </c>
    </row>
    <row r="221" customFormat="false" ht="15" hidden="false" customHeight="false" outlineLevel="0" collapsed="false">
      <c r="A221" s="23"/>
      <c r="B221" s="25"/>
      <c r="C221" s="26"/>
      <c r="D221" s="26"/>
      <c r="E221" s="26"/>
      <c r="F221" s="26"/>
      <c r="G221" s="0" t="str">
        <f aca="false">IF(OR($A221="",$E221="",$D221=""),"",IF($E221&lt;$D221,"EVET","HAYIR"))</f>
        <v/>
      </c>
      <c r="H221" s="0" t="str">
        <f aca="false">IF(OR($A221="",$E221="",$F221=""),"",IF($E221&lt;=$F221,"KAZANDI","KAYBETTİ"))</f>
        <v/>
      </c>
    </row>
    <row r="222" customFormat="false" ht="15" hidden="false" customHeight="false" outlineLevel="0" collapsed="false">
      <c r="A222" s="23"/>
      <c r="B222" s="25"/>
      <c r="C222" s="26"/>
      <c r="D222" s="26"/>
      <c r="E222" s="26"/>
      <c r="F222" s="26"/>
      <c r="G222" s="0" t="str">
        <f aca="false">IF(OR($A222="",$E222="",$D222=""),"",IF($E222&lt;$D222,"EVET","HAYIR"))</f>
        <v/>
      </c>
      <c r="H222" s="0" t="str">
        <f aca="false">IF(OR($A222="",$E222="",$F222=""),"",IF($E222&lt;=$F222,"KAZANDI","KAYBETTİ"))</f>
        <v/>
      </c>
    </row>
    <row r="223" customFormat="false" ht="15" hidden="false" customHeight="false" outlineLevel="0" collapsed="false">
      <c r="A223" s="23"/>
      <c r="B223" s="25"/>
      <c r="C223" s="26"/>
      <c r="D223" s="26"/>
      <c r="E223" s="26"/>
      <c r="F223" s="26"/>
      <c r="G223" s="0" t="str">
        <f aca="false">IF(OR($A223="",$E223="",$D223=""),"",IF($E223&lt;$D223,"EVET","HAYIR"))</f>
        <v/>
      </c>
      <c r="H223" s="0" t="str">
        <f aca="false">IF(OR($A223="",$E223="",$F223=""),"",IF($E223&lt;=$F223,"KAZANDI","KAYBETTİ"))</f>
        <v/>
      </c>
    </row>
    <row r="224" customFormat="false" ht="15" hidden="false" customHeight="false" outlineLevel="0" collapsed="false">
      <c r="A224" s="23"/>
      <c r="B224" s="25"/>
      <c r="C224" s="26"/>
      <c r="D224" s="26"/>
      <c r="E224" s="26"/>
      <c r="F224" s="26"/>
      <c r="G224" s="0" t="str">
        <f aca="false">IF(OR($A224="",$E224="",$D224=""),"",IF($E224&lt;$D224,"EVET","HAYIR"))</f>
        <v/>
      </c>
      <c r="H224" s="0" t="str">
        <f aca="false">IF(OR($A224="",$E224="",$F224=""),"",IF($E224&lt;=$F224,"KAZANDI","KAYBETTİ"))</f>
        <v/>
      </c>
    </row>
    <row r="225" customFormat="false" ht="15" hidden="false" customHeight="false" outlineLevel="0" collapsed="false">
      <c r="A225" s="23"/>
      <c r="B225" s="25"/>
      <c r="C225" s="26"/>
      <c r="D225" s="26"/>
      <c r="E225" s="26"/>
      <c r="F225" s="26"/>
      <c r="G225" s="0" t="str">
        <f aca="false">IF(OR($A225="",$E225="",$D225=""),"",IF($E225&lt;$D225,"EVET","HAYIR"))</f>
        <v/>
      </c>
      <c r="H225" s="0" t="str">
        <f aca="false">IF(OR($A225="",$E225="",$F225=""),"",IF($E225&lt;=$F225,"KAZANDI","KAYBETTİ"))</f>
        <v/>
      </c>
    </row>
    <row r="226" customFormat="false" ht="15" hidden="false" customHeight="false" outlineLevel="0" collapsed="false">
      <c r="A226" s="23"/>
      <c r="B226" s="25"/>
      <c r="C226" s="26"/>
      <c r="D226" s="26"/>
      <c r="E226" s="26"/>
      <c r="F226" s="26"/>
      <c r="G226" s="0" t="str">
        <f aca="false">IF(OR($A226="",$E226="",$D226=""),"",IF($E226&lt;$D226,"EVET","HAYIR"))</f>
        <v/>
      </c>
      <c r="H226" s="0" t="str">
        <f aca="false">IF(OR($A226="",$E226="",$F226=""),"",IF($E226&lt;=$F226,"KAZANDI","KAYBETTİ"))</f>
        <v/>
      </c>
    </row>
    <row r="227" customFormat="false" ht="15" hidden="false" customHeight="false" outlineLevel="0" collapsed="false">
      <c r="A227" s="23"/>
      <c r="B227" s="25"/>
      <c r="C227" s="26"/>
      <c r="D227" s="26"/>
      <c r="E227" s="26"/>
      <c r="F227" s="26"/>
      <c r="G227" s="0" t="str">
        <f aca="false">IF(OR($A227="",$E227="",$D227=""),"",IF($E227&lt;$D227,"EVET","HAYIR"))</f>
        <v/>
      </c>
      <c r="H227" s="0" t="str">
        <f aca="false">IF(OR($A227="",$E227="",$F227=""),"",IF($E227&lt;=$F227,"KAZANDI","KAYBETTİ"))</f>
        <v/>
      </c>
    </row>
    <row r="228" customFormat="false" ht="15" hidden="false" customHeight="false" outlineLevel="0" collapsed="false">
      <c r="A228" s="23"/>
      <c r="B228" s="25"/>
      <c r="C228" s="26"/>
      <c r="D228" s="26"/>
      <c r="E228" s="26"/>
      <c r="F228" s="26"/>
      <c r="G228" s="0" t="str">
        <f aca="false">IF(OR($A228="",$E228="",$D228=""),"",IF($E228&lt;$D228,"EVET","HAYIR"))</f>
        <v/>
      </c>
      <c r="H228" s="0" t="str">
        <f aca="false">IF(OR($A228="",$E228="",$F228=""),"",IF($E228&lt;=$F228,"KAZANDI","KAYBETTİ"))</f>
        <v/>
      </c>
    </row>
    <row r="229" customFormat="false" ht="15" hidden="false" customHeight="false" outlineLevel="0" collapsed="false">
      <c r="A229" s="23"/>
      <c r="B229" s="25"/>
      <c r="C229" s="26"/>
      <c r="D229" s="26"/>
      <c r="E229" s="26"/>
      <c r="F229" s="26"/>
      <c r="G229" s="0" t="str">
        <f aca="false">IF(OR($A229="",$E229="",$D229=""),"",IF($E229&lt;$D229,"EVET","HAYIR"))</f>
        <v/>
      </c>
      <c r="H229" s="0" t="str">
        <f aca="false">IF(OR($A229="",$E229="",$F229=""),"",IF($E229&lt;=$F229,"KAZANDI","KAYBETTİ"))</f>
        <v/>
      </c>
    </row>
    <row r="230" customFormat="false" ht="15" hidden="false" customHeight="false" outlineLevel="0" collapsed="false">
      <c r="A230" s="23"/>
      <c r="B230" s="25"/>
      <c r="C230" s="26"/>
      <c r="D230" s="26"/>
      <c r="E230" s="26"/>
      <c r="F230" s="26"/>
      <c r="G230" s="0" t="str">
        <f aca="false">IF(OR($A230="",$E230="",$D230=""),"",IF($E230&lt;$D230,"EVET","HAYIR"))</f>
        <v/>
      </c>
      <c r="H230" s="0" t="str">
        <f aca="false">IF(OR($A230="",$E230="",$F230=""),"",IF($E230&lt;=$F230,"KAZANDI","KAYBETTİ"))</f>
        <v/>
      </c>
    </row>
    <row r="231" customFormat="false" ht="15" hidden="false" customHeight="false" outlineLevel="0" collapsed="false">
      <c r="A231" s="23"/>
      <c r="B231" s="25"/>
      <c r="C231" s="26"/>
      <c r="D231" s="26"/>
      <c r="E231" s="26"/>
      <c r="F231" s="26"/>
      <c r="G231" s="0" t="str">
        <f aca="false">IF(OR($A231="",$E231="",$D231=""),"",IF($E231&lt;$D231,"EVET","HAYIR"))</f>
        <v/>
      </c>
      <c r="H231" s="0" t="str">
        <f aca="false">IF(OR($A231="",$E231="",$F231=""),"",IF($E231&lt;=$F231,"KAZANDI","KAYBETTİ"))</f>
        <v/>
      </c>
    </row>
    <row r="232" customFormat="false" ht="15" hidden="false" customHeight="false" outlineLevel="0" collapsed="false">
      <c r="A232" s="23"/>
      <c r="B232" s="25"/>
      <c r="C232" s="26"/>
      <c r="D232" s="26"/>
      <c r="E232" s="26"/>
      <c r="F232" s="26"/>
      <c r="G232" s="0" t="str">
        <f aca="false">IF(OR($A232="",$E232="",$D232=""),"",IF($E232&lt;$D232,"EVET","HAYIR"))</f>
        <v/>
      </c>
      <c r="H232" s="0" t="str">
        <f aca="false">IF(OR($A232="",$E232="",$F232=""),"",IF($E232&lt;=$F232,"KAZANDI","KAYBETTİ"))</f>
        <v/>
      </c>
    </row>
    <row r="233" customFormat="false" ht="15" hidden="false" customHeight="false" outlineLevel="0" collapsed="false">
      <c r="A233" s="23"/>
      <c r="B233" s="25"/>
      <c r="C233" s="26"/>
      <c r="D233" s="26"/>
      <c r="E233" s="26"/>
      <c r="F233" s="26"/>
      <c r="G233" s="0" t="str">
        <f aca="false">IF(OR($A233="",$E233="",$D233=""),"",IF($E233&lt;$D233,"EVET","HAYIR"))</f>
        <v/>
      </c>
      <c r="H233" s="0" t="str">
        <f aca="false">IF(OR($A233="",$E233="",$F233=""),"",IF($E233&lt;=$F233,"KAZANDI","KAYBETTİ"))</f>
        <v/>
      </c>
    </row>
    <row r="234" customFormat="false" ht="15" hidden="false" customHeight="false" outlineLevel="0" collapsed="false">
      <c r="A234" s="23"/>
      <c r="B234" s="25"/>
      <c r="C234" s="26"/>
      <c r="D234" s="26"/>
      <c r="E234" s="26"/>
      <c r="F234" s="26"/>
      <c r="G234" s="0" t="str">
        <f aca="false">IF(OR($A234="",$E234="",$D234=""),"",IF($E234&lt;$D234,"EVET","HAYIR"))</f>
        <v/>
      </c>
      <c r="H234" s="0" t="str">
        <f aca="false">IF(OR($A234="",$E234="",$F234=""),"",IF($E234&lt;=$F234,"KAZANDI","KAYBETTİ"))</f>
        <v/>
      </c>
    </row>
    <row r="235" customFormat="false" ht="15" hidden="false" customHeight="false" outlineLevel="0" collapsed="false">
      <c r="A235" s="23"/>
      <c r="B235" s="25"/>
      <c r="C235" s="26"/>
      <c r="D235" s="26"/>
      <c r="E235" s="26"/>
      <c r="F235" s="26"/>
      <c r="G235" s="0" t="str">
        <f aca="false">IF(OR($A235="",$E235="",$D235=""),"",IF($E235&lt;$D235,"EVET","HAYIR"))</f>
        <v/>
      </c>
      <c r="H235" s="0" t="str">
        <f aca="false">IF(OR($A235="",$E235="",$F235=""),"",IF($E235&lt;=$F235,"KAZANDI","KAYBETTİ"))</f>
        <v/>
      </c>
    </row>
    <row r="236" customFormat="false" ht="15" hidden="false" customHeight="false" outlineLevel="0" collapsed="false">
      <c r="A236" s="23"/>
      <c r="B236" s="25"/>
      <c r="C236" s="26"/>
      <c r="D236" s="26"/>
      <c r="E236" s="26"/>
      <c r="F236" s="26"/>
      <c r="G236" s="0" t="str">
        <f aca="false">IF(OR($A236="",$E236="",$D236=""),"",IF($E236&lt;$D236,"EVET","HAYIR"))</f>
        <v/>
      </c>
      <c r="H236" s="0" t="str">
        <f aca="false">IF(OR($A236="",$E236="",$F236=""),"",IF($E236&lt;=$F236,"KAZANDI","KAYBETTİ"))</f>
        <v/>
      </c>
    </row>
    <row r="237" customFormat="false" ht="15" hidden="false" customHeight="false" outlineLevel="0" collapsed="false">
      <c r="A237" s="23"/>
      <c r="B237" s="25"/>
      <c r="C237" s="26"/>
      <c r="D237" s="26"/>
      <c r="E237" s="26"/>
      <c r="F237" s="26"/>
      <c r="G237" s="0" t="str">
        <f aca="false">IF(OR($A237="",$E237="",$D237=""),"",IF($E237&lt;$D237,"EVET","HAYIR"))</f>
        <v/>
      </c>
      <c r="H237" s="0" t="str">
        <f aca="false">IF(OR($A237="",$E237="",$F237=""),"",IF($E237&lt;=$F237,"KAZANDI","KAYBETTİ"))</f>
        <v/>
      </c>
    </row>
    <row r="238" customFormat="false" ht="15" hidden="false" customHeight="false" outlineLevel="0" collapsed="false">
      <c r="A238" s="23"/>
      <c r="B238" s="25"/>
      <c r="C238" s="26"/>
      <c r="D238" s="26"/>
      <c r="E238" s="26"/>
      <c r="F238" s="26"/>
      <c r="G238" s="0" t="str">
        <f aca="false">IF(OR($A238="",$E238="",$D238=""),"",IF($E238&lt;$D238,"EVET","HAYIR"))</f>
        <v/>
      </c>
      <c r="H238" s="0" t="str">
        <f aca="false">IF(OR($A238="",$E238="",$F238=""),"",IF($E238&lt;=$F238,"KAZANDI","KAYBETTİ"))</f>
        <v/>
      </c>
    </row>
    <row r="239" customFormat="false" ht="15" hidden="false" customHeight="false" outlineLevel="0" collapsed="false">
      <c r="A239" s="23"/>
      <c r="B239" s="25"/>
      <c r="C239" s="26"/>
      <c r="D239" s="26"/>
      <c r="E239" s="26"/>
      <c r="F239" s="26"/>
      <c r="G239" s="0" t="str">
        <f aca="false">IF(OR($A239="",$E239="",$D239=""),"",IF($E239&lt;$D239,"EVET","HAYIR"))</f>
        <v/>
      </c>
      <c r="H239" s="0" t="str">
        <f aca="false">IF(OR($A239="",$E239="",$F239=""),"",IF($E239&lt;=$F239,"KAZANDI","KAYBETTİ"))</f>
        <v/>
      </c>
    </row>
    <row r="240" customFormat="false" ht="15" hidden="false" customHeight="false" outlineLevel="0" collapsed="false">
      <c r="A240" s="23"/>
      <c r="B240" s="25"/>
      <c r="C240" s="26"/>
      <c r="D240" s="26"/>
      <c r="E240" s="26"/>
      <c r="F240" s="26"/>
      <c r="G240" s="0" t="str">
        <f aca="false">IF(OR($A240="",$E240="",$D240=""),"",IF($E240&lt;$D240,"EVET","HAYIR"))</f>
        <v/>
      </c>
      <c r="H240" s="0" t="str">
        <f aca="false">IF(OR($A240="",$E240="",$F240=""),"",IF($E240&lt;=$F240,"KAZANDI","KAYBETTİ"))</f>
        <v/>
      </c>
    </row>
    <row r="241" customFormat="false" ht="15" hidden="false" customHeight="false" outlineLevel="0" collapsed="false">
      <c r="A241" s="23"/>
      <c r="B241" s="25"/>
      <c r="C241" s="26"/>
      <c r="D241" s="26"/>
      <c r="E241" s="26"/>
      <c r="F241" s="26"/>
      <c r="G241" s="0" t="str">
        <f aca="false">IF(OR($A241="",$E241="",$D241=""),"",IF($E241&lt;$D241,"EVET","HAYIR"))</f>
        <v/>
      </c>
      <c r="H241" s="0" t="str">
        <f aca="false">IF(OR($A241="",$E241="",$F241=""),"",IF($E241&lt;=$F241,"KAZANDI","KAYBETTİ"))</f>
        <v/>
      </c>
    </row>
    <row r="242" customFormat="false" ht="15" hidden="false" customHeight="false" outlineLevel="0" collapsed="false">
      <c r="A242" s="23"/>
      <c r="B242" s="25"/>
      <c r="C242" s="26"/>
      <c r="D242" s="26"/>
      <c r="E242" s="26"/>
      <c r="F242" s="26"/>
      <c r="G242" s="0" t="str">
        <f aca="false">IF(OR($A242="",$E242="",$D242=""),"",IF($E242&lt;$D242,"EVET","HAYIR"))</f>
        <v/>
      </c>
      <c r="H242" s="0" t="str">
        <f aca="false">IF(OR($A242="",$E242="",$F242=""),"",IF($E242&lt;=$F242,"KAZANDI","KAYBETTİ"))</f>
        <v/>
      </c>
    </row>
    <row r="243" customFormat="false" ht="15" hidden="false" customHeight="false" outlineLevel="0" collapsed="false">
      <c r="A243" s="23"/>
      <c r="B243" s="25"/>
      <c r="C243" s="26"/>
      <c r="D243" s="26"/>
      <c r="E243" s="26"/>
      <c r="F243" s="26"/>
      <c r="G243" s="0" t="str">
        <f aca="false">IF(OR($A243="",$E243="",$D243=""),"",IF($E243&lt;$D243,"EVET","HAYIR"))</f>
        <v/>
      </c>
      <c r="H243" s="0" t="str">
        <f aca="false">IF(OR($A243="",$E243="",$F243=""),"",IF($E243&lt;=$F243,"KAZANDI","KAYBETTİ"))</f>
        <v/>
      </c>
    </row>
    <row r="244" customFormat="false" ht="15" hidden="false" customHeight="false" outlineLevel="0" collapsed="false">
      <c r="A244" s="23"/>
      <c r="B244" s="25"/>
      <c r="C244" s="26"/>
      <c r="D244" s="26"/>
      <c r="E244" s="26"/>
      <c r="F244" s="26"/>
      <c r="G244" s="0" t="str">
        <f aca="false">IF(OR($A244="",$E244="",$D244=""),"",IF($E244&lt;$D244,"EVET","HAYIR"))</f>
        <v/>
      </c>
      <c r="H244" s="0" t="str">
        <f aca="false">IF(OR($A244="",$E244="",$F244=""),"",IF($E244&lt;=$F244,"KAZANDI","KAYBETTİ"))</f>
        <v/>
      </c>
    </row>
    <row r="245" customFormat="false" ht="15" hidden="false" customHeight="false" outlineLevel="0" collapsed="false">
      <c r="A245" s="23"/>
      <c r="B245" s="25"/>
      <c r="C245" s="26"/>
      <c r="D245" s="26"/>
      <c r="E245" s="26"/>
      <c r="F245" s="26"/>
      <c r="G245" s="0" t="str">
        <f aca="false">IF(OR($A245="",$E245="",$D245=""),"",IF($E245&lt;$D245,"EVET","HAYIR"))</f>
        <v/>
      </c>
      <c r="H245" s="0" t="str">
        <f aca="false">IF(OR($A245="",$E245="",$F245=""),"",IF($E245&lt;=$F245,"KAZANDI","KAYBETTİ"))</f>
        <v/>
      </c>
    </row>
    <row r="246" customFormat="false" ht="15" hidden="false" customHeight="false" outlineLevel="0" collapsed="false">
      <c r="A246" s="23"/>
      <c r="B246" s="25"/>
      <c r="C246" s="26"/>
      <c r="D246" s="26"/>
      <c r="E246" s="26"/>
      <c r="F246" s="26"/>
      <c r="G246" s="0" t="str">
        <f aca="false">IF(OR($A246="",$E246="",$D246=""),"",IF($E246&lt;$D246,"EVET","HAYIR"))</f>
        <v/>
      </c>
      <c r="H246" s="0" t="str">
        <f aca="false">IF(OR($A246="",$E246="",$F246=""),"",IF($E246&lt;=$F246,"KAZANDI","KAYBETTİ"))</f>
        <v/>
      </c>
    </row>
    <row r="247" customFormat="false" ht="15" hidden="false" customHeight="false" outlineLevel="0" collapsed="false">
      <c r="A247" s="23"/>
      <c r="B247" s="25"/>
      <c r="C247" s="26"/>
      <c r="D247" s="26"/>
      <c r="E247" s="26"/>
      <c r="F247" s="26"/>
      <c r="G247" s="0" t="str">
        <f aca="false">IF(OR($A247="",$E247="",$D247=""),"",IF($E247&lt;$D247,"EVET","HAYIR"))</f>
        <v/>
      </c>
      <c r="H247" s="0" t="str">
        <f aca="false">IF(OR($A247="",$E247="",$F247=""),"",IF($E247&lt;=$F247,"KAZANDI","KAYBETTİ"))</f>
        <v/>
      </c>
    </row>
    <row r="248" customFormat="false" ht="15" hidden="false" customHeight="false" outlineLevel="0" collapsed="false">
      <c r="A248" s="23"/>
      <c r="B248" s="25"/>
      <c r="C248" s="26"/>
      <c r="D248" s="26"/>
      <c r="E248" s="26"/>
      <c r="F248" s="26"/>
      <c r="G248" s="0" t="str">
        <f aca="false">IF(OR($A248="",$E248="",$D248=""),"",IF($E248&lt;$D248,"EVET","HAYIR"))</f>
        <v/>
      </c>
      <c r="H248" s="0" t="str">
        <f aca="false">IF(OR($A248="",$E248="",$F248=""),"",IF($E248&lt;=$F248,"KAZANDI","KAYBETTİ"))</f>
        <v/>
      </c>
    </row>
    <row r="249" customFormat="false" ht="15" hidden="false" customHeight="false" outlineLevel="0" collapsed="false">
      <c r="A249" s="23"/>
      <c r="B249" s="25"/>
      <c r="C249" s="26"/>
      <c r="D249" s="26"/>
      <c r="E249" s="26"/>
      <c r="F249" s="26"/>
      <c r="G249" s="0" t="str">
        <f aca="false">IF(OR($A249="",$E249="",$D249=""),"",IF($E249&lt;$D249,"EVET","HAYIR"))</f>
        <v/>
      </c>
      <c r="H249" s="0" t="str">
        <f aca="false">IF(OR($A249="",$E249="",$F249=""),"",IF($E249&lt;=$F249,"KAZANDI","KAYBETTİ"))</f>
        <v/>
      </c>
    </row>
    <row r="250" customFormat="false" ht="15" hidden="false" customHeight="false" outlineLevel="0" collapsed="false">
      <c r="A250" s="23"/>
      <c r="B250" s="25"/>
      <c r="C250" s="26"/>
      <c r="D250" s="26"/>
      <c r="E250" s="26"/>
      <c r="F250" s="26"/>
      <c r="G250" s="0" t="str">
        <f aca="false">IF(OR($A250="",$E250="",$D250=""),"",IF($E250&lt;$D250,"EVET","HAYIR"))</f>
        <v/>
      </c>
      <c r="H250" s="0" t="str">
        <f aca="false">IF(OR($A250="",$E250="",$F250=""),"",IF($E250&lt;=$F250,"KAZANDI","KAYBETTİ"))</f>
        <v/>
      </c>
    </row>
    <row r="251" customFormat="false" ht="15" hidden="false" customHeight="false" outlineLevel="0" collapsed="false">
      <c r="A251" s="23"/>
      <c r="B251" s="25"/>
      <c r="C251" s="26"/>
      <c r="D251" s="26"/>
      <c r="E251" s="26"/>
      <c r="F251" s="26"/>
      <c r="G251" s="0" t="str">
        <f aca="false">IF(OR($A251="",$E251="",$D251=""),"",IF($E251&lt;$D251,"EVET","HAYIR"))</f>
        <v/>
      </c>
      <c r="H251" s="0" t="str">
        <f aca="false">IF(OR($A251="",$E251="",$F251=""),"",IF($E251&lt;=$F251,"KAZANDI","KAYBETTİ"))</f>
        <v/>
      </c>
    </row>
    <row r="252" customFormat="false" ht="15" hidden="false" customHeight="false" outlineLevel="0" collapsed="false">
      <c r="A252" s="23"/>
      <c r="B252" s="25"/>
      <c r="C252" s="26"/>
      <c r="D252" s="26"/>
      <c r="E252" s="26"/>
      <c r="F252" s="26"/>
      <c r="G252" s="0" t="str">
        <f aca="false">IF(OR($A252="",$E252="",$D252=""),"",IF($E252&lt;$D252,"EVET","HAYIR"))</f>
        <v/>
      </c>
      <c r="H252" s="0" t="str">
        <f aca="false">IF(OR($A252="",$E252="",$F252=""),"",IF($E252&lt;=$F252,"KAZANDI","KAYBETTİ"))</f>
        <v/>
      </c>
    </row>
    <row r="253" customFormat="false" ht="15" hidden="false" customHeight="false" outlineLevel="0" collapsed="false">
      <c r="A253" s="23"/>
      <c r="B253" s="25"/>
      <c r="C253" s="26"/>
      <c r="D253" s="26"/>
      <c r="E253" s="26"/>
      <c r="F253" s="26"/>
      <c r="G253" s="0" t="str">
        <f aca="false">IF(OR($A253="",$E253="",$D253=""),"",IF($E253&lt;$D253,"EVET","HAYIR"))</f>
        <v/>
      </c>
      <c r="H253" s="0" t="str">
        <f aca="false">IF(OR($A253="",$E253="",$F253=""),"",IF($E253&lt;=$F253,"KAZANDI","KAYBETTİ"))</f>
        <v/>
      </c>
    </row>
    <row r="254" customFormat="false" ht="15" hidden="false" customHeight="false" outlineLevel="0" collapsed="false">
      <c r="A254" s="23"/>
      <c r="B254" s="25"/>
      <c r="C254" s="26"/>
      <c r="D254" s="26"/>
      <c r="E254" s="26"/>
      <c r="F254" s="26"/>
      <c r="G254" s="0" t="str">
        <f aca="false">IF(OR($A254="",$E254="",$D254=""),"",IF($E254&lt;$D254,"EVET","HAYIR"))</f>
        <v/>
      </c>
      <c r="H254" s="0" t="str">
        <f aca="false">IF(OR($A254="",$E254="",$F254=""),"",IF($E254&lt;=$F254,"KAZANDI","KAYBETTİ"))</f>
        <v/>
      </c>
    </row>
    <row r="255" customFormat="false" ht="15" hidden="false" customHeight="false" outlineLevel="0" collapsed="false">
      <c r="A255" s="23"/>
      <c r="B255" s="25"/>
      <c r="C255" s="26"/>
      <c r="D255" s="26"/>
      <c r="E255" s="26"/>
      <c r="F255" s="26"/>
      <c r="G255" s="0" t="str">
        <f aca="false">IF(OR($A255="",$E255="",$D255=""),"",IF($E255&lt;$D255,"EVET","HAYIR"))</f>
        <v/>
      </c>
      <c r="H255" s="0" t="str">
        <f aca="false">IF(OR($A255="",$E255="",$F255=""),"",IF($E255&lt;=$F255,"KAZANDI","KAYBETTİ"))</f>
        <v/>
      </c>
    </row>
    <row r="256" customFormat="false" ht="15" hidden="false" customHeight="false" outlineLevel="0" collapsed="false">
      <c r="A256" s="23"/>
      <c r="B256" s="25"/>
      <c r="C256" s="26"/>
      <c r="D256" s="26"/>
      <c r="E256" s="26"/>
      <c r="F256" s="26"/>
      <c r="G256" s="0" t="str">
        <f aca="false">IF(OR($A256="",$E256="",$D256=""),"",IF($E256&lt;$D256,"EVET","HAYIR"))</f>
        <v/>
      </c>
      <c r="H256" s="0" t="str">
        <f aca="false">IF(OR($A256="",$E256="",$F256=""),"",IF($E256&lt;=$F256,"KAZANDI","KAYBETTİ"))</f>
        <v/>
      </c>
    </row>
    <row r="257" customFormat="false" ht="15" hidden="false" customHeight="false" outlineLevel="0" collapsed="false">
      <c r="A257" s="23"/>
      <c r="B257" s="25"/>
      <c r="C257" s="26"/>
      <c r="D257" s="26"/>
      <c r="E257" s="26"/>
      <c r="F257" s="26"/>
      <c r="G257" s="0" t="str">
        <f aca="false">IF(OR($A257="",$E257="",$D257=""),"",IF($E257&lt;$D257,"EVET","HAYIR"))</f>
        <v/>
      </c>
      <c r="H257" s="0" t="str">
        <f aca="false">IF(OR($A257="",$E257="",$F257=""),"",IF($E257&lt;=$F257,"KAZANDI","KAYBETTİ"))</f>
        <v/>
      </c>
    </row>
    <row r="258" customFormat="false" ht="15" hidden="false" customHeight="false" outlineLevel="0" collapsed="false">
      <c r="A258" s="23"/>
      <c r="B258" s="25"/>
      <c r="C258" s="26"/>
      <c r="D258" s="26"/>
      <c r="E258" s="26"/>
      <c r="F258" s="26"/>
      <c r="G258" s="0" t="str">
        <f aca="false">IF(OR($A258="",$E258="",$D258=""),"",IF($E258&lt;$D258,"EVET","HAYIR"))</f>
        <v/>
      </c>
      <c r="H258" s="0" t="str">
        <f aca="false">IF(OR($A258="",$E258="",$F258=""),"",IF($E258&lt;=$F258,"KAZANDI","KAYBETTİ"))</f>
        <v/>
      </c>
    </row>
    <row r="259" customFormat="false" ht="15" hidden="false" customHeight="false" outlineLevel="0" collapsed="false">
      <c r="A259" s="23"/>
      <c r="B259" s="25"/>
      <c r="C259" s="26"/>
      <c r="D259" s="26"/>
      <c r="E259" s="26"/>
      <c r="F259" s="26"/>
      <c r="G259" s="0" t="str">
        <f aca="false">IF(OR($A259="",$E259="",$D259=""),"",IF($E259&lt;$D259,"EVET","HAYIR"))</f>
        <v/>
      </c>
      <c r="H259" s="0" t="str">
        <f aca="false">IF(OR($A259="",$E259="",$F259=""),"",IF($E259&lt;=$F259,"KAZANDI","KAYBETTİ"))</f>
        <v/>
      </c>
    </row>
    <row r="260" customFormat="false" ht="15" hidden="false" customHeight="false" outlineLevel="0" collapsed="false">
      <c r="A260" s="23"/>
      <c r="B260" s="25"/>
      <c r="C260" s="26"/>
      <c r="D260" s="26"/>
      <c r="E260" s="26"/>
      <c r="F260" s="26"/>
      <c r="G260" s="0" t="str">
        <f aca="false">IF(OR($A260="",$E260="",$D260=""),"",IF($E260&lt;$D260,"EVET","HAYIR"))</f>
        <v/>
      </c>
      <c r="H260" s="0" t="str">
        <f aca="false">IF(OR($A260="",$E260="",$F260=""),"",IF($E260&lt;=$F260,"KAZANDI","KAYBETTİ"))</f>
        <v/>
      </c>
    </row>
    <row r="261" customFormat="false" ht="15" hidden="false" customHeight="false" outlineLevel="0" collapsed="false">
      <c r="A261" s="23"/>
      <c r="B261" s="25"/>
      <c r="C261" s="26"/>
      <c r="D261" s="26"/>
      <c r="E261" s="26"/>
      <c r="F261" s="26"/>
      <c r="G261" s="0" t="str">
        <f aca="false">IF(OR($A261="",$E261="",$D261=""),"",IF($E261&lt;$D261,"EVET","HAYIR"))</f>
        <v/>
      </c>
      <c r="H261" s="0" t="str">
        <f aca="false">IF(OR($A261="",$E261="",$F261=""),"",IF($E261&lt;=$F261,"KAZANDI","KAYBETTİ"))</f>
        <v/>
      </c>
    </row>
    <row r="262" customFormat="false" ht="15" hidden="false" customHeight="false" outlineLevel="0" collapsed="false">
      <c r="A262" s="23"/>
      <c r="B262" s="25"/>
      <c r="C262" s="26"/>
      <c r="D262" s="26"/>
      <c r="E262" s="26"/>
      <c r="F262" s="26"/>
      <c r="G262" s="0" t="str">
        <f aca="false">IF(OR($A262="",$E262="",$D262=""),"",IF($E262&lt;$D262,"EVET","HAYIR"))</f>
        <v/>
      </c>
      <c r="H262" s="0" t="str">
        <f aca="false">IF(OR($A262="",$E262="",$F262=""),"",IF($E262&lt;=$F262,"KAZANDI","KAYBETTİ"))</f>
        <v/>
      </c>
    </row>
    <row r="263" customFormat="false" ht="15" hidden="false" customHeight="false" outlineLevel="0" collapsed="false">
      <c r="A263" s="23"/>
      <c r="B263" s="25"/>
      <c r="C263" s="26"/>
      <c r="D263" s="26"/>
      <c r="E263" s="26"/>
      <c r="F263" s="26"/>
      <c r="G263" s="0" t="str">
        <f aca="false">IF(OR($A263="",$E263="",$D263=""),"",IF($E263&lt;$D263,"EVET","HAYIR"))</f>
        <v/>
      </c>
      <c r="H263" s="0" t="str">
        <f aca="false">IF(OR($A263="",$E263="",$F263=""),"",IF($E263&lt;=$F263,"KAZANDI","KAYBETTİ"))</f>
        <v/>
      </c>
    </row>
    <row r="264" customFormat="false" ht="15" hidden="false" customHeight="false" outlineLevel="0" collapsed="false">
      <c r="A264" s="23"/>
      <c r="B264" s="25"/>
      <c r="C264" s="26"/>
      <c r="D264" s="26"/>
      <c r="E264" s="26"/>
      <c r="F264" s="26"/>
      <c r="G264" s="0" t="str">
        <f aca="false">IF(OR($A264="",$E264="",$D264=""),"",IF($E264&lt;$D264,"EVET","HAYIR"))</f>
        <v/>
      </c>
      <c r="H264" s="0" t="str">
        <f aca="false">IF(OR($A264="",$E264="",$F264=""),"",IF($E264&lt;=$F264,"KAZANDI","KAYBETTİ"))</f>
        <v/>
      </c>
    </row>
    <row r="265" customFormat="false" ht="15" hidden="false" customHeight="false" outlineLevel="0" collapsed="false">
      <c r="A265" s="23"/>
      <c r="B265" s="25"/>
      <c r="C265" s="26"/>
      <c r="D265" s="26"/>
      <c r="E265" s="26"/>
      <c r="F265" s="26"/>
      <c r="G265" s="0" t="str">
        <f aca="false">IF(OR($A265="",$E265="",$D265=""),"",IF($E265&lt;$D265,"EVET","HAYIR"))</f>
        <v/>
      </c>
      <c r="H265" s="0" t="str">
        <f aca="false">IF(OR($A265="",$E265="",$F265=""),"",IF($E265&lt;=$F265,"KAZANDI","KAYBETTİ"))</f>
        <v/>
      </c>
    </row>
    <row r="266" customFormat="false" ht="15" hidden="false" customHeight="false" outlineLevel="0" collapsed="false">
      <c r="A266" s="23"/>
      <c r="B266" s="25"/>
      <c r="C266" s="26"/>
      <c r="D266" s="26"/>
      <c r="E266" s="26"/>
      <c r="F266" s="26"/>
      <c r="G266" s="0" t="str">
        <f aca="false">IF(OR($A266="",$E266="",$D266=""),"",IF($E266&lt;$D266,"EVET","HAYIR"))</f>
        <v/>
      </c>
      <c r="H266" s="0" t="str">
        <f aca="false">IF(OR($A266="",$E266="",$F266=""),"",IF($E266&lt;=$F266,"KAZANDI","KAYBETTİ"))</f>
        <v/>
      </c>
    </row>
    <row r="267" customFormat="false" ht="15" hidden="false" customHeight="false" outlineLevel="0" collapsed="false">
      <c r="A267" s="23"/>
      <c r="B267" s="25"/>
      <c r="C267" s="26"/>
      <c r="D267" s="26"/>
      <c r="E267" s="26"/>
      <c r="F267" s="26"/>
      <c r="G267" s="0" t="str">
        <f aca="false">IF(OR($A267="",$E267="",$D267=""),"",IF($E267&lt;$D267,"EVET","HAYIR"))</f>
        <v/>
      </c>
      <c r="H267" s="0" t="str">
        <f aca="false">IF(OR($A267="",$E267="",$F267=""),"",IF($E267&lt;=$F267,"KAZANDI","KAYBETTİ"))</f>
        <v/>
      </c>
    </row>
    <row r="268" customFormat="false" ht="15" hidden="false" customHeight="false" outlineLevel="0" collapsed="false">
      <c r="A268" s="23"/>
      <c r="B268" s="25"/>
      <c r="C268" s="26"/>
      <c r="D268" s="26"/>
      <c r="E268" s="26"/>
      <c r="F268" s="26"/>
      <c r="G268" s="0" t="str">
        <f aca="false">IF(OR($A268="",$E268="",$D268=""),"",IF($E268&lt;$D268,"EVET","HAYIR"))</f>
        <v/>
      </c>
      <c r="H268" s="0" t="str">
        <f aca="false">IF(OR($A268="",$E268="",$F268=""),"",IF($E268&lt;=$F268,"KAZANDI","KAYBETTİ"))</f>
        <v/>
      </c>
    </row>
    <row r="269" customFormat="false" ht="15" hidden="false" customHeight="false" outlineLevel="0" collapsed="false">
      <c r="A269" s="23"/>
      <c r="B269" s="25"/>
      <c r="C269" s="26"/>
      <c r="D269" s="26"/>
      <c r="E269" s="26"/>
      <c r="F269" s="26"/>
      <c r="G269" s="0" t="str">
        <f aca="false">IF(OR($A269="",$E269="",$D269=""),"",IF($E269&lt;$D269,"EVET","HAYIR"))</f>
        <v/>
      </c>
      <c r="H269" s="0" t="str">
        <f aca="false">IF(OR($A269="",$E269="",$F269=""),"",IF($E269&lt;=$F269,"KAZANDI","KAYBETTİ"))</f>
        <v/>
      </c>
    </row>
    <row r="270" customFormat="false" ht="15" hidden="false" customHeight="false" outlineLevel="0" collapsed="false">
      <c r="A270" s="23"/>
      <c r="B270" s="25"/>
      <c r="C270" s="26"/>
      <c r="D270" s="26"/>
      <c r="E270" s="26"/>
      <c r="F270" s="26"/>
      <c r="G270" s="0" t="str">
        <f aca="false">IF(OR($A270="",$E270="",$D270=""),"",IF($E270&lt;$D270,"EVET","HAYIR"))</f>
        <v/>
      </c>
      <c r="H270" s="0" t="str">
        <f aca="false">IF(OR($A270="",$E270="",$F270=""),"",IF($E270&lt;=$F270,"KAZANDI","KAYBETTİ"))</f>
        <v/>
      </c>
    </row>
    <row r="271" customFormat="false" ht="15" hidden="false" customHeight="false" outlineLevel="0" collapsed="false">
      <c r="A271" s="23"/>
      <c r="B271" s="25"/>
      <c r="C271" s="26"/>
      <c r="D271" s="26"/>
      <c r="E271" s="26"/>
      <c r="F271" s="26"/>
      <c r="G271" s="0" t="str">
        <f aca="false">IF(OR($A271="",$E271="",$D271=""),"",IF($E271&lt;$D271,"EVET","HAYIR"))</f>
        <v/>
      </c>
      <c r="H271" s="0" t="str">
        <f aca="false">IF(OR($A271="",$E271="",$F271=""),"",IF($E271&lt;=$F271,"KAZANDI","KAYBETTİ"))</f>
        <v/>
      </c>
    </row>
    <row r="272" customFormat="false" ht="15" hidden="false" customHeight="false" outlineLevel="0" collapsed="false">
      <c r="A272" s="23"/>
      <c r="B272" s="25"/>
      <c r="C272" s="26"/>
      <c r="D272" s="26"/>
      <c r="E272" s="26"/>
      <c r="F272" s="26"/>
      <c r="G272" s="0" t="str">
        <f aca="false">IF(OR($A272="",$E272="",$D272=""),"",IF($E272&lt;$D272,"EVET","HAYIR"))</f>
        <v/>
      </c>
      <c r="H272" s="0" t="str">
        <f aca="false">IF(OR($A272="",$E272="",$F272=""),"",IF($E272&lt;=$F272,"KAZANDI","KAYBETTİ"))</f>
        <v/>
      </c>
    </row>
    <row r="273" customFormat="false" ht="15" hidden="false" customHeight="false" outlineLevel="0" collapsed="false">
      <c r="A273" s="23"/>
      <c r="B273" s="25"/>
      <c r="C273" s="26"/>
      <c r="D273" s="26"/>
      <c r="E273" s="26"/>
      <c r="F273" s="26"/>
      <c r="G273" s="0" t="str">
        <f aca="false">IF(OR($A273="",$E273="",$D273=""),"",IF($E273&lt;$D273,"EVET","HAYIR"))</f>
        <v/>
      </c>
      <c r="H273" s="0" t="str">
        <f aca="false">IF(OR($A273="",$E273="",$F273=""),"",IF($E273&lt;=$F273,"KAZANDI","KAYBETTİ"))</f>
        <v/>
      </c>
    </row>
    <row r="274" customFormat="false" ht="15" hidden="false" customHeight="false" outlineLevel="0" collapsed="false">
      <c r="A274" s="23"/>
      <c r="B274" s="25"/>
      <c r="C274" s="26"/>
      <c r="D274" s="26"/>
      <c r="E274" s="26"/>
      <c r="F274" s="26"/>
      <c r="G274" s="0" t="str">
        <f aca="false">IF(OR($A274="",$E274="",$D274=""),"",IF($E274&lt;$D274,"EVET","HAYIR"))</f>
        <v/>
      </c>
      <c r="H274" s="0" t="str">
        <f aca="false">IF(OR($A274="",$E274="",$F274=""),"",IF($E274&lt;=$F274,"KAZANDI","KAYBETTİ"))</f>
        <v/>
      </c>
    </row>
    <row r="275" customFormat="false" ht="15" hidden="false" customHeight="false" outlineLevel="0" collapsed="false">
      <c r="A275" s="23"/>
      <c r="B275" s="25"/>
      <c r="C275" s="26"/>
      <c r="D275" s="26"/>
      <c r="E275" s="26"/>
      <c r="F275" s="26"/>
      <c r="G275" s="0" t="str">
        <f aca="false">IF(OR($A275="",$E275="",$D275=""),"",IF($E275&lt;$D275,"EVET","HAYIR"))</f>
        <v/>
      </c>
      <c r="H275" s="0" t="str">
        <f aca="false">IF(OR($A275="",$E275="",$F275=""),"",IF($E275&lt;=$F275,"KAZANDI","KAYBETTİ"))</f>
        <v/>
      </c>
    </row>
    <row r="276" customFormat="false" ht="15" hidden="false" customHeight="false" outlineLevel="0" collapsed="false">
      <c r="A276" s="23"/>
      <c r="B276" s="25"/>
      <c r="C276" s="26"/>
      <c r="D276" s="26"/>
      <c r="E276" s="26"/>
      <c r="F276" s="26"/>
      <c r="G276" s="0" t="str">
        <f aca="false">IF(OR($A276="",$E276="",$D276=""),"",IF($E276&lt;$D276,"EVET","HAYIR"))</f>
        <v/>
      </c>
      <c r="H276" s="0" t="str">
        <f aca="false">IF(OR($A276="",$E276="",$F276=""),"",IF($E276&lt;=$F276,"KAZANDI","KAYBETTİ"))</f>
        <v/>
      </c>
    </row>
    <row r="277" customFormat="false" ht="15" hidden="false" customHeight="false" outlineLevel="0" collapsed="false">
      <c r="A277" s="23"/>
      <c r="B277" s="25"/>
      <c r="C277" s="26"/>
      <c r="D277" s="26"/>
      <c r="E277" s="26"/>
      <c r="F277" s="26"/>
      <c r="G277" s="0" t="str">
        <f aca="false">IF(OR($A277="",$E277="",$D277=""),"",IF($E277&lt;$D277,"EVET","HAYIR"))</f>
        <v/>
      </c>
      <c r="H277" s="0" t="str">
        <f aca="false">IF(OR($A277="",$E277="",$F277=""),"",IF($E277&lt;=$F277,"KAZANDI","KAYBETTİ"))</f>
        <v/>
      </c>
    </row>
    <row r="278" customFormat="false" ht="15" hidden="false" customHeight="false" outlineLevel="0" collapsed="false">
      <c r="A278" s="23"/>
      <c r="B278" s="25"/>
      <c r="C278" s="26"/>
      <c r="D278" s="26"/>
      <c r="E278" s="26"/>
      <c r="F278" s="26"/>
      <c r="G278" s="0" t="str">
        <f aca="false">IF(OR($A278="",$E278="",$D278=""),"",IF($E278&lt;$D278,"EVET","HAYIR"))</f>
        <v/>
      </c>
      <c r="H278" s="0" t="str">
        <f aca="false">IF(OR($A278="",$E278="",$F278=""),"",IF($E278&lt;=$F278,"KAZANDI","KAYBETTİ"))</f>
        <v/>
      </c>
    </row>
    <row r="279" customFormat="false" ht="15" hidden="false" customHeight="false" outlineLevel="0" collapsed="false">
      <c r="A279" s="23"/>
      <c r="B279" s="25"/>
      <c r="C279" s="26"/>
      <c r="D279" s="26"/>
      <c r="E279" s="26"/>
      <c r="F279" s="26"/>
      <c r="G279" s="0" t="str">
        <f aca="false">IF(OR($A279="",$E279="",$D279=""),"",IF($E279&lt;$D279,"EVET","HAYIR"))</f>
        <v/>
      </c>
      <c r="H279" s="0" t="str">
        <f aca="false">IF(OR($A279="",$E279="",$F279=""),"",IF($E279&lt;=$F279,"KAZANDI","KAYBETTİ"))</f>
        <v/>
      </c>
    </row>
    <row r="280" customFormat="false" ht="15" hidden="false" customHeight="false" outlineLevel="0" collapsed="false">
      <c r="A280" s="23"/>
      <c r="B280" s="25"/>
      <c r="C280" s="26"/>
      <c r="D280" s="26"/>
      <c r="E280" s="26"/>
      <c r="F280" s="26"/>
      <c r="G280" s="0" t="str">
        <f aca="false">IF(OR($A280="",$E280="",$D280=""),"",IF($E280&lt;$D280,"EVET","HAYIR"))</f>
        <v/>
      </c>
      <c r="H280" s="0" t="str">
        <f aca="false">IF(OR($A280="",$E280="",$F280=""),"",IF($E280&lt;=$F280,"KAZANDI","KAYBETTİ"))</f>
        <v/>
      </c>
    </row>
    <row r="281" customFormat="false" ht="15" hidden="false" customHeight="false" outlineLevel="0" collapsed="false">
      <c r="A281" s="23"/>
      <c r="B281" s="25"/>
      <c r="C281" s="26"/>
      <c r="D281" s="26"/>
      <c r="E281" s="26"/>
      <c r="F281" s="26"/>
      <c r="G281" s="0" t="str">
        <f aca="false">IF(OR($A281="",$E281="",$D281=""),"",IF($E281&lt;$D281,"EVET","HAYIR"))</f>
        <v/>
      </c>
      <c r="H281" s="0" t="str">
        <f aca="false">IF(OR($A281="",$E281="",$F281=""),"",IF($E281&lt;=$F281,"KAZANDI","KAYBETTİ"))</f>
        <v/>
      </c>
    </row>
    <row r="282" customFormat="false" ht="15" hidden="false" customHeight="false" outlineLevel="0" collapsed="false">
      <c r="A282" s="23"/>
      <c r="B282" s="25"/>
      <c r="C282" s="26"/>
      <c r="D282" s="26"/>
      <c r="E282" s="26"/>
      <c r="F282" s="26"/>
      <c r="G282" s="0" t="str">
        <f aca="false">IF(OR($A282="",$E282="",$D282=""),"",IF($E282&lt;$D282,"EVET","HAYIR"))</f>
        <v/>
      </c>
      <c r="H282" s="0" t="str">
        <f aca="false">IF(OR($A282="",$E282="",$F282=""),"",IF($E282&lt;=$F282,"KAZANDI","KAYBETTİ"))</f>
        <v/>
      </c>
    </row>
    <row r="283" customFormat="false" ht="15" hidden="false" customHeight="false" outlineLevel="0" collapsed="false">
      <c r="A283" s="23"/>
      <c r="B283" s="25"/>
      <c r="C283" s="26"/>
      <c r="D283" s="26"/>
      <c r="E283" s="26"/>
      <c r="F283" s="26"/>
      <c r="G283" s="0" t="str">
        <f aca="false">IF(OR($A283="",$E283="",$D283=""),"",IF($E283&lt;$D283,"EVET","HAYIR"))</f>
        <v/>
      </c>
      <c r="H283" s="0" t="str">
        <f aca="false">IF(OR($A283="",$E283="",$F283=""),"",IF($E283&lt;=$F283,"KAZANDI","KAYBETTİ"))</f>
        <v/>
      </c>
    </row>
    <row r="284" customFormat="false" ht="15" hidden="false" customHeight="false" outlineLevel="0" collapsed="false">
      <c r="A284" s="23"/>
      <c r="B284" s="25"/>
      <c r="C284" s="26"/>
      <c r="D284" s="26"/>
      <c r="E284" s="26"/>
      <c r="F284" s="26"/>
      <c r="G284" s="0" t="str">
        <f aca="false">IF(OR($A284="",$E284="",$D284=""),"",IF($E284&lt;$D284,"EVET","HAYIR"))</f>
        <v/>
      </c>
      <c r="H284" s="0" t="str">
        <f aca="false">IF(OR($A284="",$E284="",$F284=""),"",IF($E284&lt;=$F284,"KAZANDI","KAYBETTİ"))</f>
        <v/>
      </c>
    </row>
    <row r="285" customFormat="false" ht="15" hidden="false" customHeight="false" outlineLevel="0" collapsed="false">
      <c r="A285" s="23"/>
      <c r="B285" s="25"/>
      <c r="C285" s="26"/>
      <c r="D285" s="26"/>
      <c r="E285" s="26"/>
      <c r="F285" s="26"/>
      <c r="G285" s="0" t="str">
        <f aca="false">IF(OR($A285="",$E285="",$D285=""),"",IF($E285&lt;$D285,"EVET","HAYIR"))</f>
        <v/>
      </c>
      <c r="H285" s="0" t="str">
        <f aca="false">IF(OR($A285="",$E285="",$F285=""),"",IF($E285&lt;=$F285,"KAZANDI","KAYBETTİ"))</f>
        <v/>
      </c>
    </row>
    <row r="286" customFormat="false" ht="15" hidden="false" customHeight="false" outlineLevel="0" collapsed="false">
      <c r="A286" s="23"/>
      <c r="B286" s="25"/>
      <c r="C286" s="26"/>
      <c r="D286" s="26"/>
      <c r="E286" s="26"/>
      <c r="F286" s="26"/>
      <c r="G286" s="0" t="str">
        <f aca="false">IF(OR($A286="",$E286="",$D286=""),"",IF($E286&lt;$D286,"EVET","HAYIR"))</f>
        <v/>
      </c>
      <c r="H286" s="0" t="str">
        <f aca="false">IF(OR($A286="",$E286="",$F286=""),"",IF($E286&lt;=$F286,"KAZANDI","KAYBETTİ"))</f>
        <v/>
      </c>
    </row>
    <row r="287" customFormat="false" ht="15" hidden="false" customHeight="false" outlineLevel="0" collapsed="false">
      <c r="A287" s="23"/>
      <c r="B287" s="25"/>
      <c r="C287" s="26"/>
      <c r="D287" s="26"/>
      <c r="E287" s="26"/>
      <c r="F287" s="26"/>
      <c r="G287" s="0" t="str">
        <f aca="false">IF(OR($A287="",$E287="",$D287=""),"",IF($E287&lt;$D287,"EVET","HAYIR"))</f>
        <v/>
      </c>
      <c r="H287" s="0" t="str">
        <f aca="false">IF(OR($A287="",$E287="",$F287=""),"",IF($E287&lt;=$F287,"KAZANDI","KAYBETTİ"))</f>
        <v/>
      </c>
    </row>
    <row r="288" customFormat="false" ht="15" hidden="false" customHeight="false" outlineLevel="0" collapsed="false">
      <c r="A288" s="23"/>
      <c r="B288" s="25"/>
      <c r="C288" s="26"/>
      <c r="D288" s="26"/>
      <c r="E288" s="26"/>
      <c r="F288" s="26"/>
      <c r="G288" s="0" t="str">
        <f aca="false">IF(OR($A288="",$E288="",$D288=""),"",IF($E288&lt;$D288,"EVET","HAYIR"))</f>
        <v/>
      </c>
      <c r="H288" s="0" t="str">
        <f aca="false">IF(OR($A288="",$E288="",$F288=""),"",IF($E288&lt;=$F288,"KAZANDI","KAYBETTİ"))</f>
        <v/>
      </c>
    </row>
    <row r="289" customFormat="false" ht="15" hidden="false" customHeight="false" outlineLevel="0" collapsed="false">
      <c r="A289" s="23"/>
      <c r="B289" s="25"/>
      <c r="C289" s="26"/>
      <c r="D289" s="26"/>
      <c r="E289" s="26"/>
      <c r="F289" s="26"/>
      <c r="G289" s="0" t="str">
        <f aca="false">IF(OR($A289="",$E289="",$D289=""),"",IF($E289&lt;$D289,"EVET","HAYIR"))</f>
        <v/>
      </c>
      <c r="H289" s="0" t="str">
        <f aca="false">IF(OR($A289="",$E289="",$F289=""),"",IF($E289&lt;=$F289,"KAZANDI","KAYBETTİ"))</f>
        <v/>
      </c>
    </row>
    <row r="290" customFormat="false" ht="15" hidden="false" customHeight="false" outlineLevel="0" collapsed="false">
      <c r="A290" s="23"/>
      <c r="B290" s="25"/>
      <c r="C290" s="26"/>
      <c r="D290" s="26"/>
      <c r="E290" s="26"/>
      <c r="F290" s="26"/>
      <c r="G290" s="0" t="str">
        <f aca="false">IF(OR($A290="",$E290="",$D290=""),"",IF($E290&lt;$D290,"EVET","HAYIR"))</f>
        <v/>
      </c>
      <c r="H290" s="0" t="str">
        <f aca="false">IF(OR($A290="",$E290="",$F290=""),"",IF($E290&lt;=$F290,"KAZANDI","KAYBETTİ"))</f>
        <v/>
      </c>
    </row>
    <row r="291" customFormat="false" ht="15" hidden="false" customHeight="false" outlineLevel="0" collapsed="false">
      <c r="A291" s="23"/>
      <c r="B291" s="25"/>
      <c r="C291" s="26"/>
      <c r="D291" s="26"/>
      <c r="E291" s="26"/>
      <c r="F291" s="26"/>
      <c r="G291" s="0" t="str">
        <f aca="false">IF(OR($A291="",$E291="",$D291=""),"",IF($E291&lt;$D291,"EVET","HAYIR"))</f>
        <v/>
      </c>
      <c r="H291" s="0" t="str">
        <f aca="false">IF(OR($A291="",$E291="",$F291=""),"",IF($E291&lt;=$F291,"KAZANDI","KAYBETTİ"))</f>
        <v/>
      </c>
    </row>
    <row r="292" customFormat="false" ht="15" hidden="false" customHeight="false" outlineLevel="0" collapsed="false">
      <c r="A292" s="23"/>
      <c r="B292" s="25"/>
      <c r="C292" s="26"/>
      <c r="D292" s="26"/>
      <c r="E292" s="26"/>
      <c r="F292" s="26"/>
      <c r="G292" s="0" t="str">
        <f aca="false">IF(OR($A292="",$E292="",$D292=""),"",IF($E292&lt;$D292,"EVET","HAYIR"))</f>
        <v/>
      </c>
      <c r="H292" s="0" t="str">
        <f aca="false">IF(OR($A292="",$E292="",$F292=""),"",IF($E292&lt;=$F292,"KAZANDI","KAYBETTİ"))</f>
        <v/>
      </c>
    </row>
    <row r="293" customFormat="false" ht="15" hidden="false" customHeight="false" outlineLevel="0" collapsed="false">
      <c r="A293" s="23"/>
      <c r="B293" s="25"/>
      <c r="C293" s="26"/>
      <c r="D293" s="26"/>
      <c r="E293" s="26"/>
      <c r="F293" s="26"/>
      <c r="G293" s="0" t="str">
        <f aca="false">IF(OR($A293="",$E293="",$D293=""),"",IF($E293&lt;$D293,"EVET","HAYIR"))</f>
        <v/>
      </c>
      <c r="H293" s="0" t="str">
        <f aca="false">IF(OR($A293="",$E293="",$F293=""),"",IF($E293&lt;=$F293,"KAZANDI","KAYBETTİ"))</f>
        <v/>
      </c>
    </row>
    <row r="294" customFormat="false" ht="15" hidden="false" customHeight="false" outlineLevel="0" collapsed="false">
      <c r="A294" s="23"/>
      <c r="B294" s="25"/>
      <c r="C294" s="26"/>
      <c r="D294" s="26"/>
      <c r="E294" s="26"/>
      <c r="F294" s="26"/>
      <c r="G294" s="0" t="str">
        <f aca="false">IF(OR($A294="",$E294="",$D294=""),"",IF($E294&lt;$D294,"EVET","HAYIR"))</f>
        <v/>
      </c>
      <c r="H294" s="0" t="str">
        <f aca="false">IF(OR($A294="",$E294="",$F294=""),"",IF($E294&lt;=$F294,"KAZANDI","KAYBETTİ"))</f>
        <v/>
      </c>
    </row>
    <row r="295" customFormat="false" ht="15" hidden="false" customHeight="false" outlineLevel="0" collapsed="false">
      <c r="A295" s="23"/>
      <c r="B295" s="25"/>
      <c r="C295" s="26"/>
      <c r="D295" s="26"/>
      <c r="E295" s="26"/>
      <c r="F295" s="26"/>
      <c r="G295" s="0" t="str">
        <f aca="false">IF(OR($A295="",$E295="",$D295=""),"",IF($E295&lt;$D295,"EVET","HAYIR"))</f>
        <v/>
      </c>
      <c r="H295" s="0" t="str">
        <f aca="false">IF(OR($A295="",$E295="",$F295=""),"",IF($E295&lt;=$F295,"KAZANDI","KAYBETTİ"))</f>
        <v/>
      </c>
    </row>
    <row r="296" customFormat="false" ht="15" hidden="false" customHeight="false" outlineLevel="0" collapsed="false">
      <c r="A296" s="23"/>
      <c r="B296" s="25"/>
      <c r="C296" s="26"/>
      <c r="D296" s="26"/>
      <c r="E296" s="26"/>
      <c r="F296" s="26"/>
      <c r="G296" s="0" t="str">
        <f aca="false">IF(OR($A296="",$E296="",$D296=""),"",IF($E296&lt;$D296,"EVET","HAYIR"))</f>
        <v/>
      </c>
      <c r="H296" s="0" t="str">
        <f aca="false">IF(OR($A296="",$E296="",$F296=""),"",IF($E296&lt;=$F296,"KAZANDI","KAYBETTİ"))</f>
        <v/>
      </c>
    </row>
    <row r="297" customFormat="false" ht="15" hidden="false" customHeight="false" outlineLevel="0" collapsed="false">
      <c r="A297" s="23"/>
      <c r="B297" s="25"/>
      <c r="C297" s="26"/>
      <c r="D297" s="26"/>
      <c r="E297" s="26"/>
      <c r="F297" s="26"/>
      <c r="G297" s="0" t="str">
        <f aca="false">IF(OR($A297="",$E297="",$D297=""),"",IF($E297&lt;$D297,"EVET","HAYIR"))</f>
        <v/>
      </c>
      <c r="H297" s="0" t="str">
        <f aca="false">IF(OR($A297="",$E297="",$F297=""),"",IF($E297&lt;=$F297,"KAZANDI","KAYBETTİ"))</f>
        <v/>
      </c>
    </row>
    <row r="298" customFormat="false" ht="15" hidden="false" customHeight="false" outlineLevel="0" collapsed="false">
      <c r="A298" s="23"/>
      <c r="B298" s="25"/>
      <c r="C298" s="26"/>
      <c r="D298" s="26"/>
      <c r="E298" s="26"/>
      <c r="F298" s="26"/>
      <c r="G298" s="0" t="str">
        <f aca="false">IF(OR($A298="",$E298="",$D298=""),"",IF($E298&lt;$D298,"EVET","HAYIR"))</f>
        <v/>
      </c>
      <c r="H298" s="0" t="str">
        <f aca="false">IF(OR($A298="",$E298="",$F298=""),"",IF($E298&lt;=$F298,"KAZANDI","KAYBETTİ"))</f>
        <v/>
      </c>
    </row>
    <row r="299" customFormat="false" ht="15" hidden="false" customHeight="false" outlineLevel="0" collapsed="false">
      <c r="A299" s="23"/>
      <c r="B299" s="25"/>
      <c r="C299" s="26"/>
      <c r="D299" s="26"/>
      <c r="E299" s="26"/>
      <c r="F299" s="26"/>
      <c r="G299" s="0" t="str">
        <f aca="false">IF(OR($A299="",$E299="",$D299=""),"",IF($E299&lt;$D299,"EVET","HAYIR"))</f>
        <v/>
      </c>
      <c r="H299" s="0" t="str">
        <f aca="false">IF(OR($A299="",$E299="",$F299=""),"",IF($E299&lt;=$F299,"KAZANDI","KAYBETTİ"))</f>
        <v/>
      </c>
    </row>
    <row r="300" customFormat="false" ht="15" hidden="false" customHeight="false" outlineLevel="0" collapsed="false">
      <c r="A300" s="23"/>
      <c r="B300" s="25"/>
      <c r="C300" s="26"/>
      <c r="D300" s="26"/>
      <c r="E300" s="26"/>
      <c r="F300" s="26"/>
      <c r="G300" s="0" t="str">
        <f aca="false">IF(OR($A300="",$E300="",$D300=""),"",IF($E300&lt;$D300,"EVET","HAYIR"))</f>
        <v/>
      </c>
      <c r="H300" s="0" t="str">
        <f aca="false">IF(OR($A300="",$E300="",$F300=""),"",IF($E300&lt;=$F300,"KAZANDI","KAYBETTİ"))</f>
        <v/>
      </c>
    </row>
    <row r="301" customFormat="false" ht="15" hidden="false" customHeight="false" outlineLevel="0" collapsed="false">
      <c r="A301" s="23"/>
      <c r="B301" s="25"/>
      <c r="C301" s="26"/>
      <c r="D301" s="26"/>
      <c r="E301" s="26"/>
      <c r="F301" s="26"/>
      <c r="G301" s="0" t="str">
        <f aca="false">IF(OR($A301="",$E301="",$D301=""),"",IF($E301&lt;$D301,"EVET","HAYIR"))</f>
        <v/>
      </c>
      <c r="H301" s="0" t="str">
        <f aca="false">IF(OR($A301="",$E301="",$F301=""),"",IF($E301&lt;=$F301,"KAZANDI","KAYBETTİ"))</f>
        <v/>
      </c>
    </row>
    <row r="302" customFormat="false" ht="15" hidden="false" customHeight="false" outlineLevel="0" collapsed="false">
      <c r="A302" s="23"/>
      <c r="B302" s="25"/>
      <c r="C302" s="26"/>
      <c r="D302" s="26"/>
      <c r="E302" s="26"/>
      <c r="F302" s="26"/>
      <c r="G302" s="0" t="str">
        <f aca="false">IF(OR($A302="",$E302="",$D302=""),"",IF($E302&lt;$D302,"EVET","HAYIR"))</f>
        <v/>
      </c>
      <c r="H302" s="0" t="str">
        <f aca="false">IF(OR($A302="",$E302="",$F302=""),"",IF($E302&lt;=$F302,"KAZANDI","KAYBETTİ"))</f>
        <v/>
      </c>
    </row>
    <row r="303" customFormat="false" ht="15" hidden="false" customHeight="false" outlineLevel="0" collapsed="false">
      <c r="A303" s="23"/>
      <c r="B303" s="25"/>
      <c r="C303" s="26"/>
      <c r="D303" s="26"/>
      <c r="E303" s="26"/>
      <c r="F303" s="26"/>
      <c r="G303" s="0" t="str">
        <f aca="false">IF(OR($A303="",$E303="",$D303=""),"",IF($E303&lt;$D303,"EVET","HAYIR"))</f>
        <v/>
      </c>
      <c r="H303" s="0" t="str">
        <f aca="false">IF(OR($A303="",$E303="",$F303=""),"",IF($E303&lt;=$F303,"KAZANDI","KAYBETTİ"))</f>
        <v/>
      </c>
    </row>
    <row r="304" customFormat="false" ht="15" hidden="false" customHeight="false" outlineLevel="0" collapsed="false">
      <c r="A304" s="23"/>
      <c r="B304" s="25"/>
      <c r="C304" s="26"/>
      <c r="D304" s="26"/>
      <c r="E304" s="26"/>
      <c r="F304" s="26"/>
      <c r="G304" s="0" t="str">
        <f aca="false">IF(OR($A304="",$E304="",$D304=""),"",IF($E304&lt;$D304,"EVET","HAYIR"))</f>
        <v/>
      </c>
      <c r="H304" s="0" t="str">
        <f aca="false">IF(OR($A304="",$E304="",$F304=""),"",IF($E304&lt;=$F304,"KAZANDI","KAYBETTİ"))</f>
        <v/>
      </c>
    </row>
    <row r="305" customFormat="false" ht="15" hidden="false" customHeight="false" outlineLevel="0" collapsed="false">
      <c r="A305" s="23"/>
      <c r="B305" s="25"/>
      <c r="C305" s="26"/>
      <c r="D305" s="26"/>
      <c r="E305" s="26"/>
      <c r="F305" s="26"/>
      <c r="G305" s="0" t="str">
        <f aca="false">IF(OR($A305="",$E305="",$D305=""),"",IF($E305&lt;$D305,"EVET","HAYIR"))</f>
        <v/>
      </c>
      <c r="H305" s="0" t="str">
        <f aca="false">IF(OR($A305="",$E305="",$F305=""),"",IF($E305&lt;=$F305,"KAZANDI","KAYBETTİ"))</f>
        <v/>
      </c>
    </row>
    <row r="306" customFormat="false" ht="15" hidden="false" customHeight="false" outlineLevel="0" collapsed="false">
      <c r="A306" s="23"/>
      <c r="B306" s="25"/>
      <c r="C306" s="26"/>
      <c r="D306" s="26"/>
      <c r="E306" s="26"/>
      <c r="F306" s="26"/>
      <c r="G306" s="0" t="str">
        <f aca="false">IF(OR($A306="",$E306="",$D306=""),"",IF($E306&lt;$D306,"EVET","HAYIR"))</f>
        <v/>
      </c>
      <c r="H306" s="0" t="str">
        <f aca="false">IF(OR($A306="",$E306="",$F306=""),"",IF($E306&lt;=$F306,"KAZANDI","KAYBETTİ"))</f>
        <v/>
      </c>
    </row>
    <row r="307" customFormat="false" ht="15" hidden="false" customHeight="false" outlineLevel="0" collapsed="false">
      <c r="A307" s="23"/>
      <c r="B307" s="25"/>
      <c r="C307" s="26"/>
      <c r="D307" s="26"/>
      <c r="E307" s="26"/>
      <c r="F307" s="26"/>
      <c r="G307" s="0" t="str">
        <f aca="false">IF(OR($A307="",$E307="",$D307=""),"",IF($E307&lt;$D307,"EVET","HAYIR"))</f>
        <v/>
      </c>
      <c r="H307" s="0" t="str">
        <f aca="false">IF(OR($A307="",$E307="",$F307=""),"",IF($E307&lt;=$F307,"KAZANDI","KAYBETTİ"))</f>
        <v/>
      </c>
    </row>
    <row r="308" customFormat="false" ht="15" hidden="false" customHeight="false" outlineLevel="0" collapsed="false">
      <c r="A308" s="23"/>
      <c r="B308" s="25"/>
      <c r="C308" s="26"/>
      <c r="D308" s="26"/>
      <c r="E308" s="26"/>
      <c r="F308" s="26"/>
      <c r="G308" s="0" t="str">
        <f aca="false">IF(OR($A308="",$E308="",$D308=""),"",IF($E308&lt;$D308,"EVET","HAYIR"))</f>
        <v/>
      </c>
      <c r="H308" s="0" t="str">
        <f aca="false">IF(OR($A308="",$E308="",$F308=""),"",IF($E308&lt;=$F308,"KAZANDI","KAYBETTİ"))</f>
        <v/>
      </c>
    </row>
    <row r="309" customFormat="false" ht="15" hidden="false" customHeight="false" outlineLevel="0" collapsed="false">
      <c r="A309" s="23"/>
      <c r="B309" s="25"/>
      <c r="C309" s="26"/>
      <c r="D309" s="26"/>
      <c r="E309" s="26"/>
      <c r="F309" s="26"/>
      <c r="G309" s="0" t="str">
        <f aca="false">IF(OR($A309="",$E309="",$D309=""),"",IF($E309&lt;$D309,"EVET","HAYIR"))</f>
        <v/>
      </c>
      <c r="H309" s="0" t="str">
        <f aca="false">IF(OR($A309="",$E309="",$F309=""),"",IF($E309&lt;=$F309,"KAZANDI","KAYBETTİ"))</f>
        <v/>
      </c>
    </row>
    <row r="310" customFormat="false" ht="15" hidden="false" customHeight="false" outlineLevel="0" collapsed="false">
      <c r="A310" s="23"/>
      <c r="B310" s="25"/>
      <c r="C310" s="26"/>
      <c r="D310" s="26"/>
      <c r="E310" s="26"/>
      <c r="F310" s="26"/>
      <c r="G310" s="0" t="str">
        <f aca="false">IF(OR($A310="",$E310="",$D310=""),"",IF($E310&lt;$D310,"EVET","HAYIR"))</f>
        <v/>
      </c>
      <c r="H310" s="0" t="str">
        <f aca="false">IF(OR($A310="",$E310="",$F310=""),"",IF($E310&lt;=$F310,"KAZANDI","KAYBETTİ"))</f>
        <v/>
      </c>
    </row>
    <row r="311" customFormat="false" ht="15" hidden="false" customHeight="false" outlineLevel="0" collapsed="false">
      <c r="A311" s="23"/>
      <c r="B311" s="25"/>
      <c r="C311" s="26"/>
      <c r="D311" s="26"/>
      <c r="E311" s="26"/>
      <c r="F311" s="26"/>
      <c r="G311" s="0" t="str">
        <f aca="false">IF(OR($A311="",$E311="",$D311=""),"",IF($E311&lt;$D311,"EVET","HAYIR"))</f>
        <v/>
      </c>
      <c r="H311" s="0" t="str">
        <f aca="false">IF(OR($A311="",$E311="",$F311=""),"",IF($E311&lt;=$F311,"KAZANDI","KAYBETTİ"))</f>
        <v/>
      </c>
    </row>
    <row r="312" customFormat="false" ht="15" hidden="false" customHeight="false" outlineLevel="0" collapsed="false">
      <c r="A312" s="23"/>
      <c r="B312" s="25"/>
      <c r="C312" s="26"/>
      <c r="D312" s="26"/>
      <c r="E312" s="26"/>
      <c r="F312" s="26"/>
      <c r="G312" s="0" t="str">
        <f aca="false">IF(OR($A312="",$E312="",$D312=""),"",IF($E312&lt;$D312,"EVET","HAYIR"))</f>
        <v/>
      </c>
      <c r="H312" s="0" t="str">
        <f aca="false">IF(OR($A312="",$E312="",$F312=""),"",IF($E312&lt;=$F312,"KAZANDI","KAYBETTİ"))</f>
        <v/>
      </c>
    </row>
    <row r="313" customFormat="false" ht="15" hidden="false" customHeight="false" outlineLevel="0" collapsed="false">
      <c r="A313" s="23"/>
      <c r="B313" s="25"/>
      <c r="C313" s="26"/>
      <c r="D313" s="26"/>
      <c r="E313" s="26"/>
      <c r="F313" s="26"/>
      <c r="G313" s="0" t="str">
        <f aca="false">IF(OR($A313="",$E313="",$D313=""),"",IF($E313&lt;$D313,"EVET","HAYIR"))</f>
        <v/>
      </c>
      <c r="H313" s="0" t="str">
        <f aca="false">IF(OR($A313="",$E313="",$F313=""),"",IF($E313&lt;=$F313,"KAZANDI","KAYBETTİ"))</f>
        <v/>
      </c>
    </row>
    <row r="314" customFormat="false" ht="15" hidden="false" customHeight="false" outlineLevel="0" collapsed="false">
      <c r="A314" s="23"/>
      <c r="B314" s="25"/>
      <c r="C314" s="26"/>
      <c r="D314" s="26"/>
      <c r="E314" s="26"/>
      <c r="F314" s="26"/>
      <c r="G314" s="0" t="str">
        <f aca="false">IF(OR($A314="",$E314="",$D314=""),"",IF($E314&lt;$D314,"EVET","HAYIR"))</f>
        <v/>
      </c>
      <c r="H314" s="0" t="str">
        <f aca="false">IF(OR($A314="",$E314="",$F314=""),"",IF($E314&lt;=$F314,"KAZANDI","KAYBETTİ"))</f>
        <v/>
      </c>
    </row>
    <row r="315" customFormat="false" ht="15" hidden="false" customHeight="false" outlineLevel="0" collapsed="false">
      <c r="A315" s="23"/>
      <c r="B315" s="25"/>
      <c r="C315" s="26"/>
      <c r="D315" s="26"/>
      <c r="E315" s="26"/>
      <c r="F315" s="26"/>
      <c r="G315" s="0" t="str">
        <f aca="false">IF(OR($A315="",$E315="",$D315=""),"",IF($E315&lt;$D315,"EVET","HAYIR"))</f>
        <v/>
      </c>
      <c r="H315" s="0" t="str">
        <f aca="false">IF(OR($A315="",$E315="",$F315=""),"",IF($E315&lt;=$F315,"KAZANDI","KAYBETTİ"))</f>
        <v/>
      </c>
    </row>
    <row r="316" customFormat="false" ht="15" hidden="false" customHeight="false" outlineLevel="0" collapsed="false">
      <c r="A316" s="23"/>
      <c r="B316" s="25"/>
      <c r="C316" s="26"/>
      <c r="D316" s="26"/>
      <c r="E316" s="26"/>
      <c r="F316" s="26"/>
      <c r="G316" s="0" t="str">
        <f aca="false">IF(OR($A316="",$E316="",$D316=""),"",IF($E316&lt;$D316,"EVET","HAYIR"))</f>
        <v/>
      </c>
      <c r="H316" s="0" t="str">
        <f aca="false">IF(OR($A316="",$E316="",$F316=""),"",IF($E316&lt;=$F316,"KAZANDI","KAYBETTİ"))</f>
        <v/>
      </c>
    </row>
    <row r="317" customFormat="false" ht="15" hidden="false" customHeight="false" outlineLevel="0" collapsed="false">
      <c r="A317" s="23"/>
      <c r="B317" s="25"/>
      <c r="C317" s="26"/>
      <c r="D317" s="26"/>
      <c r="E317" s="26"/>
      <c r="F317" s="26"/>
      <c r="G317" s="0" t="str">
        <f aca="false">IF(OR($A317="",$E317="",$D317=""),"",IF($E317&lt;$D317,"EVET","HAYIR"))</f>
        <v/>
      </c>
      <c r="H317" s="0" t="str">
        <f aca="false">IF(OR($A317="",$E317="",$F317=""),"",IF($E317&lt;=$F317,"KAZANDI","KAYBETTİ"))</f>
        <v/>
      </c>
    </row>
    <row r="318" customFormat="false" ht="15" hidden="false" customHeight="false" outlineLevel="0" collapsed="false">
      <c r="A318" s="23"/>
      <c r="B318" s="25"/>
      <c r="C318" s="26"/>
      <c r="D318" s="26"/>
      <c r="E318" s="26"/>
      <c r="F318" s="26"/>
      <c r="G318" s="0" t="str">
        <f aca="false">IF(OR($A318="",$E318="",$D318=""),"",IF($E318&lt;$D318,"EVET","HAYIR"))</f>
        <v/>
      </c>
      <c r="H318" s="0" t="str">
        <f aca="false">IF(OR($A318="",$E318="",$F318=""),"",IF($E318&lt;=$F318,"KAZANDI","KAYBETTİ"))</f>
        <v/>
      </c>
    </row>
    <row r="319" customFormat="false" ht="15" hidden="false" customHeight="false" outlineLevel="0" collapsed="false">
      <c r="A319" s="23"/>
      <c r="B319" s="25"/>
      <c r="C319" s="26"/>
      <c r="D319" s="26"/>
      <c r="E319" s="26"/>
      <c r="F319" s="26"/>
      <c r="G319" s="0" t="str">
        <f aca="false">IF(OR($A319="",$E319="",$D319=""),"",IF($E319&lt;$D319,"EVET","HAYIR"))</f>
        <v/>
      </c>
      <c r="H319" s="0" t="str">
        <f aca="false">IF(OR($A319="",$E319="",$F319=""),"",IF($E319&lt;=$F319,"KAZANDI","KAYBETTİ"))</f>
        <v/>
      </c>
    </row>
    <row r="320" customFormat="false" ht="15" hidden="false" customHeight="false" outlineLevel="0" collapsed="false">
      <c r="A320" s="23"/>
      <c r="B320" s="25"/>
      <c r="C320" s="26"/>
      <c r="D320" s="26"/>
      <c r="E320" s="26"/>
      <c r="F320" s="26"/>
      <c r="G320" s="0" t="str">
        <f aca="false">IF(OR($A320="",$E320="",$D320=""),"",IF($E320&lt;$D320,"EVET","HAYIR"))</f>
        <v/>
      </c>
      <c r="H320" s="0" t="str">
        <f aca="false">IF(OR($A320="",$E320="",$F320=""),"",IF($E320&lt;=$F320,"KAZANDI","KAYBETTİ"))</f>
        <v/>
      </c>
    </row>
    <row r="321" customFormat="false" ht="15" hidden="false" customHeight="false" outlineLevel="0" collapsed="false">
      <c r="A321" s="23"/>
      <c r="B321" s="25"/>
      <c r="C321" s="26"/>
      <c r="D321" s="26"/>
      <c r="E321" s="26"/>
      <c r="F321" s="26"/>
      <c r="G321" s="0" t="str">
        <f aca="false">IF(OR($A321="",$E321="",$D321=""),"",IF($E321&lt;$D321,"EVET","HAYIR"))</f>
        <v/>
      </c>
      <c r="H321" s="0" t="str">
        <f aca="false">IF(OR($A321="",$E321="",$F321=""),"",IF($E321&lt;=$F321,"KAZANDI","KAYBETTİ"))</f>
        <v/>
      </c>
    </row>
    <row r="322" customFormat="false" ht="15" hidden="false" customHeight="false" outlineLevel="0" collapsed="false">
      <c r="A322" s="23"/>
      <c r="B322" s="25"/>
      <c r="C322" s="26"/>
      <c r="D322" s="26"/>
      <c r="E322" s="26"/>
      <c r="F322" s="26"/>
      <c r="G322" s="0" t="str">
        <f aca="false">IF(OR($A322="",$E322="",$D322=""),"",IF($E322&lt;$D322,"EVET","HAYIR"))</f>
        <v/>
      </c>
      <c r="H322" s="0" t="str">
        <f aca="false">IF(OR($A322="",$E322="",$F322=""),"",IF($E322&lt;=$F322,"KAZANDI","KAYBETTİ"))</f>
        <v/>
      </c>
    </row>
    <row r="323" customFormat="false" ht="15" hidden="false" customHeight="false" outlineLevel="0" collapsed="false">
      <c r="A323" s="23"/>
      <c r="B323" s="25"/>
      <c r="C323" s="26"/>
      <c r="D323" s="26"/>
      <c r="E323" s="26"/>
      <c r="F323" s="26"/>
      <c r="G323" s="0" t="str">
        <f aca="false">IF(OR($A323="",$E323="",$D323=""),"",IF($E323&lt;$D323,"EVET","HAYIR"))</f>
        <v/>
      </c>
      <c r="H323" s="0" t="str">
        <f aca="false">IF(OR($A323="",$E323="",$F323=""),"",IF($E323&lt;=$F323,"KAZANDI","KAYBETTİ"))</f>
        <v/>
      </c>
    </row>
    <row r="324" customFormat="false" ht="15" hidden="false" customHeight="false" outlineLevel="0" collapsed="false">
      <c r="A324" s="23"/>
      <c r="B324" s="25"/>
      <c r="C324" s="26"/>
      <c r="D324" s="26"/>
      <c r="E324" s="26"/>
      <c r="F324" s="26"/>
      <c r="G324" s="0" t="str">
        <f aca="false">IF(OR($A324="",$E324="",$D324=""),"",IF($E324&lt;$D324,"EVET","HAYIR"))</f>
        <v/>
      </c>
      <c r="H324" s="0" t="str">
        <f aca="false">IF(OR($A324="",$E324="",$F324=""),"",IF($E324&lt;=$F324,"KAZANDI","KAYBETTİ"))</f>
        <v/>
      </c>
    </row>
    <row r="325" customFormat="false" ht="15" hidden="false" customHeight="false" outlineLevel="0" collapsed="false">
      <c r="A325" s="23"/>
      <c r="B325" s="25"/>
      <c r="C325" s="26"/>
      <c r="D325" s="26"/>
      <c r="E325" s="26"/>
      <c r="F325" s="26"/>
      <c r="G325" s="0" t="str">
        <f aca="false">IF(OR($A325="",$E325="",$D325=""),"",IF($E325&lt;$D325,"EVET","HAYIR"))</f>
        <v/>
      </c>
      <c r="H325" s="0" t="str">
        <f aca="false">IF(OR($A325="",$E325="",$F325=""),"",IF($E325&lt;=$F325,"KAZANDI","KAYBETTİ"))</f>
        <v/>
      </c>
    </row>
    <row r="326" customFormat="false" ht="15" hidden="false" customHeight="false" outlineLevel="0" collapsed="false">
      <c r="A326" s="23"/>
      <c r="B326" s="25"/>
      <c r="C326" s="26"/>
      <c r="D326" s="26"/>
      <c r="E326" s="26"/>
      <c r="F326" s="26"/>
      <c r="G326" s="0" t="str">
        <f aca="false">IF(OR($A326="",$E326="",$D326=""),"",IF($E326&lt;$D326,"EVET","HAYIR"))</f>
        <v/>
      </c>
      <c r="H326" s="0" t="str">
        <f aca="false">IF(OR($A326="",$E326="",$F326=""),"",IF($E326&lt;=$F326,"KAZANDI","KAYBETTİ"))</f>
        <v/>
      </c>
    </row>
    <row r="327" customFormat="false" ht="15" hidden="false" customHeight="false" outlineLevel="0" collapsed="false">
      <c r="A327" s="23"/>
      <c r="B327" s="25"/>
      <c r="C327" s="26"/>
      <c r="D327" s="26"/>
      <c r="E327" s="26"/>
      <c r="F327" s="26"/>
      <c r="G327" s="0" t="str">
        <f aca="false">IF(OR($A327="",$E327="",$D327=""),"",IF($E327&lt;$D327,"EVET","HAYIR"))</f>
        <v/>
      </c>
      <c r="H327" s="0" t="str">
        <f aca="false">IF(OR($A327="",$E327="",$F327=""),"",IF($E327&lt;=$F327,"KAZANDI","KAYBETTİ"))</f>
        <v/>
      </c>
    </row>
    <row r="328" customFormat="false" ht="15" hidden="false" customHeight="false" outlineLevel="0" collapsed="false">
      <c r="A328" s="23"/>
      <c r="B328" s="25"/>
      <c r="C328" s="26"/>
      <c r="D328" s="26"/>
      <c r="E328" s="26"/>
      <c r="F328" s="26"/>
      <c r="G328" s="0" t="str">
        <f aca="false">IF(OR($A328="",$E328="",$D328=""),"",IF($E328&lt;$D328,"EVET","HAYIR"))</f>
        <v/>
      </c>
      <c r="H328" s="0" t="str">
        <f aca="false">IF(OR($A328="",$E328="",$F328=""),"",IF($E328&lt;=$F328,"KAZANDI","KAYBETTİ"))</f>
        <v/>
      </c>
    </row>
    <row r="329" customFormat="false" ht="15" hidden="false" customHeight="false" outlineLevel="0" collapsed="false">
      <c r="A329" s="23"/>
      <c r="B329" s="25"/>
      <c r="C329" s="26"/>
      <c r="D329" s="26"/>
      <c r="E329" s="26"/>
      <c r="F329" s="26"/>
      <c r="G329" s="0" t="str">
        <f aca="false">IF(OR($A329="",$E329="",$D329=""),"",IF($E329&lt;$D329,"EVET","HAYIR"))</f>
        <v/>
      </c>
      <c r="H329" s="0" t="str">
        <f aca="false">IF(OR($A329="",$E329="",$F329=""),"",IF($E329&lt;=$F329,"KAZANDI","KAYBETTİ"))</f>
        <v/>
      </c>
    </row>
    <row r="330" customFormat="false" ht="15" hidden="false" customHeight="false" outlineLevel="0" collapsed="false">
      <c r="A330" s="23"/>
      <c r="B330" s="25"/>
      <c r="C330" s="26"/>
      <c r="D330" s="26"/>
      <c r="E330" s="26"/>
      <c r="F330" s="26"/>
      <c r="G330" s="0" t="str">
        <f aca="false">IF(OR($A330="",$E330="",$D330=""),"",IF($E330&lt;$D330,"EVET","HAYIR"))</f>
        <v/>
      </c>
      <c r="H330" s="0" t="str">
        <f aca="false">IF(OR($A330="",$E330="",$F330=""),"",IF($E330&lt;=$F330,"KAZANDI","KAYBETTİ"))</f>
        <v/>
      </c>
    </row>
    <row r="331" customFormat="false" ht="15" hidden="false" customHeight="false" outlineLevel="0" collapsed="false">
      <c r="A331" s="23"/>
      <c r="B331" s="25"/>
      <c r="C331" s="26"/>
      <c r="D331" s="26"/>
      <c r="E331" s="26"/>
      <c r="F331" s="26"/>
      <c r="G331" s="0" t="str">
        <f aca="false">IF(OR($A331="",$E331="",$D331=""),"",IF($E331&lt;$D331,"EVET","HAYIR"))</f>
        <v/>
      </c>
      <c r="H331" s="0" t="str">
        <f aca="false">IF(OR($A331="",$E331="",$F331=""),"",IF($E331&lt;=$F331,"KAZANDI","KAYBETTİ"))</f>
        <v/>
      </c>
    </row>
    <row r="332" customFormat="false" ht="15" hidden="false" customHeight="false" outlineLevel="0" collapsed="false">
      <c r="A332" s="23"/>
      <c r="B332" s="25"/>
      <c r="C332" s="26"/>
      <c r="D332" s="26"/>
      <c r="E332" s="26"/>
      <c r="F332" s="26"/>
      <c r="G332" s="0" t="str">
        <f aca="false">IF(OR($A332="",$E332="",$D332=""),"",IF($E332&lt;$D332,"EVET","HAYIR"))</f>
        <v/>
      </c>
      <c r="H332" s="0" t="str">
        <f aca="false">IF(OR($A332="",$E332="",$F332=""),"",IF($E332&lt;=$F332,"KAZANDI","KAYBETTİ"))</f>
        <v/>
      </c>
    </row>
    <row r="333" customFormat="false" ht="15" hidden="false" customHeight="false" outlineLevel="0" collapsed="false">
      <c r="A333" s="23"/>
      <c r="B333" s="25"/>
      <c r="C333" s="26"/>
      <c r="D333" s="26"/>
      <c r="E333" s="26"/>
      <c r="F333" s="26"/>
      <c r="G333" s="0" t="str">
        <f aca="false">IF(OR($A333="",$E333="",$D333=""),"",IF($E333&lt;$D333,"EVET","HAYIR"))</f>
        <v/>
      </c>
      <c r="H333" s="0" t="str">
        <f aca="false">IF(OR($A333="",$E333="",$F333=""),"",IF($E333&lt;=$F333,"KAZANDI","KAYBETTİ"))</f>
        <v/>
      </c>
    </row>
    <row r="334" customFormat="false" ht="15" hidden="false" customHeight="false" outlineLevel="0" collapsed="false">
      <c r="A334" s="23"/>
      <c r="B334" s="25"/>
      <c r="C334" s="26"/>
      <c r="D334" s="26"/>
      <c r="E334" s="26"/>
      <c r="F334" s="26"/>
      <c r="G334" s="0" t="str">
        <f aca="false">IF(OR($A334="",$E334="",$D334=""),"",IF($E334&lt;$D334,"EVET","HAYIR"))</f>
        <v/>
      </c>
      <c r="H334" s="0" t="str">
        <f aca="false">IF(OR($A334="",$E334="",$F334=""),"",IF($E334&lt;=$F334,"KAZANDI","KAYBETTİ"))</f>
        <v/>
      </c>
    </row>
    <row r="335" customFormat="false" ht="15" hidden="false" customHeight="false" outlineLevel="0" collapsed="false">
      <c r="A335" s="23"/>
      <c r="B335" s="25"/>
      <c r="C335" s="26"/>
      <c r="D335" s="26"/>
      <c r="E335" s="26"/>
      <c r="F335" s="26"/>
      <c r="G335" s="0" t="str">
        <f aca="false">IF(OR($A335="",$E335="",$D335=""),"",IF($E335&lt;$D335,"EVET","HAYIR"))</f>
        <v/>
      </c>
      <c r="H335" s="0" t="str">
        <f aca="false">IF(OR($A335="",$E335="",$F335=""),"",IF($E335&lt;=$F335,"KAZANDI","KAYBETTİ"))</f>
        <v/>
      </c>
    </row>
    <row r="336" customFormat="false" ht="15" hidden="false" customHeight="false" outlineLevel="0" collapsed="false">
      <c r="A336" s="23"/>
      <c r="B336" s="25"/>
      <c r="C336" s="26"/>
      <c r="D336" s="26"/>
      <c r="E336" s="26"/>
      <c r="F336" s="26"/>
      <c r="G336" s="0" t="str">
        <f aca="false">IF(OR($A336="",$E336="",$D336=""),"",IF($E336&lt;$D336,"EVET","HAYIR"))</f>
        <v/>
      </c>
      <c r="H336" s="0" t="str">
        <f aca="false">IF(OR($A336="",$E336="",$F336=""),"",IF($E336&lt;=$F336,"KAZANDI","KAYBETTİ"))</f>
        <v/>
      </c>
    </row>
    <row r="337" customFormat="false" ht="15" hidden="false" customHeight="false" outlineLevel="0" collapsed="false">
      <c r="A337" s="23"/>
      <c r="B337" s="25"/>
      <c r="C337" s="26"/>
      <c r="D337" s="26"/>
      <c r="E337" s="26"/>
      <c r="F337" s="26"/>
      <c r="G337" s="0" t="str">
        <f aca="false">IF(OR($A337="",$E337="",$D337=""),"",IF($E337&lt;$D337,"EVET","HAYIR"))</f>
        <v/>
      </c>
      <c r="H337" s="0" t="str">
        <f aca="false">IF(OR($A337="",$E337="",$F337=""),"",IF($E337&lt;=$F337,"KAZANDI","KAYBETTİ"))</f>
        <v/>
      </c>
    </row>
    <row r="338" customFormat="false" ht="15" hidden="false" customHeight="false" outlineLevel="0" collapsed="false">
      <c r="A338" s="23"/>
      <c r="B338" s="25"/>
      <c r="C338" s="26"/>
      <c r="D338" s="26"/>
      <c r="E338" s="26"/>
      <c r="F338" s="26"/>
      <c r="G338" s="0" t="str">
        <f aca="false">IF(OR($A338="",$E338="",$D338=""),"",IF($E338&lt;$D338,"EVET","HAYIR"))</f>
        <v/>
      </c>
      <c r="H338" s="0" t="str">
        <f aca="false">IF(OR($A338="",$E338="",$F338=""),"",IF($E338&lt;=$F338,"KAZANDI","KAYBETTİ"))</f>
        <v/>
      </c>
    </row>
    <row r="339" customFormat="false" ht="15" hidden="false" customHeight="false" outlineLevel="0" collapsed="false">
      <c r="A339" s="23"/>
      <c r="B339" s="25"/>
      <c r="C339" s="26"/>
      <c r="D339" s="26"/>
      <c r="E339" s="26"/>
      <c r="F339" s="26"/>
      <c r="G339" s="0" t="str">
        <f aca="false">IF(OR($A339="",$E339="",$D339=""),"",IF($E339&lt;$D339,"EVET","HAYIR"))</f>
        <v/>
      </c>
      <c r="H339" s="0" t="str">
        <f aca="false">IF(OR($A339="",$E339="",$F339=""),"",IF($E339&lt;=$F339,"KAZANDI","KAYBETTİ"))</f>
        <v/>
      </c>
    </row>
    <row r="340" customFormat="false" ht="15" hidden="false" customHeight="false" outlineLevel="0" collapsed="false">
      <c r="A340" s="23"/>
      <c r="B340" s="25"/>
      <c r="C340" s="26"/>
      <c r="D340" s="26"/>
      <c r="E340" s="26"/>
      <c r="F340" s="26"/>
      <c r="G340" s="0" t="str">
        <f aca="false">IF(OR($A340="",$E340="",$D340=""),"",IF($E340&lt;$D340,"EVET","HAYIR"))</f>
        <v/>
      </c>
      <c r="H340" s="0" t="str">
        <f aca="false">IF(OR($A340="",$E340="",$F340=""),"",IF($E340&lt;=$F340,"KAZANDI","KAYBETTİ"))</f>
        <v/>
      </c>
    </row>
    <row r="341" customFormat="false" ht="15" hidden="false" customHeight="false" outlineLevel="0" collapsed="false">
      <c r="A341" s="23"/>
      <c r="B341" s="25"/>
      <c r="C341" s="26"/>
      <c r="D341" s="26"/>
      <c r="E341" s="26"/>
      <c r="F341" s="26"/>
      <c r="G341" s="0" t="str">
        <f aca="false">IF(OR($A341="",$E341="",$D341=""),"",IF($E341&lt;$D341,"EVET","HAYIR"))</f>
        <v/>
      </c>
      <c r="H341" s="0" t="str">
        <f aca="false">IF(OR($A341="",$E341="",$F341=""),"",IF($E341&lt;=$F341,"KAZANDI","KAYBETTİ"))</f>
        <v/>
      </c>
    </row>
    <row r="342" customFormat="false" ht="15" hidden="false" customHeight="false" outlineLevel="0" collapsed="false">
      <c r="A342" s="23"/>
      <c r="B342" s="25"/>
      <c r="C342" s="26"/>
      <c r="D342" s="26"/>
      <c r="E342" s="26"/>
      <c r="F342" s="26"/>
      <c r="G342" s="0" t="str">
        <f aca="false">IF(OR($A342="",$E342="",$D342=""),"",IF($E342&lt;$D342,"EVET","HAYIR"))</f>
        <v/>
      </c>
      <c r="H342" s="0" t="str">
        <f aca="false">IF(OR($A342="",$E342="",$F342=""),"",IF($E342&lt;=$F342,"KAZANDI","KAYBETTİ"))</f>
        <v/>
      </c>
    </row>
    <row r="343" customFormat="false" ht="15" hidden="false" customHeight="false" outlineLevel="0" collapsed="false">
      <c r="A343" s="23"/>
      <c r="B343" s="25"/>
      <c r="C343" s="26"/>
      <c r="D343" s="26"/>
      <c r="E343" s="26"/>
      <c r="F343" s="26"/>
      <c r="G343" s="0" t="str">
        <f aca="false">IF(OR($A343="",$E343="",$D343=""),"",IF($E343&lt;$D343,"EVET","HAYIR"))</f>
        <v/>
      </c>
      <c r="H343" s="0" t="str">
        <f aca="false">IF(OR($A343="",$E343="",$F343=""),"",IF($E343&lt;=$F343,"KAZANDI","KAYBETTİ"))</f>
        <v/>
      </c>
    </row>
    <row r="344" customFormat="false" ht="15" hidden="false" customHeight="false" outlineLevel="0" collapsed="false">
      <c r="A344" s="23"/>
      <c r="B344" s="25"/>
      <c r="C344" s="26"/>
      <c r="D344" s="26"/>
      <c r="E344" s="26"/>
      <c r="F344" s="26"/>
      <c r="G344" s="0" t="str">
        <f aca="false">IF(OR($A344="",$E344="",$D344=""),"",IF($E344&lt;$D344,"EVET","HAYIR"))</f>
        <v/>
      </c>
      <c r="H344" s="0" t="str">
        <f aca="false">IF(OR($A344="",$E344="",$F344=""),"",IF($E344&lt;=$F344,"KAZANDI","KAYBETTİ"))</f>
        <v/>
      </c>
    </row>
    <row r="345" customFormat="false" ht="15" hidden="false" customHeight="false" outlineLevel="0" collapsed="false">
      <c r="A345" s="23"/>
      <c r="B345" s="25"/>
      <c r="C345" s="26"/>
      <c r="D345" s="26"/>
      <c r="E345" s="26"/>
      <c r="F345" s="26"/>
      <c r="G345" s="0" t="str">
        <f aca="false">IF(OR($A345="",$E345="",$D345=""),"",IF($E345&lt;$D345,"EVET","HAYIR"))</f>
        <v/>
      </c>
      <c r="H345" s="0" t="str">
        <f aca="false">IF(OR($A345="",$E345="",$F345=""),"",IF($E345&lt;=$F345,"KAZANDI","KAYBETTİ"))</f>
        <v/>
      </c>
    </row>
    <row r="346" customFormat="false" ht="15" hidden="false" customHeight="false" outlineLevel="0" collapsed="false">
      <c r="A346" s="23"/>
      <c r="B346" s="25"/>
      <c r="C346" s="26"/>
      <c r="D346" s="26"/>
      <c r="E346" s="26"/>
      <c r="F346" s="26"/>
      <c r="G346" s="0" t="str">
        <f aca="false">IF(OR($A346="",$E346="",$D346=""),"",IF($E346&lt;$D346,"EVET","HAYIR"))</f>
        <v/>
      </c>
      <c r="H346" s="0" t="str">
        <f aca="false">IF(OR($A346="",$E346="",$F346=""),"",IF($E346&lt;=$F346,"KAZANDI","KAYBETTİ"))</f>
        <v/>
      </c>
    </row>
    <row r="347" customFormat="false" ht="15" hidden="false" customHeight="false" outlineLevel="0" collapsed="false">
      <c r="A347" s="23"/>
      <c r="B347" s="25"/>
      <c r="C347" s="26"/>
      <c r="D347" s="26"/>
      <c r="E347" s="26"/>
      <c r="F347" s="26"/>
      <c r="G347" s="0" t="str">
        <f aca="false">IF(OR($A347="",$E347="",$D347=""),"",IF($E347&lt;$D347,"EVET","HAYIR"))</f>
        <v/>
      </c>
      <c r="H347" s="0" t="str">
        <f aca="false">IF(OR($A347="",$E347="",$F347=""),"",IF($E347&lt;=$F347,"KAZANDI","KAYBETTİ"))</f>
        <v/>
      </c>
    </row>
    <row r="348" customFormat="false" ht="15" hidden="false" customHeight="false" outlineLevel="0" collapsed="false">
      <c r="A348" s="23"/>
      <c r="B348" s="25"/>
      <c r="C348" s="26"/>
      <c r="D348" s="26"/>
      <c r="E348" s="26"/>
      <c r="F348" s="26"/>
      <c r="G348" s="0" t="str">
        <f aca="false">IF(OR($A348="",$E348="",$D348=""),"",IF($E348&lt;$D348,"EVET","HAYIR"))</f>
        <v/>
      </c>
      <c r="H348" s="0" t="str">
        <f aca="false">IF(OR($A348="",$E348="",$F348=""),"",IF($E348&lt;=$F348,"KAZANDI","KAYBETTİ"))</f>
        <v/>
      </c>
    </row>
    <row r="349" customFormat="false" ht="15" hidden="false" customHeight="false" outlineLevel="0" collapsed="false">
      <c r="A349" s="23"/>
      <c r="B349" s="25"/>
      <c r="C349" s="26"/>
      <c r="D349" s="26"/>
      <c r="E349" s="26"/>
      <c r="F349" s="26"/>
      <c r="G349" s="0" t="str">
        <f aca="false">IF(OR($A349="",$E349="",$D349=""),"",IF($E349&lt;$D349,"EVET","HAYIR"))</f>
        <v/>
      </c>
      <c r="H349" s="0" t="str">
        <f aca="false">IF(OR($A349="",$E349="",$F349=""),"",IF($E349&lt;=$F349,"KAZANDI","KAYBETTİ"))</f>
        <v/>
      </c>
    </row>
    <row r="350" customFormat="false" ht="15" hidden="false" customHeight="false" outlineLevel="0" collapsed="false">
      <c r="A350" s="23"/>
      <c r="B350" s="25"/>
      <c r="C350" s="26"/>
      <c r="D350" s="26"/>
      <c r="E350" s="26"/>
      <c r="F350" s="26"/>
      <c r="G350" s="0" t="str">
        <f aca="false">IF(OR($A350="",$E350="",$D350=""),"",IF($E350&lt;$D350,"EVET","HAYIR"))</f>
        <v/>
      </c>
      <c r="H350" s="0" t="str">
        <f aca="false">IF(OR($A350="",$E350="",$F350=""),"",IF($E350&lt;=$F350,"KAZANDI","KAYBETTİ"))</f>
        <v/>
      </c>
    </row>
    <row r="351" customFormat="false" ht="15" hidden="false" customHeight="false" outlineLevel="0" collapsed="false">
      <c r="A351" s="23"/>
      <c r="B351" s="25"/>
      <c r="C351" s="26"/>
      <c r="D351" s="26"/>
      <c r="E351" s="26"/>
      <c r="F351" s="26"/>
      <c r="G351" s="0" t="str">
        <f aca="false">IF(OR($A351="",$E351="",$D351=""),"",IF($E351&lt;$D351,"EVET","HAYIR"))</f>
        <v/>
      </c>
      <c r="H351" s="0" t="str">
        <f aca="false">IF(OR($A351="",$E351="",$F351=""),"",IF($E351&lt;=$F351,"KAZANDI","KAYBETTİ"))</f>
        <v/>
      </c>
    </row>
    <row r="352" customFormat="false" ht="15" hidden="false" customHeight="false" outlineLevel="0" collapsed="false">
      <c r="A352" s="23"/>
      <c r="B352" s="25"/>
      <c r="C352" s="26"/>
      <c r="D352" s="26"/>
      <c r="E352" s="26"/>
      <c r="F352" s="26"/>
      <c r="G352" s="0" t="str">
        <f aca="false">IF(OR($A352="",$E352="",$D352=""),"",IF($E352&lt;$D352,"EVET","HAYIR"))</f>
        <v/>
      </c>
      <c r="H352" s="0" t="str">
        <f aca="false">IF(OR($A352="",$E352="",$F352=""),"",IF($E352&lt;=$F352,"KAZANDI","KAYBETTİ"))</f>
        <v/>
      </c>
    </row>
    <row r="353" customFormat="false" ht="15" hidden="false" customHeight="false" outlineLevel="0" collapsed="false">
      <c r="A353" s="23"/>
      <c r="B353" s="25"/>
      <c r="C353" s="26"/>
      <c r="D353" s="26"/>
      <c r="E353" s="26"/>
      <c r="F353" s="26"/>
      <c r="G353" s="0" t="str">
        <f aca="false">IF(OR($A353="",$E353="",$D353=""),"",IF($E353&lt;$D353,"EVET","HAYIR"))</f>
        <v/>
      </c>
      <c r="H353" s="0" t="str">
        <f aca="false">IF(OR($A353="",$E353="",$F353=""),"",IF($E353&lt;=$F353,"KAZANDI","KAYBETTİ"))</f>
        <v/>
      </c>
    </row>
    <row r="354" customFormat="false" ht="15" hidden="false" customHeight="false" outlineLevel="0" collapsed="false">
      <c r="A354" s="23"/>
      <c r="B354" s="25"/>
      <c r="C354" s="26"/>
      <c r="D354" s="26"/>
      <c r="E354" s="26"/>
      <c r="F354" s="26"/>
      <c r="G354" s="0" t="str">
        <f aca="false">IF(OR($A354="",$E354="",$D354=""),"",IF($E354&lt;$D354,"EVET","HAYIR"))</f>
        <v/>
      </c>
      <c r="H354" s="0" t="str">
        <f aca="false">IF(OR($A354="",$E354="",$F354=""),"",IF($E354&lt;=$F354,"KAZANDI","KAYBETTİ"))</f>
        <v/>
      </c>
    </row>
    <row r="355" customFormat="false" ht="15" hidden="false" customHeight="false" outlineLevel="0" collapsed="false">
      <c r="A355" s="23"/>
      <c r="B355" s="25"/>
      <c r="C355" s="26"/>
      <c r="D355" s="26"/>
      <c r="E355" s="26"/>
      <c r="F355" s="26"/>
      <c r="G355" s="0" t="str">
        <f aca="false">IF(OR($A355="",$E355="",$D355=""),"",IF($E355&lt;$D355,"EVET","HAYIR"))</f>
        <v/>
      </c>
      <c r="H355" s="0" t="str">
        <f aca="false">IF(OR($A355="",$E355="",$F355=""),"",IF($E355&lt;=$F355,"KAZANDI","KAYBETTİ"))</f>
        <v/>
      </c>
    </row>
    <row r="356" customFormat="false" ht="15" hidden="false" customHeight="false" outlineLevel="0" collapsed="false">
      <c r="A356" s="23"/>
      <c r="B356" s="25"/>
      <c r="C356" s="26"/>
      <c r="D356" s="26"/>
      <c r="E356" s="26"/>
      <c r="F356" s="26"/>
      <c r="G356" s="0" t="str">
        <f aca="false">IF(OR($A356="",$E356="",$D356=""),"",IF($E356&lt;$D356,"EVET","HAYIR"))</f>
        <v/>
      </c>
      <c r="H356" s="0" t="str">
        <f aca="false">IF(OR($A356="",$E356="",$F356=""),"",IF($E356&lt;=$F356,"KAZANDI","KAYBETTİ"))</f>
        <v/>
      </c>
    </row>
    <row r="357" customFormat="false" ht="15" hidden="false" customHeight="false" outlineLevel="0" collapsed="false">
      <c r="A357" s="23"/>
      <c r="B357" s="25"/>
      <c r="C357" s="26"/>
      <c r="D357" s="26"/>
      <c r="E357" s="26"/>
      <c r="F357" s="26"/>
      <c r="G357" s="0" t="str">
        <f aca="false">IF(OR($A357="",$E357="",$D357=""),"",IF($E357&lt;$D357,"EVET","HAYIR"))</f>
        <v/>
      </c>
      <c r="H357" s="0" t="str">
        <f aca="false">IF(OR($A357="",$E357="",$F357=""),"",IF($E357&lt;=$F357,"KAZANDI","KAYBETTİ"))</f>
        <v/>
      </c>
    </row>
    <row r="358" customFormat="false" ht="15" hidden="false" customHeight="false" outlineLevel="0" collapsed="false">
      <c r="A358" s="23"/>
      <c r="B358" s="25"/>
      <c r="C358" s="26"/>
      <c r="D358" s="26"/>
      <c r="E358" s="26"/>
      <c r="F358" s="26"/>
      <c r="G358" s="0" t="str">
        <f aca="false">IF(OR($A358="",$E358="",$D358=""),"",IF($E358&lt;$D358,"EVET","HAYIR"))</f>
        <v/>
      </c>
      <c r="H358" s="0" t="str">
        <f aca="false">IF(OR($A358="",$E358="",$F358=""),"",IF($E358&lt;=$F358,"KAZANDI","KAYBETTİ"))</f>
        <v/>
      </c>
    </row>
    <row r="359" customFormat="false" ht="15" hidden="false" customHeight="false" outlineLevel="0" collapsed="false">
      <c r="A359" s="23"/>
      <c r="B359" s="25"/>
      <c r="C359" s="26"/>
      <c r="D359" s="26"/>
      <c r="E359" s="26"/>
      <c r="F359" s="26"/>
      <c r="G359" s="0" t="str">
        <f aca="false">IF(OR($A359="",$E359="",$D359=""),"",IF($E359&lt;$D359,"EVET","HAYIR"))</f>
        <v/>
      </c>
      <c r="H359" s="0" t="str">
        <f aca="false">IF(OR($A359="",$E359="",$F359=""),"",IF($E359&lt;=$F359,"KAZANDI","KAYBETTİ"))</f>
        <v/>
      </c>
    </row>
    <row r="360" customFormat="false" ht="15" hidden="false" customHeight="false" outlineLevel="0" collapsed="false">
      <c r="A360" s="23"/>
      <c r="B360" s="25"/>
      <c r="C360" s="26"/>
      <c r="D360" s="26"/>
      <c r="E360" s="26"/>
      <c r="F360" s="26"/>
      <c r="G360" s="0" t="str">
        <f aca="false">IF(OR($A360="",$E360="",$D360=""),"",IF($E360&lt;$D360,"EVET","HAYIR"))</f>
        <v/>
      </c>
      <c r="H360" s="0" t="str">
        <f aca="false">IF(OR($A360="",$E360="",$F360=""),"",IF($E360&lt;=$F360,"KAZANDI","KAYBETTİ"))</f>
        <v/>
      </c>
    </row>
    <row r="361" customFormat="false" ht="15" hidden="false" customHeight="false" outlineLevel="0" collapsed="false">
      <c r="A361" s="23"/>
      <c r="B361" s="25"/>
      <c r="C361" s="26"/>
      <c r="D361" s="26"/>
      <c r="E361" s="26"/>
      <c r="F361" s="26"/>
      <c r="G361" s="0" t="str">
        <f aca="false">IF(OR($A361="",$E361="",$D361=""),"",IF($E361&lt;$D361,"EVET","HAYIR"))</f>
        <v/>
      </c>
      <c r="H361" s="0" t="str">
        <f aca="false">IF(OR($A361="",$E361="",$F361=""),"",IF($E361&lt;=$F361,"KAZANDI","KAYBETTİ"))</f>
        <v/>
      </c>
    </row>
    <row r="362" customFormat="false" ht="15" hidden="false" customHeight="false" outlineLevel="0" collapsed="false">
      <c r="A362" s="23"/>
      <c r="B362" s="25"/>
      <c r="C362" s="26"/>
      <c r="D362" s="26"/>
      <c r="E362" s="26"/>
      <c r="F362" s="26"/>
      <c r="G362" s="0" t="str">
        <f aca="false">IF(OR($A362="",$E362="",$D362=""),"",IF($E362&lt;$D362,"EVET","HAYIR"))</f>
        <v/>
      </c>
      <c r="H362" s="0" t="str">
        <f aca="false">IF(OR($A362="",$E362="",$F362=""),"",IF($E362&lt;=$F362,"KAZANDI","KAYBETTİ"))</f>
        <v/>
      </c>
    </row>
    <row r="363" customFormat="false" ht="15" hidden="false" customHeight="false" outlineLevel="0" collapsed="false">
      <c r="A363" s="23"/>
      <c r="B363" s="25"/>
      <c r="C363" s="26"/>
      <c r="D363" s="26"/>
      <c r="E363" s="26"/>
      <c r="F363" s="26"/>
      <c r="G363" s="0" t="str">
        <f aca="false">IF(OR($A363="",$E363="",$D363=""),"",IF($E363&lt;$D363,"EVET","HAYIR"))</f>
        <v/>
      </c>
      <c r="H363" s="0" t="str">
        <f aca="false">IF(OR($A363="",$E363="",$F363=""),"",IF($E363&lt;=$F363,"KAZANDI","KAYBETTİ"))</f>
        <v/>
      </c>
    </row>
    <row r="364" customFormat="false" ht="15" hidden="false" customHeight="false" outlineLevel="0" collapsed="false">
      <c r="A364" s="23"/>
      <c r="B364" s="25"/>
      <c r="C364" s="26"/>
      <c r="D364" s="26"/>
      <c r="E364" s="26"/>
      <c r="F364" s="26"/>
      <c r="G364" s="0" t="str">
        <f aca="false">IF(OR($A364="",$E364="",$D364=""),"",IF($E364&lt;$D364,"EVET","HAYIR"))</f>
        <v/>
      </c>
      <c r="H364" s="0" t="str">
        <f aca="false">IF(OR($A364="",$E364="",$F364=""),"",IF($E364&lt;=$F364,"KAZANDI","KAYBETTİ"))</f>
        <v/>
      </c>
    </row>
    <row r="365" customFormat="false" ht="15" hidden="false" customHeight="false" outlineLevel="0" collapsed="false">
      <c r="A365" s="23"/>
      <c r="B365" s="25"/>
      <c r="C365" s="26"/>
      <c r="D365" s="26"/>
      <c r="E365" s="26"/>
      <c r="F365" s="26"/>
      <c r="G365" s="0" t="str">
        <f aca="false">IF(OR($A365="",$E365="",$D365=""),"",IF($E365&lt;$D365,"EVET","HAYIR"))</f>
        <v/>
      </c>
      <c r="H365" s="0" t="str">
        <f aca="false">IF(OR($A365="",$E365="",$F365=""),"",IF($E365&lt;=$F365,"KAZANDI","KAYBETTİ"))</f>
        <v/>
      </c>
    </row>
    <row r="366" customFormat="false" ht="15" hidden="false" customHeight="false" outlineLevel="0" collapsed="false">
      <c r="A366" s="23"/>
      <c r="B366" s="25"/>
      <c r="C366" s="26"/>
      <c r="D366" s="26"/>
      <c r="E366" s="26"/>
      <c r="F366" s="26"/>
      <c r="G366" s="0" t="str">
        <f aca="false">IF(OR($A366="",$E366="",$D366=""),"",IF($E366&lt;$D366,"EVET","HAYIR"))</f>
        <v/>
      </c>
      <c r="H366" s="0" t="str">
        <f aca="false">IF(OR($A366="",$E366="",$F366=""),"",IF($E366&lt;=$F366,"KAZANDI","KAYBETTİ"))</f>
        <v/>
      </c>
    </row>
    <row r="367" customFormat="false" ht="15" hidden="false" customHeight="false" outlineLevel="0" collapsed="false">
      <c r="A367" s="23"/>
      <c r="B367" s="25"/>
      <c r="C367" s="26"/>
      <c r="D367" s="26"/>
      <c r="E367" s="26"/>
      <c r="F367" s="26"/>
      <c r="G367" s="0" t="str">
        <f aca="false">IF(OR($A367="",$E367="",$D367=""),"",IF($E367&lt;$D367,"EVET","HAYIR"))</f>
        <v/>
      </c>
      <c r="H367" s="0" t="str">
        <f aca="false">IF(OR($A367="",$E367="",$F367=""),"",IF($E367&lt;=$F367,"KAZANDI","KAYBETTİ"))</f>
        <v/>
      </c>
    </row>
    <row r="368" customFormat="false" ht="15" hidden="false" customHeight="false" outlineLevel="0" collapsed="false">
      <c r="A368" s="23"/>
      <c r="B368" s="25"/>
      <c r="C368" s="26"/>
      <c r="D368" s="26"/>
      <c r="E368" s="26"/>
      <c r="F368" s="26"/>
      <c r="G368" s="0" t="str">
        <f aca="false">IF(OR($A368="",$E368="",$D368=""),"",IF($E368&lt;$D368,"EVET","HAYIR"))</f>
        <v/>
      </c>
      <c r="H368" s="0" t="str">
        <f aca="false">IF(OR($A368="",$E368="",$F368=""),"",IF($E368&lt;=$F368,"KAZANDI","KAYBETTİ"))</f>
        <v/>
      </c>
    </row>
    <row r="369" customFormat="false" ht="15" hidden="false" customHeight="false" outlineLevel="0" collapsed="false">
      <c r="A369" s="23"/>
      <c r="B369" s="25"/>
      <c r="C369" s="26"/>
      <c r="D369" s="26"/>
      <c r="E369" s="26"/>
      <c r="F369" s="26"/>
      <c r="G369" s="0" t="str">
        <f aca="false">IF(OR($A369="",$E369="",$D369=""),"",IF($E369&lt;$D369,"EVET","HAYIR"))</f>
        <v/>
      </c>
      <c r="H369" s="0" t="str">
        <f aca="false">IF(OR($A369="",$E369="",$F369=""),"",IF($E369&lt;=$F369,"KAZANDI","KAYBETTİ"))</f>
        <v/>
      </c>
    </row>
    <row r="370" customFormat="false" ht="15" hidden="false" customHeight="false" outlineLevel="0" collapsed="false">
      <c r="A370" s="23"/>
      <c r="B370" s="25"/>
      <c r="C370" s="26"/>
      <c r="D370" s="26"/>
      <c r="E370" s="26"/>
      <c r="F370" s="26"/>
      <c r="G370" s="0" t="str">
        <f aca="false">IF(OR($A370="",$E370="",$D370=""),"",IF($E370&lt;$D370,"EVET","HAYIR"))</f>
        <v/>
      </c>
      <c r="H370" s="0" t="str">
        <f aca="false">IF(OR($A370="",$E370="",$F370=""),"",IF($E370&lt;=$F370,"KAZANDI","KAYBETTİ"))</f>
        <v/>
      </c>
    </row>
    <row r="371" customFormat="false" ht="15" hidden="false" customHeight="false" outlineLevel="0" collapsed="false">
      <c r="A371" s="23"/>
      <c r="B371" s="25"/>
      <c r="C371" s="26"/>
      <c r="D371" s="26"/>
      <c r="E371" s="26"/>
      <c r="F371" s="26"/>
      <c r="G371" s="0" t="str">
        <f aca="false">IF(OR($A371="",$E371="",$D371=""),"",IF($E371&lt;$D371,"EVET","HAYIR"))</f>
        <v/>
      </c>
      <c r="H371" s="0" t="str">
        <f aca="false">IF(OR($A371="",$E371="",$F371=""),"",IF($E371&lt;=$F371,"KAZANDI","KAYBETTİ"))</f>
        <v/>
      </c>
    </row>
    <row r="372" customFormat="false" ht="15" hidden="false" customHeight="false" outlineLevel="0" collapsed="false">
      <c r="A372" s="23"/>
      <c r="B372" s="25"/>
      <c r="C372" s="26"/>
      <c r="D372" s="26"/>
      <c r="E372" s="26"/>
      <c r="F372" s="26"/>
      <c r="G372" s="0" t="str">
        <f aca="false">IF(OR($A372="",$E372="",$D372=""),"",IF($E372&lt;$D372,"EVET","HAYIR"))</f>
        <v/>
      </c>
      <c r="H372" s="0" t="str">
        <f aca="false">IF(OR($A372="",$E372="",$F372=""),"",IF($E372&lt;=$F372,"KAZANDI","KAYBETTİ"))</f>
        <v/>
      </c>
    </row>
    <row r="373" customFormat="false" ht="15" hidden="false" customHeight="false" outlineLevel="0" collapsed="false">
      <c r="A373" s="23"/>
      <c r="B373" s="25"/>
      <c r="C373" s="26"/>
      <c r="D373" s="26"/>
      <c r="E373" s="26"/>
      <c r="F373" s="26"/>
      <c r="G373" s="0" t="str">
        <f aca="false">IF(OR($A373="",$E373="",$D373=""),"",IF($E373&lt;$D373,"EVET","HAYIR"))</f>
        <v/>
      </c>
      <c r="H373" s="0" t="str">
        <f aca="false">IF(OR($A373="",$E373="",$F373=""),"",IF($E373&lt;=$F373,"KAZANDI","KAYBETTİ"))</f>
        <v/>
      </c>
    </row>
    <row r="374" customFormat="false" ht="15" hidden="false" customHeight="false" outlineLevel="0" collapsed="false">
      <c r="A374" s="23"/>
      <c r="B374" s="25"/>
      <c r="C374" s="26"/>
      <c r="D374" s="26"/>
      <c r="E374" s="26"/>
      <c r="F374" s="26"/>
      <c r="G374" s="0" t="str">
        <f aca="false">IF(OR($A374="",$E374="",$D374=""),"",IF($E374&lt;$D374,"EVET","HAYIR"))</f>
        <v/>
      </c>
      <c r="H374" s="0" t="str">
        <f aca="false">IF(OR($A374="",$E374="",$F374=""),"",IF($E374&lt;=$F374,"KAZANDI","KAYBETTİ"))</f>
        <v/>
      </c>
    </row>
    <row r="375" customFormat="false" ht="15" hidden="false" customHeight="false" outlineLevel="0" collapsed="false">
      <c r="A375" s="23"/>
      <c r="B375" s="25"/>
      <c r="C375" s="26"/>
      <c r="D375" s="26"/>
      <c r="E375" s="26"/>
      <c r="F375" s="26"/>
      <c r="G375" s="0" t="str">
        <f aca="false">IF(OR($A375="",$E375="",$D375=""),"",IF($E375&lt;$D375,"EVET","HAYIR"))</f>
        <v/>
      </c>
      <c r="H375" s="0" t="str">
        <f aca="false">IF(OR($A375="",$E375="",$F375=""),"",IF($E375&lt;=$F375,"KAZANDI","KAYBETTİ"))</f>
        <v/>
      </c>
    </row>
    <row r="376" customFormat="false" ht="15" hidden="false" customHeight="false" outlineLevel="0" collapsed="false">
      <c r="A376" s="23"/>
      <c r="B376" s="25"/>
      <c r="C376" s="26"/>
      <c r="D376" s="26"/>
      <c r="E376" s="26"/>
      <c r="F376" s="26"/>
      <c r="G376" s="0" t="str">
        <f aca="false">IF(OR($A376="",$E376="",$D376=""),"",IF($E376&lt;$D376,"EVET","HAYIR"))</f>
        <v/>
      </c>
      <c r="H376" s="0" t="str">
        <f aca="false">IF(OR($A376="",$E376="",$F376=""),"",IF($E376&lt;=$F376,"KAZANDI","KAYBETTİ"))</f>
        <v/>
      </c>
    </row>
    <row r="377" customFormat="false" ht="15" hidden="false" customHeight="false" outlineLevel="0" collapsed="false">
      <c r="A377" s="23"/>
      <c r="B377" s="25"/>
      <c r="C377" s="26"/>
      <c r="D377" s="26"/>
      <c r="E377" s="26"/>
      <c r="F377" s="26"/>
      <c r="G377" s="0" t="str">
        <f aca="false">IF(OR($A377="",$E377="",$D377=""),"",IF($E377&lt;$D377,"EVET","HAYIR"))</f>
        <v/>
      </c>
      <c r="H377" s="0" t="str">
        <f aca="false">IF(OR($A377="",$E377="",$F377=""),"",IF($E377&lt;=$F377,"KAZANDI","KAYBETTİ"))</f>
        <v/>
      </c>
    </row>
    <row r="378" customFormat="false" ht="15" hidden="false" customHeight="false" outlineLevel="0" collapsed="false">
      <c r="A378" s="23"/>
      <c r="B378" s="25"/>
      <c r="C378" s="26"/>
      <c r="D378" s="26"/>
      <c r="E378" s="26"/>
      <c r="F378" s="26"/>
      <c r="G378" s="0" t="str">
        <f aca="false">IF(OR($A378="",$E378="",$D378=""),"",IF($E378&lt;$D378,"EVET","HAYIR"))</f>
        <v/>
      </c>
      <c r="H378" s="0" t="str">
        <f aca="false">IF(OR($A378="",$E378="",$F378=""),"",IF($E378&lt;=$F378,"KAZANDI","KAYBETTİ"))</f>
        <v/>
      </c>
    </row>
    <row r="379" customFormat="false" ht="15" hidden="false" customHeight="false" outlineLevel="0" collapsed="false">
      <c r="A379" s="23"/>
      <c r="B379" s="25"/>
      <c r="C379" s="26"/>
      <c r="D379" s="26"/>
      <c r="E379" s="26"/>
      <c r="F379" s="26"/>
      <c r="G379" s="0" t="str">
        <f aca="false">IF(OR($A379="",$E379="",$D379=""),"",IF($E379&lt;$D379,"EVET","HAYIR"))</f>
        <v/>
      </c>
      <c r="H379" s="0" t="str">
        <f aca="false">IF(OR($A379="",$E379="",$F379=""),"",IF($E379&lt;=$F379,"KAZANDI","KAYBETTİ"))</f>
        <v/>
      </c>
    </row>
    <row r="380" customFormat="false" ht="15" hidden="false" customHeight="false" outlineLevel="0" collapsed="false">
      <c r="A380" s="23"/>
      <c r="B380" s="25"/>
      <c r="C380" s="26"/>
      <c r="D380" s="26"/>
      <c r="E380" s="26"/>
      <c r="F380" s="26"/>
      <c r="G380" s="0" t="str">
        <f aca="false">IF(OR($A380="",$E380="",$D380=""),"",IF($E380&lt;$D380,"EVET","HAYIR"))</f>
        <v/>
      </c>
      <c r="H380" s="0" t="str">
        <f aca="false">IF(OR($A380="",$E380="",$F380=""),"",IF($E380&lt;=$F380,"KAZANDI","KAYBETTİ"))</f>
        <v/>
      </c>
    </row>
    <row r="381" customFormat="false" ht="15" hidden="false" customHeight="false" outlineLevel="0" collapsed="false">
      <c r="A381" s="23"/>
      <c r="B381" s="25"/>
      <c r="C381" s="26"/>
      <c r="D381" s="26"/>
      <c r="E381" s="26"/>
      <c r="F381" s="26"/>
      <c r="G381" s="0" t="str">
        <f aca="false">IF(OR($A381="",$E381="",$D381=""),"",IF($E381&lt;$D381,"EVET","HAYIR"))</f>
        <v/>
      </c>
      <c r="H381" s="0" t="str">
        <f aca="false">IF(OR($A381="",$E381="",$F381=""),"",IF($E381&lt;=$F381,"KAZANDI","KAYBETTİ"))</f>
        <v/>
      </c>
    </row>
    <row r="382" customFormat="false" ht="15" hidden="false" customHeight="false" outlineLevel="0" collapsed="false">
      <c r="A382" s="23"/>
      <c r="B382" s="25"/>
      <c r="C382" s="26"/>
      <c r="D382" s="26"/>
      <c r="E382" s="26"/>
      <c r="F382" s="26"/>
      <c r="G382" s="0" t="str">
        <f aca="false">IF(OR($A382="",$E382="",$D382=""),"",IF($E382&lt;$D382,"EVET","HAYIR"))</f>
        <v/>
      </c>
      <c r="H382" s="0" t="str">
        <f aca="false">IF(OR($A382="",$E382="",$F382=""),"",IF($E382&lt;=$F382,"KAZANDI","KAYBETTİ"))</f>
        <v/>
      </c>
    </row>
    <row r="383" customFormat="false" ht="15" hidden="false" customHeight="false" outlineLevel="0" collapsed="false">
      <c r="A383" s="23"/>
      <c r="B383" s="25"/>
      <c r="C383" s="26"/>
      <c r="D383" s="26"/>
      <c r="E383" s="26"/>
      <c r="F383" s="26"/>
      <c r="G383" s="0" t="str">
        <f aca="false">IF(OR($A383="",$E383="",$D383=""),"",IF($E383&lt;$D383,"EVET","HAYIR"))</f>
        <v/>
      </c>
      <c r="H383" s="0" t="str">
        <f aca="false">IF(OR($A383="",$E383="",$F383=""),"",IF($E383&lt;=$F383,"KAZANDI","KAYBETTİ"))</f>
        <v/>
      </c>
    </row>
    <row r="384" customFormat="false" ht="15" hidden="false" customHeight="false" outlineLevel="0" collapsed="false">
      <c r="A384" s="23"/>
      <c r="B384" s="25"/>
      <c r="C384" s="26"/>
      <c r="D384" s="26"/>
      <c r="E384" s="26"/>
      <c r="F384" s="26"/>
      <c r="G384" s="0" t="str">
        <f aca="false">IF(OR($A384="",$E384="",$D384=""),"",IF($E384&lt;$D384,"EVET","HAYIR"))</f>
        <v/>
      </c>
      <c r="H384" s="0" t="str">
        <f aca="false">IF(OR($A384="",$E384="",$F384=""),"",IF($E384&lt;=$F384,"KAZANDI","KAYBETTİ"))</f>
        <v/>
      </c>
    </row>
    <row r="385" customFormat="false" ht="15" hidden="false" customHeight="false" outlineLevel="0" collapsed="false">
      <c r="A385" s="23"/>
      <c r="B385" s="25"/>
      <c r="C385" s="26"/>
      <c r="D385" s="26"/>
      <c r="E385" s="26"/>
      <c r="F385" s="26"/>
      <c r="G385" s="0" t="str">
        <f aca="false">IF(OR($A385="",$E385="",$D385=""),"",IF($E385&lt;$D385,"EVET","HAYIR"))</f>
        <v/>
      </c>
      <c r="H385" s="0" t="str">
        <f aca="false">IF(OR($A385="",$E385="",$F385=""),"",IF($E385&lt;=$F385,"KAZANDI","KAYBETTİ"))</f>
        <v/>
      </c>
    </row>
    <row r="386" customFormat="false" ht="15" hidden="false" customHeight="false" outlineLevel="0" collapsed="false">
      <c r="A386" s="23"/>
      <c r="B386" s="25"/>
      <c r="C386" s="26"/>
      <c r="D386" s="26"/>
      <c r="E386" s="26"/>
      <c r="F386" s="26"/>
      <c r="G386" s="0" t="str">
        <f aca="false">IF(OR($A386="",$E386="",$D386=""),"",IF($E386&lt;$D386,"EVET","HAYIR"))</f>
        <v/>
      </c>
      <c r="H386" s="0" t="str">
        <f aca="false">IF(OR($A386="",$E386="",$F386=""),"",IF($E386&lt;=$F386,"KAZANDI","KAYBETTİ"))</f>
        <v/>
      </c>
    </row>
    <row r="387" customFormat="false" ht="15" hidden="false" customHeight="false" outlineLevel="0" collapsed="false">
      <c r="A387" s="23"/>
      <c r="B387" s="25"/>
      <c r="C387" s="26"/>
      <c r="D387" s="26"/>
      <c r="E387" s="26"/>
      <c r="F387" s="26"/>
      <c r="G387" s="0" t="str">
        <f aca="false">IF(OR($A387="",$E387="",$D387=""),"",IF($E387&lt;$D387,"EVET","HAYIR"))</f>
        <v/>
      </c>
      <c r="H387" s="0" t="str">
        <f aca="false">IF(OR($A387="",$E387="",$F387=""),"",IF($E387&lt;=$F387,"KAZANDI","KAYBETTİ"))</f>
        <v/>
      </c>
    </row>
    <row r="388" customFormat="false" ht="15" hidden="false" customHeight="false" outlineLevel="0" collapsed="false">
      <c r="A388" s="23"/>
      <c r="B388" s="25"/>
      <c r="C388" s="26"/>
      <c r="D388" s="26"/>
      <c r="E388" s="26"/>
      <c r="F388" s="26"/>
      <c r="G388" s="0" t="str">
        <f aca="false">IF(OR($A388="",$E388="",$D388=""),"",IF($E388&lt;$D388,"EVET","HAYIR"))</f>
        <v/>
      </c>
      <c r="H388" s="0" t="str">
        <f aca="false">IF(OR($A388="",$E388="",$F388=""),"",IF($E388&lt;=$F388,"KAZANDI","KAYBETTİ"))</f>
        <v/>
      </c>
    </row>
    <row r="389" customFormat="false" ht="15" hidden="false" customHeight="false" outlineLevel="0" collapsed="false">
      <c r="A389" s="23"/>
      <c r="B389" s="25"/>
      <c r="C389" s="26"/>
      <c r="D389" s="26"/>
      <c r="E389" s="26"/>
      <c r="F389" s="26"/>
      <c r="G389" s="0" t="str">
        <f aca="false">IF(OR($A389="",$E389="",$D389=""),"",IF($E389&lt;$D389,"EVET","HAYIR"))</f>
        <v/>
      </c>
      <c r="H389" s="0" t="str">
        <f aca="false">IF(OR($A389="",$E389="",$F389=""),"",IF($E389&lt;=$F389,"KAZANDI","KAYBETTİ"))</f>
        <v/>
      </c>
    </row>
    <row r="390" customFormat="false" ht="15" hidden="false" customHeight="false" outlineLevel="0" collapsed="false">
      <c r="A390" s="23"/>
      <c r="B390" s="25"/>
      <c r="C390" s="26"/>
      <c r="D390" s="26"/>
      <c r="E390" s="26"/>
      <c r="F390" s="26"/>
      <c r="G390" s="0" t="str">
        <f aca="false">IF(OR($A390="",$E390="",$D390=""),"",IF($E390&lt;$D390,"EVET","HAYIR"))</f>
        <v/>
      </c>
      <c r="H390" s="0" t="str">
        <f aca="false">IF(OR($A390="",$E390="",$F390=""),"",IF($E390&lt;=$F390,"KAZANDI","KAYBETTİ"))</f>
        <v/>
      </c>
    </row>
    <row r="391" customFormat="false" ht="15" hidden="false" customHeight="false" outlineLevel="0" collapsed="false">
      <c r="A391" s="23"/>
      <c r="B391" s="25"/>
      <c r="C391" s="26"/>
      <c r="D391" s="26"/>
      <c r="E391" s="26"/>
      <c r="F391" s="26"/>
      <c r="G391" s="0" t="str">
        <f aca="false">IF(OR($A391="",$E391="",$D391=""),"",IF($E391&lt;$D391,"EVET","HAYIR"))</f>
        <v/>
      </c>
      <c r="H391" s="0" t="str">
        <f aca="false">IF(OR($A391="",$E391="",$F391=""),"",IF($E391&lt;=$F391,"KAZANDI","KAYBETTİ"))</f>
        <v/>
      </c>
    </row>
    <row r="392" customFormat="false" ht="15" hidden="false" customHeight="false" outlineLevel="0" collapsed="false">
      <c r="A392" s="23"/>
      <c r="B392" s="25"/>
      <c r="C392" s="26"/>
      <c r="D392" s="26"/>
      <c r="E392" s="26"/>
      <c r="F392" s="26"/>
      <c r="G392" s="0" t="str">
        <f aca="false">IF(OR($A392="",$E392="",$D392=""),"",IF($E392&lt;$D392,"EVET","HAYIR"))</f>
        <v/>
      </c>
      <c r="H392" s="0" t="str">
        <f aca="false">IF(OR($A392="",$E392="",$F392=""),"",IF($E392&lt;=$F392,"KAZANDI","KAYBETTİ"))</f>
        <v/>
      </c>
    </row>
    <row r="393" customFormat="false" ht="15" hidden="false" customHeight="false" outlineLevel="0" collapsed="false">
      <c r="A393" s="23"/>
      <c r="B393" s="25"/>
      <c r="C393" s="26"/>
      <c r="D393" s="26"/>
      <c r="E393" s="26"/>
      <c r="F393" s="26"/>
      <c r="G393" s="0" t="str">
        <f aca="false">IF(OR($A393="",$E393="",$D393=""),"",IF($E393&lt;$D393,"EVET","HAYIR"))</f>
        <v/>
      </c>
      <c r="H393" s="0" t="str">
        <f aca="false">IF(OR($A393="",$E393="",$F393=""),"",IF($E393&lt;=$F393,"KAZANDI","KAYBETTİ"))</f>
        <v/>
      </c>
    </row>
    <row r="394" customFormat="false" ht="15" hidden="false" customHeight="false" outlineLevel="0" collapsed="false">
      <c r="A394" s="23"/>
      <c r="B394" s="25"/>
      <c r="C394" s="26"/>
      <c r="D394" s="26"/>
      <c r="E394" s="26"/>
      <c r="F394" s="26"/>
      <c r="G394" s="0" t="str">
        <f aca="false">IF(OR($A394="",$E394="",$D394=""),"",IF($E394&lt;$D394,"EVET","HAYIR"))</f>
        <v/>
      </c>
      <c r="H394" s="0" t="str">
        <f aca="false">IF(OR($A394="",$E394="",$F394=""),"",IF($E394&lt;=$F394,"KAZANDI","KAYBETTİ"))</f>
        <v/>
      </c>
    </row>
    <row r="395" customFormat="false" ht="15" hidden="false" customHeight="false" outlineLevel="0" collapsed="false">
      <c r="A395" s="23"/>
      <c r="B395" s="25"/>
      <c r="C395" s="26"/>
      <c r="D395" s="26"/>
      <c r="E395" s="26"/>
      <c r="F395" s="26"/>
      <c r="G395" s="0" t="str">
        <f aca="false">IF(OR($A395="",$E395="",$D395=""),"",IF($E395&lt;$D395,"EVET","HAYIR"))</f>
        <v/>
      </c>
      <c r="H395" s="0" t="str">
        <f aca="false">IF(OR($A395="",$E395="",$F395=""),"",IF($E395&lt;=$F395,"KAZANDI","KAYBETTİ"))</f>
        <v/>
      </c>
    </row>
    <row r="396" customFormat="false" ht="15" hidden="false" customHeight="false" outlineLevel="0" collapsed="false">
      <c r="A396" s="23"/>
      <c r="B396" s="25"/>
      <c r="C396" s="26"/>
      <c r="D396" s="26"/>
      <c r="E396" s="26"/>
      <c r="F396" s="26"/>
      <c r="G396" s="0" t="str">
        <f aca="false">IF(OR($A396="",$E396="",$D396=""),"",IF($E396&lt;$D396,"EVET","HAYIR"))</f>
        <v/>
      </c>
      <c r="H396" s="0" t="str">
        <f aca="false">IF(OR($A396="",$E396="",$F396=""),"",IF($E396&lt;=$F396,"KAZANDI","KAYBETTİ"))</f>
        <v/>
      </c>
    </row>
    <row r="397" customFormat="false" ht="15" hidden="false" customHeight="false" outlineLevel="0" collapsed="false">
      <c r="A397" s="23"/>
      <c r="B397" s="25"/>
      <c r="C397" s="26"/>
      <c r="D397" s="26"/>
      <c r="E397" s="26"/>
      <c r="F397" s="26"/>
      <c r="G397" s="0" t="str">
        <f aca="false">IF(OR($A397="",$E397="",$D397=""),"",IF($E397&lt;$D397,"EVET","HAYIR"))</f>
        <v/>
      </c>
      <c r="H397" s="0" t="str">
        <f aca="false">IF(OR($A397="",$E397="",$F397=""),"",IF($E397&lt;=$F397,"KAZANDI","KAYBETTİ"))</f>
        <v/>
      </c>
    </row>
    <row r="398" customFormat="false" ht="15" hidden="false" customHeight="false" outlineLevel="0" collapsed="false">
      <c r="A398" s="23"/>
      <c r="B398" s="25"/>
      <c r="C398" s="26"/>
      <c r="D398" s="26"/>
      <c r="E398" s="26"/>
      <c r="F398" s="26"/>
      <c r="G398" s="0" t="str">
        <f aca="false">IF(OR($A398="",$E398="",$D398=""),"",IF($E398&lt;$D398,"EVET","HAYIR"))</f>
        <v/>
      </c>
      <c r="H398" s="0" t="str">
        <f aca="false">IF(OR($A398="",$E398="",$F398=""),"",IF($E398&lt;=$F398,"KAZANDI","KAYBETTİ"))</f>
        <v/>
      </c>
    </row>
    <row r="399" customFormat="false" ht="15" hidden="false" customHeight="false" outlineLevel="0" collapsed="false">
      <c r="A399" s="23"/>
      <c r="B399" s="25"/>
      <c r="C399" s="26"/>
      <c r="D399" s="26"/>
      <c r="E399" s="26"/>
      <c r="F399" s="26"/>
      <c r="G399" s="0" t="str">
        <f aca="false">IF(OR($A399="",$E399="",$D399=""),"",IF($E399&lt;$D399,"EVET","HAYIR"))</f>
        <v/>
      </c>
      <c r="H399" s="0" t="str">
        <f aca="false">IF(OR($A399="",$E399="",$F399=""),"",IF($E399&lt;=$F399,"KAZANDI","KAYBETTİ"))</f>
        <v/>
      </c>
    </row>
    <row r="400" customFormat="false" ht="15" hidden="false" customHeight="false" outlineLevel="0" collapsed="false">
      <c r="A400" s="23"/>
      <c r="B400" s="25"/>
      <c r="C400" s="26"/>
      <c r="D400" s="26"/>
      <c r="E400" s="26"/>
      <c r="F400" s="26"/>
      <c r="G400" s="0" t="str">
        <f aca="false">IF(OR($A400="",$E400="",$D400=""),"",IF($E400&lt;$D400,"EVET","HAYIR"))</f>
        <v/>
      </c>
      <c r="H400" s="0" t="str">
        <f aca="false">IF(OR($A400="",$E400="",$F400=""),"",IF($E400&lt;=$F400,"KAZANDI","KAYBETTİ"))</f>
        <v/>
      </c>
    </row>
    <row r="401" customFormat="false" ht="15" hidden="false" customHeight="false" outlineLevel="0" collapsed="false">
      <c r="A401" s="23"/>
      <c r="B401" s="25"/>
      <c r="C401" s="26"/>
      <c r="D401" s="26"/>
      <c r="E401" s="26"/>
      <c r="F401" s="26"/>
      <c r="G401" s="0" t="str">
        <f aca="false">IF(OR($A401="",$E401="",$D401=""),"",IF($E401&lt;$D401,"EVET","HAYIR"))</f>
        <v/>
      </c>
      <c r="H401" s="0" t="str">
        <f aca="false">IF(OR($A401="",$E401="",$F401=""),"",IF($E401&lt;=$F401,"KAZANDI","KAYBETTİ"))</f>
        <v/>
      </c>
    </row>
    <row r="402" customFormat="false" ht="15" hidden="false" customHeight="false" outlineLevel="0" collapsed="false">
      <c r="A402" s="23"/>
      <c r="B402" s="25"/>
      <c r="C402" s="26"/>
      <c r="D402" s="26"/>
      <c r="E402" s="26"/>
      <c r="F402" s="26"/>
      <c r="G402" s="0" t="str">
        <f aca="false">IF(OR($A402="",$E402="",$D402=""),"",IF($E402&lt;$D402,"EVET","HAYIR"))</f>
        <v/>
      </c>
      <c r="H402" s="0" t="str">
        <f aca="false">IF(OR($A402="",$E402="",$F402=""),"",IF($E402&lt;=$F402,"KAZANDI","KAYBETTİ"))</f>
        <v/>
      </c>
    </row>
    <row r="403" customFormat="false" ht="15" hidden="false" customHeight="false" outlineLevel="0" collapsed="false">
      <c r="A403" s="23"/>
      <c r="B403" s="25"/>
      <c r="C403" s="26"/>
      <c r="D403" s="26"/>
      <c r="E403" s="26"/>
      <c r="F403" s="26"/>
      <c r="G403" s="0" t="str">
        <f aca="false">IF(OR($A403="",$E403="",$D403=""),"",IF($E403&lt;$D403,"EVET","HAYIR"))</f>
        <v/>
      </c>
      <c r="H403" s="0" t="str">
        <f aca="false">IF(OR($A403="",$E403="",$F403=""),"",IF($E403&lt;=$F403,"KAZANDI","KAYBETTİ"))</f>
        <v/>
      </c>
    </row>
    <row r="404" customFormat="false" ht="15" hidden="false" customHeight="false" outlineLevel="0" collapsed="false">
      <c r="A404" s="23"/>
      <c r="B404" s="25"/>
      <c r="C404" s="26"/>
      <c r="D404" s="26"/>
      <c r="E404" s="26"/>
      <c r="F404" s="26"/>
      <c r="G404" s="0" t="str">
        <f aca="false">IF(OR($A404="",$E404="",$D404=""),"",IF($E404&lt;$D404,"EVET","HAYIR"))</f>
        <v/>
      </c>
      <c r="H404" s="0" t="str">
        <f aca="false">IF(OR($A404="",$E404="",$F404=""),"",IF($E404&lt;=$F404,"KAZANDI","KAYBETTİ"))</f>
        <v/>
      </c>
    </row>
    <row r="405" customFormat="false" ht="15" hidden="false" customHeight="false" outlineLevel="0" collapsed="false">
      <c r="A405" s="23"/>
      <c r="B405" s="25"/>
      <c r="C405" s="26"/>
      <c r="D405" s="26"/>
      <c r="E405" s="26"/>
      <c r="F405" s="26"/>
      <c r="G405" s="0" t="str">
        <f aca="false">IF(OR($A405="",$E405="",$D405=""),"",IF($E405&lt;$D405,"EVET","HAYIR"))</f>
        <v/>
      </c>
      <c r="H405" s="0" t="str">
        <f aca="false">IF(OR($A405="",$E405="",$F405=""),"",IF($E405&lt;=$F405,"KAZANDI","KAYBETTİ"))</f>
        <v/>
      </c>
    </row>
    <row r="406" customFormat="false" ht="15" hidden="false" customHeight="false" outlineLevel="0" collapsed="false">
      <c r="A406" s="23"/>
      <c r="B406" s="25"/>
      <c r="C406" s="26"/>
      <c r="D406" s="26"/>
      <c r="E406" s="26"/>
      <c r="F406" s="26"/>
      <c r="G406" s="0" t="str">
        <f aca="false">IF(OR($A406="",$E406="",$D406=""),"",IF($E406&lt;$D406,"EVET","HAYIR"))</f>
        <v/>
      </c>
      <c r="H406" s="0" t="str">
        <f aca="false">IF(OR($A406="",$E406="",$F406=""),"",IF($E406&lt;=$F406,"KAZANDI","KAYBETTİ"))</f>
        <v/>
      </c>
    </row>
    <row r="407" customFormat="false" ht="15" hidden="false" customHeight="false" outlineLevel="0" collapsed="false">
      <c r="A407" s="23"/>
      <c r="B407" s="25"/>
      <c r="C407" s="26"/>
      <c r="D407" s="26"/>
      <c r="E407" s="26"/>
      <c r="F407" s="26"/>
      <c r="G407" s="0" t="str">
        <f aca="false">IF(OR($A407="",$E407="",$D407=""),"",IF($E407&lt;$D407,"EVET","HAYIR"))</f>
        <v/>
      </c>
      <c r="H407" s="0" t="str">
        <f aca="false">IF(OR($A407="",$E407="",$F407=""),"",IF($E407&lt;=$F407,"KAZANDI","KAYBETTİ"))</f>
        <v/>
      </c>
    </row>
    <row r="408" customFormat="false" ht="15" hidden="false" customHeight="false" outlineLevel="0" collapsed="false">
      <c r="A408" s="23"/>
      <c r="B408" s="25"/>
      <c r="C408" s="26"/>
      <c r="D408" s="26"/>
      <c r="E408" s="26"/>
      <c r="F408" s="26"/>
      <c r="G408" s="0" t="str">
        <f aca="false">IF(OR($A408="",$E408="",$D408=""),"",IF($E408&lt;$D408,"EVET","HAYIR"))</f>
        <v/>
      </c>
      <c r="H408" s="0" t="str">
        <f aca="false">IF(OR($A408="",$E408="",$F408=""),"",IF($E408&lt;=$F408,"KAZANDI","KAYBETTİ"))</f>
        <v/>
      </c>
    </row>
    <row r="409" customFormat="false" ht="15" hidden="false" customHeight="false" outlineLevel="0" collapsed="false">
      <c r="A409" s="23"/>
      <c r="B409" s="25"/>
      <c r="C409" s="26"/>
      <c r="D409" s="26"/>
      <c r="E409" s="26"/>
      <c r="F409" s="26"/>
      <c r="G409" s="0" t="str">
        <f aca="false">IF(OR($A409="",$E409="",$D409=""),"",IF($E409&lt;$D409,"EVET","HAYIR"))</f>
        <v/>
      </c>
      <c r="H409" s="0" t="str">
        <f aca="false">IF(OR($A409="",$E409="",$F409=""),"",IF($E409&lt;=$F409,"KAZANDI","KAYBETTİ"))</f>
        <v/>
      </c>
    </row>
    <row r="410" customFormat="false" ht="15" hidden="false" customHeight="false" outlineLevel="0" collapsed="false">
      <c r="A410" s="23"/>
      <c r="B410" s="25"/>
      <c r="C410" s="26"/>
      <c r="D410" s="26"/>
      <c r="E410" s="26"/>
      <c r="F410" s="26"/>
      <c r="G410" s="0" t="str">
        <f aca="false">IF(OR($A410="",$E410="",$D410=""),"",IF($E410&lt;$D410,"EVET","HAYIR"))</f>
        <v/>
      </c>
      <c r="H410" s="0" t="str">
        <f aca="false">IF(OR($A410="",$E410="",$F410=""),"",IF($E410&lt;=$F410,"KAZANDI","KAYBETTİ"))</f>
        <v/>
      </c>
    </row>
    <row r="411" customFormat="false" ht="15" hidden="false" customHeight="false" outlineLevel="0" collapsed="false">
      <c r="A411" s="23"/>
      <c r="B411" s="25"/>
      <c r="C411" s="26"/>
      <c r="D411" s="26"/>
      <c r="E411" s="26"/>
      <c r="F411" s="26"/>
      <c r="G411" s="0" t="str">
        <f aca="false">IF(OR($A411="",$E411="",$D411=""),"",IF($E411&lt;$D411,"EVET","HAYIR"))</f>
        <v/>
      </c>
      <c r="H411" s="0" t="str">
        <f aca="false">IF(OR($A411="",$E411="",$F411=""),"",IF($E411&lt;=$F411,"KAZANDI","KAYBETTİ"))</f>
        <v/>
      </c>
    </row>
    <row r="412" customFormat="false" ht="15" hidden="false" customHeight="false" outlineLevel="0" collapsed="false">
      <c r="A412" s="23"/>
      <c r="B412" s="25"/>
      <c r="C412" s="26"/>
      <c r="D412" s="26"/>
      <c r="E412" s="26"/>
      <c r="F412" s="26"/>
      <c r="G412" s="0" t="str">
        <f aca="false">IF(OR($A412="",$E412="",$D412=""),"",IF($E412&lt;$D412,"EVET","HAYIR"))</f>
        <v/>
      </c>
      <c r="H412" s="0" t="str">
        <f aca="false">IF(OR($A412="",$E412="",$F412=""),"",IF($E412&lt;=$F412,"KAZANDI","KAYBETTİ"))</f>
        <v/>
      </c>
    </row>
    <row r="413" customFormat="false" ht="15" hidden="false" customHeight="false" outlineLevel="0" collapsed="false">
      <c r="A413" s="23"/>
      <c r="B413" s="25"/>
      <c r="C413" s="26"/>
      <c r="D413" s="26"/>
      <c r="E413" s="26"/>
      <c r="F413" s="26"/>
      <c r="G413" s="0" t="str">
        <f aca="false">IF(OR($A413="",$E413="",$D413=""),"",IF($E413&lt;$D413,"EVET","HAYIR"))</f>
        <v/>
      </c>
      <c r="H413" s="0" t="str">
        <f aca="false">IF(OR($A413="",$E413="",$F413=""),"",IF($E413&lt;=$F413,"KAZANDI","KAYBETTİ"))</f>
        <v/>
      </c>
    </row>
    <row r="414" customFormat="false" ht="15" hidden="false" customHeight="false" outlineLevel="0" collapsed="false">
      <c r="A414" s="23"/>
      <c r="B414" s="25"/>
      <c r="C414" s="26"/>
      <c r="D414" s="26"/>
      <c r="E414" s="26"/>
      <c r="F414" s="26"/>
      <c r="G414" s="0" t="str">
        <f aca="false">IF(OR($A414="",$E414="",$D414=""),"",IF($E414&lt;$D414,"EVET","HAYIR"))</f>
        <v/>
      </c>
      <c r="H414" s="0" t="str">
        <f aca="false">IF(OR($A414="",$E414="",$F414=""),"",IF($E414&lt;=$F414,"KAZANDI","KAYBETTİ"))</f>
        <v/>
      </c>
    </row>
    <row r="415" customFormat="false" ht="15" hidden="false" customHeight="false" outlineLevel="0" collapsed="false">
      <c r="A415" s="23"/>
      <c r="B415" s="25"/>
      <c r="C415" s="26"/>
      <c r="D415" s="26"/>
      <c r="E415" s="26"/>
      <c r="F415" s="26"/>
      <c r="G415" s="0" t="str">
        <f aca="false">IF(OR($A415="",$E415="",$D415=""),"",IF($E415&lt;$D415,"EVET","HAYIR"))</f>
        <v/>
      </c>
      <c r="H415" s="0" t="str">
        <f aca="false">IF(OR($A415="",$E415="",$F415=""),"",IF($E415&lt;=$F415,"KAZANDI","KAYBETTİ"))</f>
        <v/>
      </c>
    </row>
    <row r="416" customFormat="false" ht="15" hidden="false" customHeight="false" outlineLevel="0" collapsed="false">
      <c r="A416" s="23"/>
      <c r="B416" s="25"/>
      <c r="C416" s="26"/>
      <c r="D416" s="26"/>
      <c r="E416" s="26"/>
      <c r="F416" s="26"/>
      <c r="G416" s="0" t="str">
        <f aca="false">IF(OR($A416="",$E416="",$D416=""),"",IF($E416&lt;$D416,"EVET","HAYIR"))</f>
        <v/>
      </c>
      <c r="H416" s="0" t="str">
        <f aca="false">IF(OR($A416="",$E416="",$F416=""),"",IF($E416&lt;=$F416,"KAZANDI","KAYBETTİ"))</f>
        <v/>
      </c>
    </row>
    <row r="417" customFormat="false" ht="15" hidden="false" customHeight="false" outlineLevel="0" collapsed="false">
      <c r="A417" s="23"/>
      <c r="B417" s="25"/>
      <c r="C417" s="26"/>
      <c r="D417" s="26"/>
      <c r="E417" s="26"/>
      <c r="F417" s="26"/>
      <c r="G417" s="0" t="str">
        <f aca="false">IF(OR($A417="",$E417="",$D417=""),"",IF($E417&lt;$D417,"EVET","HAYIR"))</f>
        <v/>
      </c>
      <c r="H417" s="0" t="str">
        <f aca="false">IF(OR($A417="",$E417="",$F417=""),"",IF($E417&lt;=$F417,"KAZANDI","KAYBETTİ"))</f>
        <v/>
      </c>
    </row>
    <row r="418" customFormat="false" ht="15" hidden="false" customHeight="false" outlineLevel="0" collapsed="false">
      <c r="A418" s="23"/>
      <c r="B418" s="25"/>
      <c r="C418" s="26"/>
      <c r="D418" s="26"/>
      <c r="E418" s="26"/>
      <c r="F418" s="26"/>
      <c r="G418" s="0" t="str">
        <f aca="false">IF(OR($A418="",$E418="",$D418=""),"",IF($E418&lt;$D418,"EVET","HAYIR"))</f>
        <v/>
      </c>
      <c r="H418" s="0" t="str">
        <f aca="false">IF(OR($A418="",$E418="",$F418=""),"",IF($E418&lt;=$F418,"KAZANDI","KAYBETTİ"))</f>
        <v/>
      </c>
    </row>
    <row r="419" customFormat="false" ht="15" hidden="false" customHeight="false" outlineLevel="0" collapsed="false">
      <c r="A419" s="23"/>
      <c r="B419" s="25"/>
      <c r="C419" s="26"/>
      <c r="D419" s="26"/>
      <c r="E419" s="26"/>
      <c r="F419" s="26"/>
      <c r="G419" s="0" t="str">
        <f aca="false">IF(OR($A419="",$E419="",$D419=""),"",IF($E419&lt;$D419,"EVET","HAYIR"))</f>
        <v/>
      </c>
      <c r="H419" s="0" t="str">
        <f aca="false">IF(OR($A419="",$E419="",$F419=""),"",IF($E419&lt;=$F419,"KAZANDI","KAYBETTİ"))</f>
        <v/>
      </c>
    </row>
    <row r="420" customFormat="false" ht="15" hidden="false" customHeight="false" outlineLevel="0" collapsed="false">
      <c r="A420" s="23"/>
      <c r="B420" s="25"/>
      <c r="C420" s="26"/>
      <c r="D420" s="26"/>
      <c r="E420" s="26"/>
      <c r="F420" s="26"/>
      <c r="G420" s="0" t="str">
        <f aca="false">IF(OR($A420="",$E420="",$D420=""),"",IF($E420&lt;$D420,"EVET","HAYIR"))</f>
        <v/>
      </c>
      <c r="H420" s="0" t="str">
        <f aca="false">IF(OR($A420="",$E420="",$F420=""),"",IF($E420&lt;=$F420,"KAZANDI","KAYBETTİ"))</f>
        <v/>
      </c>
    </row>
    <row r="421" customFormat="false" ht="15" hidden="false" customHeight="false" outlineLevel="0" collapsed="false">
      <c r="A421" s="23"/>
      <c r="B421" s="25"/>
      <c r="C421" s="26"/>
      <c r="D421" s="26"/>
      <c r="E421" s="26"/>
      <c r="F421" s="26"/>
      <c r="G421" s="0" t="str">
        <f aca="false">IF(OR($A421="",$E421="",$D421=""),"",IF($E421&lt;$D421,"EVET","HAYIR"))</f>
        <v/>
      </c>
      <c r="H421" s="0" t="str">
        <f aca="false">IF(OR($A421="",$E421="",$F421=""),"",IF($E421&lt;=$F421,"KAZANDI","KAYBETTİ"))</f>
        <v/>
      </c>
    </row>
    <row r="422" customFormat="false" ht="15" hidden="false" customHeight="false" outlineLevel="0" collapsed="false">
      <c r="A422" s="23"/>
      <c r="B422" s="25"/>
      <c r="C422" s="26"/>
      <c r="D422" s="26"/>
      <c r="E422" s="26"/>
      <c r="F422" s="26"/>
      <c r="G422" s="0" t="str">
        <f aca="false">IF(OR($A422="",$E422="",$D422=""),"",IF($E422&lt;$D422,"EVET","HAYIR"))</f>
        <v/>
      </c>
      <c r="H422" s="0" t="str">
        <f aca="false">IF(OR($A422="",$E422="",$F422=""),"",IF($E422&lt;=$F422,"KAZANDI","KAYBETTİ"))</f>
        <v/>
      </c>
    </row>
    <row r="423" customFormat="false" ht="15" hidden="false" customHeight="false" outlineLevel="0" collapsed="false">
      <c r="A423" s="23"/>
      <c r="B423" s="25"/>
      <c r="C423" s="26"/>
      <c r="D423" s="26"/>
      <c r="E423" s="26"/>
      <c r="F423" s="26"/>
      <c r="G423" s="0" t="str">
        <f aca="false">IF(OR($A423="",$E423="",$D423=""),"",IF($E423&lt;$D423,"EVET","HAYIR"))</f>
        <v/>
      </c>
      <c r="H423" s="0" t="str">
        <f aca="false">IF(OR($A423="",$E423="",$F423=""),"",IF($E423&lt;=$F423,"KAZANDI","KAYBETTİ"))</f>
        <v/>
      </c>
    </row>
    <row r="424" customFormat="false" ht="15" hidden="false" customHeight="false" outlineLevel="0" collapsed="false">
      <c r="A424" s="23"/>
      <c r="B424" s="25"/>
      <c r="C424" s="26"/>
      <c r="D424" s="26"/>
      <c r="E424" s="26"/>
      <c r="F424" s="26"/>
      <c r="G424" s="0" t="str">
        <f aca="false">IF(OR($A424="",$E424="",$D424=""),"",IF($E424&lt;$D424,"EVET","HAYIR"))</f>
        <v/>
      </c>
      <c r="H424" s="0" t="str">
        <f aca="false">IF(OR($A424="",$E424="",$F424=""),"",IF($E424&lt;=$F424,"KAZANDI","KAYBETTİ"))</f>
        <v/>
      </c>
    </row>
    <row r="425" customFormat="false" ht="15" hidden="false" customHeight="false" outlineLevel="0" collapsed="false">
      <c r="A425" s="23"/>
      <c r="B425" s="25"/>
      <c r="C425" s="26"/>
      <c r="D425" s="26"/>
      <c r="E425" s="26"/>
      <c r="F425" s="26"/>
      <c r="G425" s="0" t="str">
        <f aca="false">IF(OR($A425="",$E425="",$D425=""),"",IF($E425&lt;$D425,"EVET","HAYIR"))</f>
        <v/>
      </c>
      <c r="H425" s="0" t="str">
        <f aca="false">IF(OR($A425="",$E425="",$F425=""),"",IF($E425&lt;=$F425,"KAZANDI","KAYBETTİ"))</f>
        <v/>
      </c>
    </row>
    <row r="426" customFormat="false" ht="15" hidden="false" customHeight="false" outlineLevel="0" collapsed="false">
      <c r="A426" s="23"/>
      <c r="B426" s="25"/>
      <c r="C426" s="26"/>
      <c r="D426" s="26"/>
      <c r="E426" s="26"/>
      <c r="F426" s="26"/>
      <c r="G426" s="0" t="str">
        <f aca="false">IF(OR($A426="",$E426="",$D426=""),"",IF($E426&lt;$D426,"EVET","HAYIR"))</f>
        <v/>
      </c>
      <c r="H426" s="0" t="str">
        <f aca="false">IF(OR($A426="",$E426="",$F426=""),"",IF($E426&lt;=$F426,"KAZANDI","KAYBETTİ"))</f>
        <v/>
      </c>
    </row>
    <row r="427" customFormat="false" ht="15" hidden="false" customHeight="false" outlineLevel="0" collapsed="false">
      <c r="A427" s="23"/>
      <c r="B427" s="25"/>
      <c r="C427" s="26"/>
      <c r="D427" s="26"/>
      <c r="E427" s="26"/>
      <c r="F427" s="26"/>
      <c r="G427" s="0" t="str">
        <f aca="false">IF(OR($A427="",$E427="",$D427=""),"",IF($E427&lt;$D427,"EVET","HAYIR"))</f>
        <v/>
      </c>
      <c r="H427" s="0" t="str">
        <f aca="false">IF(OR($A427="",$E427="",$F427=""),"",IF($E427&lt;=$F427,"KAZANDI","KAYBETTİ"))</f>
        <v/>
      </c>
    </row>
    <row r="428" customFormat="false" ht="15" hidden="false" customHeight="false" outlineLevel="0" collapsed="false">
      <c r="A428" s="23"/>
      <c r="B428" s="25"/>
      <c r="C428" s="26"/>
      <c r="D428" s="26"/>
      <c r="E428" s="26"/>
      <c r="F428" s="26"/>
      <c r="G428" s="0" t="str">
        <f aca="false">IF(OR($A428="",$E428="",$D428=""),"",IF($E428&lt;$D428,"EVET","HAYIR"))</f>
        <v/>
      </c>
      <c r="H428" s="0" t="str">
        <f aca="false">IF(OR($A428="",$E428="",$F428=""),"",IF($E428&lt;=$F428,"KAZANDI","KAYBETTİ"))</f>
        <v/>
      </c>
    </row>
    <row r="429" customFormat="false" ht="15" hidden="false" customHeight="false" outlineLevel="0" collapsed="false">
      <c r="A429" s="23"/>
      <c r="B429" s="25"/>
      <c r="C429" s="26"/>
      <c r="D429" s="26"/>
      <c r="E429" s="26"/>
      <c r="F429" s="26"/>
      <c r="G429" s="0" t="str">
        <f aca="false">IF(OR($A429="",$E429="",$D429=""),"",IF($E429&lt;$D429,"EVET","HAYIR"))</f>
        <v/>
      </c>
      <c r="H429" s="0" t="str">
        <f aca="false">IF(OR($A429="",$E429="",$F429=""),"",IF($E429&lt;=$F429,"KAZANDI","KAYBETTİ"))</f>
        <v/>
      </c>
    </row>
    <row r="430" customFormat="false" ht="15" hidden="false" customHeight="false" outlineLevel="0" collapsed="false">
      <c r="A430" s="23"/>
      <c r="B430" s="25"/>
      <c r="C430" s="26"/>
      <c r="D430" s="26"/>
      <c r="E430" s="26"/>
      <c r="F430" s="26"/>
      <c r="G430" s="0" t="str">
        <f aca="false">IF(OR($A430="",$E430="",$D430=""),"",IF($E430&lt;$D430,"EVET","HAYIR"))</f>
        <v/>
      </c>
      <c r="H430" s="0" t="str">
        <f aca="false">IF(OR($A430="",$E430="",$F430=""),"",IF($E430&lt;=$F430,"KAZANDI","KAYBETTİ"))</f>
        <v/>
      </c>
    </row>
    <row r="431" customFormat="false" ht="15" hidden="false" customHeight="false" outlineLevel="0" collapsed="false">
      <c r="A431" s="23"/>
      <c r="B431" s="25"/>
      <c r="C431" s="26"/>
      <c r="D431" s="26"/>
      <c r="E431" s="26"/>
      <c r="F431" s="26"/>
      <c r="G431" s="0" t="str">
        <f aca="false">IF(OR($A431="",$E431="",$D431=""),"",IF($E431&lt;$D431,"EVET","HAYIR"))</f>
        <v/>
      </c>
      <c r="H431" s="0" t="str">
        <f aca="false">IF(OR($A431="",$E431="",$F431=""),"",IF($E431&lt;=$F431,"KAZANDI","KAYBETTİ"))</f>
        <v/>
      </c>
    </row>
    <row r="432" customFormat="false" ht="15" hidden="false" customHeight="false" outlineLevel="0" collapsed="false">
      <c r="A432" s="23"/>
      <c r="B432" s="25"/>
      <c r="C432" s="26"/>
      <c r="D432" s="26"/>
      <c r="E432" s="26"/>
      <c r="F432" s="26"/>
      <c r="G432" s="0" t="str">
        <f aca="false">IF(OR($A432="",$E432="",$D432=""),"",IF($E432&lt;$D432,"EVET","HAYIR"))</f>
        <v/>
      </c>
      <c r="H432" s="0" t="str">
        <f aca="false">IF(OR($A432="",$E432="",$F432=""),"",IF($E432&lt;=$F432,"KAZANDI","KAYBETTİ"))</f>
        <v/>
      </c>
    </row>
    <row r="433" customFormat="false" ht="15" hidden="false" customHeight="false" outlineLevel="0" collapsed="false">
      <c r="A433" s="23"/>
      <c r="B433" s="25"/>
      <c r="C433" s="26"/>
      <c r="D433" s="26"/>
      <c r="E433" s="26"/>
      <c r="F433" s="26"/>
      <c r="G433" s="0" t="str">
        <f aca="false">IF(OR($A433="",$E433="",$D433=""),"",IF($E433&lt;$D433,"EVET","HAYIR"))</f>
        <v/>
      </c>
      <c r="H433" s="0" t="str">
        <f aca="false">IF(OR($A433="",$E433="",$F433=""),"",IF($E433&lt;=$F433,"KAZANDI","KAYBETTİ"))</f>
        <v/>
      </c>
    </row>
    <row r="434" customFormat="false" ht="15" hidden="false" customHeight="false" outlineLevel="0" collapsed="false">
      <c r="A434" s="23"/>
      <c r="B434" s="25"/>
      <c r="C434" s="26"/>
      <c r="D434" s="26"/>
      <c r="E434" s="26"/>
      <c r="F434" s="26"/>
      <c r="G434" s="0" t="str">
        <f aca="false">IF(OR($A434="",$E434="",$D434=""),"",IF($E434&lt;$D434,"EVET","HAYIR"))</f>
        <v/>
      </c>
      <c r="H434" s="0" t="str">
        <f aca="false">IF(OR($A434="",$E434="",$F434=""),"",IF($E434&lt;=$F434,"KAZANDI","KAYBETTİ"))</f>
        <v/>
      </c>
    </row>
    <row r="435" customFormat="false" ht="15" hidden="false" customHeight="false" outlineLevel="0" collapsed="false">
      <c r="A435" s="23"/>
      <c r="B435" s="25"/>
      <c r="C435" s="26"/>
      <c r="D435" s="26"/>
      <c r="E435" s="26"/>
      <c r="F435" s="26"/>
      <c r="G435" s="0" t="str">
        <f aca="false">IF(OR($A435="",$E435="",$D435=""),"",IF($E435&lt;$D435,"EVET","HAYIR"))</f>
        <v/>
      </c>
      <c r="H435" s="0" t="str">
        <f aca="false">IF(OR($A435="",$E435="",$F435=""),"",IF($E435&lt;=$F435,"KAZANDI","KAYBETTİ"))</f>
        <v/>
      </c>
    </row>
    <row r="436" customFormat="false" ht="15" hidden="false" customHeight="false" outlineLevel="0" collapsed="false">
      <c r="A436" s="23"/>
      <c r="B436" s="25"/>
      <c r="C436" s="26"/>
      <c r="D436" s="26"/>
      <c r="E436" s="26"/>
      <c r="F436" s="26"/>
      <c r="G436" s="0" t="str">
        <f aca="false">IF(OR($A436="",$E436="",$D436=""),"",IF($E436&lt;$D436,"EVET","HAYIR"))</f>
        <v/>
      </c>
      <c r="H436" s="0" t="str">
        <f aca="false">IF(OR($A436="",$E436="",$F436=""),"",IF($E436&lt;=$F436,"KAZANDI","KAYBETTİ"))</f>
        <v/>
      </c>
    </row>
    <row r="437" customFormat="false" ht="15" hidden="false" customHeight="false" outlineLevel="0" collapsed="false">
      <c r="A437" s="23"/>
      <c r="B437" s="25"/>
      <c r="C437" s="26"/>
      <c r="D437" s="26"/>
      <c r="E437" s="26"/>
      <c r="F437" s="26"/>
      <c r="G437" s="0" t="str">
        <f aca="false">IF(OR($A437="",$E437="",$D437=""),"",IF($E437&lt;$D437,"EVET","HAYIR"))</f>
        <v/>
      </c>
      <c r="H437" s="0" t="str">
        <f aca="false">IF(OR($A437="",$E437="",$F437=""),"",IF($E437&lt;=$F437,"KAZANDI","KAYBETTİ"))</f>
        <v/>
      </c>
    </row>
    <row r="438" customFormat="false" ht="15" hidden="false" customHeight="false" outlineLevel="0" collapsed="false">
      <c r="A438" s="23"/>
      <c r="B438" s="25"/>
      <c r="C438" s="26"/>
      <c r="D438" s="26"/>
      <c r="E438" s="26"/>
      <c r="F438" s="26"/>
      <c r="G438" s="0" t="str">
        <f aca="false">IF(OR($A438="",$E438="",$D438=""),"",IF($E438&lt;$D438,"EVET","HAYIR"))</f>
        <v/>
      </c>
      <c r="H438" s="0" t="str">
        <f aca="false">IF(OR($A438="",$E438="",$F438=""),"",IF($E438&lt;=$F438,"KAZANDI","KAYBETTİ"))</f>
        <v/>
      </c>
    </row>
    <row r="439" customFormat="false" ht="15" hidden="false" customHeight="false" outlineLevel="0" collapsed="false">
      <c r="A439" s="23"/>
      <c r="B439" s="25"/>
      <c r="C439" s="26"/>
      <c r="D439" s="26"/>
      <c r="E439" s="26"/>
      <c r="F439" s="26"/>
      <c r="G439" s="0" t="str">
        <f aca="false">IF(OR($A439="",$E439="",$D439=""),"",IF($E439&lt;$D439,"EVET","HAYIR"))</f>
        <v/>
      </c>
      <c r="H439" s="0" t="str">
        <f aca="false">IF(OR($A439="",$E439="",$F439=""),"",IF($E439&lt;=$F439,"KAZANDI","KAYBETTİ"))</f>
        <v/>
      </c>
    </row>
    <row r="440" customFormat="false" ht="15" hidden="false" customHeight="false" outlineLevel="0" collapsed="false">
      <c r="A440" s="23"/>
      <c r="B440" s="25"/>
      <c r="C440" s="26"/>
      <c r="D440" s="26"/>
      <c r="E440" s="26"/>
      <c r="F440" s="26"/>
      <c r="G440" s="0" t="str">
        <f aca="false">IF(OR($A440="",$E440="",$D440=""),"",IF($E440&lt;$D440,"EVET","HAYIR"))</f>
        <v/>
      </c>
      <c r="H440" s="0" t="str">
        <f aca="false">IF(OR($A440="",$E440="",$F440=""),"",IF($E440&lt;=$F440,"KAZANDI","KAYBETTİ"))</f>
        <v/>
      </c>
    </row>
    <row r="441" customFormat="false" ht="15" hidden="false" customHeight="false" outlineLevel="0" collapsed="false">
      <c r="A441" s="23"/>
      <c r="B441" s="25"/>
      <c r="C441" s="26"/>
      <c r="D441" s="26"/>
      <c r="E441" s="26"/>
      <c r="F441" s="26"/>
      <c r="G441" s="0" t="str">
        <f aca="false">IF(OR($A441="",$E441="",$D441=""),"",IF($E441&lt;$D441,"EVET","HAYIR"))</f>
        <v/>
      </c>
      <c r="H441" s="0" t="str">
        <f aca="false">IF(OR($A441="",$E441="",$F441=""),"",IF($E441&lt;=$F441,"KAZANDI","KAYBETTİ"))</f>
        <v/>
      </c>
    </row>
    <row r="442" customFormat="false" ht="15" hidden="false" customHeight="false" outlineLevel="0" collapsed="false">
      <c r="A442" s="23"/>
      <c r="B442" s="25"/>
      <c r="C442" s="26"/>
      <c r="D442" s="26"/>
      <c r="E442" s="26"/>
      <c r="F442" s="26"/>
      <c r="G442" s="0" t="str">
        <f aca="false">IF(OR($A442="",$E442="",$D442=""),"",IF($E442&lt;$D442,"EVET","HAYIR"))</f>
        <v/>
      </c>
      <c r="H442" s="0" t="str">
        <f aca="false">IF(OR($A442="",$E442="",$F442=""),"",IF($E442&lt;=$F442,"KAZANDI","KAYBETTİ"))</f>
        <v/>
      </c>
    </row>
    <row r="443" customFormat="false" ht="15" hidden="false" customHeight="false" outlineLevel="0" collapsed="false">
      <c r="A443" s="23"/>
      <c r="B443" s="25"/>
      <c r="C443" s="26"/>
      <c r="D443" s="26"/>
      <c r="E443" s="26"/>
      <c r="F443" s="26"/>
      <c r="G443" s="0" t="str">
        <f aca="false">IF(OR($A443="",$E443="",$D443=""),"",IF($E443&lt;$D443,"EVET","HAYIR"))</f>
        <v/>
      </c>
      <c r="H443" s="0" t="str">
        <f aca="false">IF(OR($A443="",$E443="",$F443=""),"",IF($E443&lt;=$F443,"KAZANDI","KAYBETTİ"))</f>
        <v/>
      </c>
    </row>
    <row r="444" customFormat="false" ht="15" hidden="false" customHeight="false" outlineLevel="0" collapsed="false">
      <c r="A444" s="23"/>
      <c r="B444" s="25"/>
      <c r="C444" s="26"/>
      <c r="D444" s="26"/>
      <c r="E444" s="26"/>
      <c r="F444" s="26"/>
      <c r="G444" s="0" t="str">
        <f aca="false">IF(OR($A444="",$E444="",$D444=""),"",IF($E444&lt;$D444,"EVET","HAYIR"))</f>
        <v/>
      </c>
      <c r="H444" s="0" t="str">
        <f aca="false">IF(OR($A444="",$E444="",$F444=""),"",IF($E444&lt;=$F444,"KAZANDI","KAYBETTİ"))</f>
        <v/>
      </c>
    </row>
    <row r="445" customFormat="false" ht="15" hidden="false" customHeight="false" outlineLevel="0" collapsed="false">
      <c r="A445" s="23"/>
      <c r="B445" s="25"/>
      <c r="C445" s="26"/>
      <c r="D445" s="26"/>
      <c r="E445" s="26"/>
      <c r="F445" s="26"/>
      <c r="G445" s="0" t="str">
        <f aca="false">IF(OR($A445="",$E445="",$D445=""),"",IF($E445&lt;$D445,"EVET","HAYIR"))</f>
        <v/>
      </c>
      <c r="H445" s="0" t="str">
        <f aca="false">IF(OR($A445="",$E445="",$F445=""),"",IF($E445&lt;=$F445,"KAZANDI","KAYBETTİ"))</f>
        <v/>
      </c>
    </row>
    <row r="446" customFormat="false" ht="15" hidden="false" customHeight="false" outlineLevel="0" collapsed="false">
      <c r="A446" s="23"/>
      <c r="B446" s="25"/>
      <c r="C446" s="26"/>
      <c r="D446" s="26"/>
      <c r="E446" s="26"/>
      <c r="F446" s="26"/>
      <c r="G446" s="0" t="str">
        <f aca="false">IF(OR($A446="",$E446="",$D446=""),"",IF($E446&lt;$D446,"EVET","HAYIR"))</f>
        <v/>
      </c>
      <c r="H446" s="0" t="str">
        <f aca="false">IF(OR($A446="",$E446="",$F446=""),"",IF($E446&lt;=$F446,"KAZANDI","KAYBETTİ"))</f>
        <v/>
      </c>
    </row>
    <row r="447" customFormat="false" ht="15" hidden="false" customHeight="false" outlineLevel="0" collapsed="false">
      <c r="A447" s="23"/>
      <c r="B447" s="25"/>
      <c r="C447" s="26"/>
      <c r="D447" s="26"/>
      <c r="E447" s="26"/>
      <c r="F447" s="26"/>
      <c r="G447" s="0" t="str">
        <f aca="false">IF(OR($A447="",$E447="",$D447=""),"",IF($E447&lt;$D447,"EVET","HAYIR"))</f>
        <v/>
      </c>
      <c r="H447" s="0" t="str">
        <f aca="false">IF(OR($A447="",$E447="",$F447=""),"",IF($E447&lt;=$F447,"KAZANDI","KAYBETTİ"))</f>
        <v/>
      </c>
    </row>
    <row r="448" customFormat="false" ht="15" hidden="false" customHeight="false" outlineLevel="0" collapsed="false">
      <c r="A448" s="23"/>
      <c r="B448" s="25"/>
      <c r="C448" s="26"/>
      <c r="D448" s="26"/>
      <c r="E448" s="26"/>
      <c r="F448" s="26"/>
      <c r="G448" s="0" t="str">
        <f aca="false">IF(OR($A448="",$E448="",$D448=""),"",IF($E448&lt;$D448,"EVET","HAYIR"))</f>
        <v/>
      </c>
      <c r="H448" s="0" t="str">
        <f aca="false">IF(OR($A448="",$E448="",$F448=""),"",IF($E448&lt;=$F448,"KAZANDI","KAYBETTİ"))</f>
        <v/>
      </c>
    </row>
    <row r="449" customFormat="false" ht="15" hidden="false" customHeight="false" outlineLevel="0" collapsed="false">
      <c r="A449" s="23"/>
      <c r="B449" s="25"/>
      <c r="C449" s="26"/>
      <c r="D449" s="26"/>
      <c r="E449" s="26"/>
      <c r="F449" s="26"/>
      <c r="G449" s="0" t="str">
        <f aca="false">IF(OR($A449="",$E449="",$D449=""),"",IF($E449&lt;$D449,"EVET","HAYIR"))</f>
        <v/>
      </c>
      <c r="H449" s="0" t="str">
        <f aca="false">IF(OR($A449="",$E449="",$F449=""),"",IF($E449&lt;=$F449,"KAZANDI","KAYBETTİ"))</f>
        <v/>
      </c>
    </row>
    <row r="450" customFormat="false" ht="15" hidden="false" customHeight="false" outlineLevel="0" collapsed="false">
      <c r="A450" s="23"/>
      <c r="B450" s="25"/>
      <c r="C450" s="26"/>
      <c r="D450" s="26"/>
      <c r="E450" s="26"/>
      <c r="F450" s="26"/>
      <c r="G450" s="0" t="str">
        <f aca="false">IF(OR($A450="",$E450="",$D450=""),"",IF($E450&lt;$D450,"EVET","HAYIR"))</f>
        <v/>
      </c>
      <c r="H450" s="0" t="str">
        <f aca="false">IF(OR($A450="",$E450="",$F450=""),"",IF($E450&lt;=$F450,"KAZANDI","KAYBETTİ"))</f>
        <v/>
      </c>
    </row>
    <row r="451" customFormat="false" ht="15" hidden="false" customHeight="false" outlineLevel="0" collapsed="false">
      <c r="A451" s="23"/>
      <c r="B451" s="25"/>
      <c r="C451" s="26"/>
      <c r="D451" s="26"/>
      <c r="E451" s="26"/>
      <c r="F451" s="26"/>
      <c r="G451" s="0" t="str">
        <f aca="false">IF(OR($A451="",$E451="",$D451=""),"",IF($E451&lt;$D451,"EVET","HAYIR"))</f>
        <v/>
      </c>
      <c r="H451" s="0" t="str">
        <f aca="false">IF(OR($A451="",$E451="",$F451=""),"",IF($E451&lt;=$F451,"KAZANDI","KAYBETTİ"))</f>
        <v/>
      </c>
    </row>
    <row r="452" customFormat="false" ht="15" hidden="false" customHeight="false" outlineLevel="0" collapsed="false">
      <c r="A452" s="23"/>
      <c r="B452" s="25"/>
      <c r="C452" s="26"/>
      <c r="D452" s="26"/>
      <c r="E452" s="26"/>
      <c r="F452" s="26"/>
      <c r="G452" s="0" t="str">
        <f aca="false">IF(OR($A452="",$E452="",$D452=""),"",IF($E452&lt;$D452,"EVET","HAYIR"))</f>
        <v/>
      </c>
      <c r="H452" s="0" t="str">
        <f aca="false">IF(OR($A452="",$E452="",$F452=""),"",IF($E452&lt;=$F452,"KAZANDI","KAYBETTİ"))</f>
        <v/>
      </c>
    </row>
    <row r="453" customFormat="false" ht="15" hidden="false" customHeight="false" outlineLevel="0" collapsed="false">
      <c r="A453" s="23"/>
      <c r="B453" s="25"/>
      <c r="C453" s="26"/>
      <c r="D453" s="26"/>
      <c r="E453" s="26"/>
      <c r="F453" s="26"/>
      <c r="G453" s="0" t="str">
        <f aca="false">IF(OR($A453="",$E453="",$D453=""),"",IF($E453&lt;$D453,"EVET","HAYIR"))</f>
        <v/>
      </c>
      <c r="H453" s="0" t="str">
        <f aca="false">IF(OR($A453="",$E453="",$F453=""),"",IF($E453&lt;=$F453,"KAZANDI","KAYBETTİ"))</f>
        <v/>
      </c>
    </row>
    <row r="454" customFormat="false" ht="15" hidden="false" customHeight="false" outlineLevel="0" collapsed="false">
      <c r="A454" s="23"/>
      <c r="B454" s="25"/>
      <c r="C454" s="26"/>
      <c r="D454" s="26"/>
      <c r="E454" s="26"/>
      <c r="F454" s="26"/>
      <c r="G454" s="0" t="str">
        <f aca="false">IF(OR($A454="",$E454="",$D454=""),"",IF($E454&lt;$D454,"EVET","HAYIR"))</f>
        <v/>
      </c>
      <c r="H454" s="0" t="str">
        <f aca="false">IF(OR($A454="",$E454="",$F454=""),"",IF($E454&lt;=$F454,"KAZANDI","KAYBETTİ"))</f>
        <v/>
      </c>
    </row>
    <row r="455" customFormat="false" ht="15" hidden="false" customHeight="false" outlineLevel="0" collapsed="false">
      <c r="A455" s="23"/>
      <c r="B455" s="25"/>
      <c r="C455" s="26"/>
      <c r="D455" s="26"/>
      <c r="E455" s="26"/>
      <c r="F455" s="26"/>
      <c r="G455" s="0" t="str">
        <f aca="false">IF(OR($A455="",$E455="",$D455=""),"",IF($E455&lt;$D455,"EVET","HAYIR"))</f>
        <v/>
      </c>
      <c r="H455" s="0" t="str">
        <f aca="false">IF(OR($A455="",$E455="",$F455=""),"",IF($E455&lt;=$F455,"KAZANDI","KAYBETTİ"))</f>
        <v/>
      </c>
    </row>
    <row r="456" customFormat="false" ht="15" hidden="false" customHeight="false" outlineLevel="0" collapsed="false">
      <c r="A456" s="23"/>
      <c r="B456" s="25"/>
      <c r="C456" s="26"/>
      <c r="D456" s="26"/>
      <c r="E456" s="26"/>
      <c r="F456" s="26"/>
      <c r="G456" s="0" t="str">
        <f aca="false">IF(OR($A456="",$E456="",$D456=""),"",IF($E456&lt;$D456,"EVET","HAYIR"))</f>
        <v/>
      </c>
      <c r="H456" s="0" t="str">
        <f aca="false">IF(OR($A456="",$E456="",$F456=""),"",IF($E456&lt;=$F456,"KAZANDI","KAYBETTİ"))</f>
        <v/>
      </c>
    </row>
    <row r="457" customFormat="false" ht="15" hidden="false" customHeight="false" outlineLevel="0" collapsed="false">
      <c r="A457" s="23"/>
      <c r="B457" s="25"/>
      <c r="C457" s="26"/>
      <c r="D457" s="26"/>
      <c r="E457" s="26"/>
      <c r="F457" s="26"/>
      <c r="G457" s="0" t="str">
        <f aca="false">IF(OR($A457="",$E457="",$D457=""),"",IF($E457&lt;$D457,"EVET","HAYIR"))</f>
        <v/>
      </c>
      <c r="H457" s="0" t="str">
        <f aca="false">IF(OR($A457="",$E457="",$F457=""),"",IF($E457&lt;=$F457,"KAZANDI","KAYBETTİ"))</f>
        <v/>
      </c>
    </row>
    <row r="458" customFormat="false" ht="15" hidden="false" customHeight="false" outlineLevel="0" collapsed="false">
      <c r="A458" s="23"/>
      <c r="B458" s="25"/>
      <c r="C458" s="26"/>
      <c r="D458" s="26"/>
      <c r="E458" s="26"/>
      <c r="F458" s="26"/>
      <c r="G458" s="0" t="str">
        <f aca="false">IF(OR($A458="",$E458="",$D458=""),"",IF($E458&lt;$D458,"EVET","HAYIR"))</f>
        <v/>
      </c>
      <c r="H458" s="0" t="str">
        <f aca="false">IF(OR($A458="",$E458="",$F458=""),"",IF($E458&lt;=$F458,"KAZANDI","KAYBETTİ"))</f>
        <v/>
      </c>
    </row>
    <row r="459" customFormat="false" ht="15" hidden="false" customHeight="false" outlineLevel="0" collapsed="false">
      <c r="A459" s="23"/>
      <c r="B459" s="25"/>
      <c r="C459" s="26"/>
      <c r="D459" s="26"/>
      <c r="E459" s="26"/>
      <c r="F459" s="26"/>
      <c r="G459" s="0" t="str">
        <f aca="false">IF(OR($A459="",$E459="",$D459=""),"",IF($E459&lt;$D459,"EVET","HAYIR"))</f>
        <v/>
      </c>
      <c r="H459" s="0" t="str">
        <f aca="false">IF(OR($A459="",$E459="",$F459=""),"",IF($E459&lt;=$F459,"KAZANDI","KAYBETTİ"))</f>
        <v/>
      </c>
    </row>
    <row r="460" customFormat="false" ht="15" hidden="false" customHeight="false" outlineLevel="0" collapsed="false">
      <c r="A460" s="23"/>
      <c r="B460" s="25"/>
      <c r="C460" s="26"/>
      <c r="D460" s="26"/>
      <c r="E460" s="26"/>
      <c r="F460" s="26"/>
      <c r="G460" s="0" t="str">
        <f aca="false">IF(OR($A460="",$E460="",$D460=""),"",IF($E460&lt;$D460,"EVET","HAYIR"))</f>
        <v/>
      </c>
      <c r="H460" s="0" t="str">
        <f aca="false">IF(OR($A460="",$E460="",$F460=""),"",IF($E460&lt;=$F460,"KAZANDI","KAYBETTİ"))</f>
        <v/>
      </c>
    </row>
    <row r="461" customFormat="false" ht="15" hidden="false" customHeight="false" outlineLevel="0" collapsed="false">
      <c r="A461" s="23"/>
      <c r="B461" s="25"/>
      <c r="C461" s="26"/>
      <c r="D461" s="26"/>
      <c r="E461" s="26"/>
      <c r="F461" s="26"/>
      <c r="G461" s="0" t="str">
        <f aca="false">IF(OR($A461="",$E461="",$D461=""),"",IF($E461&lt;$D461,"EVET","HAYIR"))</f>
        <v/>
      </c>
      <c r="H461" s="0" t="str">
        <f aca="false">IF(OR($A461="",$E461="",$F461=""),"",IF($E461&lt;=$F461,"KAZANDI","KAYBETTİ"))</f>
        <v/>
      </c>
    </row>
    <row r="462" customFormat="false" ht="15" hidden="false" customHeight="false" outlineLevel="0" collapsed="false">
      <c r="A462" s="23"/>
      <c r="B462" s="25"/>
      <c r="C462" s="26"/>
      <c r="D462" s="26"/>
      <c r="E462" s="26"/>
      <c r="F462" s="26"/>
      <c r="G462" s="0" t="str">
        <f aca="false">IF(OR($A462="",$E462="",$D462=""),"",IF($E462&lt;$D462,"EVET","HAYIR"))</f>
        <v/>
      </c>
      <c r="H462" s="0" t="str">
        <f aca="false">IF(OR($A462="",$E462="",$F462=""),"",IF($E462&lt;=$F462,"KAZANDI","KAYBETTİ"))</f>
        <v/>
      </c>
    </row>
    <row r="463" customFormat="false" ht="15" hidden="false" customHeight="false" outlineLevel="0" collapsed="false">
      <c r="A463" s="23"/>
      <c r="B463" s="25"/>
      <c r="C463" s="26"/>
      <c r="D463" s="26"/>
      <c r="E463" s="26"/>
      <c r="F463" s="26"/>
      <c r="G463" s="0" t="str">
        <f aca="false">IF(OR($A463="",$E463="",$D463=""),"",IF($E463&lt;$D463,"EVET","HAYIR"))</f>
        <v/>
      </c>
      <c r="H463" s="0" t="str">
        <f aca="false">IF(OR($A463="",$E463="",$F463=""),"",IF($E463&lt;=$F463,"KAZANDI","KAYBETTİ"))</f>
        <v/>
      </c>
    </row>
    <row r="464" customFormat="false" ht="15" hidden="false" customHeight="false" outlineLevel="0" collapsed="false">
      <c r="A464" s="23"/>
      <c r="B464" s="25"/>
      <c r="C464" s="26"/>
      <c r="D464" s="26"/>
      <c r="E464" s="26"/>
      <c r="F464" s="26"/>
      <c r="G464" s="0" t="str">
        <f aca="false">IF(OR($A464="",$E464="",$D464=""),"",IF($E464&lt;$D464,"EVET","HAYIR"))</f>
        <v/>
      </c>
      <c r="H464" s="0" t="str">
        <f aca="false">IF(OR($A464="",$E464="",$F464=""),"",IF($E464&lt;=$F464,"KAZANDI","KAYBETTİ"))</f>
        <v/>
      </c>
    </row>
    <row r="465" customFormat="false" ht="15" hidden="false" customHeight="false" outlineLevel="0" collapsed="false">
      <c r="A465" s="23"/>
      <c r="B465" s="25"/>
      <c r="C465" s="26"/>
      <c r="D465" s="26"/>
      <c r="E465" s="26"/>
      <c r="F465" s="26"/>
      <c r="G465" s="0" t="str">
        <f aca="false">IF(OR($A465="",$E465="",$D465=""),"",IF($E465&lt;$D465,"EVET","HAYIR"))</f>
        <v/>
      </c>
      <c r="H465" s="0" t="str">
        <f aca="false">IF(OR($A465="",$E465="",$F465=""),"",IF($E465&lt;=$F465,"KAZANDI","KAYBETTİ"))</f>
        <v/>
      </c>
    </row>
    <row r="466" customFormat="false" ht="15" hidden="false" customHeight="false" outlineLevel="0" collapsed="false">
      <c r="A466" s="23"/>
      <c r="B466" s="25"/>
      <c r="C466" s="26"/>
      <c r="D466" s="26"/>
      <c r="E466" s="26"/>
      <c r="F466" s="26"/>
      <c r="G466" s="0" t="str">
        <f aca="false">IF(OR($A466="",$E466="",$D466=""),"",IF($E466&lt;$D466,"EVET","HAYIR"))</f>
        <v/>
      </c>
      <c r="H466" s="0" t="str">
        <f aca="false">IF(OR($A466="",$E466="",$F466=""),"",IF($E466&lt;=$F466,"KAZANDI","KAYBETTİ"))</f>
        <v/>
      </c>
    </row>
    <row r="467" customFormat="false" ht="15" hidden="false" customHeight="false" outlineLevel="0" collapsed="false">
      <c r="A467" s="23"/>
      <c r="B467" s="25"/>
      <c r="C467" s="26"/>
      <c r="D467" s="26"/>
      <c r="E467" s="26"/>
      <c r="F467" s="26"/>
      <c r="G467" s="0" t="str">
        <f aca="false">IF(OR($A467="",$E467="",$D467=""),"",IF($E467&lt;$D467,"EVET","HAYIR"))</f>
        <v/>
      </c>
      <c r="H467" s="0" t="str">
        <f aca="false">IF(OR($A467="",$E467="",$F467=""),"",IF($E467&lt;=$F467,"KAZANDI","KAYBETTİ"))</f>
        <v/>
      </c>
    </row>
    <row r="468" customFormat="false" ht="15" hidden="false" customHeight="false" outlineLevel="0" collapsed="false">
      <c r="A468" s="23"/>
      <c r="B468" s="25"/>
      <c r="C468" s="26"/>
      <c r="D468" s="26"/>
      <c r="E468" s="26"/>
      <c r="F468" s="26"/>
      <c r="G468" s="0" t="str">
        <f aca="false">IF(OR($A468="",$E468="",$D468=""),"",IF($E468&lt;$D468,"EVET","HAYIR"))</f>
        <v/>
      </c>
      <c r="H468" s="0" t="str">
        <f aca="false">IF(OR($A468="",$E468="",$F468=""),"",IF($E468&lt;=$F468,"KAZANDI","KAYBETTİ"))</f>
        <v/>
      </c>
    </row>
    <row r="469" customFormat="false" ht="15" hidden="false" customHeight="false" outlineLevel="0" collapsed="false">
      <c r="A469" s="23"/>
      <c r="B469" s="25"/>
      <c r="C469" s="26"/>
      <c r="D469" s="26"/>
      <c r="E469" s="26"/>
      <c r="F469" s="26"/>
      <c r="G469" s="0" t="str">
        <f aca="false">IF(OR($A469="",$E469="",$D469=""),"",IF($E469&lt;$D469,"EVET","HAYIR"))</f>
        <v/>
      </c>
      <c r="H469" s="0" t="str">
        <f aca="false">IF(OR($A469="",$E469="",$F469=""),"",IF($E469&lt;=$F469,"KAZANDI","KAYBETTİ"))</f>
        <v/>
      </c>
    </row>
    <row r="470" customFormat="false" ht="15" hidden="false" customHeight="false" outlineLevel="0" collapsed="false">
      <c r="A470" s="23"/>
      <c r="B470" s="25"/>
      <c r="C470" s="26"/>
      <c r="D470" s="26"/>
      <c r="E470" s="26"/>
      <c r="F470" s="26"/>
      <c r="G470" s="0" t="str">
        <f aca="false">IF(OR($A470="",$E470="",$D470=""),"",IF($E470&lt;$D470,"EVET","HAYIR"))</f>
        <v/>
      </c>
      <c r="H470" s="0" t="str">
        <f aca="false">IF(OR($A470="",$E470="",$F470=""),"",IF($E470&lt;=$F470,"KAZANDI","KAYBETTİ"))</f>
        <v/>
      </c>
    </row>
    <row r="471" customFormat="false" ht="15" hidden="false" customHeight="false" outlineLevel="0" collapsed="false">
      <c r="A471" s="23"/>
      <c r="B471" s="25"/>
      <c r="C471" s="26"/>
      <c r="D471" s="26"/>
      <c r="E471" s="26"/>
      <c r="F471" s="26"/>
      <c r="G471" s="0" t="str">
        <f aca="false">IF(OR($A471="",$E471="",$D471=""),"",IF($E471&lt;$D471,"EVET","HAYIR"))</f>
        <v/>
      </c>
      <c r="H471" s="0" t="str">
        <f aca="false">IF(OR($A471="",$E471="",$F471=""),"",IF($E471&lt;=$F471,"KAZANDI","KAYBETTİ"))</f>
        <v/>
      </c>
    </row>
    <row r="472" customFormat="false" ht="15" hidden="false" customHeight="false" outlineLevel="0" collapsed="false">
      <c r="A472" s="23"/>
      <c r="B472" s="25"/>
      <c r="C472" s="26"/>
      <c r="D472" s="26"/>
      <c r="E472" s="26"/>
      <c r="F472" s="26"/>
      <c r="G472" s="0" t="str">
        <f aca="false">IF(OR($A472="",$E472="",$D472=""),"",IF($E472&lt;$D472,"EVET","HAYIR"))</f>
        <v/>
      </c>
      <c r="H472" s="0" t="str">
        <f aca="false">IF(OR($A472="",$E472="",$F472=""),"",IF($E472&lt;=$F472,"KAZANDI","KAYBETTİ"))</f>
        <v/>
      </c>
    </row>
    <row r="473" customFormat="false" ht="15" hidden="false" customHeight="false" outlineLevel="0" collapsed="false">
      <c r="A473" s="23"/>
      <c r="B473" s="25"/>
      <c r="C473" s="26"/>
      <c r="D473" s="26"/>
      <c r="E473" s="26"/>
      <c r="F473" s="26"/>
      <c r="G473" s="0" t="str">
        <f aca="false">IF(OR($A473="",$E473="",$D473=""),"",IF($E473&lt;$D473,"EVET","HAYIR"))</f>
        <v/>
      </c>
      <c r="H473" s="0" t="str">
        <f aca="false">IF(OR($A473="",$E473="",$F473=""),"",IF($E473&lt;=$F473,"KAZANDI","KAYBETTİ"))</f>
        <v/>
      </c>
    </row>
    <row r="474" customFormat="false" ht="15" hidden="false" customHeight="false" outlineLevel="0" collapsed="false">
      <c r="A474" s="23"/>
      <c r="B474" s="25"/>
      <c r="C474" s="26"/>
      <c r="D474" s="26"/>
      <c r="E474" s="26"/>
      <c r="F474" s="26"/>
      <c r="G474" s="0" t="str">
        <f aca="false">IF(OR($A474="",$E474="",$D474=""),"",IF($E474&lt;$D474,"EVET","HAYIR"))</f>
        <v/>
      </c>
      <c r="H474" s="0" t="str">
        <f aca="false">IF(OR($A474="",$E474="",$F474=""),"",IF($E474&lt;=$F474,"KAZANDI","KAYBETTİ"))</f>
        <v/>
      </c>
    </row>
    <row r="475" customFormat="false" ht="15" hidden="false" customHeight="false" outlineLevel="0" collapsed="false">
      <c r="A475" s="23"/>
      <c r="B475" s="25"/>
      <c r="C475" s="26"/>
      <c r="D475" s="26"/>
      <c r="E475" s="26"/>
      <c r="F475" s="26"/>
      <c r="G475" s="0" t="str">
        <f aca="false">IF(OR($A475="",$E475="",$D475=""),"",IF($E475&lt;$D475,"EVET","HAYIR"))</f>
        <v/>
      </c>
      <c r="H475" s="0" t="str">
        <f aca="false">IF(OR($A475="",$E475="",$F475=""),"",IF($E475&lt;=$F475,"KAZANDI","KAYBETTİ"))</f>
        <v/>
      </c>
    </row>
    <row r="476" customFormat="false" ht="15" hidden="false" customHeight="false" outlineLevel="0" collapsed="false">
      <c r="A476" s="23"/>
      <c r="B476" s="25"/>
      <c r="C476" s="26"/>
      <c r="D476" s="26"/>
      <c r="E476" s="26"/>
      <c r="F476" s="26"/>
      <c r="G476" s="0" t="str">
        <f aca="false">IF(OR($A476="",$E476="",$D476=""),"",IF($E476&lt;$D476,"EVET","HAYIR"))</f>
        <v/>
      </c>
      <c r="H476" s="0" t="str">
        <f aca="false">IF(OR($A476="",$E476="",$F476=""),"",IF($E476&lt;=$F476,"KAZANDI","KAYBETTİ"))</f>
        <v/>
      </c>
    </row>
    <row r="477" customFormat="false" ht="15" hidden="false" customHeight="false" outlineLevel="0" collapsed="false">
      <c r="A477" s="23"/>
      <c r="B477" s="25"/>
      <c r="C477" s="26"/>
      <c r="D477" s="26"/>
      <c r="E477" s="26"/>
      <c r="F477" s="26"/>
      <c r="G477" s="0" t="str">
        <f aca="false">IF(OR($A477="",$E477="",$D477=""),"",IF($E477&lt;$D477,"EVET","HAYIR"))</f>
        <v/>
      </c>
      <c r="H477" s="0" t="str">
        <f aca="false">IF(OR($A477="",$E477="",$F477=""),"",IF($E477&lt;=$F477,"KAZANDI","KAYBETTİ"))</f>
        <v/>
      </c>
    </row>
    <row r="478" customFormat="false" ht="15" hidden="false" customHeight="false" outlineLevel="0" collapsed="false">
      <c r="A478" s="23"/>
      <c r="B478" s="25"/>
      <c r="C478" s="26"/>
      <c r="D478" s="26"/>
      <c r="E478" s="26"/>
      <c r="F478" s="26"/>
      <c r="G478" s="0" t="str">
        <f aca="false">IF(OR($A478="",$E478="",$D478=""),"",IF($E478&lt;$D478,"EVET","HAYIR"))</f>
        <v/>
      </c>
      <c r="H478" s="0" t="str">
        <f aca="false">IF(OR($A478="",$E478="",$F478=""),"",IF($E478&lt;=$F478,"KAZANDI","KAYBETTİ"))</f>
        <v/>
      </c>
    </row>
    <row r="479" customFormat="false" ht="15" hidden="false" customHeight="false" outlineLevel="0" collapsed="false">
      <c r="A479" s="23"/>
      <c r="B479" s="25"/>
      <c r="C479" s="26"/>
      <c r="D479" s="26"/>
      <c r="E479" s="26"/>
      <c r="F479" s="26"/>
      <c r="G479" s="0" t="str">
        <f aca="false">IF(OR($A479="",$E479="",$D479=""),"",IF($E479&lt;$D479,"EVET","HAYIR"))</f>
        <v/>
      </c>
      <c r="H479" s="0" t="str">
        <f aca="false">IF(OR($A479="",$E479="",$F479=""),"",IF($E479&lt;=$F479,"KAZANDI","KAYBETTİ"))</f>
        <v/>
      </c>
    </row>
    <row r="480" customFormat="false" ht="15" hidden="false" customHeight="false" outlineLevel="0" collapsed="false">
      <c r="A480" s="23"/>
      <c r="B480" s="25"/>
      <c r="C480" s="26"/>
      <c r="D480" s="26"/>
      <c r="E480" s="26"/>
      <c r="F480" s="26"/>
      <c r="G480" s="0" t="str">
        <f aca="false">IF(OR($A480="",$E480="",$D480=""),"",IF($E480&lt;$D480,"EVET","HAYIR"))</f>
        <v/>
      </c>
      <c r="H480" s="0" t="str">
        <f aca="false">IF(OR($A480="",$E480="",$F480=""),"",IF($E480&lt;=$F480,"KAZANDI","KAYBETTİ"))</f>
        <v/>
      </c>
    </row>
    <row r="481" customFormat="false" ht="15" hidden="false" customHeight="false" outlineLevel="0" collapsed="false">
      <c r="A481" s="23"/>
      <c r="B481" s="25"/>
      <c r="C481" s="26"/>
      <c r="D481" s="26"/>
      <c r="E481" s="26"/>
      <c r="F481" s="26"/>
      <c r="G481" s="0" t="str">
        <f aca="false">IF(OR($A481="",$E481="",$D481=""),"",IF($E481&lt;$D481,"EVET","HAYIR"))</f>
        <v/>
      </c>
      <c r="H481" s="0" t="str">
        <f aca="false">IF(OR($A481="",$E481="",$F481=""),"",IF($E481&lt;=$F481,"KAZANDI","KAYBETTİ"))</f>
        <v/>
      </c>
    </row>
    <row r="482" customFormat="false" ht="15" hidden="false" customHeight="false" outlineLevel="0" collapsed="false">
      <c r="A482" s="23"/>
      <c r="B482" s="25"/>
      <c r="C482" s="26"/>
      <c r="D482" s="26"/>
      <c r="E482" s="26"/>
      <c r="F482" s="26"/>
      <c r="G482" s="0" t="str">
        <f aca="false">IF(OR($A482="",$E482="",$D482=""),"",IF($E482&lt;$D482,"EVET","HAYIR"))</f>
        <v/>
      </c>
      <c r="H482" s="0" t="str">
        <f aca="false">IF(OR($A482="",$E482="",$F482=""),"",IF($E482&lt;=$F482,"KAZANDI","KAYBETTİ"))</f>
        <v/>
      </c>
    </row>
    <row r="483" customFormat="false" ht="15" hidden="false" customHeight="false" outlineLevel="0" collapsed="false">
      <c r="A483" s="23"/>
      <c r="B483" s="25"/>
      <c r="C483" s="26"/>
      <c r="D483" s="26"/>
      <c r="E483" s="26"/>
      <c r="F483" s="26"/>
      <c r="G483" s="0" t="str">
        <f aca="false">IF(OR($A483="",$E483="",$D483=""),"",IF($E483&lt;$D483,"EVET","HAYIR"))</f>
        <v/>
      </c>
      <c r="H483" s="0" t="str">
        <f aca="false">IF(OR($A483="",$E483="",$F483=""),"",IF($E483&lt;=$F483,"KAZANDI","KAYBETTİ"))</f>
        <v/>
      </c>
    </row>
    <row r="484" customFormat="false" ht="15" hidden="false" customHeight="false" outlineLevel="0" collapsed="false">
      <c r="A484" s="23"/>
      <c r="B484" s="25"/>
      <c r="C484" s="26"/>
      <c r="D484" s="26"/>
      <c r="E484" s="26"/>
      <c r="F484" s="26"/>
      <c r="G484" s="0" t="str">
        <f aca="false">IF(OR($A484="",$E484="",$D484=""),"",IF($E484&lt;$D484,"EVET","HAYIR"))</f>
        <v/>
      </c>
      <c r="H484" s="0" t="str">
        <f aca="false">IF(OR($A484="",$E484="",$F484=""),"",IF($E484&lt;=$F484,"KAZANDI","KAYBETTİ"))</f>
        <v/>
      </c>
    </row>
    <row r="485" customFormat="false" ht="15" hidden="false" customHeight="false" outlineLevel="0" collapsed="false">
      <c r="A485" s="23"/>
      <c r="B485" s="25"/>
      <c r="C485" s="26"/>
      <c r="D485" s="26"/>
      <c r="E485" s="26"/>
      <c r="F485" s="26"/>
      <c r="G485" s="0" t="str">
        <f aca="false">IF(OR($A485="",$E485="",$D485=""),"",IF($E485&lt;$D485,"EVET","HAYIR"))</f>
        <v/>
      </c>
      <c r="H485" s="0" t="str">
        <f aca="false">IF(OR($A485="",$E485="",$F485=""),"",IF($E485&lt;=$F485,"KAZANDI","KAYBETTİ"))</f>
        <v/>
      </c>
    </row>
    <row r="486" customFormat="false" ht="15" hidden="false" customHeight="false" outlineLevel="0" collapsed="false">
      <c r="A486" s="23"/>
      <c r="B486" s="25"/>
      <c r="C486" s="26"/>
      <c r="D486" s="26"/>
      <c r="E486" s="26"/>
      <c r="F486" s="26"/>
      <c r="G486" s="0" t="str">
        <f aca="false">IF(OR($A486="",$E486="",$D486=""),"",IF($E486&lt;$D486,"EVET","HAYIR"))</f>
        <v/>
      </c>
      <c r="H486" s="0" t="str">
        <f aca="false">IF(OR($A486="",$E486="",$F486=""),"",IF($E486&lt;=$F486,"KAZANDI","KAYBETTİ"))</f>
        <v/>
      </c>
    </row>
    <row r="487" customFormat="false" ht="15" hidden="false" customHeight="false" outlineLevel="0" collapsed="false">
      <c r="A487" s="23"/>
      <c r="B487" s="25"/>
      <c r="C487" s="26"/>
      <c r="D487" s="26"/>
      <c r="E487" s="26"/>
      <c r="F487" s="26"/>
      <c r="G487" s="0" t="str">
        <f aca="false">IF(OR($A487="",$E487="",$D487=""),"",IF($E487&lt;$D487,"EVET","HAYIR"))</f>
        <v/>
      </c>
      <c r="H487" s="0" t="str">
        <f aca="false">IF(OR($A487="",$E487="",$F487=""),"",IF($E487&lt;=$F487,"KAZANDI","KAYBETTİ"))</f>
        <v/>
      </c>
    </row>
    <row r="488" customFormat="false" ht="15" hidden="false" customHeight="false" outlineLevel="0" collapsed="false">
      <c r="A488" s="23"/>
      <c r="B488" s="25"/>
      <c r="C488" s="26"/>
      <c r="D488" s="26"/>
      <c r="E488" s="26"/>
      <c r="F488" s="26"/>
      <c r="G488" s="0" t="str">
        <f aca="false">IF(OR($A488="",$E488="",$D488=""),"",IF($E488&lt;$D488,"EVET","HAYIR"))</f>
        <v/>
      </c>
      <c r="H488" s="0" t="str">
        <f aca="false">IF(OR($A488="",$E488="",$F488=""),"",IF($E488&lt;=$F488,"KAZANDI","KAYBETTİ"))</f>
        <v/>
      </c>
    </row>
    <row r="489" customFormat="false" ht="15" hidden="false" customHeight="false" outlineLevel="0" collapsed="false">
      <c r="A489" s="23"/>
      <c r="B489" s="25"/>
      <c r="C489" s="26"/>
      <c r="D489" s="26"/>
      <c r="E489" s="26"/>
      <c r="F489" s="26"/>
      <c r="G489" s="0" t="str">
        <f aca="false">IF(OR($A489="",$E489="",$D489=""),"",IF($E489&lt;$D489,"EVET","HAYIR"))</f>
        <v/>
      </c>
      <c r="H489" s="0" t="str">
        <f aca="false">IF(OR($A489="",$E489="",$F489=""),"",IF($E489&lt;=$F489,"KAZANDI","KAYBETTİ"))</f>
        <v/>
      </c>
    </row>
    <row r="490" customFormat="false" ht="15" hidden="false" customHeight="false" outlineLevel="0" collapsed="false">
      <c r="A490" s="23"/>
      <c r="B490" s="25"/>
      <c r="C490" s="26"/>
      <c r="D490" s="26"/>
      <c r="E490" s="26"/>
      <c r="F490" s="26"/>
      <c r="G490" s="0" t="str">
        <f aca="false">IF(OR($A490="",$E490="",$D490=""),"",IF($E490&lt;$D490,"EVET","HAYIR"))</f>
        <v/>
      </c>
      <c r="H490" s="0" t="str">
        <f aca="false">IF(OR($A490="",$E490="",$F490=""),"",IF($E490&lt;=$F490,"KAZANDI","KAYBETTİ"))</f>
        <v/>
      </c>
    </row>
    <row r="491" customFormat="false" ht="15" hidden="false" customHeight="false" outlineLevel="0" collapsed="false">
      <c r="A491" s="23"/>
      <c r="B491" s="25"/>
      <c r="C491" s="26"/>
      <c r="D491" s="26"/>
      <c r="E491" s="26"/>
      <c r="F491" s="26"/>
      <c r="G491" s="0" t="str">
        <f aca="false">IF(OR($A491="",$E491="",$D491=""),"",IF($E491&lt;$D491,"EVET","HAYIR"))</f>
        <v/>
      </c>
      <c r="H491" s="0" t="str">
        <f aca="false">IF(OR($A491="",$E491="",$F491=""),"",IF($E491&lt;=$F491,"KAZANDI","KAYBETTİ"))</f>
        <v/>
      </c>
    </row>
    <row r="492" customFormat="false" ht="15" hidden="false" customHeight="false" outlineLevel="0" collapsed="false">
      <c r="A492" s="23"/>
      <c r="B492" s="25"/>
      <c r="C492" s="26"/>
      <c r="D492" s="26"/>
      <c r="E492" s="26"/>
      <c r="F492" s="26"/>
      <c r="G492" s="0" t="str">
        <f aca="false">IF(OR($A492="",$E492="",$D492=""),"",IF($E492&lt;$D492,"EVET","HAYIR"))</f>
        <v/>
      </c>
      <c r="H492" s="0" t="str">
        <f aca="false">IF(OR($A492="",$E492="",$F492=""),"",IF($E492&lt;=$F492,"KAZANDI","KAYBETTİ"))</f>
        <v/>
      </c>
    </row>
    <row r="493" customFormat="false" ht="15" hidden="false" customHeight="false" outlineLevel="0" collapsed="false">
      <c r="A493" s="23"/>
      <c r="B493" s="25"/>
      <c r="C493" s="26"/>
      <c r="D493" s="26"/>
      <c r="E493" s="26"/>
      <c r="F493" s="26"/>
      <c r="G493" s="0" t="str">
        <f aca="false">IF(OR($A493="",$E493="",$D493=""),"",IF($E493&lt;$D493,"EVET","HAYIR"))</f>
        <v/>
      </c>
      <c r="H493" s="0" t="str">
        <f aca="false">IF(OR($A493="",$E493="",$F493=""),"",IF($E493&lt;=$F493,"KAZANDI","KAYBETTİ"))</f>
        <v/>
      </c>
    </row>
    <row r="494" customFormat="false" ht="15" hidden="false" customHeight="false" outlineLevel="0" collapsed="false">
      <c r="A494" s="23"/>
      <c r="B494" s="25"/>
      <c r="C494" s="26"/>
      <c r="D494" s="26"/>
      <c r="E494" s="26"/>
      <c r="F494" s="26"/>
      <c r="G494" s="0" t="str">
        <f aca="false">IF(OR($A494="",$E494="",$D494=""),"",IF($E494&lt;$D494,"EVET","HAYIR"))</f>
        <v/>
      </c>
      <c r="H494" s="0" t="str">
        <f aca="false">IF(OR($A494="",$E494="",$F494=""),"",IF($E494&lt;=$F494,"KAZANDI","KAYBETTİ"))</f>
        <v/>
      </c>
    </row>
    <row r="495" customFormat="false" ht="15" hidden="false" customHeight="false" outlineLevel="0" collapsed="false">
      <c r="A495" s="23"/>
      <c r="B495" s="25"/>
      <c r="C495" s="26"/>
      <c r="D495" s="26"/>
      <c r="E495" s="26"/>
      <c r="F495" s="26"/>
      <c r="G495" s="0" t="str">
        <f aca="false">IF(OR($A495="",$E495="",$D495=""),"",IF($E495&lt;$D495,"EVET","HAYIR"))</f>
        <v/>
      </c>
      <c r="H495" s="0" t="str">
        <f aca="false">IF(OR($A495="",$E495="",$F495=""),"",IF($E495&lt;=$F495,"KAZANDI","KAYBETTİ"))</f>
        <v/>
      </c>
    </row>
    <row r="496" customFormat="false" ht="15" hidden="false" customHeight="false" outlineLevel="0" collapsed="false">
      <c r="A496" s="23"/>
      <c r="B496" s="25"/>
      <c r="C496" s="26"/>
      <c r="D496" s="26"/>
      <c r="E496" s="26"/>
      <c r="F496" s="26"/>
      <c r="G496" s="0" t="str">
        <f aca="false">IF(OR($A496="",$E496="",$D496=""),"",IF($E496&lt;$D496,"EVET","HAYIR"))</f>
        <v/>
      </c>
      <c r="H496" s="0" t="str">
        <f aca="false">IF(OR($A496="",$E496="",$F496=""),"",IF($E496&lt;=$F496,"KAZANDI","KAYBETTİ"))</f>
        <v/>
      </c>
    </row>
    <row r="497" customFormat="false" ht="15" hidden="false" customHeight="false" outlineLevel="0" collapsed="false">
      <c r="A497" s="23"/>
      <c r="B497" s="25"/>
      <c r="C497" s="26"/>
      <c r="D497" s="26"/>
      <c r="E497" s="26"/>
      <c r="F497" s="26"/>
      <c r="G497" s="0" t="str">
        <f aca="false">IF(OR($A497="",$E497="",$D497=""),"",IF($E497&lt;$D497,"EVET","HAYIR"))</f>
        <v/>
      </c>
      <c r="H497" s="0" t="str">
        <f aca="false">IF(OR($A497="",$E497="",$F497=""),"",IF($E497&lt;=$F497,"KAZANDI","KAYBETTİ"))</f>
        <v/>
      </c>
    </row>
    <row r="498" customFormat="false" ht="15" hidden="false" customHeight="false" outlineLevel="0" collapsed="false">
      <c r="A498" s="23"/>
      <c r="B498" s="25"/>
      <c r="C498" s="26"/>
      <c r="D498" s="26"/>
      <c r="E498" s="26"/>
      <c r="F498" s="26"/>
      <c r="G498" s="0" t="str">
        <f aca="false">IF(OR($A498="",$E498="",$D498=""),"",IF($E498&lt;$D498,"EVET","HAYIR"))</f>
        <v/>
      </c>
      <c r="H498" s="0" t="str">
        <f aca="false">IF(OR($A498="",$E498="",$F498=""),"",IF($E498&lt;=$F498,"KAZANDI","KAYBETTİ"))</f>
        <v/>
      </c>
    </row>
    <row r="499" customFormat="false" ht="15" hidden="false" customHeight="false" outlineLevel="0" collapsed="false">
      <c r="A499" s="23"/>
      <c r="B499" s="25"/>
      <c r="C499" s="26"/>
      <c r="D499" s="26"/>
      <c r="E499" s="26"/>
      <c r="F499" s="26"/>
      <c r="G499" s="0" t="str">
        <f aca="false">IF(OR($A499="",$E499="",$D499=""),"",IF($E499&lt;$D499,"EVET","HAYIR"))</f>
        <v/>
      </c>
      <c r="H499" s="0" t="str">
        <f aca="false">IF(OR($A499="",$E499="",$F499=""),"",IF($E499&lt;=$F499,"KAZANDI","KAYBETTİ"))</f>
        <v/>
      </c>
    </row>
    <row r="500" customFormat="false" ht="15" hidden="false" customHeight="false" outlineLevel="0" collapsed="false">
      <c r="A500" s="23"/>
      <c r="B500" s="25"/>
      <c r="C500" s="26"/>
      <c r="D500" s="26"/>
      <c r="E500" s="26"/>
      <c r="F500" s="26"/>
      <c r="G500" s="0" t="str">
        <f aca="false">IF(OR($A500="",$E500="",$D500=""),"",IF($E500&lt;$D500,"EVET","HAYIR"))</f>
        <v/>
      </c>
      <c r="H500" s="0" t="str">
        <f aca="false">IF(OR($A500="",$E500="",$F500=""),"",IF($E500&lt;=$F500,"KAZANDI","KAYBETTİ"))</f>
        <v/>
      </c>
    </row>
    <row r="501" customFormat="false" ht="15" hidden="false" customHeight="false" outlineLevel="0" collapsed="false">
      <c r="A501" s="23"/>
      <c r="B501" s="25"/>
      <c r="C501" s="26"/>
      <c r="D501" s="26"/>
      <c r="E501" s="26"/>
      <c r="F501" s="26"/>
      <c r="G501" s="0" t="str">
        <f aca="false">IF(OR($A501="",$E501="",$D501=""),"",IF($E501&lt;$D501,"EVET","HAYIR"))</f>
        <v/>
      </c>
      <c r="H501" s="0" t="str">
        <f aca="false">IF(OR($A501="",$E501="",$F501=""),"",IF($E501&lt;=$F501,"KAZANDI","KAYBETTİ"))</f>
        <v/>
      </c>
    </row>
    <row r="502" customFormat="false" ht="15" hidden="false" customHeight="false" outlineLevel="0" collapsed="false">
      <c r="A502" s="23"/>
      <c r="B502" s="25"/>
      <c r="C502" s="26"/>
      <c r="D502" s="26"/>
      <c r="E502" s="26"/>
      <c r="F502" s="26"/>
      <c r="G502" s="0" t="str">
        <f aca="false">IF(OR($A502="",$E502="",$D502=""),"",IF($E502&lt;$D502,"EVET","HAYIR"))</f>
        <v/>
      </c>
      <c r="H502" s="0" t="str">
        <f aca="false">IF(OR($A502="",$E502="",$F502=""),"",IF($E502&lt;=$F502,"KAZANDI","KAYBETTİ"))</f>
        <v/>
      </c>
    </row>
    <row r="503" customFormat="false" ht="15" hidden="false" customHeight="false" outlineLevel="0" collapsed="false">
      <c r="A503" s="23"/>
      <c r="B503" s="25"/>
      <c r="C503" s="26"/>
      <c r="D503" s="26"/>
      <c r="E503" s="26"/>
      <c r="F503" s="26"/>
      <c r="G503" s="0" t="str">
        <f aca="false">IF(OR($A503="",$E503="",$D503=""),"",IF($E503&lt;$D503,"EVET","HAYIR"))</f>
        <v/>
      </c>
      <c r="H503" s="0" t="str">
        <f aca="false">IF(OR($A503="",$E503="",$F503=""),"",IF($E503&lt;=$F503,"KAZANDI","KAYBETTİ"))</f>
        <v/>
      </c>
    </row>
    <row r="504" customFormat="false" ht="15" hidden="false" customHeight="false" outlineLevel="0" collapsed="false">
      <c r="A504" s="23"/>
      <c r="B504" s="25"/>
      <c r="C504" s="26"/>
      <c r="D504" s="26"/>
      <c r="E504" s="26"/>
      <c r="F504" s="26"/>
      <c r="G504" s="0" t="str">
        <f aca="false">IF(OR($A504="",$E504="",$D504=""),"",IF($E504&lt;$D504,"EVET","HAYIR"))</f>
        <v/>
      </c>
      <c r="H504" s="0" t="str">
        <f aca="false">IF(OR($A504="",$E504="",$F504=""),"",IF($E504&lt;=$F504,"KAZANDI","KAYBETTİ"))</f>
        <v/>
      </c>
    </row>
    <row r="505" customFormat="false" ht="15" hidden="false" customHeight="false" outlineLevel="0" collapsed="false">
      <c r="A505" s="23"/>
      <c r="B505" s="25"/>
      <c r="C505" s="26"/>
      <c r="D505" s="26"/>
      <c r="E505" s="26"/>
      <c r="F505" s="26"/>
      <c r="G505" s="0" t="str">
        <f aca="false">IF(OR($A505="",$E505="",$D505=""),"",IF($E505&lt;$D505,"EVET","HAYIR"))</f>
        <v/>
      </c>
      <c r="H505" s="0" t="str">
        <f aca="false">IF(OR($A505="",$E505="",$F505=""),"",IF($E505&lt;=$F505,"KAZANDI","KAYBETTİ"))</f>
        <v/>
      </c>
    </row>
    <row r="506" customFormat="false" ht="15" hidden="false" customHeight="false" outlineLevel="0" collapsed="false">
      <c r="A506" s="23"/>
      <c r="B506" s="25"/>
      <c r="C506" s="26"/>
      <c r="D506" s="26"/>
      <c r="E506" s="26"/>
      <c r="F506" s="26"/>
      <c r="G506" s="0" t="str">
        <f aca="false">IF(OR($A506="",$E506="",$D506=""),"",IF($E506&lt;$D506,"EVET","HAYIR"))</f>
        <v/>
      </c>
      <c r="H506" s="0" t="str">
        <f aca="false">IF(OR($A506="",$E506="",$F506=""),"",IF($E506&lt;=$F506,"KAZANDI","KAYBETTİ"))</f>
        <v/>
      </c>
    </row>
    <row r="507" customFormat="false" ht="15" hidden="false" customHeight="false" outlineLevel="0" collapsed="false">
      <c r="A507" s="23"/>
      <c r="B507" s="25"/>
      <c r="C507" s="26"/>
      <c r="D507" s="26"/>
      <c r="E507" s="26"/>
      <c r="F507" s="26"/>
      <c r="G507" s="0" t="str">
        <f aca="false">IF(OR($A507="",$E507="",$D507=""),"",IF($E507&lt;$D507,"EVET","HAYIR"))</f>
        <v/>
      </c>
      <c r="H507" s="0" t="str">
        <f aca="false">IF(OR($A507="",$E507="",$F507=""),"",IF($E507&lt;=$F507,"KAZANDI","KAYBETTİ"))</f>
        <v/>
      </c>
    </row>
    <row r="508" customFormat="false" ht="15" hidden="false" customHeight="false" outlineLevel="0" collapsed="false">
      <c r="A508" s="23"/>
      <c r="B508" s="25"/>
      <c r="C508" s="26"/>
      <c r="D508" s="26"/>
      <c r="E508" s="26"/>
      <c r="F508" s="26"/>
      <c r="G508" s="0" t="str">
        <f aca="false">IF(OR($A508="",$E508="",$D508=""),"",IF($E508&lt;$D508,"EVET","HAYIR"))</f>
        <v/>
      </c>
      <c r="H508" s="0" t="str">
        <f aca="false">IF(OR($A508="",$E508="",$F508=""),"",IF($E508&lt;=$F508,"KAZANDI","KAYBETTİ"))</f>
        <v/>
      </c>
    </row>
    <row r="509" customFormat="false" ht="15" hidden="false" customHeight="false" outlineLevel="0" collapsed="false">
      <c r="A509" s="23"/>
      <c r="B509" s="25"/>
      <c r="C509" s="26"/>
      <c r="D509" s="26"/>
      <c r="E509" s="26"/>
      <c r="F509" s="26"/>
      <c r="G509" s="0" t="str">
        <f aca="false">IF(OR($A509="",$E509="",$D509=""),"",IF($E509&lt;$D509,"EVET","HAYIR"))</f>
        <v/>
      </c>
      <c r="H509" s="0" t="str">
        <f aca="false">IF(OR($A509="",$E509="",$F509=""),"",IF($E509&lt;=$F509,"KAZANDI","KAYBETTİ"))</f>
        <v/>
      </c>
    </row>
    <row r="510" customFormat="false" ht="15" hidden="false" customHeight="false" outlineLevel="0" collapsed="false">
      <c r="A510" s="23"/>
      <c r="B510" s="25"/>
      <c r="C510" s="26"/>
      <c r="D510" s="26"/>
      <c r="E510" s="26"/>
      <c r="F510" s="26"/>
      <c r="G510" s="0" t="str">
        <f aca="false">IF(OR($A510="",$E510="",$D510=""),"",IF($E510&lt;$D510,"EVET","HAYIR"))</f>
        <v/>
      </c>
      <c r="H510" s="0" t="str">
        <f aca="false">IF(OR($A510="",$E510="",$F510=""),"",IF($E510&lt;=$F510,"KAZANDI","KAYBETTİ"))</f>
        <v/>
      </c>
    </row>
    <row r="511" customFormat="false" ht="15" hidden="false" customHeight="false" outlineLevel="0" collapsed="false">
      <c r="A511" s="23"/>
      <c r="B511" s="25"/>
      <c r="C511" s="26"/>
      <c r="D511" s="26"/>
      <c r="E511" s="26"/>
      <c r="F511" s="26"/>
      <c r="G511" s="0" t="str">
        <f aca="false">IF(OR($A511="",$E511="",$D511=""),"",IF($E511&lt;$D511,"EVET","HAYIR"))</f>
        <v/>
      </c>
      <c r="H511" s="0" t="str">
        <f aca="false">IF(OR($A511="",$E511="",$F511=""),"",IF($E511&lt;=$F511,"KAZANDI","KAYBETTİ"))</f>
        <v/>
      </c>
    </row>
    <row r="512" customFormat="false" ht="15" hidden="false" customHeight="false" outlineLevel="0" collapsed="false">
      <c r="A512" s="23"/>
      <c r="B512" s="25"/>
      <c r="C512" s="26"/>
      <c r="D512" s="26"/>
      <c r="E512" s="26"/>
      <c r="F512" s="26"/>
      <c r="G512" s="0" t="str">
        <f aca="false">IF(OR($A512="",$E512="",$D512=""),"",IF($E512&lt;$D512,"EVET","HAYIR"))</f>
        <v/>
      </c>
      <c r="H512" s="0" t="str">
        <f aca="false">IF(OR($A512="",$E512="",$F512=""),"",IF($E512&lt;=$F512,"KAZANDI","KAYBETTİ"))</f>
        <v/>
      </c>
    </row>
    <row r="513" customFormat="false" ht="15" hidden="false" customHeight="false" outlineLevel="0" collapsed="false">
      <c r="A513" s="23"/>
      <c r="B513" s="25"/>
      <c r="C513" s="26"/>
      <c r="D513" s="26"/>
      <c r="E513" s="26"/>
      <c r="F513" s="26"/>
      <c r="G513" s="0" t="str">
        <f aca="false">IF(OR($A513="",$E513="",$D513=""),"",IF($E513&lt;$D513,"EVET","HAYIR"))</f>
        <v/>
      </c>
      <c r="H513" s="0" t="str">
        <f aca="false">IF(OR($A513="",$E513="",$F513=""),"",IF($E513&lt;=$F513,"KAZANDI","KAYBETTİ"))</f>
        <v/>
      </c>
    </row>
    <row r="514" customFormat="false" ht="15" hidden="false" customHeight="false" outlineLevel="0" collapsed="false">
      <c r="A514" s="23"/>
      <c r="B514" s="25"/>
      <c r="C514" s="26"/>
      <c r="D514" s="26"/>
      <c r="E514" s="26"/>
      <c r="F514" s="26"/>
      <c r="G514" s="0" t="str">
        <f aca="false">IF(OR($A514="",$E514="",$D514=""),"",IF($E514&lt;$D514,"EVET","HAYIR"))</f>
        <v/>
      </c>
      <c r="H514" s="0" t="str">
        <f aca="false">IF(OR($A514="",$E514="",$F514=""),"",IF($E514&lt;=$F514,"KAZANDI","KAYBETTİ"))</f>
        <v/>
      </c>
    </row>
    <row r="515" customFormat="false" ht="15" hidden="false" customHeight="false" outlineLevel="0" collapsed="false">
      <c r="A515" s="23"/>
      <c r="B515" s="25"/>
      <c r="C515" s="26"/>
      <c r="D515" s="26"/>
      <c r="E515" s="26"/>
      <c r="F515" s="26"/>
      <c r="G515" s="0" t="str">
        <f aca="false">IF(OR($A515="",$E515="",$D515=""),"",IF($E515&lt;$D515,"EVET","HAYIR"))</f>
        <v/>
      </c>
      <c r="H515" s="0" t="str">
        <f aca="false">IF(OR($A515="",$E515="",$F515=""),"",IF($E515&lt;=$F515,"KAZANDI","KAYBETTİ"))</f>
        <v/>
      </c>
    </row>
    <row r="516" customFormat="false" ht="15" hidden="false" customHeight="false" outlineLevel="0" collapsed="false">
      <c r="A516" s="23"/>
      <c r="B516" s="25"/>
      <c r="C516" s="26"/>
      <c r="D516" s="26"/>
      <c r="E516" s="26"/>
      <c r="F516" s="26"/>
      <c r="G516" s="0" t="str">
        <f aca="false">IF(OR($A516="",$E516="",$D516=""),"",IF($E516&lt;$D516,"EVET","HAYIR"))</f>
        <v/>
      </c>
      <c r="H516" s="0" t="str">
        <f aca="false">IF(OR($A516="",$E516="",$F516=""),"",IF($E516&lt;=$F516,"KAZANDI","KAYBETTİ"))</f>
        <v/>
      </c>
    </row>
    <row r="517" customFormat="false" ht="15" hidden="false" customHeight="false" outlineLevel="0" collapsed="false">
      <c r="A517" s="23"/>
      <c r="B517" s="25"/>
      <c r="C517" s="26"/>
      <c r="D517" s="26"/>
      <c r="E517" s="26"/>
      <c r="F517" s="26"/>
      <c r="G517" s="0" t="str">
        <f aca="false">IF(OR($A517="",$E517="",$D517=""),"",IF($E517&lt;$D517,"EVET","HAYIR"))</f>
        <v/>
      </c>
      <c r="H517" s="0" t="str">
        <f aca="false">IF(OR($A517="",$E517="",$F517=""),"",IF($E517&lt;=$F517,"KAZANDI","KAYBETTİ"))</f>
        <v/>
      </c>
    </row>
    <row r="518" customFormat="false" ht="15" hidden="false" customHeight="false" outlineLevel="0" collapsed="false">
      <c r="A518" s="23"/>
      <c r="B518" s="25"/>
      <c r="C518" s="26"/>
      <c r="D518" s="26"/>
      <c r="E518" s="26"/>
      <c r="F518" s="26"/>
      <c r="G518" s="0" t="str">
        <f aca="false">IF(OR($A518="",$E518="",$D518=""),"",IF($E518&lt;$D518,"EVET","HAYIR"))</f>
        <v/>
      </c>
      <c r="H518" s="0" t="str">
        <f aca="false">IF(OR($A518="",$E518="",$F518=""),"",IF($E518&lt;=$F518,"KAZANDI","KAYBETTİ"))</f>
        <v/>
      </c>
    </row>
    <row r="519" customFormat="false" ht="15" hidden="false" customHeight="false" outlineLevel="0" collapsed="false">
      <c r="A519" s="23"/>
      <c r="B519" s="25"/>
      <c r="C519" s="26"/>
      <c r="D519" s="26"/>
      <c r="E519" s="26"/>
      <c r="F519" s="26"/>
      <c r="G519" s="0" t="str">
        <f aca="false">IF(OR($A519="",$E519="",$D519=""),"",IF($E519&lt;$D519,"EVET","HAYIR"))</f>
        <v/>
      </c>
      <c r="H519" s="0" t="str">
        <f aca="false">IF(OR($A519="",$E519="",$F519=""),"",IF($E519&lt;=$F519,"KAZANDI","KAYBETTİ"))</f>
        <v/>
      </c>
    </row>
    <row r="520" customFormat="false" ht="15" hidden="false" customHeight="false" outlineLevel="0" collapsed="false">
      <c r="A520" s="23"/>
      <c r="B520" s="25"/>
      <c r="C520" s="26"/>
      <c r="D520" s="26"/>
      <c r="E520" s="26"/>
      <c r="F520" s="26"/>
      <c r="G520" s="0" t="str">
        <f aca="false">IF(OR($A520="",$E520="",$D520=""),"",IF($E520&lt;$D520,"EVET","HAYIR"))</f>
        <v/>
      </c>
      <c r="H520" s="0" t="str">
        <f aca="false">IF(OR($A520="",$E520="",$F520=""),"",IF($E520&lt;=$F520,"KAZANDI","KAYBETTİ"))</f>
        <v/>
      </c>
    </row>
    <row r="521" customFormat="false" ht="15" hidden="false" customHeight="false" outlineLevel="0" collapsed="false">
      <c r="A521" s="23"/>
      <c r="B521" s="25"/>
      <c r="C521" s="26"/>
      <c r="D521" s="26"/>
      <c r="E521" s="26"/>
      <c r="F521" s="26"/>
      <c r="G521" s="0" t="str">
        <f aca="false">IF(OR($A521="",$E521="",$D521=""),"",IF($E521&lt;$D521,"EVET","HAYIR"))</f>
        <v/>
      </c>
      <c r="H521" s="0" t="str">
        <f aca="false">IF(OR($A521="",$E521="",$F521=""),"",IF($E521&lt;=$F521,"KAZANDI","KAYBETTİ"))</f>
        <v/>
      </c>
    </row>
    <row r="522" customFormat="false" ht="15" hidden="false" customHeight="false" outlineLevel="0" collapsed="false">
      <c r="A522" s="23"/>
      <c r="B522" s="25"/>
      <c r="C522" s="26"/>
      <c r="D522" s="26"/>
      <c r="E522" s="26"/>
      <c r="F522" s="26"/>
      <c r="G522" s="0" t="str">
        <f aca="false">IF(OR($A522="",$E522="",$D522=""),"",IF($E522&lt;$D522,"EVET","HAYIR"))</f>
        <v/>
      </c>
      <c r="H522" s="0" t="str">
        <f aca="false">IF(OR($A522="",$E522="",$F522=""),"",IF($E522&lt;=$F522,"KAZANDI","KAYBETTİ"))</f>
        <v/>
      </c>
    </row>
    <row r="523" customFormat="false" ht="15" hidden="false" customHeight="false" outlineLevel="0" collapsed="false">
      <c r="A523" s="23"/>
      <c r="B523" s="25"/>
      <c r="C523" s="26"/>
      <c r="D523" s="26"/>
      <c r="E523" s="26"/>
      <c r="F523" s="26"/>
      <c r="G523" s="0" t="str">
        <f aca="false">IF(OR($A523="",$E523="",$D523=""),"",IF($E523&lt;$D523,"EVET","HAYIR"))</f>
        <v/>
      </c>
      <c r="H523" s="0" t="str">
        <f aca="false">IF(OR($A523="",$E523="",$F523=""),"",IF($E523&lt;=$F523,"KAZANDI","KAYBETTİ"))</f>
        <v/>
      </c>
    </row>
    <row r="524" customFormat="false" ht="15" hidden="false" customHeight="false" outlineLevel="0" collapsed="false">
      <c r="A524" s="23"/>
      <c r="B524" s="25"/>
      <c r="C524" s="26"/>
      <c r="D524" s="26"/>
      <c r="E524" s="26"/>
      <c r="F524" s="26"/>
      <c r="G524" s="0" t="str">
        <f aca="false">IF(OR($A524="",$E524="",$D524=""),"",IF($E524&lt;$D524,"EVET","HAYIR"))</f>
        <v/>
      </c>
      <c r="H524" s="0" t="str">
        <f aca="false">IF(OR($A524="",$E524="",$F524=""),"",IF($E524&lt;=$F524,"KAZANDI","KAYBETTİ"))</f>
        <v/>
      </c>
    </row>
    <row r="525" customFormat="false" ht="15" hidden="false" customHeight="false" outlineLevel="0" collapsed="false">
      <c r="A525" s="23"/>
      <c r="B525" s="25"/>
      <c r="C525" s="26"/>
      <c r="D525" s="26"/>
      <c r="E525" s="26"/>
      <c r="F525" s="26"/>
      <c r="G525" s="0" t="str">
        <f aca="false">IF(OR($A525="",$E525="",$D525=""),"",IF($E525&lt;$D525,"EVET","HAYIR"))</f>
        <v/>
      </c>
      <c r="H525" s="0" t="str">
        <f aca="false">IF(OR($A525="",$E525="",$F525=""),"",IF($E525&lt;=$F525,"KAZANDI","KAYBETTİ"))</f>
        <v/>
      </c>
    </row>
    <row r="526" customFormat="false" ht="15" hidden="false" customHeight="false" outlineLevel="0" collapsed="false">
      <c r="A526" s="23"/>
      <c r="B526" s="25"/>
      <c r="C526" s="26"/>
      <c r="D526" s="26"/>
      <c r="E526" s="26"/>
      <c r="F526" s="26"/>
      <c r="G526" s="0" t="str">
        <f aca="false">IF(OR($A526="",$E526="",$D526=""),"",IF($E526&lt;$D526,"EVET","HAYIR"))</f>
        <v/>
      </c>
      <c r="H526" s="0" t="str">
        <f aca="false">IF(OR($A526="",$E526="",$F526=""),"",IF($E526&lt;=$F526,"KAZANDI","KAYBETTİ"))</f>
        <v/>
      </c>
    </row>
    <row r="527" customFormat="false" ht="15" hidden="false" customHeight="false" outlineLevel="0" collapsed="false">
      <c r="A527" s="23"/>
      <c r="B527" s="25"/>
      <c r="C527" s="26"/>
      <c r="D527" s="26"/>
      <c r="E527" s="26"/>
      <c r="F527" s="26"/>
      <c r="G527" s="0" t="str">
        <f aca="false">IF(OR($A527="",$E527="",$D527=""),"",IF($E527&lt;$D527,"EVET","HAYIR"))</f>
        <v/>
      </c>
      <c r="H527" s="0" t="str">
        <f aca="false">IF(OR($A527="",$E527="",$F527=""),"",IF($E527&lt;=$F527,"KAZANDI","KAYBETTİ"))</f>
        <v/>
      </c>
    </row>
    <row r="528" customFormat="false" ht="15" hidden="false" customHeight="false" outlineLevel="0" collapsed="false">
      <c r="A528" s="23"/>
      <c r="B528" s="25"/>
      <c r="C528" s="26"/>
      <c r="D528" s="26"/>
      <c r="E528" s="26"/>
      <c r="F528" s="26"/>
      <c r="G528" s="0" t="str">
        <f aca="false">IF(OR($A528="",$E528="",$D528=""),"",IF($E528&lt;$D528,"EVET","HAYIR"))</f>
        <v/>
      </c>
      <c r="H528" s="0" t="str">
        <f aca="false">IF(OR($A528="",$E528="",$F528=""),"",IF($E528&lt;=$F528,"KAZANDI","KAYBETTİ"))</f>
        <v/>
      </c>
    </row>
    <row r="529" customFormat="false" ht="15" hidden="false" customHeight="false" outlineLevel="0" collapsed="false">
      <c r="A529" s="23"/>
      <c r="B529" s="25"/>
      <c r="C529" s="26"/>
      <c r="D529" s="26"/>
      <c r="E529" s="26"/>
      <c r="F529" s="26"/>
      <c r="G529" s="0" t="str">
        <f aca="false">IF(OR($A529="",$E529="",$D529=""),"",IF($E529&lt;$D529,"EVET","HAYIR"))</f>
        <v/>
      </c>
      <c r="H529" s="0" t="str">
        <f aca="false">IF(OR($A529="",$E529="",$F529=""),"",IF($E529&lt;=$F529,"KAZANDI","KAYBETTİ"))</f>
        <v/>
      </c>
    </row>
    <row r="530" customFormat="false" ht="15" hidden="false" customHeight="false" outlineLevel="0" collapsed="false">
      <c r="A530" s="23"/>
      <c r="B530" s="25"/>
      <c r="C530" s="26"/>
      <c r="D530" s="26"/>
      <c r="E530" s="26"/>
      <c r="F530" s="26"/>
      <c r="G530" s="0" t="str">
        <f aca="false">IF(OR($A530="",$E530="",$D530=""),"",IF($E530&lt;$D530,"EVET","HAYIR"))</f>
        <v/>
      </c>
      <c r="H530" s="0" t="str">
        <f aca="false">IF(OR($A530="",$E530="",$F530=""),"",IF($E530&lt;=$F530,"KAZANDI","KAYBETTİ"))</f>
        <v/>
      </c>
    </row>
    <row r="531" customFormat="false" ht="15" hidden="false" customHeight="false" outlineLevel="0" collapsed="false">
      <c r="A531" s="23"/>
      <c r="B531" s="25"/>
      <c r="C531" s="26"/>
      <c r="D531" s="26"/>
      <c r="E531" s="26"/>
      <c r="F531" s="26"/>
      <c r="G531" s="0" t="str">
        <f aca="false">IF(OR($A531="",$E531="",$D531=""),"",IF($E531&lt;$D531,"EVET","HAYIR"))</f>
        <v/>
      </c>
      <c r="H531" s="0" t="str">
        <f aca="false">IF(OR($A531="",$E531="",$F531=""),"",IF($E531&lt;=$F531,"KAZANDI","KAYBETTİ"))</f>
        <v/>
      </c>
    </row>
    <row r="532" customFormat="false" ht="15" hidden="false" customHeight="false" outlineLevel="0" collapsed="false">
      <c r="A532" s="23"/>
      <c r="B532" s="25"/>
      <c r="C532" s="26"/>
      <c r="D532" s="26"/>
      <c r="E532" s="26"/>
      <c r="F532" s="26"/>
      <c r="G532" s="0" t="str">
        <f aca="false">IF(OR($A532="",$E532="",$D532=""),"",IF($E532&lt;$D532,"EVET","HAYIR"))</f>
        <v/>
      </c>
      <c r="H532" s="0" t="str">
        <f aca="false">IF(OR($A532="",$E532="",$F532=""),"",IF($E532&lt;=$F532,"KAZANDI","KAYBETTİ"))</f>
        <v/>
      </c>
    </row>
    <row r="533" customFormat="false" ht="15" hidden="false" customHeight="false" outlineLevel="0" collapsed="false">
      <c r="A533" s="23"/>
      <c r="B533" s="25"/>
      <c r="C533" s="26"/>
      <c r="D533" s="26"/>
      <c r="E533" s="26"/>
      <c r="F533" s="26"/>
      <c r="G533" s="0" t="str">
        <f aca="false">IF(OR($A533="",$E533="",$D533=""),"",IF($E533&lt;$D533,"EVET","HAYIR"))</f>
        <v/>
      </c>
      <c r="H533" s="0" t="str">
        <f aca="false">IF(OR($A533="",$E533="",$F533=""),"",IF($E533&lt;=$F533,"KAZANDI","KAYBETTİ"))</f>
        <v/>
      </c>
    </row>
    <row r="534" customFormat="false" ht="15" hidden="false" customHeight="false" outlineLevel="0" collapsed="false">
      <c r="A534" s="23"/>
      <c r="B534" s="25"/>
      <c r="C534" s="26"/>
      <c r="D534" s="26"/>
      <c r="E534" s="26"/>
      <c r="F534" s="26"/>
      <c r="G534" s="0" t="str">
        <f aca="false">IF(OR($A534="",$E534="",$D534=""),"",IF($E534&lt;$D534,"EVET","HAYIR"))</f>
        <v/>
      </c>
      <c r="H534" s="0" t="str">
        <f aca="false">IF(OR($A534="",$E534="",$F534=""),"",IF($E534&lt;=$F534,"KAZANDI","KAYBETTİ"))</f>
        <v/>
      </c>
    </row>
    <row r="535" customFormat="false" ht="15" hidden="false" customHeight="false" outlineLevel="0" collapsed="false">
      <c r="A535" s="23"/>
      <c r="B535" s="25"/>
      <c r="C535" s="26"/>
      <c r="D535" s="26"/>
      <c r="E535" s="26"/>
      <c r="F535" s="26"/>
      <c r="G535" s="0" t="str">
        <f aca="false">IF(OR($A535="",$E535="",$D535=""),"",IF($E535&lt;$D535,"EVET","HAYIR"))</f>
        <v/>
      </c>
      <c r="H535" s="0" t="str">
        <f aca="false">IF(OR($A535="",$E535="",$F535=""),"",IF($E535&lt;=$F535,"KAZANDI","KAYBETTİ"))</f>
        <v/>
      </c>
    </row>
    <row r="536" customFormat="false" ht="15" hidden="false" customHeight="false" outlineLevel="0" collapsed="false">
      <c r="A536" s="23"/>
      <c r="B536" s="25"/>
      <c r="C536" s="26"/>
      <c r="D536" s="26"/>
      <c r="E536" s="26"/>
      <c r="F536" s="26"/>
      <c r="G536" s="0" t="str">
        <f aca="false">IF(OR($A536="",$E536="",$D536=""),"",IF($E536&lt;$D536,"EVET","HAYIR"))</f>
        <v/>
      </c>
      <c r="H536" s="0" t="str">
        <f aca="false">IF(OR($A536="",$E536="",$F536=""),"",IF($E536&lt;=$F536,"KAZANDI","KAYBETTİ"))</f>
        <v/>
      </c>
    </row>
    <row r="537" customFormat="false" ht="15" hidden="false" customHeight="false" outlineLevel="0" collapsed="false">
      <c r="A537" s="23"/>
      <c r="B537" s="25"/>
      <c r="C537" s="26"/>
      <c r="D537" s="26"/>
      <c r="E537" s="26"/>
      <c r="F537" s="26"/>
      <c r="G537" s="0" t="str">
        <f aca="false">IF(OR($A537="",$E537="",$D537=""),"",IF($E537&lt;$D537,"EVET","HAYIR"))</f>
        <v/>
      </c>
      <c r="H537" s="0" t="str">
        <f aca="false">IF(OR($A537="",$E537="",$F537=""),"",IF($E537&lt;=$F537,"KAZANDI","KAYBETTİ"))</f>
        <v/>
      </c>
    </row>
    <row r="538" customFormat="false" ht="15" hidden="false" customHeight="false" outlineLevel="0" collapsed="false">
      <c r="A538" s="23"/>
      <c r="B538" s="25"/>
      <c r="C538" s="26"/>
      <c r="D538" s="26"/>
      <c r="E538" s="26"/>
      <c r="F538" s="26"/>
      <c r="G538" s="0" t="str">
        <f aca="false">IF(OR($A538="",$E538="",$D538=""),"",IF($E538&lt;$D538,"EVET","HAYIR"))</f>
        <v/>
      </c>
      <c r="H538" s="0" t="str">
        <f aca="false">IF(OR($A538="",$E538="",$F538=""),"",IF($E538&lt;=$F538,"KAZANDI","KAYBETTİ"))</f>
        <v/>
      </c>
    </row>
    <row r="539" customFormat="false" ht="15" hidden="false" customHeight="false" outlineLevel="0" collapsed="false">
      <c r="A539" s="23"/>
      <c r="B539" s="25"/>
      <c r="C539" s="26"/>
      <c r="D539" s="26"/>
      <c r="E539" s="26"/>
      <c r="F539" s="26"/>
      <c r="G539" s="0" t="str">
        <f aca="false">IF(OR($A539="",$E539="",$D539=""),"",IF($E539&lt;$D539,"EVET","HAYIR"))</f>
        <v/>
      </c>
      <c r="H539" s="0" t="str">
        <f aca="false">IF(OR($A539="",$E539="",$F539=""),"",IF($E539&lt;=$F539,"KAZANDI","KAYBETTİ"))</f>
        <v/>
      </c>
    </row>
    <row r="540" customFormat="false" ht="15" hidden="false" customHeight="false" outlineLevel="0" collapsed="false">
      <c r="A540" s="23"/>
      <c r="B540" s="25"/>
      <c r="C540" s="26"/>
      <c r="D540" s="26"/>
      <c r="E540" s="26"/>
      <c r="F540" s="26"/>
      <c r="G540" s="0" t="str">
        <f aca="false">IF(OR($A540="",$E540="",$D540=""),"",IF($E540&lt;$D540,"EVET","HAYIR"))</f>
        <v/>
      </c>
      <c r="H540" s="0" t="str">
        <f aca="false">IF(OR($A540="",$E540="",$F540=""),"",IF($E540&lt;=$F540,"KAZANDI","KAYBETTİ"))</f>
        <v/>
      </c>
    </row>
    <row r="541" customFormat="false" ht="15" hidden="false" customHeight="false" outlineLevel="0" collapsed="false">
      <c r="A541" s="23"/>
      <c r="B541" s="25"/>
      <c r="C541" s="26"/>
      <c r="D541" s="26"/>
      <c r="E541" s="26"/>
      <c r="F541" s="26"/>
      <c r="G541" s="0" t="str">
        <f aca="false">IF(OR($A541="",$E541="",$D541=""),"",IF($E541&lt;$D541,"EVET","HAYIR"))</f>
        <v/>
      </c>
      <c r="H541" s="0" t="str">
        <f aca="false">IF(OR($A541="",$E541="",$F541=""),"",IF($E541&lt;=$F541,"KAZANDI","KAYBETTİ"))</f>
        <v/>
      </c>
    </row>
    <row r="542" customFormat="false" ht="15" hidden="false" customHeight="false" outlineLevel="0" collapsed="false">
      <c r="A542" s="23"/>
      <c r="B542" s="25"/>
      <c r="C542" s="26"/>
      <c r="D542" s="26"/>
      <c r="E542" s="26"/>
      <c r="F542" s="26"/>
      <c r="G542" s="0" t="str">
        <f aca="false">IF(OR($A542="",$E542="",$D542=""),"",IF($E542&lt;$D542,"EVET","HAYIR"))</f>
        <v/>
      </c>
      <c r="H542" s="0" t="str">
        <f aca="false">IF(OR($A542="",$E542="",$F542=""),"",IF($E542&lt;=$F542,"KAZANDI","KAYBETTİ"))</f>
        <v/>
      </c>
    </row>
    <row r="543" customFormat="false" ht="15" hidden="false" customHeight="false" outlineLevel="0" collapsed="false">
      <c r="A543" s="23"/>
      <c r="B543" s="25"/>
      <c r="C543" s="26"/>
      <c r="D543" s="26"/>
      <c r="E543" s="26"/>
      <c r="F543" s="26"/>
      <c r="G543" s="0" t="str">
        <f aca="false">IF(OR($A543="",$E543="",$D543=""),"",IF($E543&lt;$D543,"EVET","HAYIR"))</f>
        <v/>
      </c>
      <c r="H543" s="0" t="str">
        <f aca="false">IF(OR($A543="",$E543="",$F543=""),"",IF($E543&lt;=$F543,"KAZANDI","KAYBETTİ"))</f>
        <v/>
      </c>
    </row>
    <row r="544" customFormat="false" ht="15" hidden="false" customHeight="false" outlineLevel="0" collapsed="false">
      <c r="A544" s="23"/>
      <c r="B544" s="25"/>
      <c r="C544" s="26"/>
      <c r="D544" s="26"/>
      <c r="E544" s="26"/>
      <c r="F544" s="26"/>
      <c r="G544" s="0" t="str">
        <f aca="false">IF(OR($A544="",$E544="",$D544=""),"",IF($E544&lt;$D544,"EVET","HAYIR"))</f>
        <v/>
      </c>
      <c r="H544" s="0" t="str">
        <f aca="false">IF(OR($A544="",$E544="",$F544=""),"",IF($E544&lt;=$F544,"KAZANDI","KAYBETTİ"))</f>
        <v/>
      </c>
    </row>
    <row r="545" customFormat="false" ht="15" hidden="false" customHeight="false" outlineLevel="0" collapsed="false">
      <c r="A545" s="23"/>
      <c r="B545" s="25"/>
      <c r="C545" s="26"/>
      <c r="D545" s="26"/>
      <c r="E545" s="26"/>
      <c r="F545" s="26"/>
      <c r="G545" s="0" t="str">
        <f aca="false">IF(OR($A545="",$E545="",$D545=""),"",IF($E545&lt;$D545,"EVET","HAYIR"))</f>
        <v/>
      </c>
      <c r="H545" s="0" t="str">
        <f aca="false">IF(OR($A545="",$E545="",$F545=""),"",IF($E545&lt;=$F545,"KAZANDI","KAYBETTİ"))</f>
        <v/>
      </c>
    </row>
    <row r="546" customFormat="false" ht="15" hidden="false" customHeight="false" outlineLevel="0" collapsed="false">
      <c r="A546" s="23"/>
      <c r="B546" s="25"/>
      <c r="C546" s="26"/>
      <c r="D546" s="26"/>
      <c r="E546" s="26"/>
      <c r="F546" s="26"/>
      <c r="G546" s="0" t="str">
        <f aca="false">IF(OR($A546="",$E546="",$D546=""),"",IF($E546&lt;$D546,"EVET","HAYIR"))</f>
        <v/>
      </c>
      <c r="H546" s="0" t="str">
        <f aca="false">IF(OR($A546="",$E546="",$F546=""),"",IF($E546&lt;=$F546,"KAZANDI","KAYBETTİ"))</f>
        <v/>
      </c>
    </row>
    <row r="547" customFormat="false" ht="15" hidden="false" customHeight="false" outlineLevel="0" collapsed="false">
      <c r="A547" s="23"/>
      <c r="B547" s="25"/>
      <c r="C547" s="26"/>
      <c r="D547" s="26"/>
      <c r="E547" s="26"/>
      <c r="F547" s="26"/>
      <c r="G547" s="0" t="str">
        <f aca="false">IF(OR($A547="",$E547="",$D547=""),"",IF($E547&lt;$D547,"EVET","HAYIR"))</f>
        <v/>
      </c>
      <c r="H547" s="0" t="str">
        <f aca="false">IF(OR($A547="",$E547="",$F547=""),"",IF($E547&lt;=$F547,"KAZANDI","KAYBETTİ"))</f>
        <v/>
      </c>
    </row>
    <row r="548" customFormat="false" ht="15" hidden="false" customHeight="false" outlineLevel="0" collapsed="false">
      <c r="A548" s="23"/>
      <c r="B548" s="25"/>
      <c r="C548" s="26"/>
      <c r="D548" s="26"/>
      <c r="E548" s="26"/>
      <c r="F548" s="26"/>
      <c r="G548" s="0" t="str">
        <f aca="false">IF(OR($A548="",$E548="",$D548=""),"",IF($E548&lt;$D548,"EVET","HAYIR"))</f>
        <v/>
      </c>
      <c r="H548" s="0" t="str">
        <f aca="false">IF(OR($A548="",$E548="",$F548=""),"",IF($E548&lt;=$F548,"KAZANDI","KAYBETTİ"))</f>
        <v/>
      </c>
    </row>
    <row r="549" customFormat="false" ht="15" hidden="false" customHeight="false" outlineLevel="0" collapsed="false">
      <c r="A549" s="23"/>
      <c r="B549" s="25"/>
      <c r="C549" s="26"/>
      <c r="D549" s="26"/>
      <c r="E549" s="26"/>
      <c r="F549" s="26"/>
      <c r="G549" s="0" t="str">
        <f aca="false">IF(OR($A549="",$E549="",$D549=""),"",IF($E549&lt;$D549,"EVET","HAYIR"))</f>
        <v/>
      </c>
      <c r="H549" s="0" t="str">
        <f aca="false">IF(OR($A549="",$E549="",$F549=""),"",IF($E549&lt;=$F549,"KAZANDI","KAYBETTİ"))</f>
        <v/>
      </c>
    </row>
    <row r="550" customFormat="false" ht="15" hidden="false" customHeight="false" outlineLevel="0" collapsed="false">
      <c r="A550" s="23"/>
      <c r="B550" s="25"/>
      <c r="C550" s="26"/>
      <c r="D550" s="26"/>
      <c r="E550" s="26"/>
      <c r="F550" s="26"/>
      <c r="G550" s="0" t="str">
        <f aca="false">IF(OR($A550="",$E550="",$D550=""),"",IF($E550&lt;$D550,"EVET","HAYIR"))</f>
        <v/>
      </c>
      <c r="H550" s="0" t="str">
        <f aca="false">IF(OR($A550="",$E550="",$F550=""),"",IF($E550&lt;=$F550,"KAZANDI","KAYBETTİ"))</f>
        <v/>
      </c>
    </row>
    <row r="551" customFormat="false" ht="15" hidden="false" customHeight="false" outlineLevel="0" collapsed="false">
      <c r="A551" s="23"/>
      <c r="B551" s="25"/>
      <c r="C551" s="26"/>
      <c r="D551" s="26"/>
      <c r="E551" s="26"/>
      <c r="F551" s="26"/>
      <c r="G551" s="0" t="str">
        <f aca="false">IF(OR($A551="",$E551="",$D551=""),"",IF($E551&lt;$D551,"EVET","HAYIR"))</f>
        <v/>
      </c>
      <c r="H551" s="0" t="str">
        <f aca="false">IF(OR($A551="",$E551="",$F551=""),"",IF($E551&lt;=$F551,"KAZANDI","KAYBETTİ"))</f>
        <v/>
      </c>
    </row>
    <row r="552" customFormat="false" ht="15" hidden="false" customHeight="false" outlineLevel="0" collapsed="false">
      <c r="A552" s="23"/>
      <c r="B552" s="25"/>
      <c r="C552" s="26"/>
      <c r="D552" s="26"/>
      <c r="E552" s="26"/>
      <c r="F552" s="26"/>
      <c r="G552" s="0" t="str">
        <f aca="false">IF(OR($A552="",$E552="",$D552=""),"",IF($E552&lt;$D552,"EVET","HAYIR"))</f>
        <v/>
      </c>
      <c r="H552" s="0" t="str">
        <f aca="false">IF(OR($A552="",$E552="",$F552=""),"",IF($E552&lt;=$F552,"KAZANDI","KAYBETTİ"))</f>
        <v/>
      </c>
    </row>
    <row r="553" customFormat="false" ht="15" hidden="false" customHeight="false" outlineLevel="0" collapsed="false">
      <c r="A553" s="23"/>
      <c r="B553" s="25"/>
      <c r="C553" s="26"/>
      <c r="D553" s="26"/>
      <c r="E553" s="26"/>
      <c r="F553" s="26"/>
      <c r="G553" s="0" t="str">
        <f aca="false">IF(OR($A553="",$E553="",$D553=""),"",IF($E553&lt;$D553,"EVET","HAYIR"))</f>
        <v/>
      </c>
      <c r="H553" s="0" t="str">
        <f aca="false">IF(OR($A553="",$E553="",$F553=""),"",IF($E553&lt;=$F553,"KAZANDI","KAYBETTİ"))</f>
        <v/>
      </c>
    </row>
    <row r="554" customFormat="false" ht="15" hidden="false" customHeight="false" outlineLevel="0" collapsed="false">
      <c r="A554" s="23"/>
      <c r="B554" s="25"/>
      <c r="C554" s="26"/>
      <c r="D554" s="26"/>
      <c r="E554" s="26"/>
      <c r="F554" s="26"/>
      <c r="G554" s="0" t="str">
        <f aca="false">IF(OR($A554="",$E554="",$D554=""),"",IF($E554&lt;$D554,"EVET","HAYIR"))</f>
        <v/>
      </c>
      <c r="H554" s="0" t="str">
        <f aca="false">IF(OR($A554="",$E554="",$F554=""),"",IF($E554&lt;=$F554,"KAZANDI","KAYBETTİ"))</f>
        <v/>
      </c>
    </row>
    <row r="555" customFormat="false" ht="15" hidden="false" customHeight="false" outlineLevel="0" collapsed="false">
      <c r="A555" s="23"/>
      <c r="B555" s="25"/>
      <c r="C555" s="26"/>
      <c r="D555" s="26"/>
      <c r="E555" s="26"/>
      <c r="F555" s="26"/>
      <c r="G555" s="0" t="str">
        <f aca="false">IF(OR($A555="",$E555="",$D555=""),"",IF($E555&lt;$D555,"EVET","HAYIR"))</f>
        <v/>
      </c>
      <c r="H555" s="0" t="str">
        <f aca="false">IF(OR($A555="",$E555="",$F555=""),"",IF($E555&lt;=$F555,"KAZANDI","KAYBETTİ"))</f>
        <v/>
      </c>
    </row>
    <row r="556" customFormat="false" ht="15" hidden="false" customHeight="false" outlineLevel="0" collapsed="false">
      <c r="A556" s="23"/>
      <c r="B556" s="25"/>
      <c r="C556" s="26"/>
      <c r="D556" s="26"/>
      <c r="E556" s="26"/>
      <c r="F556" s="26"/>
      <c r="G556" s="0" t="str">
        <f aca="false">IF(OR($A556="",$E556="",$D556=""),"",IF($E556&lt;$D556,"EVET","HAYIR"))</f>
        <v/>
      </c>
      <c r="H556" s="0" t="str">
        <f aca="false">IF(OR($A556="",$E556="",$F556=""),"",IF($E556&lt;=$F556,"KAZANDI","KAYBETTİ"))</f>
        <v/>
      </c>
    </row>
    <row r="557" customFormat="false" ht="15" hidden="false" customHeight="false" outlineLevel="0" collapsed="false">
      <c r="A557" s="23"/>
      <c r="B557" s="25"/>
      <c r="C557" s="26"/>
      <c r="D557" s="26"/>
      <c r="E557" s="26"/>
      <c r="F557" s="26"/>
      <c r="G557" s="0" t="str">
        <f aca="false">IF(OR($A557="",$E557="",$D557=""),"",IF($E557&lt;$D557,"EVET","HAYIR"))</f>
        <v/>
      </c>
      <c r="H557" s="0" t="str">
        <f aca="false">IF(OR($A557="",$E557="",$F557=""),"",IF($E557&lt;=$F557,"KAZANDI","KAYBETTİ"))</f>
        <v/>
      </c>
    </row>
    <row r="558" customFormat="false" ht="15" hidden="false" customHeight="false" outlineLevel="0" collapsed="false">
      <c r="A558" s="23"/>
      <c r="B558" s="25"/>
      <c r="C558" s="26"/>
      <c r="D558" s="26"/>
      <c r="E558" s="26"/>
      <c r="F558" s="26"/>
      <c r="G558" s="0" t="str">
        <f aca="false">IF(OR($A558="",$E558="",$D558=""),"",IF($E558&lt;$D558,"EVET","HAYIR"))</f>
        <v/>
      </c>
      <c r="H558" s="0" t="str">
        <f aca="false">IF(OR($A558="",$E558="",$F558=""),"",IF($E558&lt;=$F558,"KAZANDI","KAYBETTİ"))</f>
        <v/>
      </c>
    </row>
    <row r="559" customFormat="false" ht="15" hidden="false" customHeight="false" outlineLevel="0" collapsed="false">
      <c r="A559" s="23"/>
      <c r="B559" s="25"/>
      <c r="C559" s="26"/>
      <c r="D559" s="26"/>
      <c r="E559" s="26"/>
      <c r="F559" s="26"/>
      <c r="G559" s="0" t="str">
        <f aca="false">IF(OR($A559="",$E559="",$D559=""),"",IF($E559&lt;$D559,"EVET","HAYIR"))</f>
        <v/>
      </c>
      <c r="H559" s="0" t="str">
        <f aca="false">IF(OR($A559="",$E559="",$F559=""),"",IF($E559&lt;=$F559,"KAZANDI","KAYBETTİ"))</f>
        <v/>
      </c>
    </row>
    <row r="560" customFormat="false" ht="15" hidden="false" customHeight="false" outlineLevel="0" collapsed="false">
      <c r="A560" s="23"/>
      <c r="B560" s="25"/>
      <c r="C560" s="26"/>
      <c r="D560" s="26"/>
      <c r="E560" s="26"/>
      <c r="F560" s="26"/>
      <c r="G560" s="0" t="str">
        <f aca="false">IF(OR($A560="",$E560="",$D560=""),"",IF($E560&lt;$D560,"EVET","HAYIR"))</f>
        <v/>
      </c>
      <c r="H560" s="0" t="str">
        <f aca="false">IF(OR($A560="",$E560="",$F560=""),"",IF($E560&lt;=$F560,"KAZANDI","KAYBETTİ"))</f>
        <v/>
      </c>
    </row>
    <row r="561" customFormat="false" ht="15" hidden="false" customHeight="false" outlineLevel="0" collapsed="false">
      <c r="A561" s="23"/>
      <c r="B561" s="25"/>
      <c r="C561" s="26"/>
      <c r="D561" s="26"/>
      <c r="E561" s="26"/>
      <c r="F561" s="26"/>
      <c r="G561" s="0" t="str">
        <f aca="false">IF(OR($A561="",$E561="",$D561=""),"",IF($E561&lt;$D561,"EVET","HAYIR"))</f>
        <v/>
      </c>
      <c r="H561" s="0" t="str">
        <f aca="false">IF(OR($A561="",$E561="",$F561=""),"",IF($E561&lt;=$F561,"KAZANDI","KAYBETTİ"))</f>
        <v/>
      </c>
    </row>
    <row r="562" customFormat="false" ht="15" hidden="false" customHeight="false" outlineLevel="0" collapsed="false">
      <c r="A562" s="23"/>
      <c r="B562" s="25"/>
      <c r="C562" s="26"/>
      <c r="D562" s="26"/>
      <c r="E562" s="26"/>
      <c r="F562" s="26"/>
      <c r="G562" s="0" t="str">
        <f aca="false">IF(OR($A562="",$E562="",$D562=""),"",IF($E562&lt;$D562,"EVET","HAYIR"))</f>
        <v/>
      </c>
      <c r="H562" s="0" t="str">
        <f aca="false">IF(OR($A562="",$E562="",$F562=""),"",IF($E562&lt;=$F562,"KAZANDI","KAYBETTİ"))</f>
        <v/>
      </c>
    </row>
    <row r="563" customFormat="false" ht="15" hidden="false" customHeight="false" outlineLevel="0" collapsed="false">
      <c r="A563" s="23"/>
      <c r="B563" s="25"/>
      <c r="C563" s="26"/>
      <c r="D563" s="26"/>
      <c r="E563" s="26"/>
      <c r="F563" s="26"/>
      <c r="G563" s="0" t="str">
        <f aca="false">IF(OR($A563="",$E563="",$D563=""),"",IF($E563&lt;$D563,"EVET","HAYIR"))</f>
        <v/>
      </c>
      <c r="H563" s="0" t="str">
        <f aca="false">IF(OR($A563="",$E563="",$F563=""),"",IF($E563&lt;=$F563,"KAZANDI","KAYBETTİ"))</f>
        <v/>
      </c>
    </row>
    <row r="564" customFormat="false" ht="15" hidden="false" customHeight="false" outlineLevel="0" collapsed="false">
      <c r="A564" s="23"/>
      <c r="B564" s="25"/>
      <c r="C564" s="26"/>
      <c r="D564" s="26"/>
      <c r="E564" s="26"/>
      <c r="F564" s="26"/>
      <c r="G564" s="0" t="str">
        <f aca="false">IF(OR($A564="",$E564="",$D564=""),"",IF($E564&lt;$D564,"EVET","HAYIR"))</f>
        <v/>
      </c>
      <c r="H564" s="0" t="str">
        <f aca="false">IF(OR($A564="",$E564="",$F564=""),"",IF($E564&lt;=$F564,"KAZANDI","KAYBETTİ"))</f>
        <v/>
      </c>
    </row>
    <row r="565" customFormat="false" ht="15" hidden="false" customHeight="false" outlineLevel="0" collapsed="false">
      <c r="A565" s="23"/>
      <c r="B565" s="25"/>
      <c r="C565" s="26"/>
      <c r="D565" s="26"/>
      <c r="E565" s="26"/>
      <c r="F565" s="26"/>
      <c r="G565" s="0" t="str">
        <f aca="false">IF(OR($A565="",$E565="",$D565=""),"",IF($E565&lt;$D565,"EVET","HAYIR"))</f>
        <v/>
      </c>
      <c r="H565" s="0" t="str">
        <f aca="false">IF(OR($A565="",$E565="",$F565=""),"",IF($E565&lt;=$F565,"KAZANDI","KAYBETTİ"))</f>
        <v/>
      </c>
    </row>
    <row r="566" customFormat="false" ht="15" hidden="false" customHeight="false" outlineLevel="0" collapsed="false">
      <c r="A566" s="23"/>
      <c r="B566" s="25"/>
      <c r="C566" s="26"/>
      <c r="D566" s="26"/>
      <c r="E566" s="26"/>
      <c r="F566" s="26"/>
      <c r="G566" s="0" t="str">
        <f aca="false">IF(OR($A566="",$E566="",$D566=""),"",IF($E566&lt;$D566,"EVET","HAYIR"))</f>
        <v/>
      </c>
      <c r="H566" s="0" t="str">
        <f aca="false">IF(OR($A566="",$E566="",$F566=""),"",IF($E566&lt;=$F566,"KAZANDI","KAYBETTİ"))</f>
        <v/>
      </c>
    </row>
    <row r="567" customFormat="false" ht="15" hidden="false" customHeight="false" outlineLevel="0" collapsed="false">
      <c r="A567" s="23"/>
      <c r="B567" s="25"/>
      <c r="C567" s="26"/>
      <c r="D567" s="26"/>
      <c r="E567" s="26"/>
      <c r="F567" s="26"/>
      <c r="G567" s="0" t="str">
        <f aca="false">IF(OR($A567="",$E567="",$D567=""),"",IF($E567&lt;$D567,"EVET","HAYIR"))</f>
        <v/>
      </c>
      <c r="H567" s="0" t="str">
        <f aca="false">IF(OR($A567="",$E567="",$F567=""),"",IF($E567&lt;=$F567,"KAZANDI","KAYBETTİ"))</f>
        <v/>
      </c>
    </row>
    <row r="568" customFormat="false" ht="15" hidden="false" customHeight="false" outlineLevel="0" collapsed="false">
      <c r="A568" s="23"/>
      <c r="B568" s="25"/>
      <c r="C568" s="26"/>
      <c r="D568" s="26"/>
      <c r="E568" s="26"/>
      <c r="F568" s="26"/>
      <c r="G568" s="0" t="str">
        <f aca="false">IF(OR($A568="",$E568="",$D568=""),"",IF($E568&lt;$D568,"EVET","HAYIR"))</f>
        <v/>
      </c>
      <c r="H568" s="0" t="str">
        <f aca="false">IF(OR($A568="",$E568="",$F568=""),"",IF($E568&lt;=$F568,"KAZANDI","KAYBETTİ"))</f>
        <v/>
      </c>
    </row>
    <row r="569" customFormat="false" ht="15" hidden="false" customHeight="false" outlineLevel="0" collapsed="false">
      <c r="A569" s="23"/>
      <c r="B569" s="25"/>
      <c r="C569" s="26"/>
      <c r="D569" s="26"/>
      <c r="E569" s="26"/>
      <c r="F569" s="26"/>
      <c r="G569" s="0" t="str">
        <f aca="false">IF(OR($A569="",$E569="",$D569=""),"",IF($E569&lt;$D569,"EVET","HAYIR"))</f>
        <v/>
      </c>
      <c r="H569" s="0" t="str">
        <f aca="false">IF(OR($A569="",$E569="",$F569=""),"",IF($E569&lt;=$F569,"KAZANDI","KAYBETTİ"))</f>
        <v/>
      </c>
    </row>
    <row r="570" customFormat="false" ht="15" hidden="false" customHeight="false" outlineLevel="0" collapsed="false">
      <c r="A570" s="23"/>
      <c r="B570" s="25"/>
      <c r="C570" s="26"/>
      <c r="D570" s="26"/>
      <c r="E570" s="26"/>
      <c r="F570" s="26"/>
      <c r="G570" s="0" t="str">
        <f aca="false">IF(OR($A570="",$E570="",$D570=""),"",IF($E570&lt;$D570,"EVET","HAYIR"))</f>
        <v/>
      </c>
      <c r="H570" s="0" t="str">
        <f aca="false">IF(OR($A570="",$E570="",$F570=""),"",IF($E570&lt;=$F570,"KAZANDI","KAYBETTİ"))</f>
        <v/>
      </c>
    </row>
    <row r="571" customFormat="false" ht="15" hidden="false" customHeight="false" outlineLevel="0" collapsed="false">
      <c r="A571" s="23"/>
      <c r="B571" s="25"/>
      <c r="C571" s="26"/>
      <c r="D571" s="26"/>
      <c r="E571" s="26"/>
      <c r="F571" s="26"/>
      <c r="G571" s="0" t="str">
        <f aca="false">IF(OR($A571="",$E571="",$D571=""),"",IF($E571&lt;$D571,"EVET","HAYIR"))</f>
        <v/>
      </c>
      <c r="H571" s="0" t="str">
        <f aca="false">IF(OR($A571="",$E571="",$F571=""),"",IF($E571&lt;=$F571,"KAZANDI","KAYBETTİ"))</f>
        <v/>
      </c>
    </row>
    <row r="572" customFormat="false" ht="15" hidden="false" customHeight="false" outlineLevel="0" collapsed="false">
      <c r="A572" s="23"/>
      <c r="B572" s="25"/>
      <c r="C572" s="26"/>
      <c r="D572" s="26"/>
      <c r="E572" s="26"/>
      <c r="F572" s="26"/>
      <c r="G572" s="0" t="str">
        <f aca="false">IF(OR($A572="",$E572="",$D572=""),"",IF($E572&lt;$D572,"EVET","HAYIR"))</f>
        <v/>
      </c>
      <c r="H572" s="0" t="str">
        <f aca="false">IF(OR($A572="",$E572="",$F572=""),"",IF($E572&lt;=$F572,"KAZANDI","KAYBETTİ"))</f>
        <v/>
      </c>
    </row>
    <row r="573" customFormat="false" ht="15" hidden="false" customHeight="false" outlineLevel="0" collapsed="false">
      <c r="A573" s="23"/>
      <c r="B573" s="25"/>
      <c r="C573" s="26"/>
      <c r="D573" s="26"/>
      <c r="E573" s="26"/>
      <c r="F573" s="26"/>
      <c r="G573" s="0" t="str">
        <f aca="false">IF(OR($A573="",$E573="",$D573=""),"",IF($E573&lt;$D573,"EVET","HAYIR"))</f>
        <v/>
      </c>
      <c r="H573" s="0" t="str">
        <f aca="false">IF(OR($A573="",$E573="",$F573=""),"",IF($E573&lt;=$F573,"KAZANDI","KAYBETTİ"))</f>
        <v/>
      </c>
    </row>
    <row r="574" customFormat="false" ht="15" hidden="false" customHeight="false" outlineLevel="0" collapsed="false">
      <c r="A574" s="23"/>
      <c r="B574" s="25"/>
      <c r="C574" s="26"/>
      <c r="D574" s="26"/>
      <c r="E574" s="26"/>
      <c r="F574" s="26"/>
      <c r="G574" s="0" t="str">
        <f aca="false">IF(OR($A574="",$E574="",$D574=""),"",IF($E574&lt;$D574,"EVET","HAYIR"))</f>
        <v/>
      </c>
      <c r="H574" s="0" t="str">
        <f aca="false">IF(OR($A574="",$E574="",$F574=""),"",IF($E574&lt;=$F574,"KAZANDI","KAYBETTİ"))</f>
        <v/>
      </c>
    </row>
    <row r="575" customFormat="false" ht="15" hidden="false" customHeight="false" outlineLevel="0" collapsed="false">
      <c r="A575" s="23"/>
      <c r="B575" s="25"/>
      <c r="C575" s="26"/>
      <c r="D575" s="26"/>
      <c r="E575" s="26"/>
      <c r="F575" s="26"/>
      <c r="G575" s="0" t="str">
        <f aca="false">IF(OR($A575="",$E575="",$D575=""),"",IF($E575&lt;$D575,"EVET","HAYIR"))</f>
        <v/>
      </c>
      <c r="H575" s="0" t="str">
        <f aca="false">IF(OR($A575="",$E575="",$F575=""),"",IF($E575&lt;=$F575,"KAZANDI","KAYBETTİ"))</f>
        <v/>
      </c>
    </row>
    <row r="576" customFormat="false" ht="15" hidden="false" customHeight="false" outlineLevel="0" collapsed="false">
      <c r="A576" s="23"/>
      <c r="B576" s="25"/>
      <c r="C576" s="26"/>
      <c r="D576" s="26"/>
      <c r="E576" s="26"/>
      <c r="F576" s="26"/>
      <c r="G576" s="0" t="str">
        <f aca="false">IF(OR($A576="",$E576="",$D576=""),"",IF($E576&lt;$D576,"EVET","HAYIR"))</f>
        <v/>
      </c>
      <c r="H576" s="0" t="str">
        <f aca="false">IF(OR($A576="",$E576="",$F576=""),"",IF($E576&lt;=$F576,"KAZANDI","KAYBETTİ"))</f>
        <v/>
      </c>
    </row>
    <row r="577" customFormat="false" ht="15" hidden="false" customHeight="false" outlineLevel="0" collapsed="false">
      <c r="A577" s="23"/>
      <c r="B577" s="25"/>
      <c r="C577" s="26"/>
      <c r="D577" s="26"/>
      <c r="E577" s="26"/>
      <c r="F577" s="26"/>
      <c r="G577" s="0" t="str">
        <f aca="false">IF(OR($A577="",$E577="",$D577=""),"",IF($E577&lt;$D577,"EVET","HAYIR"))</f>
        <v/>
      </c>
      <c r="H577" s="0" t="str">
        <f aca="false">IF(OR($A577="",$E577="",$F577=""),"",IF($E577&lt;=$F577,"KAZANDI","KAYBETTİ"))</f>
        <v/>
      </c>
    </row>
    <row r="578" customFormat="false" ht="15" hidden="false" customHeight="false" outlineLevel="0" collapsed="false">
      <c r="A578" s="23"/>
      <c r="B578" s="25"/>
      <c r="C578" s="26"/>
      <c r="D578" s="26"/>
      <c r="E578" s="26"/>
      <c r="F578" s="26"/>
      <c r="G578" s="0" t="str">
        <f aca="false">IF(OR($A578="",$E578="",$D578=""),"",IF($E578&lt;$D578,"EVET","HAYIR"))</f>
        <v/>
      </c>
      <c r="H578" s="0" t="str">
        <f aca="false">IF(OR($A578="",$E578="",$F578=""),"",IF($E578&lt;=$F578,"KAZANDI","KAYBETTİ"))</f>
        <v/>
      </c>
    </row>
    <row r="579" customFormat="false" ht="15" hidden="false" customHeight="false" outlineLevel="0" collapsed="false">
      <c r="A579" s="23"/>
      <c r="B579" s="25"/>
      <c r="C579" s="26"/>
      <c r="D579" s="26"/>
      <c r="E579" s="26"/>
      <c r="F579" s="26"/>
      <c r="G579" s="0" t="str">
        <f aca="false">IF(OR($A579="",$E579="",$D579=""),"",IF($E579&lt;$D579,"EVET","HAYIR"))</f>
        <v/>
      </c>
      <c r="H579" s="0" t="str">
        <f aca="false">IF(OR($A579="",$E579="",$F579=""),"",IF($E579&lt;=$F579,"KAZANDI","KAYBETTİ"))</f>
        <v/>
      </c>
    </row>
    <row r="580" customFormat="false" ht="15" hidden="false" customHeight="false" outlineLevel="0" collapsed="false">
      <c r="A580" s="23"/>
      <c r="B580" s="25"/>
      <c r="C580" s="26"/>
      <c r="D580" s="26"/>
      <c r="E580" s="26"/>
      <c r="F580" s="26"/>
      <c r="G580" s="0" t="str">
        <f aca="false">IF(OR($A580="",$E580="",$D580=""),"",IF($E580&lt;$D580,"EVET","HAYIR"))</f>
        <v/>
      </c>
      <c r="H580" s="0" t="str">
        <f aca="false">IF(OR($A580="",$E580="",$F580=""),"",IF($E580&lt;=$F580,"KAZANDI","KAYBETTİ"))</f>
        <v/>
      </c>
    </row>
    <row r="581" customFormat="false" ht="15" hidden="false" customHeight="false" outlineLevel="0" collapsed="false">
      <c r="A581" s="23"/>
      <c r="B581" s="25"/>
      <c r="C581" s="26"/>
      <c r="D581" s="26"/>
      <c r="E581" s="26"/>
      <c r="F581" s="26"/>
      <c r="G581" s="0" t="str">
        <f aca="false">IF(OR($A581="",$E581="",$D581=""),"",IF($E581&lt;$D581,"EVET","HAYIR"))</f>
        <v/>
      </c>
      <c r="H581" s="0" t="str">
        <f aca="false">IF(OR($A581="",$E581="",$F581=""),"",IF($E581&lt;=$F581,"KAZANDI","KAYBETTİ"))</f>
        <v/>
      </c>
    </row>
    <row r="582" customFormat="false" ht="15" hidden="false" customHeight="false" outlineLevel="0" collapsed="false">
      <c r="A582" s="23"/>
      <c r="B582" s="25"/>
      <c r="C582" s="26"/>
      <c r="D582" s="26"/>
      <c r="E582" s="26"/>
      <c r="F582" s="26"/>
      <c r="G582" s="0" t="str">
        <f aca="false">IF(OR($A582="",$E582="",$D582=""),"",IF($E582&lt;$D582,"EVET","HAYIR"))</f>
        <v/>
      </c>
      <c r="H582" s="0" t="str">
        <f aca="false">IF(OR($A582="",$E582="",$F582=""),"",IF($E582&lt;=$F582,"KAZANDI","KAYBETTİ"))</f>
        <v/>
      </c>
    </row>
    <row r="583" customFormat="false" ht="15" hidden="false" customHeight="false" outlineLevel="0" collapsed="false">
      <c r="A583" s="23"/>
      <c r="B583" s="25"/>
      <c r="C583" s="26"/>
      <c r="D583" s="26"/>
      <c r="E583" s="26"/>
      <c r="F583" s="26"/>
      <c r="G583" s="0" t="str">
        <f aca="false">IF(OR($A583="",$E583="",$D583=""),"",IF($E583&lt;$D583,"EVET","HAYIR"))</f>
        <v/>
      </c>
      <c r="H583" s="0" t="str">
        <f aca="false">IF(OR($A583="",$E583="",$F583=""),"",IF($E583&lt;=$F583,"KAZANDI","KAYBETTİ"))</f>
        <v/>
      </c>
    </row>
    <row r="584" customFormat="false" ht="15" hidden="false" customHeight="false" outlineLevel="0" collapsed="false">
      <c r="A584" s="23"/>
      <c r="B584" s="25"/>
      <c r="C584" s="26"/>
      <c r="D584" s="26"/>
      <c r="E584" s="26"/>
      <c r="F584" s="26"/>
      <c r="G584" s="0" t="str">
        <f aca="false">IF(OR($A584="",$E584="",$D584=""),"",IF($E584&lt;$D584,"EVET","HAYIR"))</f>
        <v/>
      </c>
      <c r="H584" s="0" t="str">
        <f aca="false">IF(OR($A584="",$E584="",$F584=""),"",IF($E584&lt;=$F584,"KAZANDI","KAYBETTİ"))</f>
        <v/>
      </c>
    </row>
    <row r="585" customFormat="false" ht="15" hidden="false" customHeight="false" outlineLevel="0" collapsed="false">
      <c r="A585" s="23"/>
      <c r="B585" s="25"/>
      <c r="C585" s="26"/>
      <c r="D585" s="26"/>
      <c r="E585" s="26"/>
      <c r="F585" s="26"/>
      <c r="G585" s="0" t="str">
        <f aca="false">IF(OR($A585="",$E585="",$D585=""),"",IF($E585&lt;$D585,"EVET","HAYIR"))</f>
        <v/>
      </c>
      <c r="H585" s="0" t="str">
        <f aca="false">IF(OR($A585="",$E585="",$F585=""),"",IF($E585&lt;=$F585,"KAZANDI","KAYBETTİ"))</f>
        <v/>
      </c>
    </row>
    <row r="586" customFormat="false" ht="15" hidden="false" customHeight="false" outlineLevel="0" collapsed="false">
      <c r="A586" s="23"/>
      <c r="B586" s="25"/>
      <c r="C586" s="26"/>
      <c r="D586" s="26"/>
      <c r="E586" s="26"/>
      <c r="F586" s="26"/>
      <c r="G586" s="0" t="str">
        <f aca="false">IF(OR($A586="",$E586="",$D586=""),"",IF($E586&lt;$D586,"EVET","HAYIR"))</f>
        <v/>
      </c>
      <c r="H586" s="0" t="str">
        <f aca="false">IF(OR($A586="",$E586="",$F586=""),"",IF($E586&lt;=$F586,"KAZANDI","KAYBETTİ"))</f>
        <v/>
      </c>
    </row>
    <row r="587" customFormat="false" ht="15" hidden="false" customHeight="false" outlineLevel="0" collapsed="false">
      <c r="A587" s="23"/>
      <c r="B587" s="25"/>
      <c r="C587" s="26"/>
      <c r="D587" s="26"/>
      <c r="E587" s="26"/>
      <c r="F587" s="26"/>
      <c r="G587" s="0" t="str">
        <f aca="false">IF(OR($A587="",$E587="",$D587=""),"",IF($E587&lt;$D587,"EVET","HAYIR"))</f>
        <v/>
      </c>
      <c r="H587" s="0" t="str">
        <f aca="false">IF(OR($A587="",$E587="",$F587=""),"",IF($E587&lt;=$F587,"KAZANDI","KAYBETTİ"))</f>
        <v/>
      </c>
    </row>
    <row r="588" customFormat="false" ht="15" hidden="false" customHeight="false" outlineLevel="0" collapsed="false">
      <c r="A588" s="23"/>
      <c r="B588" s="25"/>
      <c r="C588" s="26"/>
      <c r="D588" s="26"/>
      <c r="E588" s="26"/>
      <c r="F588" s="26"/>
      <c r="G588" s="0" t="str">
        <f aca="false">IF(OR($A588="",$E588="",$D588=""),"",IF($E588&lt;$D588,"EVET","HAYIR"))</f>
        <v/>
      </c>
      <c r="H588" s="0" t="str">
        <f aca="false">IF(OR($A588="",$E588="",$F588=""),"",IF($E588&lt;=$F588,"KAZANDI","KAYBETTİ"))</f>
        <v/>
      </c>
    </row>
    <row r="589" customFormat="false" ht="15" hidden="false" customHeight="false" outlineLevel="0" collapsed="false">
      <c r="A589" s="23"/>
      <c r="B589" s="25"/>
      <c r="C589" s="26"/>
      <c r="D589" s="26"/>
      <c r="E589" s="26"/>
      <c r="F589" s="26"/>
      <c r="G589" s="0" t="str">
        <f aca="false">IF(OR($A589="",$E589="",$D589=""),"",IF($E589&lt;$D589,"EVET","HAYIR"))</f>
        <v/>
      </c>
      <c r="H589" s="0" t="str">
        <f aca="false">IF(OR($A589="",$E589="",$F589=""),"",IF($E589&lt;=$F589,"KAZANDI","KAYBETTİ"))</f>
        <v/>
      </c>
    </row>
    <row r="590" customFormat="false" ht="15" hidden="false" customHeight="false" outlineLevel="0" collapsed="false">
      <c r="A590" s="23"/>
      <c r="B590" s="25"/>
      <c r="C590" s="26"/>
      <c r="D590" s="26"/>
      <c r="E590" s="26"/>
      <c r="F590" s="26"/>
      <c r="G590" s="0" t="str">
        <f aca="false">IF(OR($A590="",$E590="",$D590=""),"",IF($E590&lt;$D590,"EVET","HAYIR"))</f>
        <v/>
      </c>
      <c r="H590" s="0" t="str">
        <f aca="false">IF(OR($A590="",$E590="",$F590=""),"",IF($E590&lt;=$F590,"KAZANDI","KAYBETTİ"))</f>
        <v/>
      </c>
    </row>
    <row r="591" customFormat="false" ht="15" hidden="false" customHeight="false" outlineLevel="0" collapsed="false">
      <c r="A591" s="23"/>
      <c r="B591" s="25"/>
      <c r="C591" s="26"/>
      <c r="D591" s="26"/>
      <c r="E591" s="26"/>
      <c r="F591" s="26"/>
      <c r="G591" s="0" t="str">
        <f aca="false">IF(OR($A591="",$E591="",$D591=""),"",IF($E591&lt;$D591,"EVET","HAYIR"))</f>
        <v/>
      </c>
      <c r="H591" s="0" t="str">
        <f aca="false">IF(OR($A591="",$E591="",$F591=""),"",IF($E591&lt;=$F591,"KAZANDI","KAYBETTİ"))</f>
        <v/>
      </c>
    </row>
    <row r="592" customFormat="false" ht="15" hidden="false" customHeight="false" outlineLevel="0" collapsed="false">
      <c r="A592" s="23"/>
      <c r="B592" s="25"/>
      <c r="C592" s="26"/>
      <c r="D592" s="26"/>
      <c r="E592" s="26"/>
      <c r="F592" s="26"/>
      <c r="G592" s="0" t="str">
        <f aca="false">IF(OR($A592="",$E592="",$D592=""),"",IF($E592&lt;$D592,"EVET","HAYIR"))</f>
        <v/>
      </c>
      <c r="H592" s="0" t="str">
        <f aca="false">IF(OR($A592="",$E592="",$F592=""),"",IF($E592&lt;=$F592,"KAZANDI","KAYBETTİ"))</f>
        <v/>
      </c>
    </row>
    <row r="593" customFormat="false" ht="15" hidden="false" customHeight="false" outlineLevel="0" collapsed="false">
      <c r="A593" s="23"/>
      <c r="B593" s="25"/>
      <c r="C593" s="26"/>
      <c r="D593" s="26"/>
      <c r="E593" s="26"/>
      <c r="F593" s="26"/>
      <c r="G593" s="0" t="str">
        <f aca="false">IF(OR($A593="",$E593="",$D593=""),"",IF($E593&lt;$D593,"EVET","HAYIR"))</f>
        <v/>
      </c>
      <c r="H593" s="0" t="str">
        <f aca="false">IF(OR($A593="",$E593="",$F593=""),"",IF($E593&lt;=$F593,"KAZANDI","KAYBETTİ"))</f>
        <v/>
      </c>
    </row>
    <row r="594" customFormat="false" ht="15" hidden="false" customHeight="false" outlineLevel="0" collapsed="false">
      <c r="A594" s="23"/>
      <c r="B594" s="25"/>
      <c r="C594" s="26"/>
      <c r="D594" s="26"/>
      <c r="E594" s="26"/>
      <c r="F594" s="26"/>
      <c r="G594" s="0" t="str">
        <f aca="false">IF(OR($A594="",$E594="",$D594=""),"",IF($E594&lt;$D594,"EVET","HAYIR"))</f>
        <v/>
      </c>
      <c r="H594" s="0" t="str">
        <f aca="false">IF(OR($A594="",$E594="",$F594=""),"",IF($E594&lt;=$F594,"KAZANDI","KAYBETTİ"))</f>
        <v/>
      </c>
    </row>
    <row r="595" customFormat="false" ht="15" hidden="false" customHeight="false" outlineLevel="0" collapsed="false">
      <c r="A595" s="23"/>
      <c r="B595" s="25"/>
      <c r="C595" s="26"/>
      <c r="D595" s="26"/>
      <c r="E595" s="26"/>
      <c r="F595" s="26"/>
      <c r="G595" s="0" t="str">
        <f aca="false">IF(OR($A595="",$E595="",$D595=""),"",IF($E595&lt;$D595,"EVET","HAYIR"))</f>
        <v/>
      </c>
      <c r="H595" s="0" t="str">
        <f aca="false">IF(OR($A595="",$E595="",$F595=""),"",IF($E595&lt;=$F595,"KAZANDI","KAYBETTİ"))</f>
        <v/>
      </c>
    </row>
    <row r="596" customFormat="false" ht="15" hidden="false" customHeight="false" outlineLevel="0" collapsed="false">
      <c r="A596" s="23"/>
      <c r="B596" s="25"/>
      <c r="C596" s="26"/>
      <c r="D596" s="26"/>
      <c r="E596" s="26"/>
      <c r="F596" s="26"/>
      <c r="G596" s="0" t="str">
        <f aca="false">IF(OR($A596="",$E596="",$D596=""),"",IF($E596&lt;$D596,"EVET","HAYIR"))</f>
        <v/>
      </c>
      <c r="H596" s="0" t="str">
        <f aca="false">IF(OR($A596="",$E596="",$F596=""),"",IF($E596&lt;=$F596,"KAZANDI","KAYBETTİ"))</f>
        <v/>
      </c>
    </row>
    <row r="597" customFormat="false" ht="15" hidden="false" customHeight="false" outlineLevel="0" collapsed="false">
      <c r="A597" s="23"/>
      <c r="B597" s="25"/>
      <c r="C597" s="26"/>
      <c r="D597" s="26"/>
      <c r="E597" s="26"/>
      <c r="F597" s="26"/>
      <c r="G597" s="0" t="str">
        <f aca="false">IF(OR($A597="",$E597="",$D597=""),"",IF($E597&lt;$D597,"EVET","HAYIR"))</f>
        <v/>
      </c>
      <c r="H597" s="0" t="str">
        <f aca="false">IF(OR($A597="",$E597="",$F597=""),"",IF($E597&lt;=$F597,"KAZANDI","KAYBETTİ"))</f>
        <v/>
      </c>
    </row>
    <row r="598" customFormat="false" ht="15" hidden="false" customHeight="false" outlineLevel="0" collapsed="false">
      <c r="A598" s="23"/>
      <c r="B598" s="25"/>
      <c r="C598" s="26"/>
      <c r="D598" s="26"/>
      <c r="E598" s="26"/>
      <c r="F598" s="26"/>
      <c r="G598" s="0" t="str">
        <f aca="false">IF(OR($A598="",$E598="",$D598=""),"",IF($E598&lt;$D598,"EVET","HAYIR"))</f>
        <v/>
      </c>
      <c r="H598" s="0" t="str">
        <f aca="false">IF(OR($A598="",$E598="",$F598=""),"",IF($E598&lt;=$F598,"KAZANDI","KAYBETTİ"))</f>
        <v/>
      </c>
    </row>
    <row r="599" customFormat="false" ht="15" hidden="false" customHeight="false" outlineLevel="0" collapsed="false">
      <c r="A599" s="23"/>
      <c r="B599" s="25"/>
      <c r="C599" s="26"/>
      <c r="D599" s="26"/>
      <c r="E599" s="26"/>
      <c r="F599" s="26"/>
      <c r="G599" s="0" t="str">
        <f aca="false">IF(OR($A599="",$E599="",$D599=""),"",IF($E599&lt;$D599,"EVET","HAYIR"))</f>
        <v/>
      </c>
      <c r="H599" s="0" t="str">
        <f aca="false">IF(OR($A599="",$E599="",$F599=""),"",IF($E599&lt;=$F599,"KAZANDI","KAYBETTİ"))</f>
        <v/>
      </c>
    </row>
    <row r="600" customFormat="false" ht="15" hidden="false" customHeight="false" outlineLevel="0" collapsed="false">
      <c r="A600" s="23"/>
      <c r="B600" s="25"/>
      <c r="C600" s="26"/>
      <c r="D600" s="26"/>
      <c r="E600" s="26"/>
      <c r="F600" s="26"/>
      <c r="G600" s="0" t="str">
        <f aca="false">IF(OR($A600="",$E600="",$D600=""),"",IF($E600&lt;$D600,"EVET","HAYIR"))</f>
        <v/>
      </c>
      <c r="H600" s="0" t="str">
        <f aca="false">IF(OR($A600="",$E600="",$F600=""),"",IF($E600&lt;=$F600,"KAZANDI","KAYBETTİ"))</f>
        <v/>
      </c>
    </row>
    <row r="601" customFormat="false" ht="15" hidden="false" customHeight="false" outlineLevel="0" collapsed="false">
      <c r="A601" s="23"/>
      <c r="B601" s="25"/>
      <c r="C601" s="26"/>
      <c r="D601" s="26"/>
      <c r="E601" s="26"/>
      <c r="F601" s="26"/>
      <c r="G601" s="0" t="str">
        <f aca="false">IF(OR($A601="",$E601="",$D601=""),"",IF($E601&lt;$D601,"EVET","HAYIR"))</f>
        <v/>
      </c>
      <c r="H601" s="0" t="str">
        <f aca="false">IF(OR($A601="",$E601="",$F601=""),"",IF($E601&lt;=$F601,"KAZANDI","KAYBETTİ"))</f>
        <v/>
      </c>
    </row>
    <row r="602" customFormat="false" ht="15" hidden="false" customHeight="false" outlineLevel="0" collapsed="false">
      <c r="A602" s="23"/>
      <c r="B602" s="25"/>
      <c r="C602" s="26"/>
      <c r="D602" s="26"/>
      <c r="E602" s="26"/>
      <c r="F602" s="26"/>
      <c r="G602" s="0" t="str">
        <f aca="false">IF(OR($A602="",$E602="",$D602=""),"",IF($E602&lt;$D602,"EVET","HAYIR"))</f>
        <v/>
      </c>
      <c r="H602" s="0" t="str">
        <f aca="false">IF(OR($A602="",$E602="",$F602=""),"",IF($E602&lt;=$F602,"KAZANDI","KAYBETTİ"))</f>
        <v/>
      </c>
    </row>
    <row r="603" customFormat="false" ht="15" hidden="false" customHeight="false" outlineLevel="0" collapsed="false">
      <c r="A603" s="23"/>
      <c r="B603" s="25"/>
      <c r="C603" s="26"/>
      <c r="D603" s="26"/>
      <c r="E603" s="26"/>
      <c r="F603" s="26"/>
      <c r="G603" s="0" t="str">
        <f aca="false">IF(OR($A603="",$E603="",$D603=""),"",IF($E603&lt;$D603,"EVET","HAYIR"))</f>
        <v/>
      </c>
      <c r="H603" s="0" t="str">
        <f aca="false">IF(OR($A603="",$E603="",$F603=""),"",IF($E603&lt;=$F603,"KAZANDI","KAYBETTİ"))</f>
        <v/>
      </c>
    </row>
    <row r="604" customFormat="false" ht="15" hidden="false" customHeight="false" outlineLevel="0" collapsed="false">
      <c r="A604" s="23"/>
      <c r="B604" s="25"/>
      <c r="C604" s="26"/>
      <c r="D604" s="26"/>
      <c r="E604" s="26"/>
      <c r="F604" s="26"/>
      <c r="G604" s="0" t="str">
        <f aca="false">IF(OR($A604="",$E604="",$D604=""),"",IF($E604&lt;$D604,"EVET","HAYIR"))</f>
        <v/>
      </c>
      <c r="H604" s="0" t="str">
        <f aca="false">IF(OR($A604="",$E604="",$F604=""),"",IF($E604&lt;=$F604,"KAZANDI","KAYBETTİ"))</f>
        <v/>
      </c>
    </row>
    <row r="605" customFormat="false" ht="15" hidden="false" customHeight="false" outlineLevel="0" collapsed="false">
      <c r="A605" s="23"/>
      <c r="B605" s="25"/>
      <c r="C605" s="26"/>
      <c r="D605" s="26"/>
      <c r="E605" s="26"/>
      <c r="F605" s="26"/>
      <c r="G605" s="0" t="str">
        <f aca="false">IF(OR($A605="",$E605="",$D605=""),"",IF($E605&lt;$D605,"EVET","HAYIR"))</f>
        <v/>
      </c>
      <c r="H605" s="0" t="str">
        <f aca="false">IF(OR($A605="",$E605="",$F605=""),"",IF($E605&lt;=$F605,"KAZANDI","KAYBETTİ"))</f>
        <v/>
      </c>
    </row>
    <row r="606" customFormat="false" ht="15" hidden="false" customHeight="false" outlineLevel="0" collapsed="false">
      <c r="A606" s="23"/>
      <c r="B606" s="25"/>
      <c r="C606" s="26"/>
      <c r="D606" s="26"/>
      <c r="E606" s="26"/>
      <c r="F606" s="26"/>
      <c r="G606" s="0" t="str">
        <f aca="false">IF(OR($A606="",$E606="",$D606=""),"",IF($E606&lt;$D606,"EVET","HAYIR"))</f>
        <v/>
      </c>
      <c r="H606" s="0" t="str">
        <f aca="false">IF(OR($A606="",$E606="",$F606=""),"",IF($E606&lt;=$F606,"KAZANDI","KAYBETTİ"))</f>
        <v/>
      </c>
    </row>
    <row r="607" customFormat="false" ht="15" hidden="false" customHeight="false" outlineLevel="0" collapsed="false">
      <c r="A607" s="23"/>
      <c r="B607" s="25"/>
      <c r="C607" s="26"/>
      <c r="D607" s="26"/>
      <c r="E607" s="26"/>
      <c r="F607" s="26"/>
      <c r="G607" s="0" t="str">
        <f aca="false">IF(OR($A607="",$E607="",$D607=""),"",IF($E607&lt;$D607,"EVET","HAYIR"))</f>
        <v/>
      </c>
      <c r="H607" s="0" t="str">
        <f aca="false">IF(OR($A607="",$E607="",$F607=""),"",IF($E607&lt;=$F607,"KAZANDI","KAYBETTİ"))</f>
        <v/>
      </c>
    </row>
    <row r="608" customFormat="false" ht="15" hidden="false" customHeight="false" outlineLevel="0" collapsed="false">
      <c r="A608" s="23"/>
      <c r="B608" s="25"/>
      <c r="C608" s="26"/>
      <c r="D608" s="26"/>
      <c r="E608" s="26"/>
      <c r="F608" s="26"/>
      <c r="G608" s="0" t="str">
        <f aca="false">IF(OR($A608="",$E608="",$D608=""),"",IF($E608&lt;$D608,"EVET","HAYIR"))</f>
        <v/>
      </c>
      <c r="H608" s="0" t="str">
        <f aca="false">IF(OR($A608="",$E608="",$F608=""),"",IF($E608&lt;=$F608,"KAZANDI","KAYBETTİ"))</f>
        <v/>
      </c>
    </row>
    <row r="609" customFormat="false" ht="15" hidden="false" customHeight="false" outlineLevel="0" collapsed="false">
      <c r="A609" s="23"/>
      <c r="B609" s="25"/>
      <c r="C609" s="26"/>
      <c r="D609" s="26"/>
      <c r="E609" s="26"/>
      <c r="F609" s="26"/>
      <c r="G609" s="0" t="str">
        <f aca="false">IF(OR($A609="",$E609="",$D609=""),"",IF($E609&lt;$D609,"EVET","HAYIR"))</f>
        <v/>
      </c>
      <c r="H609" s="0" t="str">
        <f aca="false">IF(OR($A609="",$E609="",$F609=""),"",IF($E609&lt;=$F609,"KAZANDI","KAYBETTİ"))</f>
        <v/>
      </c>
    </row>
    <row r="610" customFormat="false" ht="15" hidden="false" customHeight="false" outlineLevel="0" collapsed="false">
      <c r="A610" s="23"/>
      <c r="B610" s="25"/>
      <c r="C610" s="26"/>
      <c r="D610" s="26"/>
      <c r="E610" s="26"/>
      <c r="F610" s="26"/>
      <c r="G610" s="0" t="str">
        <f aca="false">IF(OR($A610="",$E610="",$D610=""),"",IF($E610&lt;$D610,"EVET","HAYIR"))</f>
        <v/>
      </c>
      <c r="H610" s="0" t="str">
        <f aca="false">IF(OR($A610="",$E610="",$F610=""),"",IF($E610&lt;=$F610,"KAZANDI","KAYBETTİ"))</f>
        <v/>
      </c>
    </row>
    <row r="611" customFormat="false" ht="15" hidden="false" customHeight="false" outlineLevel="0" collapsed="false">
      <c r="A611" s="23"/>
      <c r="B611" s="25"/>
      <c r="C611" s="26"/>
      <c r="D611" s="26"/>
      <c r="E611" s="26"/>
      <c r="F611" s="26"/>
      <c r="G611" s="0" t="str">
        <f aca="false">IF(OR($A611="",$E611="",$D611=""),"",IF($E611&lt;$D611,"EVET","HAYIR"))</f>
        <v/>
      </c>
      <c r="H611" s="0" t="str">
        <f aca="false">IF(OR($A611="",$E611="",$F611=""),"",IF($E611&lt;=$F611,"KAZANDI","KAYBETTİ"))</f>
        <v/>
      </c>
    </row>
    <row r="612" customFormat="false" ht="15" hidden="false" customHeight="false" outlineLevel="0" collapsed="false">
      <c r="A612" s="23"/>
      <c r="B612" s="25"/>
      <c r="C612" s="26"/>
      <c r="D612" s="26"/>
      <c r="E612" s="26"/>
      <c r="F612" s="26"/>
      <c r="G612" s="0" t="str">
        <f aca="false">IF(OR($A612="",$E612="",$D612=""),"",IF($E612&lt;$D612,"EVET","HAYIR"))</f>
        <v/>
      </c>
      <c r="H612" s="0" t="str">
        <f aca="false">IF(OR($A612="",$E612="",$F612=""),"",IF($E612&lt;=$F612,"KAZANDI","KAYBETTİ"))</f>
        <v/>
      </c>
    </row>
    <row r="613" customFormat="false" ht="15" hidden="false" customHeight="false" outlineLevel="0" collapsed="false">
      <c r="A613" s="23"/>
      <c r="B613" s="25"/>
      <c r="C613" s="26"/>
      <c r="D613" s="26"/>
      <c r="E613" s="26"/>
      <c r="F613" s="26"/>
      <c r="G613" s="0" t="str">
        <f aca="false">IF(OR($A613="",$E613="",$D613=""),"",IF($E613&lt;$D613,"EVET","HAYIR"))</f>
        <v/>
      </c>
      <c r="H613" s="0" t="str">
        <f aca="false">IF(OR($A613="",$E613="",$F613=""),"",IF($E613&lt;=$F613,"KAZANDI","KAYBETTİ"))</f>
        <v/>
      </c>
    </row>
    <row r="614" customFormat="false" ht="15" hidden="false" customHeight="false" outlineLevel="0" collapsed="false">
      <c r="A614" s="23"/>
      <c r="B614" s="25"/>
      <c r="C614" s="26"/>
      <c r="D614" s="26"/>
      <c r="E614" s="26"/>
      <c r="F614" s="26"/>
      <c r="G614" s="0" t="str">
        <f aca="false">IF(OR($A614="",$E614="",$D614=""),"",IF($E614&lt;$D614,"EVET","HAYIR"))</f>
        <v/>
      </c>
      <c r="H614" s="0" t="str">
        <f aca="false">IF(OR($A614="",$E614="",$F614=""),"",IF($E614&lt;=$F614,"KAZANDI","KAYBETTİ"))</f>
        <v/>
      </c>
    </row>
    <row r="615" customFormat="false" ht="15" hidden="false" customHeight="false" outlineLevel="0" collapsed="false">
      <c r="A615" s="23"/>
      <c r="B615" s="25"/>
      <c r="C615" s="26"/>
      <c r="D615" s="26"/>
      <c r="E615" s="26"/>
      <c r="F615" s="26"/>
      <c r="G615" s="0" t="str">
        <f aca="false">IF(OR($A615="",$E615="",$D615=""),"",IF($E615&lt;$D615,"EVET","HAYIR"))</f>
        <v/>
      </c>
      <c r="H615" s="0" t="str">
        <f aca="false">IF(OR($A615="",$E615="",$F615=""),"",IF($E615&lt;=$F615,"KAZANDI","KAYBETTİ"))</f>
        <v/>
      </c>
    </row>
    <row r="616" customFormat="false" ht="15" hidden="false" customHeight="false" outlineLevel="0" collapsed="false">
      <c r="A616" s="23"/>
      <c r="B616" s="25"/>
      <c r="C616" s="26"/>
      <c r="D616" s="26"/>
      <c r="E616" s="26"/>
      <c r="F616" s="26"/>
      <c r="G616" s="0" t="str">
        <f aca="false">IF(OR($A616="",$E616="",$D616=""),"",IF($E616&lt;$D616,"EVET","HAYIR"))</f>
        <v/>
      </c>
      <c r="H616" s="0" t="str">
        <f aca="false">IF(OR($A616="",$E616="",$F616=""),"",IF($E616&lt;=$F616,"KAZANDI","KAYBETTİ"))</f>
        <v/>
      </c>
    </row>
    <row r="617" customFormat="false" ht="15" hidden="false" customHeight="false" outlineLevel="0" collapsed="false">
      <c r="A617" s="23"/>
      <c r="B617" s="25"/>
      <c r="C617" s="26"/>
      <c r="D617" s="26"/>
      <c r="E617" s="26"/>
      <c r="F617" s="26"/>
      <c r="G617" s="0" t="str">
        <f aca="false">IF(OR($A617="",$E617="",$D617=""),"",IF($E617&lt;$D617,"EVET","HAYIR"))</f>
        <v/>
      </c>
      <c r="H617" s="0" t="str">
        <f aca="false">IF(OR($A617="",$E617="",$F617=""),"",IF($E617&lt;=$F617,"KAZANDI","KAYBETTİ"))</f>
        <v/>
      </c>
    </row>
    <row r="618" customFormat="false" ht="15" hidden="false" customHeight="false" outlineLevel="0" collapsed="false">
      <c r="A618" s="23"/>
      <c r="B618" s="25"/>
      <c r="C618" s="26"/>
      <c r="D618" s="26"/>
      <c r="E618" s="26"/>
      <c r="F618" s="26"/>
      <c r="G618" s="0" t="str">
        <f aca="false">IF(OR($A618="",$E618="",$D618=""),"",IF($E618&lt;$D618,"EVET","HAYIR"))</f>
        <v/>
      </c>
      <c r="H618" s="0" t="str">
        <f aca="false">IF(OR($A618="",$E618="",$F618=""),"",IF($E618&lt;=$F618,"KAZANDI","KAYBETTİ"))</f>
        <v/>
      </c>
    </row>
    <row r="619" customFormat="false" ht="15" hidden="false" customHeight="false" outlineLevel="0" collapsed="false">
      <c r="A619" s="23"/>
      <c r="B619" s="25"/>
      <c r="C619" s="26"/>
      <c r="D619" s="26"/>
      <c r="E619" s="26"/>
      <c r="F619" s="26"/>
      <c r="G619" s="0" t="str">
        <f aca="false">IF(OR($A619="",$E619="",$D619=""),"",IF($E619&lt;$D619,"EVET","HAYIR"))</f>
        <v/>
      </c>
      <c r="H619" s="0" t="str">
        <f aca="false">IF(OR($A619="",$E619="",$F619=""),"",IF($E619&lt;=$F619,"KAZANDI","KAYBETTİ"))</f>
        <v/>
      </c>
    </row>
    <row r="620" customFormat="false" ht="15" hidden="false" customHeight="false" outlineLevel="0" collapsed="false">
      <c r="A620" s="23"/>
      <c r="B620" s="25"/>
      <c r="C620" s="26"/>
      <c r="D620" s="26"/>
      <c r="E620" s="26"/>
      <c r="F620" s="26"/>
      <c r="G620" s="0" t="str">
        <f aca="false">IF(OR($A620="",$E620="",$D620=""),"",IF($E620&lt;$D620,"EVET","HAYIR"))</f>
        <v/>
      </c>
      <c r="H620" s="0" t="str">
        <f aca="false">IF(OR($A620="",$E620="",$F620=""),"",IF($E620&lt;=$F620,"KAZANDI","KAYBETTİ"))</f>
        <v/>
      </c>
    </row>
    <row r="621" customFormat="false" ht="15" hidden="false" customHeight="false" outlineLevel="0" collapsed="false">
      <c r="A621" s="23"/>
      <c r="B621" s="25"/>
      <c r="C621" s="26"/>
      <c r="D621" s="26"/>
      <c r="E621" s="26"/>
      <c r="F621" s="26"/>
      <c r="G621" s="0" t="str">
        <f aca="false">IF(OR($A621="",$E621="",$D621=""),"",IF($E621&lt;$D621,"EVET","HAYIR"))</f>
        <v/>
      </c>
      <c r="H621" s="0" t="str">
        <f aca="false">IF(OR($A621="",$E621="",$F621=""),"",IF($E621&lt;=$F621,"KAZANDI","KAYBETTİ"))</f>
        <v/>
      </c>
    </row>
    <row r="622" customFormat="false" ht="15" hidden="false" customHeight="false" outlineLevel="0" collapsed="false">
      <c r="A622" s="23"/>
      <c r="B622" s="25"/>
      <c r="C622" s="26"/>
      <c r="D622" s="26"/>
      <c r="E622" s="26"/>
      <c r="F622" s="26"/>
      <c r="G622" s="0" t="str">
        <f aca="false">IF(OR($A622="",$E622="",$D622=""),"",IF($E622&lt;$D622,"EVET","HAYIR"))</f>
        <v/>
      </c>
      <c r="H622" s="0" t="str">
        <f aca="false">IF(OR($A622="",$E622="",$F622=""),"",IF($E622&lt;=$F622,"KAZANDI","KAYBETTİ"))</f>
        <v/>
      </c>
    </row>
    <row r="623" customFormat="false" ht="15" hidden="false" customHeight="false" outlineLevel="0" collapsed="false">
      <c r="A623" s="23"/>
      <c r="B623" s="25"/>
      <c r="C623" s="26"/>
      <c r="D623" s="26"/>
      <c r="E623" s="26"/>
      <c r="F623" s="26"/>
      <c r="G623" s="0" t="str">
        <f aca="false">IF(OR($A623="",$E623="",$D623=""),"",IF($E623&lt;$D623,"EVET","HAYIR"))</f>
        <v/>
      </c>
      <c r="H623" s="0" t="str">
        <f aca="false">IF(OR($A623="",$E623="",$F623=""),"",IF($E623&lt;=$F623,"KAZANDI","KAYBETTİ"))</f>
        <v/>
      </c>
    </row>
    <row r="624" customFormat="false" ht="15" hidden="false" customHeight="false" outlineLevel="0" collapsed="false">
      <c r="A624" s="23"/>
      <c r="B624" s="25"/>
      <c r="C624" s="26"/>
      <c r="D624" s="26"/>
      <c r="E624" s="26"/>
      <c r="F624" s="26"/>
      <c r="G624" s="0" t="str">
        <f aca="false">IF(OR($A624="",$E624="",$D624=""),"",IF($E624&lt;$D624,"EVET","HAYIR"))</f>
        <v/>
      </c>
      <c r="H624" s="0" t="str">
        <f aca="false">IF(OR($A624="",$E624="",$F624=""),"",IF($E624&lt;=$F624,"KAZANDI","KAYBETTİ"))</f>
        <v/>
      </c>
    </row>
    <row r="625" customFormat="false" ht="15" hidden="false" customHeight="false" outlineLevel="0" collapsed="false">
      <c r="A625" s="23"/>
      <c r="B625" s="25"/>
      <c r="C625" s="26"/>
      <c r="D625" s="26"/>
      <c r="E625" s="26"/>
      <c r="F625" s="26"/>
      <c r="G625" s="0" t="str">
        <f aca="false">IF(OR($A625="",$E625="",$D625=""),"",IF($E625&lt;$D625,"EVET","HAYIR"))</f>
        <v/>
      </c>
      <c r="H625" s="0" t="str">
        <f aca="false">IF(OR($A625="",$E625="",$F625=""),"",IF($E625&lt;=$F625,"KAZANDI","KAYBETTİ"))</f>
        <v/>
      </c>
    </row>
    <row r="626" customFormat="false" ht="15" hidden="false" customHeight="false" outlineLevel="0" collapsed="false">
      <c r="A626" s="23"/>
      <c r="B626" s="25"/>
      <c r="C626" s="26"/>
      <c r="D626" s="26"/>
      <c r="E626" s="26"/>
      <c r="F626" s="26"/>
      <c r="G626" s="0" t="str">
        <f aca="false">IF(OR($A626="",$E626="",$D626=""),"",IF($E626&lt;$D626,"EVET","HAYIR"))</f>
        <v/>
      </c>
      <c r="H626" s="0" t="str">
        <f aca="false">IF(OR($A626="",$E626="",$F626=""),"",IF($E626&lt;=$F626,"KAZANDI","KAYBETTİ"))</f>
        <v/>
      </c>
    </row>
    <row r="627" customFormat="false" ht="15" hidden="false" customHeight="false" outlineLevel="0" collapsed="false">
      <c r="A627" s="23"/>
      <c r="B627" s="25"/>
      <c r="C627" s="26"/>
      <c r="D627" s="26"/>
      <c r="E627" s="26"/>
      <c r="F627" s="26"/>
      <c r="G627" s="0" t="str">
        <f aca="false">IF(OR($A627="",$E627="",$D627=""),"",IF($E627&lt;$D627,"EVET","HAYIR"))</f>
        <v/>
      </c>
      <c r="H627" s="0" t="str">
        <f aca="false">IF(OR($A627="",$E627="",$F627=""),"",IF($E627&lt;=$F627,"KAZANDI","KAYBETTİ"))</f>
        <v/>
      </c>
    </row>
    <row r="628" customFormat="false" ht="15" hidden="false" customHeight="false" outlineLevel="0" collapsed="false">
      <c r="A628" s="23"/>
      <c r="B628" s="25"/>
      <c r="C628" s="26"/>
      <c r="D628" s="26"/>
      <c r="E628" s="26"/>
      <c r="F628" s="26"/>
      <c r="G628" s="0" t="str">
        <f aca="false">IF(OR($A628="",$E628="",$D628=""),"",IF($E628&lt;$D628,"EVET","HAYIR"))</f>
        <v/>
      </c>
      <c r="H628" s="0" t="str">
        <f aca="false">IF(OR($A628="",$E628="",$F628=""),"",IF($E628&lt;=$F628,"KAZANDI","KAYBETTİ"))</f>
        <v/>
      </c>
    </row>
    <row r="629" customFormat="false" ht="15" hidden="false" customHeight="false" outlineLevel="0" collapsed="false">
      <c r="A629" s="23"/>
      <c r="B629" s="25"/>
      <c r="C629" s="26"/>
      <c r="D629" s="26"/>
      <c r="E629" s="26"/>
      <c r="F629" s="26"/>
      <c r="G629" s="0" t="str">
        <f aca="false">IF(OR($A629="",$E629="",$D629=""),"",IF($E629&lt;$D629,"EVET","HAYIR"))</f>
        <v/>
      </c>
      <c r="H629" s="0" t="str">
        <f aca="false">IF(OR($A629="",$E629="",$F629=""),"",IF($E629&lt;=$F629,"KAZANDI","KAYBETTİ"))</f>
        <v/>
      </c>
    </row>
    <row r="630" customFormat="false" ht="15" hidden="false" customHeight="false" outlineLevel="0" collapsed="false">
      <c r="A630" s="23"/>
      <c r="B630" s="25"/>
      <c r="C630" s="26"/>
      <c r="D630" s="26"/>
      <c r="E630" s="26"/>
      <c r="F630" s="26"/>
      <c r="G630" s="0" t="str">
        <f aca="false">IF(OR($A630="",$E630="",$D630=""),"",IF($E630&lt;$D630,"EVET","HAYIR"))</f>
        <v/>
      </c>
      <c r="H630" s="0" t="str">
        <f aca="false">IF(OR($A630="",$E630="",$F630=""),"",IF($E630&lt;=$F630,"KAZANDI","KAYBETTİ"))</f>
        <v/>
      </c>
    </row>
    <row r="631" customFormat="false" ht="15" hidden="false" customHeight="false" outlineLevel="0" collapsed="false">
      <c r="A631" s="23"/>
      <c r="B631" s="25"/>
      <c r="C631" s="26"/>
      <c r="D631" s="26"/>
      <c r="E631" s="26"/>
      <c r="F631" s="26"/>
      <c r="G631" s="0" t="str">
        <f aca="false">IF(OR($A631="",$E631="",$D631=""),"",IF($E631&lt;$D631,"EVET","HAYIR"))</f>
        <v/>
      </c>
      <c r="H631" s="0" t="str">
        <f aca="false">IF(OR($A631="",$E631="",$F631=""),"",IF($E631&lt;=$F631,"KAZANDI","KAYBETTİ"))</f>
        <v/>
      </c>
    </row>
    <row r="632" customFormat="false" ht="15" hidden="false" customHeight="false" outlineLevel="0" collapsed="false">
      <c r="A632" s="23"/>
      <c r="B632" s="25"/>
      <c r="C632" s="26"/>
      <c r="D632" s="26"/>
      <c r="E632" s="26"/>
      <c r="F632" s="26"/>
      <c r="G632" s="0" t="str">
        <f aca="false">IF(OR($A632="",$E632="",$D632=""),"",IF($E632&lt;$D632,"EVET","HAYIR"))</f>
        <v/>
      </c>
      <c r="H632" s="0" t="str">
        <f aca="false">IF(OR($A632="",$E632="",$F632=""),"",IF($E632&lt;=$F632,"KAZANDI","KAYBETTİ"))</f>
        <v/>
      </c>
    </row>
    <row r="633" customFormat="false" ht="15" hidden="false" customHeight="false" outlineLevel="0" collapsed="false">
      <c r="A633" s="23"/>
      <c r="B633" s="25"/>
      <c r="C633" s="26"/>
      <c r="D633" s="26"/>
      <c r="E633" s="26"/>
      <c r="F633" s="26"/>
      <c r="G633" s="0" t="str">
        <f aca="false">IF(OR($A633="",$E633="",$D633=""),"",IF($E633&lt;$D633,"EVET","HAYIR"))</f>
        <v/>
      </c>
      <c r="H633" s="0" t="str">
        <f aca="false">IF(OR($A633="",$E633="",$F633=""),"",IF($E633&lt;=$F633,"KAZANDI","KAYBETTİ"))</f>
        <v/>
      </c>
    </row>
    <row r="634" customFormat="false" ht="15" hidden="false" customHeight="false" outlineLevel="0" collapsed="false">
      <c r="A634" s="23"/>
      <c r="B634" s="25"/>
      <c r="C634" s="26"/>
      <c r="D634" s="26"/>
      <c r="E634" s="26"/>
      <c r="F634" s="26"/>
      <c r="G634" s="0" t="str">
        <f aca="false">IF(OR($A634="",$E634="",$D634=""),"",IF($E634&lt;$D634,"EVET","HAYIR"))</f>
        <v/>
      </c>
      <c r="H634" s="0" t="str">
        <f aca="false">IF(OR($A634="",$E634="",$F634=""),"",IF($E634&lt;=$F634,"KAZANDI","KAYBETTİ"))</f>
        <v/>
      </c>
    </row>
    <row r="635" customFormat="false" ht="15" hidden="false" customHeight="false" outlineLevel="0" collapsed="false">
      <c r="A635" s="23"/>
      <c r="B635" s="25"/>
      <c r="C635" s="26"/>
      <c r="D635" s="26"/>
      <c r="E635" s="26"/>
      <c r="F635" s="26"/>
      <c r="G635" s="0" t="str">
        <f aca="false">IF(OR($A635="",$E635="",$D635=""),"",IF($E635&lt;$D635,"EVET","HAYIR"))</f>
        <v/>
      </c>
      <c r="H635" s="0" t="str">
        <f aca="false">IF(OR($A635="",$E635="",$F635=""),"",IF($E635&lt;=$F635,"KAZANDI","KAYBETTİ"))</f>
        <v/>
      </c>
    </row>
    <row r="636" customFormat="false" ht="15" hidden="false" customHeight="false" outlineLevel="0" collapsed="false">
      <c r="A636" s="23"/>
      <c r="B636" s="25"/>
      <c r="C636" s="26"/>
      <c r="D636" s="26"/>
      <c r="E636" s="26"/>
      <c r="F636" s="26"/>
      <c r="G636" s="0" t="str">
        <f aca="false">IF(OR($A636="",$E636="",$D636=""),"",IF($E636&lt;$D636,"EVET","HAYIR"))</f>
        <v/>
      </c>
      <c r="H636" s="0" t="str">
        <f aca="false">IF(OR($A636="",$E636="",$F636=""),"",IF($E636&lt;=$F636,"KAZANDI","KAYBETTİ"))</f>
        <v/>
      </c>
    </row>
    <row r="637" customFormat="false" ht="15" hidden="false" customHeight="false" outlineLevel="0" collapsed="false">
      <c r="A637" s="23"/>
      <c r="B637" s="25"/>
      <c r="C637" s="26"/>
      <c r="D637" s="26"/>
      <c r="E637" s="26"/>
      <c r="F637" s="26"/>
      <c r="G637" s="0" t="str">
        <f aca="false">IF(OR($A637="",$E637="",$D637=""),"",IF($E637&lt;$D637,"EVET","HAYIR"))</f>
        <v/>
      </c>
      <c r="H637" s="0" t="str">
        <f aca="false">IF(OR($A637="",$E637="",$F637=""),"",IF($E637&lt;=$F637,"KAZANDI","KAYBETTİ"))</f>
        <v/>
      </c>
    </row>
    <row r="638" customFormat="false" ht="15" hidden="false" customHeight="false" outlineLevel="0" collapsed="false">
      <c r="A638" s="23"/>
      <c r="B638" s="25"/>
      <c r="C638" s="26"/>
      <c r="D638" s="26"/>
      <c r="E638" s="26"/>
      <c r="F638" s="26"/>
      <c r="G638" s="0" t="str">
        <f aca="false">IF(OR($A638="",$E638="",$D638=""),"",IF($E638&lt;$D638,"EVET","HAYIR"))</f>
        <v/>
      </c>
      <c r="H638" s="0" t="str">
        <f aca="false">IF(OR($A638="",$E638="",$F638=""),"",IF($E638&lt;=$F638,"KAZANDI","KAYBETTİ"))</f>
        <v/>
      </c>
    </row>
    <row r="639" customFormat="false" ht="15" hidden="false" customHeight="false" outlineLevel="0" collapsed="false">
      <c r="A639" s="23"/>
      <c r="B639" s="25"/>
      <c r="C639" s="26"/>
      <c r="D639" s="26"/>
      <c r="E639" s="26"/>
      <c r="F639" s="26"/>
      <c r="G639" s="0" t="str">
        <f aca="false">IF(OR($A639="",$E639="",$D639=""),"",IF($E639&lt;$D639,"EVET","HAYIR"))</f>
        <v/>
      </c>
      <c r="H639" s="0" t="str">
        <f aca="false">IF(OR($A639="",$E639="",$F639=""),"",IF($E639&lt;=$F639,"KAZANDI","KAYBETTİ"))</f>
        <v/>
      </c>
    </row>
    <row r="640" customFormat="false" ht="15" hidden="false" customHeight="false" outlineLevel="0" collapsed="false">
      <c r="A640" s="23"/>
      <c r="B640" s="25"/>
      <c r="C640" s="26"/>
      <c r="D640" s="26"/>
      <c r="E640" s="26"/>
      <c r="F640" s="26"/>
      <c r="G640" s="0" t="str">
        <f aca="false">IF(OR($A640="",$E640="",$D640=""),"",IF($E640&lt;$D640,"EVET","HAYIR"))</f>
        <v/>
      </c>
      <c r="H640" s="0" t="str">
        <f aca="false">IF(OR($A640="",$E640="",$F640=""),"",IF($E640&lt;=$F640,"KAZANDI","KAYBETTİ"))</f>
        <v/>
      </c>
    </row>
    <row r="641" customFormat="false" ht="15" hidden="false" customHeight="false" outlineLevel="0" collapsed="false">
      <c r="A641" s="23"/>
      <c r="B641" s="25"/>
      <c r="C641" s="26"/>
      <c r="D641" s="26"/>
      <c r="E641" s="26"/>
      <c r="F641" s="26"/>
      <c r="G641" s="0" t="str">
        <f aca="false">IF(OR($A641="",$E641="",$D641=""),"",IF($E641&lt;$D641,"EVET","HAYIR"))</f>
        <v/>
      </c>
      <c r="H641" s="0" t="str">
        <f aca="false">IF(OR($A641="",$E641="",$F641=""),"",IF($E641&lt;=$F641,"KAZANDI","KAYBETTİ"))</f>
        <v/>
      </c>
    </row>
    <row r="642" customFormat="false" ht="15" hidden="false" customHeight="false" outlineLevel="0" collapsed="false">
      <c r="A642" s="23"/>
      <c r="B642" s="25"/>
      <c r="C642" s="26"/>
      <c r="D642" s="26"/>
      <c r="E642" s="26"/>
      <c r="F642" s="26"/>
      <c r="G642" s="0" t="str">
        <f aca="false">IF(OR($A642="",$E642="",$D642=""),"",IF($E642&lt;$D642,"EVET","HAYIR"))</f>
        <v/>
      </c>
      <c r="H642" s="0" t="str">
        <f aca="false">IF(OR($A642="",$E642="",$F642=""),"",IF($E642&lt;=$F642,"KAZANDI","KAYBETTİ"))</f>
        <v/>
      </c>
    </row>
    <row r="643" customFormat="false" ht="15" hidden="false" customHeight="false" outlineLevel="0" collapsed="false">
      <c r="A643" s="23"/>
      <c r="B643" s="25"/>
      <c r="C643" s="26"/>
      <c r="D643" s="26"/>
      <c r="E643" s="26"/>
      <c r="F643" s="26"/>
      <c r="G643" s="0" t="str">
        <f aca="false">IF(OR($A643="",$E643="",$D643=""),"",IF($E643&lt;$D643,"EVET","HAYIR"))</f>
        <v/>
      </c>
      <c r="H643" s="0" t="str">
        <f aca="false">IF(OR($A643="",$E643="",$F643=""),"",IF($E643&lt;=$F643,"KAZANDI","KAYBETTİ"))</f>
        <v/>
      </c>
    </row>
    <row r="644" customFormat="false" ht="15" hidden="false" customHeight="false" outlineLevel="0" collapsed="false">
      <c r="A644" s="23"/>
      <c r="B644" s="25"/>
      <c r="C644" s="26"/>
      <c r="D644" s="26"/>
      <c r="E644" s="26"/>
      <c r="F644" s="26"/>
      <c r="G644" s="0" t="str">
        <f aca="false">IF(OR($A644="",$E644="",$D644=""),"",IF($E644&lt;$D644,"EVET","HAYIR"))</f>
        <v/>
      </c>
      <c r="H644" s="0" t="str">
        <f aca="false">IF(OR($A644="",$E644="",$F644=""),"",IF($E644&lt;=$F644,"KAZANDI","KAYBETTİ"))</f>
        <v/>
      </c>
    </row>
    <row r="645" customFormat="false" ht="15" hidden="false" customHeight="false" outlineLevel="0" collapsed="false">
      <c r="A645" s="23"/>
      <c r="B645" s="25"/>
      <c r="C645" s="26"/>
      <c r="D645" s="26"/>
      <c r="E645" s="26"/>
      <c r="F645" s="26"/>
      <c r="G645" s="0" t="str">
        <f aca="false">IF(OR($A645="",$E645="",$D645=""),"",IF($E645&lt;$D645,"EVET","HAYIR"))</f>
        <v/>
      </c>
      <c r="H645" s="0" t="str">
        <f aca="false">IF(OR($A645="",$E645="",$F645=""),"",IF($E645&lt;=$F645,"KAZANDI","KAYBETTİ"))</f>
        <v/>
      </c>
    </row>
    <row r="646" customFormat="false" ht="15" hidden="false" customHeight="false" outlineLevel="0" collapsed="false">
      <c r="A646" s="23"/>
      <c r="B646" s="25"/>
      <c r="C646" s="26"/>
      <c r="D646" s="26"/>
      <c r="E646" s="26"/>
      <c r="F646" s="26"/>
      <c r="G646" s="0" t="str">
        <f aca="false">IF(OR($A646="",$E646="",$D646=""),"",IF($E646&lt;$D646,"EVET","HAYIR"))</f>
        <v/>
      </c>
      <c r="H646" s="0" t="str">
        <f aca="false">IF(OR($A646="",$E646="",$F646=""),"",IF($E646&lt;=$F646,"KAZANDI","KAYBETTİ"))</f>
        <v/>
      </c>
    </row>
    <row r="647" customFormat="false" ht="15" hidden="false" customHeight="false" outlineLevel="0" collapsed="false">
      <c r="A647" s="23"/>
      <c r="B647" s="25"/>
      <c r="C647" s="26"/>
      <c r="D647" s="26"/>
      <c r="E647" s="26"/>
      <c r="F647" s="26"/>
      <c r="G647" s="0" t="str">
        <f aca="false">IF(OR($A647="",$E647="",$D647=""),"",IF($E647&lt;$D647,"EVET","HAYIR"))</f>
        <v/>
      </c>
      <c r="H647" s="0" t="str">
        <f aca="false">IF(OR($A647="",$E647="",$F647=""),"",IF($E647&lt;=$F647,"KAZANDI","KAYBETTİ"))</f>
        <v/>
      </c>
    </row>
    <row r="648" customFormat="false" ht="15" hidden="false" customHeight="false" outlineLevel="0" collapsed="false">
      <c r="A648" s="23"/>
      <c r="B648" s="25"/>
      <c r="C648" s="26"/>
      <c r="D648" s="26"/>
      <c r="E648" s="26"/>
      <c r="F648" s="26"/>
      <c r="G648" s="0" t="str">
        <f aca="false">IF(OR($A648="",$E648="",$D648=""),"",IF($E648&lt;$D648,"EVET","HAYIR"))</f>
        <v/>
      </c>
      <c r="H648" s="0" t="str">
        <f aca="false">IF(OR($A648="",$E648="",$F648=""),"",IF($E648&lt;=$F648,"KAZANDI","KAYBETTİ"))</f>
        <v/>
      </c>
    </row>
    <row r="649" customFormat="false" ht="15" hidden="false" customHeight="false" outlineLevel="0" collapsed="false">
      <c r="A649" s="23"/>
      <c r="B649" s="25"/>
      <c r="C649" s="26"/>
      <c r="D649" s="26"/>
      <c r="E649" s="26"/>
      <c r="F649" s="26"/>
      <c r="G649" s="0" t="str">
        <f aca="false">IF(OR($A649="",$E649="",$D649=""),"",IF($E649&lt;$D649,"EVET","HAYIR"))</f>
        <v/>
      </c>
      <c r="H649" s="0" t="str">
        <f aca="false">IF(OR($A649="",$E649="",$F649=""),"",IF($E649&lt;=$F649,"KAZANDI","KAYBETTİ"))</f>
        <v/>
      </c>
    </row>
    <row r="650" customFormat="false" ht="15" hidden="false" customHeight="false" outlineLevel="0" collapsed="false">
      <c r="A650" s="23"/>
      <c r="B650" s="25"/>
      <c r="C650" s="26"/>
      <c r="D650" s="26"/>
      <c r="E650" s="26"/>
      <c r="F650" s="26"/>
      <c r="G650" s="0" t="str">
        <f aca="false">IF(OR($A650="",$E650="",$D650=""),"",IF($E650&lt;$D650,"EVET","HAYIR"))</f>
        <v/>
      </c>
      <c r="H650" s="0" t="str">
        <f aca="false">IF(OR($A650="",$E650="",$F650=""),"",IF($E650&lt;=$F650,"KAZANDI","KAYBETTİ"))</f>
        <v/>
      </c>
    </row>
    <row r="651" customFormat="false" ht="15" hidden="false" customHeight="false" outlineLevel="0" collapsed="false">
      <c r="A651" s="23"/>
      <c r="B651" s="25"/>
      <c r="C651" s="26"/>
      <c r="D651" s="26"/>
      <c r="E651" s="26"/>
      <c r="F651" s="26"/>
      <c r="G651" s="0" t="str">
        <f aca="false">IF(OR($A651="",$E651="",$D651=""),"",IF($E651&lt;$D651,"EVET","HAYIR"))</f>
        <v/>
      </c>
      <c r="H651" s="0" t="str">
        <f aca="false">IF(OR($A651="",$E651="",$F651=""),"",IF($E651&lt;=$F651,"KAZANDI","KAYBETTİ"))</f>
        <v/>
      </c>
    </row>
    <row r="652" customFormat="false" ht="15" hidden="false" customHeight="false" outlineLevel="0" collapsed="false">
      <c r="A652" s="23"/>
      <c r="B652" s="25"/>
      <c r="C652" s="26"/>
      <c r="D652" s="26"/>
      <c r="E652" s="26"/>
      <c r="F652" s="26"/>
      <c r="G652" s="0" t="str">
        <f aca="false">IF(OR($A652="",$E652="",$D652=""),"",IF($E652&lt;$D652,"EVET","HAYIR"))</f>
        <v/>
      </c>
      <c r="H652" s="0" t="str">
        <f aca="false">IF(OR($A652="",$E652="",$F652=""),"",IF($E652&lt;=$F652,"KAZANDI","KAYBETTİ"))</f>
        <v/>
      </c>
    </row>
    <row r="653" customFormat="false" ht="15" hidden="false" customHeight="false" outlineLevel="0" collapsed="false">
      <c r="A653" s="23"/>
      <c r="B653" s="25"/>
      <c r="C653" s="26"/>
      <c r="D653" s="26"/>
      <c r="E653" s="26"/>
      <c r="F653" s="26"/>
      <c r="G653" s="0" t="str">
        <f aca="false">IF(OR($A653="",$E653="",$D653=""),"",IF($E653&lt;$D653,"EVET","HAYIR"))</f>
        <v/>
      </c>
      <c r="H653" s="0" t="str">
        <f aca="false">IF(OR($A653="",$E653="",$F653=""),"",IF($E653&lt;=$F653,"KAZANDI","KAYBETTİ"))</f>
        <v/>
      </c>
    </row>
    <row r="654" customFormat="false" ht="15" hidden="false" customHeight="false" outlineLevel="0" collapsed="false">
      <c r="A654" s="23"/>
      <c r="B654" s="25"/>
      <c r="C654" s="26"/>
      <c r="D654" s="26"/>
      <c r="E654" s="26"/>
      <c r="F654" s="26"/>
      <c r="G654" s="0" t="str">
        <f aca="false">IF(OR($A654="",$E654="",$D654=""),"",IF($E654&lt;$D654,"EVET","HAYIR"))</f>
        <v/>
      </c>
      <c r="H654" s="0" t="str">
        <f aca="false">IF(OR($A654="",$E654="",$F654=""),"",IF($E654&lt;=$F654,"KAZANDI","KAYBETTİ"))</f>
        <v/>
      </c>
    </row>
    <row r="655" customFormat="false" ht="15" hidden="false" customHeight="false" outlineLevel="0" collapsed="false">
      <c r="A655" s="23"/>
      <c r="B655" s="25"/>
      <c r="C655" s="26"/>
      <c r="D655" s="26"/>
      <c r="E655" s="26"/>
      <c r="F655" s="26"/>
      <c r="G655" s="0" t="str">
        <f aca="false">IF(OR($A655="",$E655="",$D655=""),"",IF($E655&lt;$D655,"EVET","HAYIR"))</f>
        <v/>
      </c>
      <c r="H655" s="0" t="str">
        <f aca="false">IF(OR($A655="",$E655="",$F655=""),"",IF($E655&lt;=$F655,"KAZANDI","KAYBETTİ"))</f>
        <v/>
      </c>
    </row>
    <row r="656" customFormat="false" ht="15" hidden="false" customHeight="false" outlineLevel="0" collapsed="false">
      <c r="A656" s="23"/>
      <c r="B656" s="25"/>
      <c r="C656" s="26"/>
      <c r="D656" s="26"/>
      <c r="E656" s="26"/>
      <c r="F656" s="26"/>
      <c r="G656" s="0" t="str">
        <f aca="false">IF(OR($A656="",$E656="",$D656=""),"",IF($E656&lt;$D656,"EVET","HAYIR"))</f>
        <v/>
      </c>
      <c r="H656" s="0" t="str">
        <f aca="false">IF(OR($A656="",$E656="",$F656=""),"",IF($E656&lt;=$F656,"KAZANDI","KAYBETTİ"))</f>
        <v/>
      </c>
    </row>
    <row r="657" customFormat="false" ht="15" hidden="false" customHeight="false" outlineLevel="0" collapsed="false">
      <c r="A657" s="23"/>
      <c r="B657" s="25"/>
      <c r="C657" s="26"/>
      <c r="D657" s="26"/>
      <c r="E657" s="26"/>
      <c r="F657" s="26"/>
      <c r="G657" s="0" t="str">
        <f aca="false">IF(OR($A657="",$E657="",$D657=""),"",IF($E657&lt;$D657,"EVET","HAYIR"))</f>
        <v/>
      </c>
      <c r="H657" s="0" t="str">
        <f aca="false">IF(OR($A657="",$E657="",$F657=""),"",IF($E657&lt;=$F657,"KAZANDI","KAYBETTİ"))</f>
        <v/>
      </c>
    </row>
    <row r="658" customFormat="false" ht="15" hidden="false" customHeight="false" outlineLevel="0" collapsed="false">
      <c r="A658" s="23"/>
      <c r="B658" s="25"/>
      <c r="C658" s="26"/>
      <c r="D658" s="26"/>
      <c r="E658" s="26"/>
      <c r="F658" s="26"/>
      <c r="G658" s="0" t="str">
        <f aca="false">IF(OR($A658="",$E658="",$D658=""),"",IF($E658&lt;$D658,"EVET","HAYIR"))</f>
        <v/>
      </c>
      <c r="H658" s="0" t="str">
        <f aca="false">IF(OR($A658="",$E658="",$F658=""),"",IF($E658&lt;=$F658,"KAZANDI","KAYBETTİ"))</f>
        <v/>
      </c>
    </row>
    <row r="659" customFormat="false" ht="15" hidden="false" customHeight="false" outlineLevel="0" collapsed="false">
      <c r="A659" s="23"/>
      <c r="B659" s="25"/>
      <c r="C659" s="26"/>
      <c r="D659" s="26"/>
      <c r="E659" s="26"/>
      <c r="F659" s="26"/>
      <c r="G659" s="0" t="str">
        <f aca="false">IF(OR($A659="",$E659="",$D659=""),"",IF($E659&lt;$D659,"EVET","HAYIR"))</f>
        <v/>
      </c>
      <c r="H659" s="0" t="str">
        <f aca="false">IF(OR($A659="",$E659="",$F659=""),"",IF($E659&lt;=$F659,"KAZANDI","KAYBETTİ"))</f>
        <v/>
      </c>
    </row>
    <row r="660" customFormat="false" ht="15" hidden="false" customHeight="false" outlineLevel="0" collapsed="false">
      <c r="A660" s="23"/>
      <c r="B660" s="25"/>
      <c r="C660" s="26"/>
      <c r="D660" s="26"/>
      <c r="E660" s="26"/>
      <c r="F660" s="26"/>
      <c r="G660" s="0" t="str">
        <f aca="false">IF(OR($A660="",$E660="",$D660=""),"",IF($E660&lt;$D660,"EVET","HAYIR"))</f>
        <v/>
      </c>
      <c r="H660" s="0" t="str">
        <f aca="false">IF(OR($A660="",$E660="",$F660=""),"",IF($E660&lt;=$F660,"KAZANDI","KAYBETTİ"))</f>
        <v/>
      </c>
    </row>
    <row r="661" customFormat="false" ht="15" hidden="false" customHeight="false" outlineLevel="0" collapsed="false">
      <c r="A661" s="23"/>
      <c r="B661" s="25"/>
      <c r="C661" s="26"/>
      <c r="D661" s="26"/>
      <c r="E661" s="26"/>
      <c r="F661" s="26"/>
      <c r="G661" s="0" t="str">
        <f aca="false">IF(OR($A661="",$E661="",$D661=""),"",IF($E661&lt;$D661,"EVET","HAYIR"))</f>
        <v/>
      </c>
      <c r="H661" s="0" t="str">
        <f aca="false">IF(OR($A661="",$E661="",$F661=""),"",IF($E661&lt;=$F661,"KAZANDI","KAYBETTİ"))</f>
        <v/>
      </c>
    </row>
    <row r="662" customFormat="false" ht="15" hidden="false" customHeight="false" outlineLevel="0" collapsed="false">
      <c r="A662" s="23"/>
      <c r="B662" s="25"/>
      <c r="C662" s="26"/>
      <c r="D662" s="26"/>
      <c r="E662" s="26"/>
      <c r="F662" s="26"/>
      <c r="G662" s="0" t="str">
        <f aca="false">IF(OR($A662="",$E662="",$D662=""),"",IF($E662&lt;$D662,"EVET","HAYIR"))</f>
        <v/>
      </c>
      <c r="H662" s="0" t="str">
        <f aca="false">IF(OR($A662="",$E662="",$F662=""),"",IF($E662&lt;=$F662,"KAZANDI","KAYBETTİ"))</f>
        <v/>
      </c>
    </row>
    <row r="663" customFormat="false" ht="15" hidden="false" customHeight="false" outlineLevel="0" collapsed="false">
      <c r="A663" s="23"/>
      <c r="B663" s="25"/>
      <c r="C663" s="26"/>
      <c r="D663" s="26"/>
      <c r="E663" s="26"/>
      <c r="F663" s="26"/>
      <c r="G663" s="0" t="str">
        <f aca="false">IF(OR($A663="",$E663="",$D663=""),"",IF($E663&lt;$D663,"EVET","HAYIR"))</f>
        <v/>
      </c>
      <c r="H663" s="0" t="str">
        <f aca="false">IF(OR($A663="",$E663="",$F663=""),"",IF($E663&lt;=$F663,"KAZANDI","KAYBETTİ"))</f>
        <v/>
      </c>
    </row>
    <row r="664" customFormat="false" ht="15" hidden="false" customHeight="false" outlineLevel="0" collapsed="false">
      <c r="A664" s="23"/>
      <c r="B664" s="25"/>
      <c r="C664" s="26"/>
      <c r="D664" s="26"/>
      <c r="E664" s="26"/>
      <c r="F664" s="26"/>
      <c r="G664" s="0" t="str">
        <f aca="false">IF(OR($A664="",$E664="",$D664=""),"",IF($E664&lt;$D664,"EVET","HAYIR"))</f>
        <v/>
      </c>
      <c r="H664" s="0" t="str">
        <f aca="false">IF(OR($A664="",$E664="",$F664=""),"",IF($E664&lt;=$F664,"KAZANDI","KAYBETTİ"))</f>
        <v/>
      </c>
    </row>
    <row r="665" customFormat="false" ht="15" hidden="false" customHeight="false" outlineLevel="0" collapsed="false">
      <c r="A665" s="23"/>
      <c r="B665" s="25"/>
      <c r="C665" s="26"/>
      <c r="D665" s="26"/>
      <c r="E665" s="26"/>
      <c r="F665" s="26"/>
      <c r="G665" s="0" t="str">
        <f aca="false">IF(OR($A665="",$E665="",$D665=""),"",IF($E665&lt;$D665,"EVET","HAYIR"))</f>
        <v/>
      </c>
      <c r="H665" s="0" t="str">
        <f aca="false">IF(OR($A665="",$E665="",$F665=""),"",IF($E665&lt;=$F665,"KAZANDI","KAYBETTİ"))</f>
        <v/>
      </c>
    </row>
    <row r="666" customFormat="false" ht="15" hidden="false" customHeight="false" outlineLevel="0" collapsed="false">
      <c r="A666" s="23"/>
      <c r="B666" s="25"/>
      <c r="C666" s="26"/>
      <c r="D666" s="26"/>
      <c r="E666" s="26"/>
      <c r="F666" s="26"/>
      <c r="G666" s="0" t="str">
        <f aca="false">IF(OR($A666="",$E666="",$D666=""),"",IF($E666&lt;$D666,"EVET","HAYIR"))</f>
        <v/>
      </c>
      <c r="H666" s="0" t="str">
        <f aca="false">IF(OR($A666="",$E666="",$F666=""),"",IF($E666&lt;=$F666,"KAZANDI","KAYBETTİ"))</f>
        <v/>
      </c>
    </row>
    <row r="667" customFormat="false" ht="15" hidden="false" customHeight="false" outlineLevel="0" collapsed="false">
      <c r="A667" s="23"/>
      <c r="B667" s="25"/>
      <c r="C667" s="26"/>
      <c r="D667" s="26"/>
      <c r="E667" s="26"/>
      <c r="F667" s="26"/>
      <c r="G667" s="0" t="str">
        <f aca="false">IF(OR($A667="",$E667="",$D667=""),"",IF($E667&lt;$D667,"EVET","HAYIR"))</f>
        <v/>
      </c>
      <c r="H667" s="0" t="str">
        <f aca="false">IF(OR($A667="",$E667="",$F667=""),"",IF($E667&lt;=$F667,"KAZANDI","KAYBETTİ"))</f>
        <v/>
      </c>
    </row>
    <row r="668" customFormat="false" ht="15" hidden="false" customHeight="false" outlineLevel="0" collapsed="false">
      <c r="A668" s="23"/>
      <c r="B668" s="25"/>
      <c r="C668" s="26"/>
      <c r="D668" s="26"/>
      <c r="E668" s="26"/>
      <c r="F668" s="26"/>
      <c r="G668" s="0" t="str">
        <f aca="false">IF(OR($A668="",$E668="",$D668=""),"",IF($E668&lt;$D668,"EVET","HAYIR"))</f>
        <v/>
      </c>
      <c r="H668" s="0" t="str">
        <f aca="false">IF(OR($A668="",$E668="",$F668=""),"",IF($E668&lt;=$F668,"KAZANDI","KAYBETTİ"))</f>
        <v/>
      </c>
    </row>
    <row r="669" customFormat="false" ht="15" hidden="false" customHeight="false" outlineLevel="0" collapsed="false">
      <c r="A669" s="23"/>
      <c r="B669" s="25"/>
      <c r="C669" s="26"/>
      <c r="D669" s="26"/>
      <c r="E669" s="26"/>
      <c r="F669" s="26"/>
      <c r="G669" s="0" t="str">
        <f aca="false">IF(OR($A669="",$E669="",$D669=""),"",IF($E669&lt;$D669,"EVET","HAYIR"))</f>
        <v/>
      </c>
      <c r="H669" s="0" t="str">
        <f aca="false">IF(OR($A669="",$E669="",$F669=""),"",IF($E669&lt;=$F669,"KAZANDI","KAYBETTİ"))</f>
        <v/>
      </c>
    </row>
    <row r="670" customFormat="false" ht="15" hidden="false" customHeight="false" outlineLevel="0" collapsed="false">
      <c r="A670" s="23"/>
      <c r="B670" s="25"/>
      <c r="C670" s="26"/>
      <c r="D670" s="26"/>
      <c r="E670" s="26"/>
      <c r="F670" s="26"/>
      <c r="G670" s="0" t="str">
        <f aca="false">IF(OR($A670="",$E670="",$D670=""),"",IF($E670&lt;$D670,"EVET","HAYIR"))</f>
        <v/>
      </c>
      <c r="H670" s="0" t="str">
        <f aca="false">IF(OR($A670="",$E670="",$F670=""),"",IF($E670&lt;=$F670,"KAZANDI","KAYBETTİ"))</f>
        <v/>
      </c>
    </row>
    <row r="671" customFormat="false" ht="15" hidden="false" customHeight="false" outlineLevel="0" collapsed="false">
      <c r="A671" s="23"/>
      <c r="B671" s="25"/>
      <c r="C671" s="26"/>
      <c r="D671" s="26"/>
      <c r="E671" s="26"/>
      <c r="F671" s="26"/>
      <c r="G671" s="0" t="str">
        <f aca="false">IF(OR($A671="",$E671="",$D671=""),"",IF($E671&lt;$D671,"EVET","HAYIR"))</f>
        <v/>
      </c>
      <c r="H671" s="0" t="str">
        <f aca="false">IF(OR($A671="",$E671="",$F671=""),"",IF($E671&lt;=$F671,"KAZANDI","KAYBETTİ"))</f>
        <v/>
      </c>
    </row>
    <row r="672" customFormat="false" ht="15" hidden="false" customHeight="false" outlineLevel="0" collapsed="false">
      <c r="A672" s="23"/>
      <c r="B672" s="25"/>
      <c r="C672" s="26"/>
      <c r="D672" s="26"/>
      <c r="E672" s="26"/>
      <c r="F672" s="26"/>
      <c r="G672" s="0" t="str">
        <f aca="false">IF(OR($A672="",$E672="",$D672=""),"",IF($E672&lt;$D672,"EVET","HAYIR"))</f>
        <v/>
      </c>
      <c r="H672" s="0" t="str">
        <f aca="false">IF(OR($A672="",$E672="",$F672=""),"",IF($E672&lt;=$F672,"KAZANDI","KAYBETTİ"))</f>
        <v/>
      </c>
    </row>
    <row r="673" customFormat="false" ht="15" hidden="false" customHeight="false" outlineLevel="0" collapsed="false">
      <c r="A673" s="23"/>
      <c r="B673" s="25"/>
      <c r="C673" s="26"/>
      <c r="D673" s="26"/>
      <c r="E673" s="26"/>
      <c r="F673" s="26"/>
      <c r="G673" s="0" t="str">
        <f aca="false">IF(OR($A673="",$E673="",$D673=""),"",IF($E673&lt;$D673,"EVET","HAYIR"))</f>
        <v/>
      </c>
      <c r="H673" s="0" t="str">
        <f aca="false">IF(OR($A673="",$E673="",$F673=""),"",IF($E673&lt;=$F673,"KAZANDI","KAYBETTİ"))</f>
        <v/>
      </c>
    </row>
    <row r="674" customFormat="false" ht="15" hidden="false" customHeight="false" outlineLevel="0" collapsed="false">
      <c r="A674" s="23"/>
      <c r="B674" s="25"/>
      <c r="C674" s="26"/>
      <c r="D674" s="26"/>
      <c r="E674" s="26"/>
      <c r="F674" s="26"/>
      <c r="G674" s="0" t="str">
        <f aca="false">IF(OR($A674="",$E674="",$D674=""),"",IF($E674&lt;$D674,"EVET","HAYIR"))</f>
        <v/>
      </c>
      <c r="H674" s="0" t="str">
        <f aca="false">IF(OR($A674="",$E674="",$F674=""),"",IF($E674&lt;=$F674,"KAZANDI","KAYBETTİ"))</f>
        <v/>
      </c>
    </row>
    <row r="675" customFormat="false" ht="15" hidden="false" customHeight="false" outlineLevel="0" collapsed="false">
      <c r="A675" s="23"/>
      <c r="B675" s="25"/>
      <c r="C675" s="26"/>
      <c r="D675" s="26"/>
      <c r="E675" s="26"/>
      <c r="F675" s="26"/>
      <c r="G675" s="0" t="str">
        <f aca="false">IF(OR($A675="",$E675="",$D675=""),"",IF($E675&lt;$D675,"EVET","HAYIR"))</f>
        <v/>
      </c>
      <c r="H675" s="0" t="str">
        <f aca="false">IF(OR($A675="",$E675="",$F675=""),"",IF($E675&lt;=$F675,"KAZANDI","KAYBETTİ"))</f>
        <v/>
      </c>
    </row>
    <row r="676" customFormat="false" ht="15" hidden="false" customHeight="false" outlineLevel="0" collapsed="false">
      <c r="A676" s="23"/>
      <c r="B676" s="25"/>
      <c r="C676" s="26"/>
      <c r="D676" s="26"/>
      <c r="E676" s="26"/>
      <c r="F676" s="26"/>
      <c r="G676" s="0" t="str">
        <f aca="false">IF(OR($A676="",$E676="",$D676=""),"",IF($E676&lt;$D676,"EVET","HAYIR"))</f>
        <v/>
      </c>
      <c r="H676" s="0" t="str">
        <f aca="false">IF(OR($A676="",$E676="",$F676=""),"",IF($E676&lt;=$F676,"KAZANDI","KAYBETTİ"))</f>
        <v/>
      </c>
    </row>
    <row r="677" customFormat="false" ht="15" hidden="false" customHeight="false" outlineLevel="0" collapsed="false">
      <c r="A677" s="23"/>
      <c r="B677" s="25"/>
      <c r="C677" s="26"/>
      <c r="D677" s="26"/>
      <c r="E677" s="26"/>
      <c r="F677" s="26"/>
      <c r="G677" s="0" t="str">
        <f aca="false">IF(OR($A677="",$E677="",$D677=""),"",IF($E677&lt;$D677,"EVET","HAYIR"))</f>
        <v/>
      </c>
      <c r="H677" s="0" t="str">
        <f aca="false">IF(OR($A677="",$E677="",$F677=""),"",IF($E677&lt;=$F677,"KAZANDI","KAYBETTİ"))</f>
        <v/>
      </c>
    </row>
    <row r="678" customFormat="false" ht="15" hidden="false" customHeight="false" outlineLevel="0" collapsed="false">
      <c r="A678" s="23"/>
      <c r="B678" s="25"/>
      <c r="C678" s="26"/>
      <c r="D678" s="26"/>
      <c r="E678" s="26"/>
      <c r="F678" s="26"/>
      <c r="G678" s="0" t="str">
        <f aca="false">IF(OR($A678="",$E678="",$D678=""),"",IF($E678&lt;$D678,"EVET","HAYIR"))</f>
        <v/>
      </c>
      <c r="H678" s="0" t="str">
        <f aca="false">IF(OR($A678="",$E678="",$F678=""),"",IF($E678&lt;=$F678,"KAZANDI","KAYBETTİ"))</f>
        <v/>
      </c>
    </row>
    <row r="679" customFormat="false" ht="15" hidden="false" customHeight="false" outlineLevel="0" collapsed="false">
      <c r="A679" s="23"/>
      <c r="B679" s="25"/>
      <c r="C679" s="26"/>
      <c r="D679" s="26"/>
      <c r="E679" s="26"/>
      <c r="F679" s="26"/>
      <c r="G679" s="0" t="str">
        <f aca="false">IF(OR($A679="",$E679="",$D679=""),"",IF($E679&lt;$D679,"EVET","HAYIR"))</f>
        <v/>
      </c>
      <c r="H679" s="0" t="str">
        <f aca="false">IF(OR($A679="",$E679="",$F679=""),"",IF($E679&lt;=$F679,"KAZANDI","KAYBETTİ"))</f>
        <v/>
      </c>
    </row>
    <row r="680" customFormat="false" ht="15" hidden="false" customHeight="false" outlineLevel="0" collapsed="false">
      <c r="A680" s="23"/>
      <c r="B680" s="25"/>
      <c r="C680" s="26"/>
      <c r="D680" s="26"/>
      <c r="E680" s="26"/>
      <c r="F680" s="26"/>
      <c r="G680" s="0" t="str">
        <f aca="false">IF(OR($A680="",$E680="",$D680=""),"",IF($E680&lt;$D680,"EVET","HAYIR"))</f>
        <v/>
      </c>
      <c r="H680" s="0" t="str">
        <f aca="false">IF(OR($A680="",$E680="",$F680=""),"",IF($E680&lt;=$F680,"KAZANDI","KAYBETTİ"))</f>
        <v/>
      </c>
    </row>
    <row r="681" customFormat="false" ht="15" hidden="false" customHeight="false" outlineLevel="0" collapsed="false">
      <c r="A681" s="23"/>
      <c r="B681" s="25"/>
      <c r="C681" s="26"/>
      <c r="D681" s="26"/>
      <c r="E681" s="26"/>
      <c r="F681" s="26"/>
      <c r="G681" s="0" t="str">
        <f aca="false">IF(OR($A681="",$E681="",$D681=""),"",IF($E681&lt;$D681,"EVET","HAYIR"))</f>
        <v/>
      </c>
      <c r="H681" s="0" t="str">
        <f aca="false">IF(OR($A681="",$E681="",$F681=""),"",IF($E681&lt;=$F681,"KAZANDI","KAYBETTİ"))</f>
        <v/>
      </c>
    </row>
    <row r="682" customFormat="false" ht="15" hidden="false" customHeight="false" outlineLevel="0" collapsed="false">
      <c r="A682" s="23"/>
      <c r="B682" s="25"/>
      <c r="C682" s="26"/>
      <c r="D682" s="26"/>
      <c r="E682" s="26"/>
      <c r="F682" s="26"/>
      <c r="G682" s="0" t="str">
        <f aca="false">IF(OR($A682="",$E682="",$D682=""),"",IF($E682&lt;$D682,"EVET","HAYIR"))</f>
        <v/>
      </c>
      <c r="H682" s="0" t="str">
        <f aca="false">IF(OR($A682="",$E682="",$F682=""),"",IF($E682&lt;=$F682,"KAZANDI","KAYBETTİ"))</f>
        <v/>
      </c>
    </row>
    <row r="683" customFormat="false" ht="15" hidden="false" customHeight="false" outlineLevel="0" collapsed="false">
      <c r="A683" s="23"/>
      <c r="B683" s="25"/>
      <c r="C683" s="26"/>
      <c r="D683" s="26"/>
      <c r="E683" s="26"/>
      <c r="F683" s="26"/>
      <c r="G683" s="0" t="str">
        <f aca="false">IF(OR($A683="",$E683="",$D683=""),"",IF($E683&lt;$D683,"EVET","HAYIR"))</f>
        <v/>
      </c>
      <c r="H683" s="0" t="str">
        <f aca="false">IF(OR($A683="",$E683="",$F683=""),"",IF($E683&lt;=$F683,"KAZANDI","KAYBETTİ"))</f>
        <v/>
      </c>
    </row>
    <row r="684" customFormat="false" ht="15" hidden="false" customHeight="false" outlineLevel="0" collapsed="false">
      <c r="A684" s="23"/>
      <c r="B684" s="25"/>
      <c r="C684" s="26"/>
      <c r="D684" s="26"/>
      <c r="E684" s="26"/>
      <c r="F684" s="26"/>
      <c r="G684" s="0" t="str">
        <f aca="false">IF(OR($A684="",$E684="",$D684=""),"",IF($E684&lt;$D684,"EVET","HAYIR"))</f>
        <v/>
      </c>
      <c r="H684" s="0" t="str">
        <f aca="false">IF(OR($A684="",$E684="",$F684=""),"",IF($E684&lt;=$F684,"KAZANDI","KAYBETTİ"))</f>
        <v/>
      </c>
    </row>
    <row r="685" customFormat="false" ht="15" hidden="false" customHeight="false" outlineLevel="0" collapsed="false">
      <c r="A685" s="23"/>
      <c r="B685" s="25"/>
      <c r="C685" s="26"/>
      <c r="D685" s="26"/>
      <c r="E685" s="26"/>
      <c r="F685" s="26"/>
      <c r="G685" s="0" t="str">
        <f aca="false">IF(OR($A685="",$E685="",$D685=""),"",IF($E685&lt;$D685,"EVET","HAYIR"))</f>
        <v/>
      </c>
      <c r="H685" s="0" t="str">
        <f aca="false">IF(OR($A685="",$E685="",$F685=""),"",IF($E685&lt;=$F685,"KAZANDI","KAYBETTİ"))</f>
        <v/>
      </c>
    </row>
    <row r="686" customFormat="false" ht="15" hidden="false" customHeight="false" outlineLevel="0" collapsed="false">
      <c r="A686" s="23"/>
      <c r="B686" s="25"/>
      <c r="C686" s="26"/>
      <c r="D686" s="26"/>
      <c r="E686" s="26"/>
      <c r="F686" s="26"/>
      <c r="G686" s="0" t="str">
        <f aca="false">IF(OR($A686="",$E686="",$D686=""),"",IF($E686&lt;$D686,"EVET","HAYIR"))</f>
        <v/>
      </c>
      <c r="H686" s="0" t="str">
        <f aca="false">IF(OR($A686="",$E686="",$F686=""),"",IF($E686&lt;=$F686,"KAZANDI","KAYBETTİ"))</f>
        <v/>
      </c>
    </row>
    <row r="687" customFormat="false" ht="15" hidden="false" customHeight="false" outlineLevel="0" collapsed="false">
      <c r="A687" s="23"/>
      <c r="B687" s="25"/>
      <c r="C687" s="26"/>
      <c r="D687" s="26"/>
      <c r="E687" s="26"/>
      <c r="F687" s="26"/>
      <c r="G687" s="0" t="str">
        <f aca="false">IF(OR($A687="",$E687="",$D687=""),"",IF($E687&lt;$D687,"EVET","HAYIR"))</f>
        <v/>
      </c>
      <c r="H687" s="0" t="str">
        <f aca="false">IF(OR($A687="",$E687="",$F687=""),"",IF($E687&lt;=$F687,"KAZANDI","KAYBETTİ"))</f>
        <v/>
      </c>
    </row>
    <row r="688" customFormat="false" ht="15" hidden="false" customHeight="false" outlineLevel="0" collapsed="false">
      <c r="A688" s="23"/>
      <c r="B688" s="25"/>
      <c r="C688" s="26"/>
      <c r="D688" s="26"/>
      <c r="E688" s="26"/>
      <c r="F688" s="26"/>
      <c r="G688" s="0" t="str">
        <f aca="false">IF(OR($A688="",$E688="",$D688=""),"",IF($E688&lt;$D688,"EVET","HAYIR"))</f>
        <v/>
      </c>
      <c r="H688" s="0" t="str">
        <f aca="false">IF(OR($A688="",$E688="",$F688=""),"",IF($E688&lt;=$F688,"KAZANDI","KAYBETTİ"))</f>
        <v/>
      </c>
    </row>
    <row r="689" customFormat="false" ht="15" hidden="false" customHeight="false" outlineLevel="0" collapsed="false">
      <c r="A689" s="23"/>
      <c r="B689" s="25"/>
      <c r="C689" s="26"/>
      <c r="D689" s="26"/>
      <c r="E689" s="26"/>
      <c r="F689" s="26"/>
      <c r="G689" s="0" t="str">
        <f aca="false">IF(OR($A689="",$E689="",$D689=""),"",IF($E689&lt;$D689,"EVET","HAYIR"))</f>
        <v/>
      </c>
      <c r="H689" s="0" t="str">
        <f aca="false">IF(OR($A689="",$E689="",$F689=""),"",IF($E689&lt;=$F689,"KAZANDI","KAYBETTİ"))</f>
        <v/>
      </c>
    </row>
    <row r="690" customFormat="false" ht="15" hidden="false" customHeight="false" outlineLevel="0" collapsed="false">
      <c r="A690" s="23"/>
      <c r="B690" s="25"/>
      <c r="C690" s="26"/>
      <c r="D690" s="26"/>
      <c r="E690" s="26"/>
      <c r="F690" s="26"/>
      <c r="G690" s="0" t="str">
        <f aca="false">IF(OR($A690="",$E690="",$D690=""),"",IF($E690&lt;$D690,"EVET","HAYIR"))</f>
        <v/>
      </c>
      <c r="H690" s="0" t="str">
        <f aca="false">IF(OR($A690="",$E690="",$F690=""),"",IF($E690&lt;=$F690,"KAZANDI","KAYBETTİ"))</f>
        <v/>
      </c>
    </row>
    <row r="691" customFormat="false" ht="15" hidden="false" customHeight="false" outlineLevel="0" collapsed="false">
      <c r="A691" s="23"/>
      <c r="B691" s="25"/>
      <c r="C691" s="26"/>
      <c r="D691" s="26"/>
      <c r="E691" s="26"/>
      <c r="F691" s="26"/>
      <c r="G691" s="0" t="str">
        <f aca="false">IF(OR($A691="",$E691="",$D691=""),"",IF($E691&lt;$D691,"EVET","HAYIR"))</f>
        <v/>
      </c>
      <c r="H691" s="0" t="str">
        <f aca="false">IF(OR($A691="",$E691="",$F691=""),"",IF($E691&lt;=$F691,"KAZANDI","KAYBETTİ"))</f>
        <v/>
      </c>
    </row>
    <row r="692" customFormat="false" ht="15" hidden="false" customHeight="false" outlineLevel="0" collapsed="false">
      <c r="A692" s="23"/>
      <c r="B692" s="25"/>
      <c r="C692" s="26"/>
      <c r="D692" s="26"/>
      <c r="E692" s="26"/>
      <c r="F692" s="26"/>
      <c r="G692" s="0" t="str">
        <f aca="false">IF(OR($A692="",$E692="",$D692=""),"",IF($E692&lt;$D692,"EVET","HAYIR"))</f>
        <v/>
      </c>
      <c r="H692" s="0" t="str">
        <f aca="false">IF(OR($A692="",$E692="",$F692=""),"",IF($E692&lt;=$F692,"KAZANDI","KAYBETTİ"))</f>
        <v/>
      </c>
    </row>
    <row r="693" customFormat="false" ht="15" hidden="false" customHeight="false" outlineLevel="0" collapsed="false">
      <c r="A693" s="23"/>
      <c r="B693" s="25"/>
      <c r="C693" s="26"/>
      <c r="D693" s="26"/>
      <c r="E693" s="26"/>
      <c r="F693" s="26"/>
      <c r="G693" s="0" t="str">
        <f aca="false">IF(OR($A693="",$E693="",$D693=""),"",IF($E693&lt;$D693,"EVET","HAYIR"))</f>
        <v/>
      </c>
      <c r="H693" s="0" t="str">
        <f aca="false">IF(OR($A693="",$E693="",$F693=""),"",IF($E693&lt;=$F693,"KAZANDI","KAYBETTİ"))</f>
        <v/>
      </c>
    </row>
    <row r="694" customFormat="false" ht="15" hidden="false" customHeight="false" outlineLevel="0" collapsed="false">
      <c r="A694" s="23"/>
      <c r="B694" s="25"/>
      <c r="C694" s="26"/>
      <c r="D694" s="26"/>
      <c r="E694" s="26"/>
      <c r="F694" s="26"/>
      <c r="G694" s="0" t="str">
        <f aca="false">IF(OR($A694="",$E694="",$D694=""),"",IF($E694&lt;$D694,"EVET","HAYIR"))</f>
        <v/>
      </c>
      <c r="H694" s="0" t="str">
        <f aca="false">IF(OR($A694="",$E694="",$F694=""),"",IF($E694&lt;=$F694,"KAZANDI","KAYBETTİ"))</f>
        <v/>
      </c>
    </row>
    <row r="695" customFormat="false" ht="15" hidden="false" customHeight="false" outlineLevel="0" collapsed="false">
      <c r="A695" s="23"/>
      <c r="B695" s="25"/>
      <c r="C695" s="26"/>
      <c r="D695" s="26"/>
      <c r="E695" s="26"/>
      <c r="F695" s="26"/>
      <c r="G695" s="0" t="str">
        <f aca="false">IF(OR($A695="",$E695="",$D695=""),"",IF($E695&lt;$D695,"EVET","HAYIR"))</f>
        <v/>
      </c>
      <c r="H695" s="0" t="str">
        <f aca="false">IF(OR($A695="",$E695="",$F695=""),"",IF($E695&lt;=$F695,"KAZANDI","KAYBETTİ"))</f>
        <v/>
      </c>
    </row>
    <row r="696" customFormat="false" ht="15" hidden="false" customHeight="false" outlineLevel="0" collapsed="false">
      <c r="A696" s="23"/>
      <c r="B696" s="25"/>
      <c r="C696" s="26"/>
      <c r="D696" s="26"/>
      <c r="E696" s="26"/>
      <c r="F696" s="26"/>
      <c r="G696" s="0" t="str">
        <f aca="false">IF(OR($A696="",$E696="",$D696=""),"",IF($E696&lt;$D696,"EVET","HAYIR"))</f>
        <v/>
      </c>
      <c r="H696" s="0" t="str">
        <f aca="false">IF(OR($A696="",$E696="",$F696=""),"",IF($E696&lt;=$F696,"KAZANDI","KAYBETTİ"))</f>
        <v/>
      </c>
    </row>
    <row r="697" customFormat="false" ht="15" hidden="false" customHeight="false" outlineLevel="0" collapsed="false">
      <c r="A697" s="23"/>
      <c r="B697" s="25"/>
      <c r="C697" s="26"/>
      <c r="D697" s="26"/>
      <c r="E697" s="26"/>
      <c r="F697" s="26"/>
      <c r="G697" s="0" t="str">
        <f aca="false">IF(OR($A697="",$E697="",$D697=""),"",IF($E697&lt;$D697,"EVET","HAYIR"))</f>
        <v/>
      </c>
      <c r="H697" s="0" t="str">
        <f aca="false">IF(OR($A697="",$E697="",$F697=""),"",IF($E697&lt;=$F697,"KAZANDI","KAYBETTİ"))</f>
        <v/>
      </c>
    </row>
    <row r="698" customFormat="false" ht="15" hidden="false" customHeight="false" outlineLevel="0" collapsed="false">
      <c r="A698" s="23"/>
      <c r="B698" s="25"/>
      <c r="C698" s="26"/>
      <c r="D698" s="26"/>
      <c r="E698" s="26"/>
      <c r="F698" s="26"/>
      <c r="G698" s="0" t="str">
        <f aca="false">IF(OR($A698="",$E698="",$D698=""),"",IF($E698&lt;$D698,"EVET","HAYIR"))</f>
        <v/>
      </c>
      <c r="H698" s="0" t="str">
        <f aca="false">IF(OR($A698="",$E698="",$F698=""),"",IF($E698&lt;=$F698,"KAZANDI","KAYBETTİ"))</f>
        <v/>
      </c>
    </row>
    <row r="699" customFormat="false" ht="15" hidden="false" customHeight="false" outlineLevel="0" collapsed="false">
      <c r="A699" s="23"/>
      <c r="B699" s="25"/>
      <c r="C699" s="26"/>
      <c r="D699" s="26"/>
      <c r="E699" s="26"/>
      <c r="F699" s="26"/>
      <c r="G699" s="0" t="str">
        <f aca="false">IF(OR($A699="",$E699="",$D699=""),"",IF($E699&lt;$D699,"EVET","HAYIR"))</f>
        <v/>
      </c>
      <c r="H699" s="0" t="str">
        <f aca="false">IF(OR($A699="",$E699="",$F699=""),"",IF($E699&lt;=$F699,"KAZANDI","KAYBETTİ"))</f>
        <v/>
      </c>
    </row>
    <row r="700" customFormat="false" ht="15" hidden="false" customHeight="false" outlineLevel="0" collapsed="false">
      <c r="A700" s="23"/>
      <c r="B700" s="25"/>
      <c r="C700" s="26"/>
      <c r="D700" s="26"/>
      <c r="E700" s="26"/>
      <c r="F700" s="26"/>
      <c r="G700" s="0" t="str">
        <f aca="false">IF(OR($A700="",$E700="",$D700=""),"",IF($E700&lt;$D700,"EVET","HAYIR"))</f>
        <v/>
      </c>
      <c r="H700" s="0" t="str">
        <f aca="false">IF(OR($A700="",$E700="",$F700=""),"",IF($E700&lt;=$F700,"KAZANDI","KAYBETTİ"))</f>
        <v/>
      </c>
    </row>
    <row r="701" customFormat="false" ht="15" hidden="false" customHeight="false" outlineLevel="0" collapsed="false">
      <c r="A701" s="23"/>
      <c r="B701" s="25"/>
      <c r="C701" s="26"/>
      <c r="D701" s="26"/>
      <c r="E701" s="26"/>
      <c r="F701" s="26"/>
      <c r="G701" s="0" t="str">
        <f aca="false">IF(OR($A701="",$E701="",$D701=""),"",IF($E701&lt;$D701,"EVET","HAYIR"))</f>
        <v/>
      </c>
      <c r="H701" s="0" t="str">
        <f aca="false">IF(OR($A701="",$E701="",$F701=""),"",IF($E701&lt;=$F701,"KAZANDI","KAYBETTİ"))</f>
        <v/>
      </c>
    </row>
    <row r="702" customFormat="false" ht="15" hidden="false" customHeight="false" outlineLevel="0" collapsed="false">
      <c r="A702" s="23"/>
      <c r="B702" s="25"/>
      <c r="C702" s="26"/>
      <c r="D702" s="26"/>
      <c r="E702" s="26"/>
      <c r="F702" s="26"/>
      <c r="G702" s="0" t="str">
        <f aca="false">IF(OR($A702="",$E702="",$D702=""),"",IF($E702&lt;$D702,"EVET","HAYIR"))</f>
        <v/>
      </c>
      <c r="H702" s="0" t="str">
        <f aca="false">IF(OR($A702="",$E702="",$F702=""),"",IF($E702&lt;=$F702,"KAZANDI","KAYBETTİ"))</f>
        <v/>
      </c>
    </row>
    <row r="703" customFormat="false" ht="15" hidden="false" customHeight="false" outlineLevel="0" collapsed="false">
      <c r="A703" s="23"/>
      <c r="B703" s="25"/>
      <c r="C703" s="26"/>
      <c r="D703" s="26"/>
      <c r="E703" s="26"/>
      <c r="F703" s="26"/>
      <c r="G703" s="0" t="str">
        <f aca="false">IF(OR($A703="",$E703="",$D703=""),"",IF($E703&lt;$D703,"EVET","HAYIR"))</f>
        <v/>
      </c>
      <c r="H703" s="0" t="str">
        <f aca="false">IF(OR($A703="",$E703="",$F703=""),"",IF($E703&lt;=$F703,"KAZANDI","KAYBETTİ"))</f>
        <v/>
      </c>
    </row>
    <row r="704" customFormat="false" ht="15" hidden="false" customHeight="false" outlineLevel="0" collapsed="false">
      <c r="A704" s="23"/>
      <c r="B704" s="25"/>
      <c r="C704" s="26"/>
      <c r="D704" s="26"/>
      <c r="E704" s="26"/>
      <c r="F704" s="26"/>
      <c r="G704" s="0" t="str">
        <f aca="false">IF(OR($A704="",$E704="",$D704=""),"",IF($E704&lt;$D704,"EVET","HAYIR"))</f>
        <v/>
      </c>
      <c r="H704" s="0" t="str">
        <f aca="false">IF(OR($A704="",$E704="",$F704=""),"",IF($E704&lt;=$F704,"KAZANDI","KAYBETTİ"))</f>
        <v/>
      </c>
    </row>
    <row r="705" customFormat="false" ht="15" hidden="false" customHeight="false" outlineLevel="0" collapsed="false">
      <c r="A705" s="23"/>
      <c r="B705" s="25"/>
      <c r="C705" s="26"/>
      <c r="D705" s="26"/>
      <c r="E705" s="26"/>
      <c r="F705" s="26"/>
      <c r="G705" s="0" t="str">
        <f aca="false">IF(OR($A705="",$E705="",$D705=""),"",IF($E705&lt;$D705,"EVET","HAYIR"))</f>
        <v/>
      </c>
      <c r="H705" s="0" t="str">
        <f aca="false">IF(OR($A705="",$E705="",$F705=""),"",IF($E705&lt;=$F705,"KAZANDI","KAYBETTİ"))</f>
        <v/>
      </c>
    </row>
    <row r="706" customFormat="false" ht="15" hidden="false" customHeight="false" outlineLevel="0" collapsed="false">
      <c r="A706" s="23"/>
      <c r="B706" s="25"/>
      <c r="C706" s="26"/>
      <c r="D706" s="26"/>
      <c r="E706" s="26"/>
      <c r="F706" s="26"/>
      <c r="G706" s="0" t="str">
        <f aca="false">IF(OR($A706="",$E706="",$D706=""),"",IF($E706&lt;$D706,"EVET","HAYIR"))</f>
        <v/>
      </c>
      <c r="H706" s="0" t="str">
        <f aca="false">IF(OR($A706="",$E706="",$F706=""),"",IF($E706&lt;=$F706,"KAZANDI","KAYBETTİ"))</f>
        <v/>
      </c>
    </row>
    <row r="707" customFormat="false" ht="15" hidden="false" customHeight="false" outlineLevel="0" collapsed="false">
      <c r="A707" s="23"/>
      <c r="B707" s="25"/>
      <c r="C707" s="26"/>
      <c r="D707" s="26"/>
      <c r="E707" s="26"/>
      <c r="F707" s="26"/>
      <c r="G707" s="0" t="str">
        <f aca="false">IF(OR($A707="",$E707="",$D707=""),"",IF($E707&lt;$D707,"EVET","HAYIR"))</f>
        <v/>
      </c>
      <c r="H707" s="0" t="str">
        <f aca="false">IF(OR($A707="",$E707="",$F707=""),"",IF($E707&lt;=$F707,"KAZANDI","KAYBETTİ"))</f>
        <v/>
      </c>
    </row>
    <row r="708" customFormat="false" ht="15" hidden="false" customHeight="false" outlineLevel="0" collapsed="false">
      <c r="A708" s="23"/>
      <c r="B708" s="25"/>
      <c r="C708" s="26"/>
      <c r="D708" s="26"/>
      <c r="E708" s="26"/>
      <c r="F708" s="26"/>
      <c r="G708" s="0" t="str">
        <f aca="false">IF(OR($A708="",$E708="",$D708=""),"",IF($E708&lt;$D708,"EVET","HAYIR"))</f>
        <v/>
      </c>
      <c r="H708" s="0" t="str">
        <f aca="false">IF(OR($A708="",$E708="",$F708=""),"",IF($E708&lt;=$F708,"KAZANDI","KAYBETTİ"))</f>
        <v/>
      </c>
    </row>
    <row r="709" customFormat="false" ht="15" hidden="false" customHeight="false" outlineLevel="0" collapsed="false">
      <c r="A709" s="23"/>
      <c r="B709" s="25"/>
      <c r="C709" s="26"/>
      <c r="D709" s="26"/>
      <c r="E709" s="26"/>
      <c r="F709" s="26"/>
      <c r="G709" s="0" t="str">
        <f aca="false">IF(OR($A709="",$E709="",$D709=""),"",IF($E709&lt;$D709,"EVET","HAYIR"))</f>
        <v/>
      </c>
      <c r="H709" s="0" t="str">
        <f aca="false">IF(OR($A709="",$E709="",$F709=""),"",IF($E709&lt;=$F709,"KAZANDI","KAYBETTİ"))</f>
        <v/>
      </c>
    </row>
    <row r="710" customFormat="false" ht="15" hidden="false" customHeight="false" outlineLevel="0" collapsed="false">
      <c r="A710" s="23"/>
      <c r="B710" s="25"/>
      <c r="C710" s="26"/>
      <c r="D710" s="26"/>
      <c r="E710" s="26"/>
      <c r="F710" s="26"/>
      <c r="G710" s="0" t="str">
        <f aca="false">IF(OR($A710="",$E710="",$D710=""),"",IF($E710&lt;$D710,"EVET","HAYIR"))</f>
        <v/>
      </c>
      <c r="H710" s="0" t="str">
        <f aca="false">IF(OR($A710="",$E710="",$F710=""),"",IF($E710&lt;=$F710,"KAZANDI","KAYBETTİ"))</f>
        <v/>
      </c>
    </row>
    <row r="711" customFormat="false" ht="15" hidden="false" customHeight="false" outlineLevel="0" collapsed="false">
      <c r="A711" s="23"/>
      <c r="B711" s="25"/>
      <c r="C711" s="26"/>
      <c r="D711" s="26"/>
      <c r="E711" s="26"/>
      <c r="F711" s="26"/>
      <c r="G711" s="0" t="str">
        <f aca="false">IF(OR($A711="",$E711="",$D711=""),"",IF($E711&lt;$D711,"EVET","HAYIR"))</f>
        <v/>
      </c>
      <c r="H711" s="0" t="str">
        <f aca="false">IF(OR($A711="",$E711="",$F711=""),"",IF($E711&lt;=$F711,"KAZANDI","KAYBETTİ"))</f>
        <v/>
      </c>
    </row>
    <row r="712" customFormat="false" ht="15" hidden="false" customHeight="false" outlineLevel="0" collapsed="false">
      <c r="A712" s="23"/>
      <c r="B712" s="25"/>
      <c r="C712" s="26"/>
      <c r="D712" s="26"/>
      <c r="E712" s="26"/>
      <c r="F712" s="26"/>
      <c r="G712" s="0" t="str">
        <f aca="false">IF(OR($A712="",$E712="",$D712=""),"",IF($E712&lt;$D712,"EVET","HAYIR"))</f>
        <v/>
      </c>
      <c r="H712" s="0" t="str">
        <f aca="false">IF(OR($A712="",$E712="",$F712=""),"",IF($E712&lt;=$F712,"KAZANDI","KAYBETTİ"))</f>
        <v/>
      </c>
    </row>
    <row r="713" customFormat="false" ht="15" hidden="false" customHeight="false" outlineLevel="0" collapsed="false">
      <c r="A713" s="23"/>
      <c r="B713" s="25"/>
      <c r="C713" s="26"/>
      <c r="D713" s="26"/>
      <c r="E713" s="26"/>
      <c r="F713" s="26"/>
      <c r="G713" s="0" t="str">
        <f aca="false">IF(OR($A713="",$E713="",$D713=""),"",IF($E713&lt;$D713,"EVET","HAYIR"))</f>
        <v/>
      </c>
      <c r="H713" s="0" t="str">
        <f aca="false">IF(OR($A713="",$E713="",$F713=""),"",IF($E713&lt;=$F713,"KAZANDI","KAYBETTİ"))</f>
        <v/>
      </c>
    </row>
    <row r="714" customFormat="false" ht="15" hidden="false" customHeight="false" outlineLevel="0" collapsed="false">
      <c r="A714" s="23"/>
      <c r="B714" s="25"/>
      <c r="C714" s="26"/>
      <c r="D714" s="26"/>
      <c r="E714" s="26"/>
      <c r="F714" s="26"/>
      <c r="G714" s="0" t="str">
        <f aca="false">IF(OR($A714="",$E714="",$D714=""),"",IF($E714&lt;$D714,"EVET","HAYIR"))</f>
        <v/>
      </c>
      <c r="H714" s="0" t="str">
        <f aca="false">IF(OR($A714="",$E714="",$F714=""),"",IF($E714&lt;=$F714,"KAZANDI","KAYBETTİ"))</f>
        <v/>
      </c>
    </row>
    <row r="715" customFormat="false" ht="15" hidden="false" customHeight="false" outlineLevel="0" collapsed="false">
      <c r="A715" s="23"/>
      <c r="B715" s="25"/>
      <c r="C715" s="26"/>
      <c r="D715" s="26"/>
      <c r="E715" s="26"/>
      <c r="F715" s="26"/>
      <c r="G715" s="0" t="str">
        <f aca="false">IF(OR($A715="",$E715="",$D715=""),"",IF($E715&lt;$D715,"EVET","HAYIR"))</f>
        <v/>
      </c>
      <c r="H715" s="0" t="str">
        <f aca="false">IF(OR($A715="",$E715="",$F715=""),"",IF($E715&lt;=$F715,"KAZANDI","KAYBETTİ"))</f>
        <v/>
      </c>
    </row>
    <row r="716" customFormat="false" ht="15" hidden="false" customHeight="false" outlineLevel="0" collapsed="false">
      <c r="A716" s="23"/>
      <c r="B716" s="25"/>
      <c r="C716" s="26"/>
      <c r="D716" s="26"/>
      <c r="E716" s="26"/>
      <c r="F716" s="26"/>
      <c r="G716" s="0" t="str">
        <f aca="false">IF(OR($A716="",$E716="",$D716=""),"",IF($E716&lt;$D716,"EVET","HAYIR"))</f>
        <v/>
      </c>
      <c r="H716" s="0" t="str">
        <f aca="false">IF(OR($A716="",$E716="",$F716=""),"",IF($E716&lt;=$F716,"KAZANDI","KAYBETTİ"))</f>
        <v/>
      </c>
    </row>
    <row r="717" customFormat="false" ht="15" hidden="false" customHeight="false" outlineLevel="0" collapsed="false">
      <c r="A717" s="23"/>
      <c r="B717" s="25"/>
      <c r="C717" s="26"/>
      <c r="D717" s="26"/>
      <c r="E717" s="26"/>
      <c r="F717" s="26"/>
      <c r="G717" s="0" t="str">
        <f aca="false">IF(OR($A717="",$E717="",$D717=""),"",IF($E717&lt;$D717,"EVET","HAYIR"))</f>
        <v/>
      </c>
      <c r="H717" s="0" t="str">
        <f aca="false">IF(OR($A717="",$E717="",$F717=""),"",IF($E717&lt;=$F717,"KAZANDI","KAYBETTİ"))</f>
        <v/>
      </c>
    </row>
    <row r="718" customFormat="false" ht="15" hidden="false" customHeight="false" outlineLevel="0" collapsed="false">
      <c r="A718" s="23"/>
      <c r="B718" s="25"/>
      <c r="C718" s="26"/>
      <c r="D718" s="26"/>
      <c r="E718" s="26"/>
      <c r="F718" s="26"/>
      <c r="G718" s="0" t="str">
        <f aca="false">IF(OR($A718="",$E718="",$D718=""),"",IF($E718&lt;$D718,"EVET","HAYIR"))</f>
        <v/>
      </c>
      <c r="H718" s="0" t="str">
        <f aca="false">IF(OR($A718="",$E718="",$F718=""),"",IF($E718&lt;=$F718,"KAZANDI","KAYBETTİ"))</f>
        <v/>
      </c>
    </row>
    <row r="719" customFormat="false" ht="15" hidden="false" customHeight="false" outlineLevel="0" collapsed="false">
      <c r="A719" s="23"/>
      <c r="B719" s="25"/>
      <c r="C719" s="26"/>
      <c r="D719" s="26"/>
      <c r="E719" s="26"/>
      <c r="F719" s="26"/>
      <c r="G719" s="0" t="str">
        <f aca="false">IF(OR($A719="",$E719="",$D719=""),"",IF($E719&lt;$D719,"EVET","HAYIR"))</f>
        <v/>
      </c>
      <c r="H719" s="0" t="str">
        <f aca="false">IF(OR($A719="",$E719="",$F719=""),"",IF($E719&lt;=$F719,"KAZANDI","KAYBETTİ"))</f>
        <v/>
      </c>
    </row>
    <row r="720" customFormat="false" ht="15" hidden="false" customHeight="false" outlineLevel="0" collapsed="false">
      <c r="A720" s="23"/>
      <c r="B720" s="25"/>
      <c r="C720" s="26"/>
      <c r="D720" s="26"/>
      <c r="E720" s="26"/>
      <c r="F720" s="26"/>
      <c r="G720" s="0" t="str">
        <f aca="false">IF(OR($A720="",$E720="",$D720=""),"",IF($E720&lt;$D720,"EVET","HAYIR"))</f>
        <v/>
      </c>
      <c r="H720" s="0" t="str">
        <f aca="false">IF(OR($A720="",$E720="",$F720=""),"",IF($E720&lt;=$F720,"KAZANDI","KAYBETTİ"))</f>
        <v/>
      </c>
    </row>
    <row r="721" customFormat="false" ht="15" hidden="false" customHeight="false" outlineLevel="0" collapsed="false">
      <c r="A721" s="23"/>
      <c r="B721" s="25"/>
      <c r="C721" s="26"/>
      <c r="D721" s="26"/>
      <c r="E721" s="26"/>
      <c r="F721" s="26"/>
      <c r="G721" s="0" t="str">
        <f aca="false">IF(OR($A721="",$E721="",$D721=""),"",IF($E721&lt;$D721,"EVET","HAYIR"))</f>
        <v/>
      </c>
      <c r="H721" s="0" t="str">
        <f aca="false">IF(OR($A721="",$E721="",$F721=""),"",IF($E721&lt;=$F721,"KAZANDI","KAYBETTİ"))</f>
        <v/>
      </c>
    </row>
    <row r="722" customFormat="false" ht="15" hidden="false" customHeight="false" outlineLevel="0" collapsed="false">
      <c r="A722" s="23"/>
      <c r="B722" s="25"/>
      <c r="C722" s="26"/>
      <c r="D722" s="26"/>
      <c r="E722" s="26"/>
      <c r="F722" s="26"/>
      <c r="G722" s="0" t="str">
        <f aca="false">IF(OR($A722="",$E722="",$D722=""),"",IF($E722&lt;$D722,"EVET","HAYIR"))</f>
        <v/>
      </c>
      <c r="H722" s="0" t="str">
        <f aca="false">IF(OR($A722="",$E722="",$F722=""),"",IF($E722&lt;=$F722,"KAZANDI","KAYBETTİ"))</f>
        <v/>
      </c>
    </row>
    <row r="723" customFormat="false" ht="15" hidden="false" customHeight="false" outlineLevel="0" collapsed="false">
      <c r="A723" s="23"/>
      <c r="B723" s="25"/>
      <c r="C723" s="26"/>
      <c r="D723" s="26"/>
      <c r="E723" s="26"/>
      <c r="F723" s="26"/>
      <c r="G723" s="0" t="str">
        <f aca="false">IF(OR($A723="",$E723="",$D723=""),"",IF($E723&lt;$D723,"EVET","HAYIR"))</f>
        <v/>
      </c>
      <c r="H723" s="0" t="str">
        <f aca="false">IF(OR($A723="",$E723="",$F723=""),"",IF($E723&lt;=$F723,"KAZANDI","KAYBETTİ"))</f>
        <v/>
      </c>
    </row>
    <row r="724" customFormat="false" ht="15" hidden="false" customHeight="false" outlineLevel="0" collapsed="false">
      <c r="A724" s="23"/>
      <c r="B724" s="25"/>
      <c r="C724" s="26"/>
      <c r="D724" s="26"/>
      <c r="E724" s="26"/>
      <c r="F724" s="26"/>
      <c r="G724" s="0" t="str">
        <f aca="false">IF(OR($A724="",$E724="",$D724=""),"",IF($E724&lt;$D724,"EVET","HAYIR"))</f>
        <v/>
      </c>
      <c r="H724" s="0" t="str">
        <f aca="false">IF(OR($A724="",$E724="",$F724=""),"",IF($E724&lt;=$F724,"KAZANDI","KAYBETTİ"))</f>
        <v/>
      </c>
    </row>
    <row r="725" customFormat="false" ht="15" hidden="false" customHeight="false" outlineLevel="0" collapsed="false">
      <c r="A725" s="23"/>
      <c r="B725" s="25"/>
      <c r="C725" s="26"/>
      <c r="D725" s="26"/>
      <c r="E725" s="26"/>
      <c r="F725" s="26"/>
      <c r="G725" s="0" t="str">
        <f aca="false">IF(OR($A725="",$E725="",$D725=""),"",IF($E725&lt;$D725,"EVET","HAYIR"))</f>
        <v/>
      </c>
      <c r="H725" s="0" t="str">
        <f aca="false">IF(OR($A725="",$E725="",$F725=""),"",IF($E725&lt;=$F725,"KAZANDI","KAYBETTİ"))</f>
        <v/>
      </c>
    </row>
    <row r="726" customFormat="false" ht="15" hidden="false" customHeight="false" outlineLevel="0" collapsed="false">
      <c r="A726" s="23"/>
      <c r="B726" s="25"/>
      <c r="C726" s="26"/>
      <c r="D726" s="26"/>
      <c r="E726" s="26"/>
      <c r="F726" s="26"/>
      <c r="G726" s="0" t="str">
        <f aca="false">IF(OR($A726="",$E726="",$D726=""),"",IF($E726&lt;$D726,"EVET","HAYIR"))</f>
        <v/>
      </c>
      <c r="H726" s="0" t="str">
        <f aca="false">IF(OR($A726="",$E726="",$F726=""),"",IF($E726&lt;=$F726,"KAZANDI","KAYBETTİ"))</f>
        <v/>
      </c>
    </row>
    <row r="727" customFormat="false" ht="15" hidden="false" customHeight="false" outlineLevel="0" collapsed="false">
      <c r="A727" s="23"/>
      <c r="B727" s="25"/>
      <c r="C727" s="26"/>
      <c r="D727" s="26"/>
      <c r="E727" s="26"/>
      <c r="F727" s="26"/>
      <c r="G727" s="0" t="str">
        <f aca="false">IF(OR($A727="",$E727="",$D727=""),"",IF($E727&lt;$D727,"EVET","HAYIR"))</f>
        <v/>
      </c>
      <c r="H727" s="0" t="str">
        <f aca="false">IF(OR($A727="",$E727="",$F727=""),"",IF($E727&lt;=$F727,"KAZANDI","KAYBETTİ"))</f>
        <v/>
      </c>
    </row>
    <row r="728" customFormat="false" ht="15" hidden="false" customHeight="false" outlineLevel="0" collapsed="false">
      <c r="A728" s="23"/>
      <c r="B728" s="25"/>
      <c r="C728" s="26"/>
      <c r="D728" s="26"/>
      <c r="E728" s="26"/>
      <c r="F728" s="26"/>
      <c r="G728" s="0" t="str">
        <f aca="false">IF(OR($A728="",$E728="",$D728=""),"",IF($E728&lt;$D728,"EVET","HAYIR"))</f>
        <v/>
      </c>
      <c r="H728" s="0" t="str">
        <f aca="false">IF(OR($A728="",$E728="",$F728=""),"",IF($E728&lt;=$F728,"KAZANDI","KAYBETTİ"))</f>
        <v/>
      </c>
    </row>
    <row r="729" customFormat="false" ht="15" hidden="false" customHeight="false" outlineLevel="0" collapsed="false">
      <c r="A729" s="23"/>
      <c r="B729" s="25"/>
      <c r="C729" s="26"/>
      <c r="D729" s="26"/>
      <c r="E729" s="26"/>
      <c r="F729" s="26"/>
      <c r="G729" s="0" t="str">
        <f aca="false">IF(OR($A729="",$E729="",$D729=""),"",IF($E729&lt;$D729,"EVET","HAYIR"))</f>
        <v/>
      </c>
      <c r="H729" s="0" t="str">
        <f aca="false">IF(OR($A729="",$E729="",$F729=""),"",IF($E729&lt;=$F729,"KAZANDI","KAYBETTİ"))</f>
        <v/>
      </c>
    </row>
    <row r="730" customFormat="false" ht="15" hidden="false" customHeight="false" outlineLevel="0" collapsed="false">
      <c r="A730" s="23"/>
      <c r="B730" s="25"/>
      <c r="C730" s="26"/>
      <c r="D730" s="26"/>
      <c r="E730" s="26"/>
      <c r="F730" s="26"/>
      <c r="G730" s="0" t="str">
        <f aca="false">IF(OR($A730="",$E730="",$D730=""),"",IF($E730&lt;$D730,"EVET","HAYIR"))</f>
        <v/>
      </c>
      <c r="H730" s="0" t="str">
        <f aca="false">IF(OR($A730="",$E730="",$F730=""),"",IF($E730&lt;=$F730,"KAZANDI","KAYBETTİ"))</f>
        <v/>
      </c>
    </row>
    <row r="731" customFormat="false" ht="15" hidden="false" customHeight="false" outlineLevel="0" collapsed="false">
      <c r="A731" s="23"/>
      <c r="B731" s="25"/>
      <c r="C731" s="26"/>
      <c r="D731" s="26"/>
      <c r="E731" s="26"/>
      <c r="F731" s="26"/>
      <c r="G731" s="0" t="str">
        <f aca="false">IF(OR($A731="",$E731="",$D731=""),"",IF($E731&lt;$D731,"EVET","HAYIR"))</f>
        <v/>
      </c>
      <c r="H731" s="0" t="str">
        <f aca="false">IF(OR($A731="",$E731="",$F731=""),"",IF($E731&lt;=$F731,"KAZANDI","KAYBETTİ"))</f>
        <v/>
      </c>
    </row>
    <row r="732" customFormat="false" ht="15" hidden="false" customHeight="false" outlineLevel="0" collapsed="false">
      <c r="A732" s="23"/>
      <c r="B732" s="25"/>
      <c r="C732" s="26"/>
      <c r="D732" s="26"/>
      <c r="E732" s="26"/>
      <c r="F732" s="26"/>
      <c r="G732" s="0" t="str">
        <f aca="false">IF(OR($A732="",$E732="",$D732=""),"",IF($E732&lt;$D732,"EVET","HAYIR"))</f>
        <v/>
      </c>
      <c r="H732" s="0" t="str">
        <f aca="false">IF(OR($A732="",$E732="",$F732=""),"",IF($E732&lt;=$F732,"KAZANDI","KAYBETTİ"))</f>
        <v/>
      </c>
    </row>
    <row r="733" customFormat="false" ht="15" hidden="false" customHeight="false" outlineLevel="0" collapsed="false">
      <c r="A733" s="23"/>
      <c r="B733" s="25"/>
      <c r="C733" s="26"/>
      <c r="D733" s="26"/>
      <c r="E733" s="26"/>
      <c r="F733" s="26"/>
      <c r="G733" s="0" t="str">
        <f aca="false">IF(OR($A733="",$E733="",$D733=""),"",IF($E733&lt;$D733,"EVET","HAYIR"))</f>
        <v/>
      </c>
      <c r="H733" s="0" t="str">
        <f aca="false">IF(OR($A733="",$E733="",$F733=""),"",IF($E733&lt;=$F733,"KAZANDI","KAYBETTİ"))</f>
        <v/>
      </c>
    </row>
    <row r="734" customFormat="false" ht="15" hidden="false" customHeight="false" outlineLevel="0" collapsed="false">
      <c r="A734" s="23"/>
      <c r="B734" s="25"/>
      <c r="C734" s="26"/>
      <c r="D734" s="26"/>
      <c r="E734" s="26"/>
      <c r="F734" s="26"/>
      <c r="G734" s="0" t="str">
        <f aca="false">IF(OR($A734="",$E734="",$D734=""),"",IF($E734&lt;$D734,"EVET","HAYIR"))</f>
        <v/>
      </c>
      <c r="H734" s="0" t="str">
        <f aca="false">IF(OR($A734="",$E734="",$F734=""),"",IF($E734&lt;=$F734,"KAZANDI","KAYBETTİ"))</f>
        <v/>
      </c>
    </row>
    <row r="735" customFormat="false" ht="15" hidden="false" customHeight="false" outlineLevel="0" collapsed="false">
      <c r="A735" s="23"/>
      <c r="B735" s="25"/>
      <c r="C735" s="26"/>
      <c r="D735" s="26"/>
      <c r="E735" s="26"/>
      <c r="F735" s="26"/>
      <c r="G735" s="0" t="str">
        <f aca="false">IF(OR($A735="",$E735="",$D735=""),"",IF($E735&lt;$D735,"EVET","HAYIR"))</f>
        <v/>
      </c>
      <c r="H735" s="0" t="str">
        <f aca="false">IF(OR($A735="",$E735="",$F735=""),"",IF($E735&lt;=$F735,"KAZANDI","KAYBETTİ"))</f>
        <v/>
      </c>
    </row>
    <row r="736" customFormat="false" ht="15" hidden="false" customHeight="false" outlineLevel="0" collapsed="false">
      <c r="A736" s="23"/>
      <c r="B736" s="25"/>
      <c r="C736" s="26"/>
      <c r="D736" s="26"/>
      <c r="E736" s="26"/>
      <c r="F736" s="26"/>
      <c r="G736" s="0" t="str">
        <f aca="false">IF(OR($A736="",$E736="",$D736=""),"",IF($E736&lt;$D736,"EVET","HAYIR"))</f>
        <v/>
      </c>
      <c r="H736" s="0" t="str">
        <f aca="false">IF(OR($A736="",$E736="",$F736=""),"",IF($E736&lt;=$F736,"KAZANDI","KAYBETTİ"))</f>
        <v/>
      </c>
    </row>
    <row r="737" customFormat="false" ht="15" hidden="false" customHeight="false" outlineLevel="0" collapsed="false">
      <c r="A737" s="23"/>
      <c r="B737" s="25"/>
      <c r="C737" s="26"/>
      <c r="D737" s="26"/>
      <c r="E737" s="26"/>
      <c r="F737" s="26"/>
      <c r="G737" s="0" t="str">
        <f aca="false">IF(OR($A737="",$E737="",$D737=""),"",IF($E737&lt;$D737,"EVET","HAYIR"))</f>
        <v/>
      </c>
      <c r="H737" s="0" t="str">
        <f aca="false">IF(OR($A737="",$E737="",$F737=""),"",IF($E737&lt;=$F737,"KAZANDI","KAYBETTİ"))</f>
        <v/>
      </c>
    </row>
    <row r="738" customFormat="false" ht="15" hidden="false" customHeight="false" outlineLevel="0" collapsed="false">
      <c r="A738" s="23"/>
      <c r="B738" s="25"/>
      <c r="C738" s="26"/>
      <c r="D738" s="26"/>
      <c r="E738" s="26"/>
      <c r="F738" s="26"/>
      <c r="G738" s="0" t="str">
        <f aca="false">IF(OR($A738="",$E738="",$D738=""),"",IF($E738&lt;$D738,"EVET","HAYIR"))</f>
        <v/>
      </c>
      <c r="H738" s="0" t="str">
        <f aca="false">IF(OR($A738="",$E738="",$F738=""),"",IF($E738&lt;=$F738,"KAZANDI","KAYBETTİ"))</f>
        <v/>
      </c>
    </row>
    <row r="739" customFormat="false" ht="15" hidden="false" customHeight="false" outlineLevel="0" collapsed="false">
      <c r="A739" s="23"/>
      <c r="B739" s="25"/>
      <c r="C739" s="26"/>
      <c r="D739" s="26"/>
      <c r="E739" s="26"/>
      <c r="F739" s="26"/>
      <c r="G739" s="0" t="str">
        <f aca="false">IF(OR($A739="",$E739="",$D739=""),"",IF($E739&lt;$D739,"EVET","HAYIR"))</f>
        <v/>
      </c>
      <c r="H739" s="0" t="str">
        <f aca="false">IF(OR($A739="",$E739="",$F739=""),"",IF($E739&lt;=$F739,"KAZANDI","KAYBETTİ"))</f>
        <v/>
      </c>
    </row>
    <row r="740" customFormat="false" ht="15" hidden="false" customHeight="false" outlineLevel="0" collapsed="false">
      <c r="A740" s="23"/>
      <c r="B740" s="25"/>
      <c r="C740" s="26"/>
      <c r="D740" s="26"/>
      <c r="E740" s="26"/>
      <c r="F740" s="26"/>
      <c r="G740" s="0" t="str">
        <f aca="false">IF(OR($A740="",$E740="",$D740=""),"",IF($E740&lt;$D740,"EVET","HAYIR"))</f>
        <v/>
      </c>
      <c r="H740" s="0" t="str">
        <f aca="false">IF(OR($A740="",$E740="",$F740=""),"",IF($E740&lt;=$F740,"KAZANDI","KAYBETTİ"))</f>
        <v/>
      </c>
    </row>
    <row r="741" customFormat="false" ht="15" hidden="false" customHeight="false" outlineLevel="0" collapsed="false">
      <c r="A741" s="23"/>
      <c r="B741" s="25"/>
      <c r="C741" s="26"/>
      <c r="D741" s="26"/>
      <c r="E741" s="26"/>
      <c r="F741" s="26"/>
      <c r="G741" s="0" t="str">
        <f aca="false">IF(OR($A741="",$E741="",$D741=""),"",IF($E741&lt;$D741,"EVET","HAYIR"))</f>
        <v/>
      </c>
      <c r="H741" s="0" t="str">
        <f aca="false">IF(OR($A741="",$E741="",$F741=""),"",IF($E741&lt;=$F741,"KAZANDI","KAYBETTİ"))</f>
        <v/>
      </c>
    </row>
    <row r="742" customFormat="false" ht="15" hidden="false" customHeight="false" outlineLevel="0" collapsed="false">
      <c r="A742" s="23"/>
      <c r="B742" s="25"/>
      <c r="C742" s="26"/>
      <c r="D742" s="26"/>
      <c r="E742" s="26"/>
      <c r="F742" s="26"/>
      <c r="G742" s="0" t="str">
        <f aca="false">IF(OR($A742="",$E742="",$D742=""),"",IF($E742&lt;$D742,"EVET","HAYIR"))</f>
        <v/>
      </c>
      <c r="H742" s="0" t="str">
        <f aca="false">IF(OR($A742="",$E742="",$F742=""),"",IF($E742&lt;=$F742,"KAZANDI","KAYBETTİ"))</f>
        <v/>
      </c>
    </row>
    <row r="743" customFormat="false" ht="15" hidden="false" customHeight="false" outlineLevel="0" collapsed="false">
      <c r="A743" s="23"/>
      <c r="B743" s="25"/>
      <c r="C743" s="26"/>
      <c r="D743" s="26"/>
      <c r="E743" s="26"/>
      <c r="F743" s="26"/>
      <c r="G743" s="0" t="str">
        <f aca="false">IF(OR($A743="",$E743="",$D743=""),"",IF($E743&lt;$D743,"EVET","HAYIR"))</f>
        <v/>
      </c>
      <c r="H743" s="0" t="str">
        <f aca="false">IF(OR($A743="",$E743="",$F743=""),"",IF($E743&lt;=$F743,"KAZANDI","KAYBETTİ"))</f>
        <v/>
      </c>
    </row>
    <row r="744" customFormat="false" ht="15" hidden="false" customHeight="false" outlineLevel="0" collapsed="false">
      <c r="A744" s="23"/>
      <c r="B744" s="25"/>
      <c r="C744" s="26"/>
      <c r="D744" s="26"/>
      <c r="E744" s="26"/>
      <c r="F744" s="26"/>
      <c r="G744" s="0" t="str">
        <f aca="false">IF(OR($A744="",$E744="",$D744=""),"",IF($E744&lt;$D744,"EVET","HAYIR"))</f>
        <v/>
      </c>
      <c r="H744" s="0" t="str">
        <f aca="false">IF(OR($A744="",$E744="",$F744=""),"",IF($E744&lt;=$F744,"KAZANDI","KAYBETTİ"))</f>
        <v/>
      </c>
    </row>
    <row r="745" customFormat="false" ht="15" hidden="false" customHeight="false" outlineLevel="0" collapsed="false">
      <c r="A745" s="23"/>
      <c r="B745" s="25"/>
      <c r="C745" s="26"/>
      <c r="D745" s="26"/>
      <c r="E745" s="26"/>
      <c r="F745" s="26"/>
      <c r="G745" s="0" t="str">
        <f aca="false">IF(OR($A745="",$E745="",$D745=""),"",IF($E745&lt;$D745,"EVET","HAYIR"))</f>
        <v/>
      </c>
      <c r="H745" s="0" t="str">
        <f aca="false">IF(OR($A745="",$E745="",$F745=""),"",IF($E745&lt;=$F745,"KAZANDI","KAYBETTİ"))</f>
        <v/>
      </c>
    </row>
    <row r="746" customFormat="false" ht="15" hidden="false" customHeight="false" outlineLevel="0" collapsed="false">
      <c r="A746" s="23"/>
      <c r="B746" s="25"/>
      <c r="C746" s="26"/>
      <c r="D746" s="26"/>
      <c r="E746" s="26"/>
      <c r="F746" s="26"/>
      <c r="G746" s="0" t="str">
        <f aca="false">IF(OR($A746="",$E746="",$D746=""),"",IF($E746&lt;$D746,"EVET","HAYIR"))</f>
        <v/>
      </c>
      <c r="H746" s="0" t="str">
        <f aca="false">IF(OR($A746="",$E746="",$F746=""),"",IF($E746&lt;=$F746,"KAZANDI","KAYBETTİ"))</f>
        <v/>
      </c>
    </row>
    <row r="747" customFormat="false" ht="15" hidden="false" customHeight="false" outlineLevel="0" collapsed="false">
      <c r="A747" s="23"/>
      <c r="B747" s="25"/>
      <c r="C747" s="26"/>
      <c r="D747" s="26"/>
      <c r="E747" s="26"/>
      <c r="F747" s="26"/>
      <c r="G747" s="0" t="str">
        <f aca="false">IF(OR($A747="",$E747="",$D747=""),"",IF($E747&lt;$D747,"EVET","HAYIR"))</f>
        <v/>
      </c>
      <c r="H747" s="0" t="str">
        <f aca="false">IF(OR($A747="",$E747="",$F747=""),"",IF($E747&lt;=$F747,"KAZANDI","KAYBETTİ"))</f>
        <v/>
      </c>
    </row>
    <row r="748" customFormat="false" ht="15" hidden="false" customHeight="false" outlineLevel="0" collapsed="false">
      <c r="A748" s="23"/>
      <c r="B748" s="25"/>
      <c r="C748" s="26"/>
      <c r="D748" s="26"/>
      <c r="E748" s="26"/>
      <c r="F748" s="26"/>
      <c r="G748" s="0" t="str">
        <f aca="false">IF(OR($A748="",$E748="",$D748=""),"",IF($E748&lt;$D748,"EVET","HAYIR"))</f>
        <v/>
      </c>
      <c r="H748" s="0" t="str">
        <f aca="false">IF(OR($A748="",$E748="",$F748=""),"",IF($E748&lt;=$F748,"KAZANDI","KAYBETTİ"))</f>
        <v/>
      </c>
    </row>
    <row r="749" customFormat="false" ht="15" hidden="false" customHeight="false" outlineLevel="0" collapsed="false">
      <c r="A749" s="23"/>
      <c r="B749" s="25"/>
      <c r="C749" s="26"/>
      <c r="D749" s="26"/>
      <c r="E749" s="26"/>
      <c r="F749" s="26"/>
      <c r="G749" s="0" t="str">
        <f aca="false">IF(OR($A749="",$E749="",$D749=""),"",IF($E749&lt;$D749,"EVET","HAYIR"))</f>
        <v/>
      </c>
      <c r="H749" s="0" t="str">
        <f aca="false">IF(OR($A749="",$E749="",$F749=""),"",IF($E749&lt;=$F749,"KAZANDI","KAYBETTİ"))</f>
        <v/>
      </c>
    </row>
    <row r="750" customFormat="false" ht="15" hidden="false" customHeight="false" outlineLevel="0" collapsed="false">
      <c r="A750" s="23"/>
      <c r="B750" s="25"/>
      <c r="C750" s="26"/>
      <c r="D750" s="26"/>
      <c r="E750" s="26"/>
      <c r="F750" s="26"/>
      <c r="G750" s="0" t="str">
        <f aca="false">IF(OR($A750="",$E750="",$D750=""),"",IF($E750&lt;$D750,"EVET","HAYIR"))</f>
        <v/>
      </c>
      <c r="H750" s="0" t="str">
        <f aca="false">IF(OR($A750="",$E750="",$F750=""),"",IF($E750&lt;=$F750,"KAZANDI","KAYBETTİ"))</f>
        <v/>
      </c>
    </row>
    <row r="751" customFormat="false" ht="15" hidden="false" customHeight="false" outlineLevel="0" collapsed="false">
      <c r="A751" s="23"/>
      <c r="B751" s="25"/>
      <c r="C751" s="26"/>
      <c r="D751" s="26"/>
      <c r="E751" s="26"/>
      <c r="F751" s="26"/>
      <c r="G751" s="0" t="str">
        <f aca="false">IF(OR($A751="",$E751="",$D751=""),"",IF($E751&lt;$D751,"EVET","HAYIR"))</f>
        <v/>
      </c>
      <c r="H751" s="0" t="str">
        <f aca="false">IF(OR($A751="",$E751="",$F751=""),"",IF($E751&lt;=$F751,"KAZANDI","KAYBETTİ"))</f>
        <v/>
      </c>
    </row>
    <row r="752" customFormat="false" ht="15" hidden="false" customHeight="false" outlineLevel="0" collapsed="false">
      <c r="A752" s="23"/>
      <c r="B752" s="25"/>
      <c r="C752" s="26"/>
      <c r="D752" s="26"/>
      <c r="E752" s="26"/>
      <c r="F752" s="26"/>
      <c r="G752" s="0" t="str">
        <f aca="false">IF(OR($A752="",$E752="",$D752=""),"",IF($E752&lt;$D752,"EVET","HAYIR"))</f>
        <v/>
      </c>
      <c r="H752" s="0" t="str">
        <f aca="false">IF(OR($A752="",$E752="",$F752=""),"",IF($E752&lt;=$F752,"KAZANDI","KAYBETTİ"))</f>
        <v/>
      </c>
    </row>
    <row r="753" customFormat="false" ht="15" hidden="false" customHeight="false" outlineLevel="0" collapsed="false">
      <c r="A753" s="23"/>
      <c r="B753" s="25"/>
      <c r="C753" s="26"/>
      <c r="D753" s="26"/>
      <c r="E753" s="26"/>
      <c r="F753" s="26"/>
      <c r="G753" s="0" t="str">
        <f aca="false">IF(OR($A753="",$E753="",$D753=""),"",IF($E753&lt;$D753,"EVET","HAYIR"))</f>
        <v/>
      </c>
      <c r="H753" s="0" t="str">
        <f aca="false">IF(OR($A753="",$E753="",$F753=""),"",IF($E753&lt;=$F753,"KAZANDI","KAYBETTİ"))</f>
        <v/>
      </c>
    </row>
    <row r="754" customFormat="false" ht="15" hidden="false" customHeight="false" outlineLevel="0" collapsed="false">
      <c r="A754" s="23"/>
      <c r="B754" s="25"/>
      <c r="C754" s="26"/>
      <c r="D754" s="26"/>
      <c r="E754" s="26"/>
      <c r="F754" s="26"/>
      <c r="G754" s="0" t="str">
        <f aca="false">IF(OR($A754="",$E754="",$D754=""),"",IF($E754&lt;$D754,"EVET","HAYIR"))</f>
        <v/>
      </c>
      <c r="H754" s="0" t="str">
        <f aca="false">IF(OR($A754="",$E754="",$F754=""),"",IF($E754&lt;=$F754,"KAZANDI","KAYBETTİ"))</f>
        <v/>
      </c>
    </row>
    <row r="755" customFormat="false" ht="15" hidden="false" customHeight="false" outlineLevel="0" collapsed="false">
      <c r="A755" s="23"/>
      <c r="B755" s="25"/>
      <c r="C755" s="26"/>
      <c r="D755" s="26"/>
      <c r="E755" s="26"/>
      <c r="F755" s="26"/>
      <c r="G755" s="0" t="str">
        <f aca="false">IF(OR($A755="",$E755="",$D755=""),"",IF($E755&lt;$D755,"EVET","HAYIR"))</f>
        <v/>
      </c>
      <c r="H755" s="0" t="str">
        <f aca="false">IF(OR($A755="",$E755="",$F755=""),"",IF($E755&lt;=$F755,"KAZANDI","KAYBETTİ"))</f>
        <v/>
      </c>
    </row>
    <row r="756" customFormat="false" ht="15" hidden="false" customHeight="false" outlineLevel="0" collapsed="false">
      <c r="A756" s="23"/>
      <c r="B756" s="25"/>
      <c r="C756" s="26"/>
      <c r="D756" s="26"/>
      <c r="E756" s="26"/>
      <c r="F756" s="26"/>
      <c r="G756" s="0" t="str">
        <f aca="false">IF(OR($A756="",$E756="",$D756=""),"",IF($E756&lt;$D756,"EVET","HAYIR"))</f>
        <v/>
      </c>
      <c r="H756" s="0" t="str">
        <f aca="false">IF(OR($A756="",$E756="",$F756=""),"",IF($E756&lt;=$F756,"KAZANDI","KAYBETTİ"))</f>
        <v/>
      </c>
    </row>
    <row r="757" customFormat="false" ht="15" hidden="false" customHeight="false" outlineLevel="0" collapsed="false">
      <c r="A757" s="23"/>
      <c r="B757" s="25"/>
      <c r="C757" s="26"/>
      <c r="D757" s="26"/>
      <c r="E757" s="26"/>
      <c r="F757" s="26"/>
      <c r="G757" s="0" t="str">
        <f aca="false">IF(OR($A757="",$E757="",$D757=""),"",IF($E757&lt;$D757,"EVET","HAYIR"))</f>
        <v/>
      </c>
      <c r="H757" s="0" t="str">
        <f aca="false">IF(OR($A757="",$E757="",$F757=""),"",IF($E757&lt;=$F757,"KAZANDI","KAYBETTİ"))</f>
        <v/>
      </c>
    </row>
    <row r="758" customFormat="false" ht="15" hidden="false" customHeight="false" outlineLevel="0" collapsed="false">
      <c r="A758" s="23"/>
      <c r="B758" s="25"/>
      <c r="C758" s="26"/>
      <c r="D758" s="26"/>
      <c r="E758" s="26"/>
      <c r="F758" s="26"/>
      <c r="G758" s="0" t="str">
        <f aca="false">IF(OR($A758="",$E758="",$D758=""),"",IF($E758&lt;$D758,"EVET","HAYIR"))</f>
        <v/>
      </c>
      <c r="H758" s="0" t="str">
        <f aca="false">IF(OR($A758="",$E758="",$F758=""),"",IF($E758&lt;=$F758,"KAZANDI","KAYBETTİ"))</f>
        <v/>
      </c>
    </row>
    <row r="759" customFormat="false" ht="15" hidden="false" customHeight="false" outlineLevel="0" collapsed="false">
      <c r="A759" s="23"/>
      <c r="B759" s="25"/>
      <c r="C759" s="26"/>
      <c r="D759" s="26"/>
      <c r="E759" s="26"/>
      <c r="F759" s="26"/>
      <c r="G759" s="0" t="str">
        <f aca="false">IF(OR($A759="",$E759="",$D759=""),"",IF($E759&lt;$D759,"EVET","HAYIR"))</f>
        <v/>
      </c>
      <c r="H759" s="0" t="str">
        <f aca="false">IF(OR($A759="",$E759="",$F759=""),"",IF($E759&lt;=$F759,"KAZANDI","KAYBETTİ"))</f>
        <v/>
      </c>
    </row>
    <row r="760" customFormat="false" ht="15" hidden="false" customHeight="false" outlineLevel="0" collapsed="false">
      <c r="A760" s="23"/>
      <c r="B760" s="25"/>
      <c r="C760" s="26"/>
      <c r="D760" s="26"/>
      <c r="E760" s="26"/>
      <c r="F760" s="26"/>
      <c r="G760" s="0" t="str">
        <f aca="false">IF(OR($A760="",$E760="",$D760=""),"",IF($E760&lt;$D760,"EVET","HAYIR"))</f>
        <v/>
      </c>
      <c r="H760" s="0" t="str">
        <f aca="false">IF(OR($A760="",$E760="",$F760=""),"",IF($E760&lt;=$F760,"KAZANDI","KAYBETTİ"))</f>
        <v/>
      </c>
    </row>
    <row r="761" customFormat="false" ht="15" hidden="false" customHeight="false" outlineLevel="0" collapsed="false">
      <c r="A761" s="23"/>
      <c r="B761" s="25"/>
      <c r="C761" s="26"/>
      <c r="D761" s="26"/>
      <c r="E761" s="26"/>
      <c r="F761" s="26"/>
      <c r="G761" s="0" t="str">
        <f aca="false">IF(OR($A761="",$E761="",$D761=""),"",IF($E761&lt;$D761,"EVET","HAYIR"))</f>
        <v/>
      </c>
      <c r="H761" s="0" t="str">
        <f aca="false">IF(OR($A761="",$E761="",$F761=""),"",IF($E761&lt;=$F761,"KAZANDI","KAYBETTİ"))</f>
        <v/>
      </c>
    </row>
    <row r="762" customFormat="false" ht="15" hidden="false" customHeight="false" outlineLevel="0" collapsed="false">
      <c r="A762" s="23"/>
      <c r="B762" s="25"/>
      <c r="C762" s="26"/>
      <c r="D762" s="26"/>
      <c r="E762" s="26"/>
      <c r="F762" s="26"/>
      <c r="G762" s="0" t="str">
        <f aca="false">IF(OR($A762="",$E762="",$D762=""),"",IF($E762&lt;$D762,"EVET","HAYIR"))</f>
        <v/>
      </c>
      <c r="H762" s="0" t="str">
        <f aca="false">IF(OR($A762="",$E762="",$F762=""),"",IF($E762&lt;=$F762,"KAZANDI","KAYBETTİ"))</f>
        <v/>
      </c>
    </row>
    <row r="763" customFormat="false" ht="15" hidden="false" customHeight="false" outlineLevel="0" collapsed="false">
      <c r="A763" s="23"/>
      <c r="B763" s="25"/>
      <c r="C763" s="26"/>
      <c r="D763" s="26"/>
      <c r="E763" s="26"/>
      <c r="F763" s="26"/>
      <c r="G763" s="0" t="str">
        <f aca="false">IF(OR($A763="",$E763="",$D763=""),"",IF($E763&lt;$D763,"EVET","HAYIR"))</f>
        <v/>
      </c>
      <c r="H763" s="0" t="str">
        <f aca="false">IF(OR($A763="",$E763="",$F763=""),"",IF($E763&lt;=$F763,"KAZANDI","KAYBETTİ"))</f>
        <v/>
      </c>
    </row>
    <row r="764" customFormat="false" ht="15" hidden="false" customHeight="false" outlineLevel="0" collapsed="false">
      <c r="A764" s="23"/>
      <c r="B764" s="25"/>
      <c r="C764" s="26"/>
      <c r="D764" s="26"/>
      <c r="E764" s="26"/>
      <c r="F764" s="26"/>
      <c r="G764" s="0" t="str">
        <f aca="false">IF(OR($A764="",$E764="",$D764=""),"",IF($E764&lt;$D764,"EVET","HAYIR"))</f>
        <v/>
      </c>
      <c r="H764" s="0" t="str">
        <f aca="false">IF(OR($A764="",$E764="",$F764=""),"",IF($E764&lt;=$F764,"KAZANDI","KAYBETTİ"))</f>
        <v/>
      </c>
    </row>
    <row r="765" customFormat="false" ht="15" hidden="false" customHeight="false" outlineLevel="0" collapsed="false">
      <c r="A765" s="23"/>
      <c r="B765" s="25"/>
      <c r="C765" s="26"/>
      <c r="D765" s="26"/>
      <c r="E765" s="26"/>
      <c r="F765" s="26"/>
      <c r="G765" s="0" t="str">
        <f aca="false">IF(OR($A765="",$E765="",$D765=""),"",IF($E765&lt;$D765,"EVET","HAYIR"))</f>
        <v/>
      </c>
      <c r="H765" s="0" t="str">
        <f aca="false">IF(OR($A765="",$E765="",$F765=""),"",IF($E765&lt;=$F765,"KAZANDI","KAYBETTİ"))</f>
        <v/>
      </c>
    </row>
    <row r="766" customFormat="false" ht="15" hidden="false" customHeight="false" outlineLevel="0" collapsed="false">
      <c r="A766" s="23"/>
      <c r="B766" s="25"/>
      <c r="C766" s="26"/>
      <c r="D766" s="26"/>
      <c r="E766" s="26"/>
      <c r="F766" s="26"/>
      <c r="G766" s="0" t="str">
        <f aca="false">IF(OR($A766="",$E766="",$D766=""),"",IF($E766&lt;$D766,"EVET","HAYIR"))</f>
        <v/>
      </c>
      <c r="H766" s="0" t="str">
        <f aca="false">IF(OR($A766="",$E766="",$F766=""),"",IF($E766&lt;=$F766,"KAZANDI","KAYBETTİ"))</f>
        <v/>
      </c>
    </row>
    <row r="767" customFormat="false" ht="15" hidden="false" customHeight="false" outlineLevel="0" collapsed="false">
      <c r="A767" s="23"/>
      <c r="B767" s="25"/>
      <c r="C767" s="26"/>
      <c r="D767" s="26"/>
      <c r="E767" s="26"/>
      <c r="F767" s="26"/>
      <c r="G767" s="0" t="str">
        <f aca="false">IF(OR($A767="",$E767="",$D767=""),"",IF($E767&lt;$D767,"EVET","HAYIR"))</f>
        <v/>
      </c>
      <c r="H767" s="0" t="str">
        <f aca="false">IF(OR($A767="",$E767="",$F767=""),"",IF($E767&lt;=$F767,"KAZANDI","KAYBETTİ"))</f>
        <v/>
      </c>
    </row>
    <row r="768" customFormat="false" ht="15" hidden="false" customHeight="false" outlineLevel="0" collapsed="false">
      <c r="A768" s="23"/>
      <c r="B768" s="25"/>
      <c r="C768" s="26"/>
      <c r="D768" s="26"/>
      <c r="E768" s="26"/>
      <c r="F768" s="26"/>
      <c r="G768" s="0" t="str">
        <f aca="false">IF(OR($A768="",$E768="",$D768=""),"",IF($E768&lt;$D768,"EVET","HAYIR"))</f>
        <v/>
      </c>
      <c r="H768" s="0" t="str">
        <f aca="false">IF(OR($A768="",$E768="",$F768=""),"",IF($E768&lt;=$F768,"KAZANDI","KAYBETTİ"))</f>
        <v/>
      </c>
    </row>
    <row r="769" customFormat="false" ht="15" hidden="false" customHeight="false" outlineLevel="0" collapsed="false">
      <c r="A769" s="23"/>
      <c r="B769" s="25"/>
      <c r="C769" s="26"/>
      <c r="D769" s="26"/>
      <c r="E769" s="26"/>
      <c r="F769" s="26"/>
      <c r="G769" s="0" t="str">
        <f aca="false">IF(OR($A769="",$E769="",$D769=""),"",IF($E769&lt;$D769,"EVET","HAYIR"))</f>
        <v/>
      </c>
      <c r="H769" s="0" t="str">
        <f aca="false">IF(OR($A769="",$E769="",$F769=""),"",IF($E769&lt;=$F769,"KAZANDI","KAYBETTİ"))</f>
        <v/>
      </c>
    </row>
    <row r="770" customFormat="false" ht="15" hidden="false" customHeight="false" outlineLevel="0" collapsed="false">
      <c r="A770" s="23"/>
      <c r="B770" s="25"/>
      <c r="C770" s="26"/>
      <c r="D770" s="26"/>
      <c r="E770" s="26"/>
      <c r="F770" s="26"/>
      <c r="G770" s="0" t="str">
        <f aca="false">IF(OR($A770="",$E770="",$D770=""),"",IF($E770&lt;$D770,"EVET","HAYIR"))</f>
        <v/>
      </c>
      <c r="H770" s="0" t="str">
        <f aca="false">IF(OR($A770="",$E770="",$F770=""),"",IF($E770&lt;=$F770,"KAZANDI","KAYBETTİ"))</f>
        <v/>
      </c>
    </row>
    <row r="771" customFormat="false" ht="15" hidden="false" customHeight="false" outlineLevel="0" collapsed="false">
      <c r="A771" s="23"/>
      <c r="B771" s="25"/>
      <c r="C771" s="26"/>
      <c r="D771" s="26"/>
      <c r="E771" s="26"/>
      <c r="F771" s="26"/>
      <c r="G771" s="0" t="str">
        <f aca="false">IF(OR($A771="",$E771="",$D771=""),"",IF($E771&lt;$D771,"EVET","HAYIR"))</f>
        <v/>
      </c>
      <c r="H771" s="0" t="str">
        <f aca="false">IF(OR($A771="",$E771="",$F771=""),"",IF($E771&lt;=$F771,"KAZANDI","KAYBETTİ"))</f>
        <v/>
      </c>
    </row>
    <row r="772" customFormat="false" ht="15" hidden="false" customHeight="false" outlineLevel="0" collapsed="false">
      <c r="A772" s="23"/>
      <c r="B772" s="25"/>
      <c r="C772" s="26"/>
      <c r="D772" s="26"/>
      <c r="E772" s="26"/>
      <c r="F772" s="26"/>
      <c r="G772" s="0" t="str">
        <f aca="false">IF(OR($A772="",$E772="",$D772=""),"",IF($E772&lt;$D772,"EVET","HAYIR"))</f>
        <v/>
      </c>
      <c r="H772" s="0" t="str">
        <f aca="false">IF(OR($A772="",$E772="",$F772=""),"",IF($E772&lt;=$F772,"KAZANDI","KAYBETTİ"))</f>
        <v/>
      </c>
    </row>
    <row r="773" customFormat="false" ht="15" hidden="false" customHeight="false" outlineLevel="0" collapsed="false">
      <c r="A773" s="23"/>
      <c r="B773" s="25"/>
      <c r="C773" s="26"/>
      <c r="D773" s="26"/>
      <c r="E773" s="26"/>
      <c r="F773" s="26"/>
      <c r="G773" s="0" t="str">
        <f aca="false">IF(OR($A773="",$E773="",$D773=""),"",IF($E773&lt;$D773,"EVET","HAYIR"))</f>
        <v/>
      </c>
      <c r="H773" s="0" t="str">
        <f aca="false">IF(OR($A773="",$E773="",$F773=""),"",IF($E773&lt;=$F773,"KAZANDI","KAYBETTİ"))</f>
        <v/>
      </c>
    </row>
    <row r="774" customFormat="false" ht="15" hidden="false" customHeight="false" outlineLevel="0" collapsed="false">
      <c r="A774" s="23"/>
      <c r="B774" s="25"/>
      <c r="C774" s="26"/>
      <c r="D774" s="26"/>
      <c r="E774" s="26"/>
      <c r="F774" s="26"/>
      <c r="G774" s="0" t="str">
        <f aca="false">IF(OR($A774="",$E774="",$D774=""),"",IF($E774&lt;$D774,"EVET","HAYIR"))</f>
        <v/>
      </c>
      <c r="H774" s="0" t="str">
        <f aca="false">IF(OR($A774="",$E774="",$F774=""),"",IF($E774&lt;=$F774,"KAZANDI","KAYBETTİ"))</f>
        <v/>
      </c>
    </row>
    <row r="775" customFormat="false" ht="15" hidden="false" customHeight="false" outlineLevel="0" collapsed="false">
      <c r="A775" s="23"/>
      <c r="B775" s="25"/>
      <c r="C775" s="26"/>
      <c r="D775" s="26"/>
      <c r="E775" s="26"/>
      <c r="F775" s="26"/>
      <c r="G775" s="0" t="str">
        <f aca="false">IF(OR($A775="",$E775="",$D775=""),"",IF($E775&lt;$D775,"EVET","HAYIR"))</f>
        <v/>
      </c>
      <c r="H775" s="0" t="str">
        <f aca="false">IF(OR($A775="",$E775="",$F775=""),"",IF($E775&lt;=$F775,"KAZANDI","KAYBETTİ"))</f>
        <v/>
      </c>
    </row>
    <row r="776" customFormat="false" ht="15" hidden="false" customHeight="false" outlineLevel="0" collapsed="false">
      <c r="A776" s="23"/>
      <c r="B776" s="25"/>
      <c r="C776" s="26"/>
      <c r="D776" s="26"/>
      <c r="E776" s="26"/>
      <c r="F776" s="26"/>
      <c r="G776" s="0" t="str">
        <f aca="false">IF(OR($A776="",$E776="",$D776=""),"",IF($E776&lt;$D776,"EVET","HAYIR"))</f>
        <v/>
      </c>
      <c r="H776" s="0" t="str">
        <f aca="false">IF(OR($A776="",$E776="",$F776=""),"",IF($E776&lt;=$F776,"KAZANDI","KAYBETTİ"))</f>
        <v/>
      </c>
    </row>
    <row r="777" customFormat="false" ht="15" hidden="false" customHeight="false" outlineLevel="0" collapsed="false">
      <c r="A777" s="23"/>
      <c r="B777" s="25"/>
      <c r="C777" s="26"/>
      <c r="D777" s="26"/>
      <c r="E777" s="26"/>
      <c r="F777" s="26"/>
      <c r="G777" s="0" t="str">
        <f aca="false">IF(OR($A777="",$E777="",$D777=""),"",IF($E777&lt;$D777,"EVET","HAYIR"))</f>
        <v/>
      </c>
      <c r="H777" s="0" t="str">
        <f aca="false">IF(OR($A777="",$E777="",$F777=""),"",IF($E777&lt;=$F777,"KAZANDI","KAYBETTİ"))</f>
        <v/>
      </c>
    </row>
    <row r="778" customFormat="false" ht="15" hidden="false" customHeight="false" outlineLevel="0" collapsed="false">
      <c r="A778" s="23"/>
      <c r="B778" s="25"/>
      <c r="C778" s="26"/>
      <c r="D778" s="26"/>
      <c r="E778" s="26"/>
      <c r="F778" s="26"/>
      <c r="G778" s="0" t="str">
        <f aca="false">IF(OR($A778="",$E778="",$D778=""),"",IF($E778&lt;$D778,"EVET","HAYIR"))</f>
        <v/>
      </c>
      <c r="H778" s="0" t="str">
        <f aca="false">IF(OR($A778="",$E778="",$F778=""),"",IF($E778&lt;=$F778,"KAZANDI","KAYBETTİ"))</f>
        <v/>
      </c>
    </row>
    <row r="779" customFormat="false" ht="15" hidden="false" customHeight="false" outlineLevel="0" collapsed="false">
      <c r="A779" s="23"/>
      <c r="B779" s="25"/>
      <c r="C779" s="26"/>
      <c r="D779" s="26"/>
      <c r="E779" s="26"/>
      <c r="F779" s="26"/>
      <c r="G779" s="0" t="str">
        <f aca="false">IF(OR($A779="",$E779="",$D779=""),"",IF($E779&lt;$D779,"EVET","HAYIR"))</f>
        <v/>
      </c>
      <c r="H779" s="0" t="str">
        <f aca="false">IF(OR($A779="",$E779="",$F779=""),"",IF($E779&lt;=$F779,"KAZANDI","KAYBETTİ"))</f>
        <v/>
      </c>
    </row>
    <row r="780" customFormat="false" ht="15" hidden="false" customHeight="false" outlineLevel="0" collapsed="false">
      <c r="A780" s="23"/>
      <c r="B780" s="25"/>
      <c r="C780" s="26"/>
      <c r="D780" s="26"/>
      <c r="E780" s="26"/>
      <c r="F780" s="26"/>
      <c r="G780" s="0" t="str">
        <f aca="false">IF(OR($A780="",$E780="",$D780=""),"",IF($E780&lt;$D780,"EVET","HAYIR"))</f>
        <v/>
      </c>
      <c r="H780" s="0" t="str">
        <f aca="false">IF(OR($A780="",$E780="",$F780=""),"",IF($E780&lt;=$F780,"KAZANDI","KAYBETTİ"))</f>
        <v/>
      </c>
    </row>
    <row r="781" customFormat="false" ht="15" hidden="false" customHeight="false" outlineLevel="0" collapsed="false">
      <c r="A781" s="23"/>
      <c r="B781" s="25"/>
      <c r="C781" s="26"/>
      <c r="D781" s="26"/>
      <c r="E781" s="26"/>
      <c r="F781" s="26"/>
      <c r="G781" s="0" t="str">
        <f aca="false">IF(OR($A781="",$E781="",$D781=""),"",IF($E781&lt;$D781,"EVET","HAYIR"))</f>
        <v/>
      </c>
      <c r="H781" s="0" t="str">
        <f aca="false">IF(OR($A781="",$E781="",$F781=""),"",IF($E781&lt;=$F781,"KAZANDI","KAYBETTİ"))</f>
        <v/>
      </c>
    </row>
    <row r="782" customFormat="false" ht="15" hidden="false" customHeight="false" outlineLevel="0" collapsed="false">
      <c r="A782" s="23"/>
      <c r="B782" s="25"/>
      <c r="C782" s="26"/>
      <c r="D782" s="26"/>
      <c r="E782" s="26"/>
      <c r="F782" s="26"/>
      <c r="G782" s="0" t="str">
        <f aca="false">IF(OR($A782="",$E782="",$D782=""),"",IF($E782&lt;$D782,"EVET","HAYIR"))</f>
        <v/>
      </c>
      <c r="H782" s="0" t="str">
        <f aca="false">IF(OR($A782="",$E782="",$F782=""),"",IF($E782&lt;=$F782,"KAZANDI","KAYBETTİ"))</f>
        <v/>
      </c>
    </row>
    <row r="783" customFormat="false" ht="15" hidden="false" customHeight="false" outlineLevel="0" collapsed="false">
      <c r="A783" s="23"/>
      <c r="B783" s="25"/>
      <c r="C783" s="26"/>
      <c r="D783" s="26"/>
      <c r="E783" s="26"/>
      <c r="F783" s="26"/>
      <c r="G783" s="0" t="str">
        <f aca="false">IF(OR($A783="",$E783="",$D783=""),"",IF($E783&lt;$D783,"EVET","HAYIR"))</f>
        <v/>
      </c>
      <c r="H783" s="0" t="str">
        <f aca="false">IF(OR($A783="",$E783="",$F783=""),"",IF($E783&lt;=$F783,"KAZANDI","KAYBETTİ"))</f>
        <v/>
      </c>
    </row>
    <row r="784" customFormat="false" ht="15" hidden="false" customHeight="false" outlineLevel="0" collapsed="false">
      <c r="A784" s="23"/>
      <c r="B784" s="25"/>
      <c r="C784" s="26"/>
      <c r="D784" s="26"/>
      <c r="E784" s="26"/>
      <c r="F784" s="26"/>
      <c r="G784" s="0" t="str">
        <f aca="false">IF(OR($A784="",$E784="",$D784=""),"",IF($E784&lt;$D784,"EVET","HAYIR"))</f>
        <v/>
      </c>
      <c r="H784" s="0" t="str">
        <f aca="false">IF(OR($A784="",$E784="",$F784=""),"",IF($E784&lt;=$F784,"KAZANDI","KAYBETTİ"))</f>
        <v/>
      </c>
    </row>
    <row r="785" customFormat="false" ht="15" hidden="false" customHeight="false" outlineLevel="0" collapsed="false">
      <c r="A785" s="23"/>
      <c r="B785" s="25"/>
      <c r="C785" s="26"/>
      <c r="D785" s="26"/>
      <c r="E785" s="26"/>
      <c r="F785" s="26"/>
      <c r="G785" s="0" t="str">
        <f aca="false">IF(OR($A785="",$E785="",$D785=""),"",IF($E785&lt;$D785,"EVET","HAYIR"))</f>
        <v/>
      </c>
      <c r="H785" s="0" t="str">
        <f aca="false">IF(OR($A785="",$E785="",$F785=""),"",IF($E785&lt;=$F785,"KAZANDI","KAYBETTİ"))</f>
        <v/>
      </c>
    </row>
    <row r="786" customFormat="false" ht="15" hidden="false" customHeight="false" outlineLevel="0" collapsed="false">
      <c r="A786" s="23"/>
      <c r="B786" s="25"/>
      <c r="C786" s="26"/>
      <c r="D786" s="26"/>
      <c r="E786" s="26"/>
      <c r="F786" s="26"/>
      <c r="G786" s="0" t="str">
        <f aca="false">IF(OR($A786="",$E786="",$D786=""),"",IF($E786&lt;$D786,"EVET","HAYIR"))</f>
        <v/>
      </c>
      <c r="H786" s="0" t="str">
        <f aca="false">IF(OR($A786="",$E786="",$F786=""),"",IF($E786&lt;=$F786,"KAZANDI","KAYBETTİ"))</f>
        <v/>
      </c>
    </row>
    <row r="787" customFormat="false" ht="15" hidden="false" customHeight="false" outlineLevel="0" collapsed="false">
      <c r="A787" s="23"/>
      <c r="B787" s="25"/>
      <c r="C787" s="26"/>
      <c r="D787" s="26"/>
      <c r="E787" s="26"/>
      <c r="F787" s="26"/>
      <c r="G787" s="0" t="str">
        <f aca="false">IF(OR($A787="",$E787="",$D787=""),"",IF($E787&lt;$D787,"EVET","HAYIR"))</f>
        <v/>
      </c>
      <c r="H787" s="0" t="str">
        <f aca="false">IF(OR($A787="",$E787="",$F787=""),"",IF($E787&lt;=$F787,"KAZANDI","KAYBETTİ"))</f>
        <v/>
      </c>
    </row>
    <row r="788" customFormat="false" ht="15" hidden="false" customHeight="false" outlineLevel="0" collapsed="false">
      <c r="A788" s="23"/>
      <c r="B788" s="25"/>
      <c r="C788" s="26"/>
      <c r="D788" s="26"/>
      <c r="E788" s="26"/>
      <c r="F788" s="26"/>
      <c r="G788" s="0" t="str">
        <f aca="false">IF(OR($A788="",$E788="",$D788=""),"",IF($E788&lt;$D788,"EVET","HAYIR"))</f>
        <v/>
      </c>
      <c r="H788" s="0" t="str">
        <f aca="false">IF(OR($A788="",$E788="",$F788=""),"",IF($E788&lt;=$F788,"KAZANDI","KAYBETTİ"))</f>
        <v/>
      </c>
    </row>
    <row r="789" customFormat="false" ht="15" hidden="false" customHeight="false" outlineLevel="0" collapsed="false">
      <c r="A789" s="23"/>
      <c r="B789" s="25"/>
      <c r="C789" s="26"/>
      <c r="D789" s="26"/>
      <c r="E789" s="26"/>
      <c r="F789" s="26"/>
      <c r="G789" s="0" t="str">
        <f aca="false">IF(OR($A789="",$E789="",$D789=""),"",IF($E789&lt;$D789,"EVET","HAYIR"))</f>
        <v/>
      </c>
      <c r="H789" s="0" t="str">
        <f aca="false">IF(OR($A789="",$E789="",$F789=""),"",IF($E789&lt;=$F789,"KAZANDI","KAYBETTİ"))</f>
        <v/>
      </c>
    </row>
    <row r="790" customFormat="false" ht="15" hidden="false" customHeight="false" outlineLevel="0" collapsed="false">
      <c r="A790" s="23"/>
      <c r="B790" s="25"/>
      <c r="C790" s="26"/>
      <c r="D790" s="26"/>
      <c r="E790" s="26"/>
      <c r="F790" s="26"/>
      <c r="G790" s="0" t="str">
        <f aca="false">IF(OR($A790="",$E790="",$D790=""),"",IF($E790&lt;$D790,"EVET","HAYIR"))</f>
        <v/>
      </c>
      <c r="H790" s="0" t="str">
        <f aca="false">IF(OR($A790="",$E790="",$F790=""),"",IF($E790&lt;=$F790,"KAZANDI","KAYBETTİ"))</f>
        <v/>
      </c>
    </row>
    <row r="791" customFormat="false" ht="15" hidden="false" customHeight="false" outlineLevel="0" collapsed="false">
      <c r="A791" s="23"/>
      <c r="B791" s="25"/>
      <c r="C791" s="26"/>
      <c r="D791" s="26"/>
      <c r="E791" s="26"/>
      <c r="F791" s="26"/>
      <c r="G791" s="0" t="str">
        <f aca="false">IF(OR($A791="",$E791="",$D791=""),"",IF($E791&lt;$D791,"EVET","HAYIR"))</f>
        <v/>
      </c>
      <c r="H791" s="0" t="str">
        <f aca="false">IF(OR($A791="",$E791="",$F791=""),"",IF($E791&lt;=$F791,"KAZANDI","KAYBETTİ"))</f>
        <v/>
      </c>
    </row>
    <row r="792" customFormat="false" ht="15" hidden="false" customHeight="false" outlineLevel="0" collapsed="false">
      <c r="A792" s="23"/>
      <c r="B792" s="25"/>
      <c r="C792" s="26"/>
      <c r="D792" s="26"/>
      <c r="E792" s="26"/>
      <c r="F792" s="26"/>
      <c r="G792" s="0" t="str">
        <f aca="false">IF(OR($A792="",$E792="",$D792=""),"",IF($E792&lt;$D792,"EVET","HAYIR"))</f>
        <v/>
      </c>
      <c r="H792" s="0" t="str">
        <f aca="false">IF(OR($A792="",$E792="",$F792=""),"",IF($E792&lt;=$F792,"KAZANDI","KAYBETTİ"))</f>
        <v/>
      </c>
    </row>
    <row r="793" customFormat="false" ht="15" hidden="false" customHeight="false" outlineLevel="0" collapsed="false">
      <c r="A793" s="23"/>
      <c r="B793" s="25"/>
      <c r="C793" s="26"/>
      <c r="D793" s="26"/>
      <c r="E793" s="26"/>
      <c r="F793" s="26"/>
      <c r="G793" s="0" t="str">
        <f aca="false">IF(OR($A793="",$E793="",$D793=""),"",IF($E793&lt;$D793,"EVET","HAYIR"))</f>
        <v/>
      </c>
      <c r="H793" s="0" t="str">
        <f aca="false">IF(OR($A793="",$E793="",$F793=""),"",IF($E793&lt;=$F793,"KAZANDI","KAYBETTİ"))</f>
        <v/>
      </c>
    </row>
    <row r="794" customFormat="false" ht="15" hidden="false" customHeight="false" outlineLevel="0" collapsed="false">
      <c r="A794" s="23"/>
      <c r="B794" s="25"/>
      <c r="C794" s="26"/>
      <c r="D794" s="26"/>
      <c r="E794" s="26"/>
      <c r="F794" s="26"/>
      <c r="G794" s="0" t="str">
        <f aca="false">IF(OR($A794="",$E794="",$D794=""),"",IF($E794&lt;$D794,"EVET","HAYIR"))</f>
        <v/>
      </c>
      <c r="H794" s="0" t="str">
        <f aca="false">IF(OR($A794="",$E794="",$F794=""),"",IF($E794&lt;=$F794,"KAZANDI","KAYBETTİ"))</f>
        <v/>
      </c>
    </row>
    <row r="795" customFormat="false" ht="15" hidden="false" customHeight="false" outlineLevel="0" collapsed="false">
      <c r="A795" s="23"/>
      <c r="B795" s="25"/>
      <c r="C795" s="26"/>
      <c r="D795" s="26"/>
      <c r="E795" s="26"/>
      <c r="F795" s="26"/>
      <c r="G795" s="0" t="str">
        <f aca="false">IF(OR($A795="",$E795="",$D795=""),"",IF($E795&lt;$D795,"EVET","HAYIR"))</f>
        <v/>
      </c>
      <c r="H795" s="0" t="str">
        <f aca="false">IF(OR($A795="",$E795="",$F795=""),"",IF($E795&lt;=$F795,"KAZANDI","KAYBETTİ"))</f>
        <v/>
      </c>
    </row>
    <row r="796" customFormat="false" ht="15" hidden="false" customHeight="false" outlineLevel="0" collapsed="false">
      <c r="A796" s="23"/>
      <c r="B796" s="25"/>
      <c r="C796" s="26"/>
      <c r="D796" s="26"/>
      <c r="E796" s="26"/>
      <c r="F796" s="26"/>
      <c r="G796" s="0" t="str">
        <f aca="false">IF(OR($A796="",$E796="",$D796=""),"",IF($E796&lt;$D796,"EVET","HAYIR"))</f>
        <v/>
      </c>
      <c r="H796" s="0" t="str">
        <f aca="false">IF(OR($A796="",$E796="",$F796=""),"",IF($E796&lt;=$F796,"KAZANDI","KAYBETTİ"))</f>
        <v/>
      </c>
    </row>
    <row r="797" customFormat="false" ht="15" hidden="false" customHeight="false" outlineLevel="0" collapsed="false">
      <c r="A797" s="23"/>
      <c r="B797" s="25"/>
      <c r="C797" s="26"/>
      <c r="D797" s="26"/>
      <c r="E797" s="26"/>
      <c r="F797" s="26"/>
      <c r="G797" s="0" t="str">
        <f aca="false">IF(OR($A797="",$E797="",$D797=""),"",IF($E797&lt;$D797,"EVET","HAYIR"))</f>
        <v/>
      </c>
      <c r="H797" s="0" t="str">
        <f aca="false">IF(OR($A797="",$E797="",$F797=""),"",IF($E797&lt;=$F797,"KAZANDI","KAYBETTİ"))</f>
        <v/>
      </c>
    </row>
    <row r="798" customFormat="false" ht="15" hidden="false" customHeight="false" outlineLevel="0" collapsed="false">
      <c r="A798" s="23"/>
      <c r="B798" s="25"/>
      <c r="C798" s="26"/>
      <c r="D798" s="26"/>
      <c r="E798" s="26"/>
      <c r="F798" s="26"/>
      <c r="G798" s="0" t="str">
        <f aca="false">IF(OR($A798="",$E798="",$D798=""),"",IF($E798&lt;$D798,"EVET","HAYIR"))</f>
        <v/>
      </c>
      <c r="H798" s="0" t="str">
        <f aca="false">IF(OR($A798="",$E798="",$F798=""),"",IF($E798&lt;=$F798,"KAZANDI","KAYBETTİ"))</f>
        <v/>
      </c>
    </row>
    <row r="799" customFormat="false" ht="15" hidden="false" customHeight="false" outlineLevel="0" collapsed="false">
      <c r="A799" s="23"/>
      <c r="B799" s="25"/>
      <c r="C799" s="26"/>
      <c r="D799" s="26"/>
      <c r="E799" s="26"/>
      <c r="F799" s="26"/>
      <c r="G799" s="0" t="str">
        <f aca="false">IF(OR($A799="",$E799="",$D799=""),"",IF($E799&lt;$D799,"EVET","HAYIR"))</f>
        <v/>
      </c>
      <c r="H799" s="0" t="str">
        <f aca="false">IF(OR($A799="",$E799="",$F799=""),"",IF($E799&lt;=$F799,"KAZANDI","KAYBETTİ"))</f>
        <v/>
      </c>
    </row>
    <row r="800" customFormat="false" ht="15" hidden="false" customHeight="false" outlineLevel="0" collapsed="false">
      <c r="A800" s="23"/>
      <c r="B800" s="25"/>
      <c r="C800" s="26"/>
      <c r="D800" s="26"/>
      <c r="E800" s="26"/>
      <c r="F800" s="26"/>
      <c r="G800" s="0" t="str">
        <f aca="false">IF(OR($A800="",$E800="",$D800=""),"",IF($E800&lt;$D800,"EVET","HAYIR"))</f>
        <v/>
      </c>
      <c r="H800" s="0" t="str">
        <f aca="false">IF(OR($A800="",$E800="",$F800=""),"",IF($E800&lt;=$F800,"KAZANDI","KAYBETTİ"))</f>
        <v/>
      </c>
    </row>
    <row r="801" customFormat="false" ht="15" hidden="false" customHeight="false" outlineLevel="0" collapsed="false">
      <c r="A801" s="23"/>
      <c r="B801" s="25"/>
      <c r="C801" s="26"/>
      <c r="D801" s="26"/>
      <c r="E801" s="26"/>
      <c r="F801" s="26"/>
      <c r="G801" s="0" t="str">
        <f aca="false">IF(OR($A801="",$E801="",$D801=""),"",IF($E801&lt;$D801,"EVET","HAYIR"))</f>
        <v/>
      </c>
      <c r="H801" s="0" t="str">
        <f aca="false">IF(OR($A801="",$E801="",$F801=""),"",IF($E801&lt;=$F801,"KAZANDI","KAYBETTİ"))</f>
        <v/>
      </c>
    </row>
    <row r="802" customFormat="false" ht="15" hidden="false" customHeight="false" outlineLevel="0" collapsed="false">
      <c r="A802" s="23"/>
      <c r="B802" s="25"/>
      <c r="C802" s="26"/>
      <c r="D802" s="26"/>
      <c r="E802" s="26"/>
      <c r="F802" s="26"/>
      <c r="G802" s="0" t="str">
        <f aca="false">IF(OR($A802="",$E802="",$D802=""),"",IF($E802&lt;$D802,"EVET","HAYIR"))</f>
        <v/>
      </c>
      <c r="H802" s="0" t="str">
        <f aca="false">IF(OR($A802="",$E802="",$F802=""),"",IF($E802&lt;=$F802,"KAZANDI","KAYBETTİ"))</f>
        <v/>
      </c>
    </row>
    <row r="803" customFormat="false" ht="15" hidden="false" customHeight="false" outlineLevel="0" collapsed="false">
      <c r="A803" s="23"/>
      <c r="B803" s="25"/>
      <c r="C803" s="26"/>
      <c r="D803" s="26"/>
      <c r="E803" s="26"/>
      <c r="F803" s="26"/>
      <c r="G803" s="0" t="str">
        <f aca="false">IF(OR($A803="",$E803="",$D803=""),"",IF($E803&lt;$D803,"EVET","HAYIR"))</f>
        <v/>
      </c>
      <c r="H803" s="0" t="str">
        <f aca="false">IF(OR($A803="",$E803="",$F803=""),"",IF($E803&lt;=$F803,"KAZANDI","KAYBETTİ"))</f>
        <v/>
      </c>
    </row>
    <row r="804" customFormat="false" ht="15" hidden="false" customHeight="false" outlineLevel="0" collapsed="false">
      <c r="A804" s="23"/>
      <c r="B804" s="25"/>
      <c r="C804" s="26"/>
      <c r="D804" s="26"/>
      <c r="E804" s="26"/>
      <c r="F804" s="26"/>
      <c r="G804" s="0" t="str">
        <f aca="false">IF(OR($A804="",$E804="",$D804=""),"",IF($E804&lt;$D804,"EVET","HAYIR"))</f>
        <v/>
      </c>
      <c r="H804" s="0" t="str">
        <f aca="false">IF(OR($A804="",$E804="",$F804=""),"",IF($E804&lt;=$F804,"KAZANDI","KAYBETTİ"))</f>
        <v/>
      </c>
    </row>
    <row r="805" customFormat="false" ht="15" hidden="false" customHeight="false" outlineLevel="0" collapsed="false">
      <c r="A805" s="23"/>
      <c r="B805" s="25"/>
      <c r="C805" s="26"/>
      <c r="D805" s="26"/>
      <c r="E805" s="26"/>
      <c r="F805" s="26"/>
      <c r="G805" s="0" t="str">
        <f aca="false">IF(OR($A805="",$E805="",$D805=""),"",IF($E805&lt;$D805,"EVET","HAYIR"))</f>
        <v/>
      </c>
      <c r="H805" s="0" t="str">
        <f aca="false">IF(OR($A805="",$E805="",$F805=""),"",IF($E805&lt;=$F805,"KAZANDI","KAYBETTİ"))</f>
        <v/>
      </c>
    </row>
    <row r="806" customFormat="false" ht="15" hidden="false" customHeight="false" outlineLevel="0" collapsed="false">
      <c r="A806" s="23"/>
      <c r="B806" s="25"/>
      <c r="C806" s="26"/>
      <c r="D806" s="26"/>
      <c r="E806" s="26"/>
      <c r="F806" s="26"/>
      <c r="G806" s="0" t="str">
        <f aca="false">IF(OR($A806="",$E806="",$D806=""),"",IF($E806&lt;$D806,"EVET","HAYIR"))</f>
        <v/>
      </c>
      <c r="H806" s="0" t="str">
        <f aca="false">IF(OR($A806="",$E806="",$F806=""),"",IF($E806&lt;=$F806,"KAZANDI","KAYBETTİ"))</f>
        <v/>
      </c>
    </row>
    <row r="807" customFormat="false" ht="15" hidden="false" customHeight="false" outlineLevel="0" collapsed="false">
      <c r="A807" s="23"/>
      <c r="B807" s="25"/>
      <c r="C807" s="26"/>
      <c r="D807" s="26"/>
      <c r="E807" s="26"/>
      <c r="F807" s="26"/>
      <c r="G807" s="0" t="str">
        <f aca="false">IF(OR($A807="",$E807="",$D807=""),"",IF($E807&lt;$D807,"EVET","HAYIR"))</f>
        <v/>
      </c>
      <c r="H807" s="0" t="str">
        <f aca="false">IF(OR($A807="",$E807="",$F807=""),"",IF($E807&lt;=$F807,"KAZANDI","KAYBETTİ"))</f>
        <v/>
      </c>
    </row>
    <row r="808" customFormat="false" ht="15" hidden="false" customHeight="false" outlineLevel="0" collapsed="false">
      <c r="A808" s="23"/>
      <c r="B808" s="25"/>
      <c r="C808" s="26"/>
      <c r="D808" s="26"/>
      <c r="E808" s="26"/>
      <c r="F808" s="26"/>
      <c r="G808" s="0" t="str">
        <f aca="false">IF(OR($A808="",$E808="",$D808=""),"",IF($E808&lt;$D808,"EVET","HAYIR"))</f>
        <v/>
      </c>
      <c r="H808" s="0" t="str">
        <f aca="false">IF(OR($A808="",$E808="",$F808=""),"",IF($E808&lt;=$F808,"KAZANDI","KAYBETTİ"))</f>
        <v/>
      </c>
    </row>
    <row r="809" customFormat="false" ht="15" hidden="false" customHeight="false" outlineLevel="0" collapsed="false">
      <c r="A809" s="23"/>
      <c r="B809" s="25"/>
      <c r="C809" s="26"/>
      <c r="D809" s="26"/>
      <c r="E809" s="26"/>
      <c r="F809" s="26"/>
      <c r="G809" s="0" t="str">
        <f aca="false">IF(OR($A809="",$E809="",$D809=""),"",IF($E809&lt;$D809,"EVET","HAYIR"))</f>
        <v/>
      </c>
      <c r="H809" s="0" t="str">
        <f aca="false">IF(OR($A809="",$E809="",$F809=""),"",IF($E809&lt;=$F809,"KAZANDI","KAYBETTİ"))</f>
        <v/>
      </c>
    </row>
    <row r="810" customFormat="false" ht="15" hidden="false" customHeight="false" outlineLevel="0" collapsed="false">
      <c r="A810" s="23"/>
      <c r="B810" s="25"/>
      <c r="C810" s="26"/>
      <c r="D810" s="26"/>
      <c r="E810" s="26"/>
      <c r="F810" s="26"/>
      <c r="G810" s="0" t="str">
        <f aca="false">IF(OR($A810="",$E810="",$D810=""),"",IF($E810&lt;$D810,"EVET","HAYIR"))</f>
        <v/>
      </c>
      <c r="H810" s="0" t="str">
        <f aca="false">IF(OR($A810="",$E810="",$F810=""),"",IF($E810&lt;=$F810,"KAZANDI","KAYBETTİ"))</f>
        <v/>
      </c>
    </row>
    <row r="811" customFormat="false" ht="15" hidden="false" customHeight="false" outlineLevel="0" collapsed="false">
      <c r="A811" s="23"/>
      <c r="B811" s="25"/>
      <c r="C811" s="26"/>
      <c r="D811" s="26"/>
      <c r="E811" s="26"/>
      <c r="F811" s="26"/>
      <c r="G811" s="0" t="str">
        <f aca="false">IF(OR($A811="",$E811="",$D811=""),"",IF($E811&lt;$D811,"EVET","HAYIR"))</f>
        <v/>
      </c>
      <c r="H811" s="0" t="str">
        <f aca="false">IF(OR($A811="",$E811="",$F811=""),"",IF($E811&lt;=$F811,"KAZANDI","KAYBETTİ"))</f>
        <v/>
      </c>
    </row>
    <row r="812" customFormat="false" ht="15" hidden="false" customHeight="false" outlineLevel="0" collapsed="false">
      <c r="A812" s="23"/>
      <c r="B812" s="25"/>
      <c r="C812" s="26"/>
      <c r="D812" s="26"/>
      <c r="E812" s="26"/>
      <c r="F812" s="26"/>
      <c r="G812" s="0" t="str">
        <f aca="false">IF(OR($A812="",$E812="",$D812=""),"",IF($E812&lt;$D812,"EVET","HAYIR"))</f>
        <v/>
      </c>
      <c r="H812" s="0" t="str">
        <f aca="false">IF(OR($A812="",$E812="",$F812=""),"",IF($E812&lt;=$F812,"KAZANDI","KAYBETTİ"))</f>
        <v/>
      </c>
    </row>
    <row r="813" customFormat="false" ht="15" hidden="false" customHeight="false" outlineLevel="0" collapsed="false">
      <c r="A813" s="23"/>
      <c r="B813" s="25"/>
      <c r="C813" s="26"/>
      <c r="D813" s="26"/>
      <c r="E813" s="26"/>
      <c r="F813" s="26"/>
      <c r="G813" s="0" t="str">
        <f aca="false">IF(OR($A813="",$E813="",$D813=""),"",IF($E813&lt;$D813,"EVET","HAYIR"))</f>
        <v/>
      </c>
      <c r="H813" s="0" t="str">
        <f aca="false">IF(OR($A813="",$E813="",$F813=""),"",IF($E813&lt;=$F813,"KAZANDI","KAYBETTİ"))</f>
        <v/>
      </c>
    </row>
    <row r="814" customFormat="false" ht="15" hidden="false" customHeight="false" outlineLevel="0" collapsed="false">
      <c r="A814" s="23"/>
      <c r="B814" s="25"/>
      <c r="C814" s="26"/>
      <c r="D814" s="26"/>
      <c r="E814" s="26"/>
      <c r="F814" s="26"/>
      <c r="G814" s="0" t="str">
        <f aca="false">IF(OR($A814="",$E814="",$D814=""),"",IF($E814&lt;$D814,"EVET","HAYIR"))</f>
        <v/>
      </c>
      <c r="H814" s="0" t="str">
        <f aca="false">IF(OR($A814="",$E814="",$F814=""),"",IF($E814&lt;=$F814,"KAZANDI","KAYBETTİ"))</f>
        <v/>
      </c>
    </row>
    <row r="815" customFormat="false" ht="15" hidden="false" customHeight="false" outlineLevel="0" collapsed="false">
      <c r="A815" s="23"/>
      <c r="B815" s="25"/>
      <c r="C815" s="26"/>
      <c r="D815" s="26"/>
      <c r="E815" s="26"/>
      <c r="F815" s="26"/>
      <c r="G815" s="0" t="str">
        <f aca="false">IF(OR($A815="",$E815="",$D815=""),"",IF($E815&lt;$D815,"EVET","HAYIR"))</f>
        <v/>
      </c>
      <c r="H815" s="0" t="str">
        <f aca="false">IF(OR($A815="",$E815="",$F815=""),"",IF($E815&lt;=$F815,"KAZANDI","KAYBETTİ"))</f>
        <v/>
      </c>
    </row>
    <row r="816" customFormat="false" ht="15" hidden="false" customHeight="false" outlineLevel="0" collapsed="false">
      <c r="A816" s="23"/>
      <c r="B816" s="25"/>
      <c r="C816" s="26"/>
      <c r="D816" s="26"/>
      <c r="E816" s="26"/>
      <c r="F816" s="26"/>
      <c r="G816" s="0" t="str">
        <f aca="false">IF(OR($A816="",$E816="",$D816=""),"",IF($E816&lt;$D816,"EVET","HAYIR"))</f>
        <v/>
      </c>
      <c r="H816" s="0" t="str">
        <f aca="false">IF(OR($A816="",$E816="",$F816=""),"",IF($E816&lt;=$F816,"KAZANDI","KAYBETTİ"))</f>
        <v/>
      </c>
    </row>
    <row r="817" customFormat="false" ht="15" hidden="false" customHeight="false" outlineLevel="0" collapsed="false">
      <c r="A817" s="23"/>
      <c r="B817" s="25"/>
      <c r="C817" s="26"/>
      <c r="D817" s="26"/>
      <c r="E817" s="26"/>
      <c r="F817" s="26"/>
      <c r="G817" s="0" t="str">
        <f aca="false">IF(OR($A817="",$E817="",$D817=""),"",IF($E817&lt;$D817,"EVET","HAYIR"))</f>
        <v/>
      </c>
      <c r="H817" s="0" t="str">
        <f aca="false">IF(OR($A817="",$E817="",$F817=""),"",IF($E817&lt;=$F817,"KAZANDI","KAYBETTİ"))</f>
        <v/>
      </c>
    </row>
    <row r="818" customFormat="false" ht="15" hidden="false" customHeight="false" outlineLevel="0" collapsed="false">
      <c r="A818" s="23"/>
      <c r="B818" s="25"/>
      <c r="C818" s="26"/>
      <c r="D818" s="26"/>
      <c r="E818" s="26"/>
      <c r="F818" s="26"/>
      <c r="G818" s="0" t="str">
        <f aca="false">IF(OR($A818="",$E818="",$D818=""),"",IF($E818&lt;$D818,"EVET","HAYIR"))</f>
        <v/>
      </c>
      <c r="H818" s="0" t="str">
        <f aca="false">IF(OR($A818="",$E818="",$F818=""),"",IF($E818&lt;=$F818,"KAZANDI","KAYBETTİ"))</f>
        <v/>
      </c>
    </row>
    <row r="819" customFormat="false" ht="15" hidden="false" customHeight="false" outlineLevel="0" collapsed="false">
      <c r="A819" s="23"/>
      <c r="B819" s="25"/>
      <c r="C819" s="26"/>
      <c r="D819" s="26"/>
      <c r="E819" s="26"/>
      <c r="F819" s="26"/>
      <c r="G819" s="0" t="str">
        <f aca="false">IF(OR($A819="",$E819="",$D819=""),"",IF($E819&lt;$D819,"EVET","HAYIR"))</f>
        <v/>
      </c>
      <c r="H819" s="0" t="str">
        <f aca="false">IF(OR($A819="",$E819="",$F819=""),"",IF($E819&lt;=$F819,"KAZANDI","KAYBETTİ"))</f>
        <v/>
      </c>
    </row>
    <row r="820" customFormat="false" ht="15" hidden="false" customHeight="false" outlineLevel="0" collapsed="false">
      <c r="A820" s="23"/>
      <c r="B820" s="25"/>
      <c r="C820" s="26"/>
      <c r="D820" s="26"/>
      <c r="E820" s="26"/>
      <c r="F820" s="26"/>
      <c r="G820" s="0" t="str">
        <f aca="false">IF(OR($A820="",$E820="",$D820=""),"",IF($E820&lt;$D820,"EVET","HAYIR"))</f>
        <v/>
      </c>
      <c r="H820" s="0" t="str">
        <f aca="false">IF(OR($A820="",$E820="",$F820=""),"",IF($E820&lt;=$F820,"KAZANDI","KAYBETTİ"))</f>
        <v/>
      </c>
    </row>
    <row r="821" customFormat="false" ht="15" hidden="false" customHeight="false" outlineLevel="0" collapsed="false">
      <c r="A821" s="23"/>
      <c r="B821" s="25"/>
      <c r="C821" s="26"/>
      <c r="D821" s="26"/>
      <c r="E821" s="26"/>
      <c r="F821" s="26"/>
      <c r="G821" s="0" t="str">
        <f aca="false">IF(OR($A821="",$E821="",$D821=""),"",IF($E821&lt;$D821,"EVET","HAYIR"))</f>
        <v/>
      </c>
      <c r="H821" s="0" t="str">
        <f aca="false">IF(OR($A821="",$E821="",$F821=""),"",IF($E821&lt;=$F821,"KAZANDI","KAYBETTİ"))</f>
        <v/>
      </c>
    </row>
    <row r="822" customFormat="false" ht="15" hidden="false" customHeight="false" outlineLevel="0" collapsed="false">
      <c r="A822" s="23"/>
      <c r="B822" s="25"/>
      <c r="C822" s="26"/>
      <c r="D822" s="26"/>
      <c r="E822" s="26"/>
      <c r="F822" s="26"/>
      <c r="G822" s="0" t="str">
        <f aca="false">IF(OR($A822="",$E822="",$D822=""),"",IF($E822&lt;$D822,"EVET","HAYIR"))</f>
        <v/>
      </c>
      <c r="H822" s="0" t="str">
        <f aca="false">IF(OR($A822="",$E822="",$F822=""),"",IF($E822&lt;=$F822,"KAZANDI","KAYBETTİ"))</f>
        <v/>
      </c>
    </row>
    <row r="823" customFormat="false" ht="15" hidden="false" customHeight="false" outlineLevel="0" collapsed="false">
      <c r="A823" s="23"/>
      <c r="B823" s="25"/>
      <c r="C823" s="26"/>
      <c r="D823" s="26"/>
      <c r="E823" s="26"/>
      <c r="F823" s="26"/>
      <c r="G823" s="0" t="str">
        <f aca="false">IF(OR($A823="",$E823="",$D823=""),"",IF($E823&lt;$D823,"EVET","HAYIR"))</f>
        <v/>
      </c>
      <c r="H823" s="0" t="str">
        <f aca="false">IF(OR($A823="",$E823="",$F823=""),"",IF($E823&lt;=$F823,"KAZANDI","KAYBETTİ"))</f>
        <v/>
      </c>
    </row>
    <row r="824" customFormat="false" ht="15" hidden="false" customHeight="false" outlineLevel="0" collapsed="false">
      <c r="A824" s="23"/>
      <c r="B824" s="25"/>
      <c r="C824" s="26"/>
      <c r="D824" s="26"/>
      <c r="E824" s="26"/>
      <c r="F824" s="26"/>
      <c r="G824" s="0" t="str">
        <f aca="false">IF(OR($A824="",$E824="",$D824=""),"",IF($E824&lt;$D824,"EVET","HAYIR"))</f>
        <v/>
      </c>
      <c r="H824" s="0" t="str">
        <f aca="false">IF(OR($A824="",$E824="",$F824=""),"",IF($E824&lt;=$F824,"KAZANDI","KAYBETTİ"))</f>
        <v/>
      </c>
    </row>
    <row r="825" customFormat="false" ht="15" hidden="false" customHeight="false" outlineLevel="0" collapsed="false">
      <c r="A825" s="23"/>
      <c r="B825" s="25"/>
      <c r="C825" s="26"/>
      <c r="D825" s="26"/>
      <c r="E825" s="26"/>
      <c r="F825" s="26"/>
      <c r="G825" s="0" t="str">
        <f aca="false">IF(OR($A825="",$E825="",$D825=""),"",IF($E825&lt;$D825,"EVET","HAYIR"))</f>
        <v/>
      </c>
      <c r="H825" s="0" t="str">
        <f aca="false">IF(OR($A825="",$E825="",$F825=""),"",IF($E825&lt;=$F825,"KAZANDI","KAYBETTİ"))</f>
        <v/>
      </c>
    </row>
    <row r="826" customFormat="false" ht="15" hidden="false" customHeight="false" outlineLevel="0" collapsed="false">
      <c r="A826" s="23"/>
      <c r="B826" s="25"/>
      <c r="C826" s="26"/>
      <c r="D826" s="26"/>
      <c r="E826" s="26"/>
      <c r="F826" s="26"/>
      <c r="G826" s="0" t="str">
        <f aca="false">IF(OR($A826="",$E826="",$D826=""),"",IF($E826&lt;$D826,"EVET","HAYIR"))</f>
        <v/>
      </c>
      <c r="H826" s="0" t="str">
        <f aca="false">IF(OR($A826="",$E826="",$F826=""),"",IF($E826&lt;=$F826,"KAZANDI","KAYBETTİ"))</f>
        <v/>
      </c>
    </row>
    <row r="827" customFormat="false" ht="15" hidden="false" customHeight="false" outlineLevel="0" collapsed="false">
      <c r="A827" s="23"/>
      <c r="B827" s="25"/>
      <c r="C827" s="26"/>
      <c r="D827" s="26"/>
      <c r="E827" s="26"/>
      <c r="F827" s="26"/>
      <c r="G827" s="0" t="str">
        <f aca="false">IF(OR($A827="",$E827="",$D827=""),"",IF($E827&lt;$D827,"EVET","HAYIR"))</f>
        <v/>
      </c>
      <c r="H827" s="0" t="str">
        <f aca="false">IF(OR($A827="",$E827="",$F827=""),"",IF($E827&lt;=$F827,"KAZANDI","KAYBETTİ"))</f>
        <v/>
      </c>
    </row>
    <row r="828" customFormat="false" ht="15" hidden="false" customHeight="false" outlineLevel="0" collapsed="false">
      <c r="A828" s="23"/>
      <c r="B828" s="25"/>
      <c r="C828" s="26"/>
      <c r="D828" s="26"/>
      <c r="E828" s="26"/>
      <c r="F828" s="26"/>
      <c r="G828" s="0" t="str">
        <f aca="false">IF(OR($A828="",$E828="",$D828=""),"",IF($E828&lt;$D828,"EVET","HAYIR"))</f>
        <v/>
      </c>
      <c r="H828" s="0" t="str">
        <f aca="false">IF(OR($A828="",$E828="",$F828=""),"",IF($E828&lt;=$F828,"KAZANDI","KAYBETTİ"))</f>
        <v/>
      </c>
    </row>
    <row r="829" customFormat="false" ht="15" hidden="false" customHeight="false" outlineLevel="0" collapsed="false">
      <c r="A829" s="23"/>
      <c r="B829" s="25"/>
      <c r="C829" s="26"/>
      <c r="D829" s="26"/>
      <c r="E829" s="26"/>
      <c r="F829" s="26"/>
      <c r="G829" s="0" t="str">
        <f aca="false">IF(OR($A829="",$E829="",$D829=""),"",IF($E829&lt;$D829,"EVET","HAYIR"))</f>
        <v/>
      </c>
      <c r="H829" s="0" t="str">
        <f aca="false">IF(OR($A829="",$E829="",$F829=""),"",IF($E829&lt;=$F829,"KAZANDI","KAYBETTİ"))</f>
        <v/>
      </c>
    </row>
    <row r="830" customFormat="false" ht="15" hidden="false" customHeight="false" outlineLevel="0" collapsed="false">
      <c r="A830" s="23"/>
      <c r="B830" s="25"/>
      <c r="C830" s="26"/>
      <c r="D830" s="26"/>
      <c r="E830" s="26"/>
      <c r="F830" s="26"/>
      <c r="G830" s="0" t="str">
        <f aca="false">IF(OR($A830="",$E830="",$D830=""),"",IF($E830&lt;$D830,"EVET","HAYIR"))</f>
        <v/>
      </c>
      <c r="H830" s="0" t="str">
        <f aca="false">IF(OR($A830="",$E830="",$F830=""),"",IF($E830&lt;=$F830,"KAZANDI","KAYBETTİ"))</f>
        <v/>
      </c>
    </row>
    <row r="831" customFormat="false" ht="15" hidden="false" customHeight="false" outlineLevel="0" collapsed="false">
      <c r="A831" s="23"/>
      <c r="B831" s="25"/>
      <c r="C831" s="26"/>
      <c r="D831" s="26"/>
      <c r="E831" s="26"/>
      <c r="F831" s="26"/>
      <c r="G831" s="0" t="str">
        <f aca="false">IF(OR($A831="",$E831="",$D831=""),"",IF($E831&lt;$D831,"EVET","HAYIR"))</f>
        <v/>
      </c>
      <c r="H831" s="0" t="str">
        <f aca="false">IF(OR($A831="",$E831="",$F831=""),"",IF($E831&lt;=$F831,"KAZANDI","KAYBETTİ"))</f>
        <v/>
      </c>
    </row>
    <row r="832" customFormat="false" ht="15" hidden="false" customHeight="false" outlineLevel="0" collapsed="false">
      <c r="A832" s="23"/>
      <c r="B832" s="25"/>
      <c r="C832" s="26"/>
      <c r="D832" s="26"/>
      <c r="E832" s="26"/>
      <c r="F832" s="26"/>
      <c r="G832" s="0" t="str">
        <f aca="false">IF(OR($A832="",$E832="",$D832=""),"",IF($E832&lt;$D832,"EVET","HAYIR"))</f>
        <v/>
      </c>
      <c r="H832" s="0" t="str">
        <f aca="false">IF(OR($A832="",$E832="",$F832=""),"",IF($E832&lt;=$F832,"KAZANDI","KAYBETTİ"))</f>
        <v/>
      </c>
    </row>
    <row r="833" customFormat="false" ht="15" hidden="false" customHeight="false" outlineLevel="0" collapsed="false">
      <c r="A833" s="23"/>
      <c r="B833" s="25"/>
      <c r="C833" s="26"/>
      <c r="D833" s="26"/>
      <c r="E833" s="26"/>
      <c r="F833" s="26"/>
      <c r="G833" s="0" t="str">
        <f aca="false">IF(OR($A833="",$E833="",$D833=""),"",IF($E833&lt;$D833,"EVET","HAYIR"))</f>
        <v/>
      </c>
      <c r="H833" s="0" t="str">
        <f aca="false">IF(OR($A833="",$E833="",$F833=""),"",IF($E833&lt;=$F833,"KAZANDI","KAYBETTİ"))</f>
        <v/>
      </c>
    </row>
    <row r="834" customFormat="false" ht="15" hidden="false" customHeight="false" outlineLevel="0" collapsed="false">
      <c r="A834" s="23"/>
      <c r="B834" s="25"/>
      <c r="C834" s="26"/>
      <c r="D834" s="26"/>
      <c r="E834" s="26"/>
      <c r="F834" s="26"/>
      <c r="G834" s="0" t="str">
        <f aca="false">IF(OR($A834="",$E834="",$D834=""),"",IF($E834&lt;$D834,"EVET","HAYIR"))</f>
        <v/>
      </c>
      <c r="H834" s="0" t="str">
        <f aca="false">IF(OR($A834="",$E834="",$F834=""),"",IF($E834&lt;=$F834,"KAZANDI","KAYBETTİ"))</f>
        <v/>
      </c>
    </row>
    <row r="835" customFormat="false" ht="15" hidden="false" customHeight="false" outlineLevel="0" collapsed="false">
      <c r="A835" s="23"/>
      <c r="B835" s="25"/>
      <c r="C835" s="26"/>
      <c r="D835" s="26"/>
      <c r="E835" s="26"/>
      <c r="F835" s="26"/>
      <c r="G835" s="0" t="str">
        <f aca="false">IF(OR($A835="",$E835="",$D835=""),"",IF($E835&lt;$D835,"EVET","HAYIR"))</f>
        <v/>
      </c>
      <c r="H835" s="0" t="str">
        <f aca="false">IF(OR($A835="",$E835="",$F835=""),"",IF($E835&lt;=$F835,"KAZANDI","KAYBETTİ"))</f>
        <v/>
      </c>
    </row>
    <row r="836" customFormat="false" ht="15" hidden="false" customHeight="false" outlineLevel="0" collapsed="false">
      <c r="A836" s="23"/>
      <c r="B836" s="25"/>
      <c r="C836" s="26"/>
      <c r="D836" s="26"/>
      <c r="E836" s="26"/>
      <c r="F836" s="26"/>
      <c r="G836" s="0" t="str">
        <f aca="false">IF(OR($A836="",$E836="",$D836=""),"",IF($E836&lt;$D836,"EVET","HAYIR"))</f>
        <v/>
      </c>
      <c r="H836" s="0" t="str">
        <f aca="false">IF(OR($A836="",$E836="",$F836=""),"",IF($E836&lt;=$F836,"KAZANDI","KAYBETTİ"))</f>
        <v/>
      </c>
    </row>
    <row r="837" customFormat="false" ht="15" hidden="false" customHeight="false" outlineLevel="0" collapsed="false">
      <c r="A837" s="23"/>
      <c r="B837" s="25"/>
      <c r="C837" s="26"/>
      <c r="D837" s="26"/>
      <c r="E837" s="26"/>
      <c r="F837" s="26"/>
      <c r="G837" s="0" t="str">
        <f aca="false">IF(OR($A837="",$E837="",$D837=""),"",IF($E837&lt;$D837,"EVET","HAYIR"))</f>
        <v/>
      </c>
      <c r="H837" s="0" t="str">
        <f aca="false">IF(OR($A837="",$E837="",$F837=""),"",IF($E837&lt;=$F837,"KAZANDI","KAYBETTİ"))</f>
        <v/>
      </c>
    </row>
    <row r="838" customFormat="false" ht="15" hidden="false" customHeight="false" outlineLevel="0" collapsed="false">
      <c r="A838" s="23"/>
      <c r="B838" s="25"/>
      <c r="C838" s="26"/>
      <c r="D838" s="26"/>
      <c r="E838" s="26"/>
      <c r="F838" s="26"/>
      <c r="G838" s="0" t="str">
        <f aca="false">IF(OR($A838="",$E838="",$D838=""),"",IF($E838&lt;$D838,"EVET","HAYIR"))</f>
        <v/>
      </c>
      <c r="H838" s="0" t="str">
        <f aca="false">IF(OR($A838="",$E838="",$F838=""),"",IF($E838&lt;=$F838,"KAZANDI","KAYBETTİ"))</f>
        <v/>
      </c>
    </row>
    <row r="839" customFormat="false" ht="15" hidden="false" customHeight="false" outlineLevel="0" collapsed="false">
      <c r="A839" s="23"/>
      <c r="B839" s="25"/>
      <c r="C839" s="26"/>
      <c r="D839" s="26"/>
      <c r="E839" s="26"/>
      <c r="F839" s="26"/>
      <c r="G839" s="0" t="str">
        <f aca="false">IF(OR($A839="",$E839="",$D839=""),"",IF($E839&lt;$D839,"EVET","HAYIR"))</f>
        <v/>
      </c>
      <c r="H839" s="0" t="str">
        <f aca="false">IF(OR($A839="",$E839="",$F839=""),"",IF($E839&lt;=$F839,"KAZANDI","KAYBETTİ"))</f>
        <v/>
      </c>
    </row>
    <row r="840" customFormat="false" ht="15" hidden="false" customHeight="false" outlineLevel="0" collapsed="false">
      <c r="A840" s="23"/>
      <c r="B840" s="25"/>
      <c r="C840" s="26"/>
      <c r="D840" s="26"/>
      <c r="E840" s="26"/>
      <c r="F840" s="26"/>
      <c r="G840" s="0" t="str">
        <f aca="false">IF(OR($A840="",$E840="",$D840=""),"",IF($E840&lt;$D840,"EVET","HAYIR"))</f>
        <v/>
      </c>
      <c r="H840" s="0" t="str">
        <f aca="false">IF(OR($A840="",$E840="",$F840=""),"",IF($E840&lt;=$F840,"KAZANDI","KAYBETTİ"))</f>
        <v/>
      </c>
    </row>
    <row r="841" customFormat="false" ht="15" hidden="false" customHeight="false" outlineLevel="0" collapsed="false">
      <c r="A841" s="23"/>
      <c r="B841" s="25"/>
      <c r="C841" s="26"/>
      <c r="D841" s="26"/>
      <c r="E841" s="26"/>
      <c r="F841" s="26"/>
      <c r="G841" s="0" t="str">
        <f aca="false">IF(OR($A841="",$E841="",$D841=""),"",IF($E841&lt;$D841,"EVET","HAYIR"))</f>
        <v/>
      </c>
      <c r="H841" s="0" t="str">
        <f aca="false">IF(OR($A841="",$E841="",$F841=""),"",IF($E841&lt;=$F841,"KAZANDI","KAYBETTİ"))</f>
        <v/>
      </c>
    </row>
    <row r="842" customFormat="false" ht="15" hidden="false" customHeight="false" outlineLevel="0" collapsed="false">
      <c r="A842" s="23"/>
      <c r="B842" s="25"/>
      <c r="C842" s="26"/>
      <c r="D842" s="26"/>
      <c r="E842" s="26"/>
      <c r="F842" s="26"/>
      <c r="G842" s="0" t="str">
        <f aca="false">IF(OR($A842="",$E842="",$D842=""),"",IF($E842&lt;$D842,"EVET","HAYIR"))</f>
        <v/>
      </c>
      <c r="H842" s="0" t="str">
        <f aca="false">IF(OR($A842="",$E842="",$F842=""),"",IF($E842&lt;=$F842,"KAZANDI","KAYBETTİ"))</f>
        <v/>
      </c>
    </row>
    <row r="843" customFormat="false" ht="15" hidden="false" customHeight="false" outlineLevel="0" collapsed="false">
      <c r="A843" s="23"/>
      <c r="B843" s="25"/>
      <c r="C843" s="26"/>
      <c r="D843" s="26"/>
      <c r="E843" s="26"/>
      <c r="F843" s="26"/>
      <c r="G843" s="0" t="str">
        <f aca="false">IF(OR($A843="",$E843="",$D843=""),"",IF($E843&lt;$D843,"EVET","HAYIR"))</f>
        <v/>
      </c>
      <c r="H843" s="0" t="str">
        <f aca="false">IF(OR($A843="",$E843="",$F843=""),"",IF($E843&lt;=$F843,"KAZANDI","KAYBETTİ"))</f>
        <v/>
      </c>
    </row>
    <row r="844" customFormat="false" ht="15" hidden="false" customHeight="false" outlineLevel="0" collapsed="false">
      <c r="A844" s="23"/>
      <c r="B844" s="25"/>
      <c r="C844" s="26"/>
      <c r="D844" s="26"/>
      <c r="E844" s="26"/>
      <c r="F844" s="26"/>
      <c r="G844" s="0" t="str">
        <f aca="false">IF(OR($A844="",$E844="",$D844=""),"",IF($E844&lt;$D844,"EVET","HAYIR"))</f>
        <v/>
      </c>
      <c r="H844" s="0" t="str">
        <f aca="false">IF(OR($A844="",$E844="",$F844=""),"",IF($E844&lt;=$F844,"KAZANDI","KAYBETTİ"))</f>
        <v/>
      </c>
    </row>
    <row r="845" customFormat="false" ht="15" hidden="false" customHeight="false" outlineLevel="0" collapsed="false">
      <c r="A845" s="23"/>
      <c r="B845" s="25"/>
      <c r="C845" s="26"/>
      <c r="D845" s="26"/>
      <c r="E845" s="26"/>
      <c r="F845" s="26"/>
      <c r="G845" s="0" t="str">
        <f aca="false">IF(OR($A845="",$E845="",$D845=""),"",IF($E845&lt;$D845,"EVET","HAYIR"))</f>
        <v/>
      </c>
      <c r="H845" s="0" t="str">
        <f aca="false">IF(OR($A845="",$E845="",$F845=""),"",IF($E845&lt;=$F845,"KAZANDI","KAYBETTİ"))</f>
        <v/>
      </c>
    </row>
    <row r="846" customFormat="false" ht="15" hidden="false" customHeight="false" outlineLevel="0" collapsed="false">
      <c r="A846" s="23"/>
      <c r="B846" s="25"/>
      <c r="C846" s="26"/>
      <c r="D846" s="26"/>
      <c r="E846" s="26"/>
      <c r="F846" s="26"/>
      <c r="G846" s="0" t="str">
        <f aca="false">IF(OR($A846="",$E846="",$D846=""),"",IF($E846&lt;$D846,"EVET","HAYIR"))</f>
        <v/>
      </c>
      <c r="H846" s="0" t="str">
        <f aca="false">IF(OR($A846="",$E846="",$F846=""),"",IF($E846&lt;=$F846,"KAZANDI","KAYBETTİ"))</f>
        <v/>
      </c>
    </row>
    <row r="847" customFormat="false" ht="15" hidden="false" customHeight="false" outlineLevel="0" collapsed="false">
      <c r="A847" s="23"/>
      <c r="B847" s="25"/>
      <c r="C847" s="26"/>
      <c r="D847" s="26"/>
      <c r="E847" s="26"/>
      <c r="F847" s="26"/>
      <c r="G847" s="0" t="str">
        <f aca="false">IF(OR($A847="",$E847="",$D847=""),"",IF($E847&lt;$D847,"EVET","HAYIR"))</f>
        <v/>
      </c>
      <c r="H847" s="0" t="str">
        <f aca="false">IF(OR($A847="",$E847="",$F847=""),"",IF($E847&lt;=$F847,"KAZANDI","KAYBETTİ"))</f>
        <v/>
      </c>
    </row>
    <row r="848" customFormat="false" ht="15" hidden="false" customHeight="false" outlineLevel="0" collapsed="false">
      <c r="A848" s="23"/>
      <c r="B848" s="25"/>
      <c r="C848" s="26"/>
      <c r="D848" s="26"/>
      <c r="E848" s="26"/>
      <c r="F848" s="26"/>
      <c r="G848" s="0" t="str">
        <f aca="false">IF(OR($A848="",$E848="",$D848=""),"",IF($E848&lt;$D848,"EVET","HAYIR"))</f>
        <v/>
      </c>
      <c r="H848" s="0" t="str">
        <f aca="false">IF(OR($A848="",$E848="",$F848=""),"",IF($E848&lt;=$F848,"KAZANDI","KAYBETTİ"))</f>
        <v/>
      </c>
    </row>
    <row r="849" customFormat="false" ht="15" hidden="false" customHeight="false" outlineLevel="0" collapsed="false">
      <c r="A849" s="23"/>
      <c r="B849" s="25"/>
      <c r="C849" s="26"/>
      <c r="D849" s="26"/>
      <c r="E849" s="26"/>
      <c r="F849" s="26"/>
      <c r="G849" s="0" t="str">
        <f aca="false">IF(OR($A849="",$E849="",$D849=""),"",IF($E849&lt;$D849,"EVET","HAYIR"))</f>
        <v/>
      </c>
      <c r="H849" s="0" t="str">
        <f aca="false">IF(OR($A849="",$E849="",$F849=""),"",IF($E849&lt;=$F849,"KAZANDI","KAYBETTİ"))</f>
        <v/>
      </c>
    </row>
    <row r="850" customFormat="false" ht="15" hidden="false" customHeight="false" outlineLevel="0" collapsed="false">
      <c r="A850" s="23"/>
      <c r="B850" s="25"/>
      <c r="C850" s="26"/>
      <c r="D850" s="26"/>
      <c r="E850" s="26"/>
      <c r="F850" s="26"/>
      <c r="G850" s="0" t="str">
        <f aca="false">IF(OR($A850="",$E850="",$D850=""),"",IF($E850&lt;$D850,"EVET","HAYIR"))</f>
        <v/>
      </c>
      <c r="H850" s="0" t="str">
        <f aca="false">IF(OR($A850="",$E850="",$F850=""),"",IF($E850&lt;=$F850,"KAZANDI","KAYBETTİ"))</f>
        <v/>
      </c>
    </row>
    <row r="851" customFormat="false" ht="15" hidden="false" customHeight="false" outlineLevel="0" collapsed="false">
      <c r="A851" s="23"/>
      <c r="B851" s="25"/>
      <c r="C851" s="26"/>
      <c r="D851" s="26"/>
      <c r="E851" s="26"/>
      <c r="F851" s="26"/>
      <c r="G851" s="0" t="str">
        <f aca="false">IF(OR($A851="",$E851="",$D851=""),"",IF($E851&lt;$D851,"EVET","HAYIR"))</f>
        <v/>
      </c>
      <c r="H851" s="0" t="str">
        <f aca="false">IF(OR($A851="",$E851="",$F851=""),"",IF($E851&lt;=$F851,"KAZANDI","KAYBETTİ"))</f>
        <v/>
      </c>
    </row>
    <row r="852" customFormat="false" ht="15" hidden="false" customHeight="false" outlineLevel="0" collapsed="false">
      <c r="A852" s="23"/>
      <c r="B852" s="25"/>
      <c r="C852" s="26"/>
      <c r="D852" s="26"/>
      <c r="E852" s="26"/>
      <c r="F852" s="26"/>
      <c r="G852" s="0" t="str">
        <f aca="false">IF(OR($A852="",$E852="",$D852=""),"",IF($E852&lt;$D852,"EVET","HAYIR"))</f>
        <v/>
      </c>
      <c r="H852" s="0" t="str">
        <f aca="false">IF(OR($A852="",$E852="",$F852=""),"",IF($E852&lt;=$F852,"KAZANDI","KAYBETTİ"))</f>
        <v/>
      </c>
    </row>
    <row r="853" customFormat="false" ht="15" hidden="false" customHeight="false" outlineLevel="0" collapsed="false">
      <c r="A853" s="23"/>
      <c r="B853" s="25"/>
      <c r="C853" s="26"/>
      <c r="D853" s="26"/>
      <c r="E853" s="26"/>
      <c r="F853" s="26"/>
      <c r="G853" s="0" t="str">
        <f aca="false">IF(OR($A853="",$E853="",$D853=""),"",IF($E853&lt;$D853,"EVET","HAYIR"))</f>
        <v/>
      </c>
      <c r="H853" s="0" t="str">
        <f aca="false">IF(OR($A853="",$E853="",$F853=""),"",IF($E853&lt;=$F853,"KAZANDI","KAYBETTİ"))</f>
        <v/>
      </c>
    </row>
    <row r="854" customFormat="false" ht="15" hidden="false" customHeight="false" outlineLevel="0" collapsed="false">
      <c r="A854" s="23"/>
      <c r="B854" s="25"/>
      <c r="C854" s="26"/>
      <c r="D854" s="26"/>
      <c r="E854" s="26"/>
      <c r="F854" s="26"/>
      <c r="G854" s="0" t="str">
        <f aca="false">IF(OR($A854="",$E854="",$D854=""),"",IF($E854&lt;$D854,"EVET","HAYIR"))</f>
        <v/>
      </c>
      <c r="H854" s="0" t="str">
        <f aca="false">IF(OR($A854="",$E854="",$F854=""),"",IF($E854&lt;=$F854,"KAZANDI","KAYBETTİ"))</f>
        <v/>
      </c>
    </row>
    <row r="855" customFormat="false" ht="15" hidden="false" customHeight="false" outlineLevel="0" collapsed="false">
      <c r="A855" s="23"/>
      <c r="B855" s="25"/>
      <c r="C855" s="26"/>
      <c r="D855" s="26"/>
      <c r="E855" s="26"/>
      <c r="F855" s="26"/>
      <c r="G855" s="0" t="str">
        <f aca="false">IF(OR($A855="",$E855="",$D855=""),"",IF($E855&lt;$D855,"EVET","HAYIR"))</f>
        <v/>
      </c>
      <c r="H855" s="0" t="str">
        <f aca="false">IF(OR($A855="",$E855="",$F855=""),"",IF($E855&lt;=$F855,"KAZANDI","KAYBETTİ"))</f>
        <v/>
      </c>
    </row>
    <row r="856" customFormat="false" ht="15" hidden="false" customHeight="false" outlineLevel="0" collapsed="false">
      <c r="A856" s="23"/>
      <c r="B856" s="25"/>
      <c r="C856" s="26"/>
      <c r="D856" s="26"/>
      <c r="E856" s="26"/>
      <c r="F856" s="26"/>
      <c r="G856" s="0" t="str">
        <f aca="false">IF(OR($A856="",$E856="",$D856=""),"",IF($E856&lt;$D856,"EVET","HAYIR"))</f>
        <v/>
      </c>
      <c r="H856" s="0" t="str">
        <f aca="false">IF(OR($A856="",$E856="",$F856=""),"",IF($E856&lt;=$F856,"KAZANDI","KAYBETTİ"))</f>
        <v/>
      </c>
    </row>
    <row r="857" customFormat="false" ht="15" hidden="false" customHeight="false" outlineLevel="0" collapsed="false">
      <c r="A857" s="23"/>
      <c r="B857" s="25"/>
      <c r="C857" s="26"/>
      <c r="D857" s="26"/>
      <c r="E857" s="26"/>
      <c r="F857" s="26"/>
      <c r="G857" s="0" t="str">
        <f aca="false">IF(OR($A857="",$E857="",$D857=""),"",IF($E857&lt;$D857,"EVET","HAYIR"))</f>
        <v/>
      </c>
      <c r="H857" s="0" t="str">
        <f aca="false">IF(OR($A857="",$E857="",$F857=""),"",IF($E857&lt;=$F857,"KAZANDI","KAYBETTİ"))</f>
        <v/>
      </c>
    </row>
    <row r="858" customFormat="false" ht="15" hidden="false" customHeight="false" outlineLevel="0" collapsed="false">
      <c r="A858" s="23"/>
      <c r="B858" s="25"/>
      <c r="C858" s="26"/>
      <c r="D858" s="26"/>
      <c r="E858" s="26"/>
      <c r="F858" s="26"/>
      <c r="G858" s="0" t="str">
        <f aca="false">IF(OR($A858="",$E858="",$D858=""),"",IF($E858&lt;$D858,"EVET","HAYIR"))</f>
        <v/>
      </c>
      <c r="H858" s="0" t="str">
        <f aca="false">IF(OR($A858="",$E858="",$F858=""),"",IF($E858&lt;=$F858,"KAZANDI","KAYBETTİ"))</f>
        <v/>
      </c>
    </row>
    <row r="859" customFormat="false" ht="15" hidden="false" customHeight="false" outlineLevel="0" collapsed="false">
      <c r="A859" s="23"/>
      <c r="B859" s="25"/>
      <c r="C859" s="26"/>
      <c r="D859" s="26"/>
      <c r="E859" s="26"/>
      <c r="F859" s="26"/>
      <c r="G859" s="0" t="str">
        <f aca="false">IF(OR($A859="",$E859="",$D859=""),"",IF($E859&lt;$D859,"EVET","HAYIR"))</f>
        <v/>
      </c>
      <c r="H859" s="0" t="str">
        <f aca="false">IF(OR($A859="",$E859="",$F859=""),"",IF($E859&lt;=$F859,"KAZANDI","KAYBETTİ"))</f>
        <v/>
      </c>
    </row>
    <row r="860" customFormat="false" ht="15" hidden="false" customHeight="false" outlineLevel="0" collapsed="false">
      <c r="A860" s="23"/>
      <c r="B860" s="25"/>
      <c r="C860" s="26"/>
      <c r="D860" s="26"/>
      <c r="E860" s="26"/>
      <c r="F860" s="26"/>
      <c r="G860" s="0" t="str">
        <f aca="false">IF(OR($A860="",$E860="",$D860=""),"",IF($E860&lt;$D860,"EVET","HAYIR"))</f>
        <v/>
      </c>
      <c r="H860" s="0" t="str">
        <f aca="false">IF(OR($A860="",$E860="",$F860=""),"",IF($E860&lt;=$F860,"KAZANDI","KAYBETTİ"))</f>
        <v/>
      </c>
    </row>
    <row r="861" customFormat="false" ht="15" hidden="false" customHeight="false" outlineLevel="0" collapsed="false">
      <c r="A861" s="23"/>
      <c r="B861" s="25"/>
      <c r="C861" s="26"/>
      <c r="D861" s="26"/>
      <c r="E861" s="26"/>
      <c r="F861" s="26"/>
      <c r="G861" s="0" t="str">
        <f aca="false">IF(OR($A861="",$E861="",$D861=""),"",IF($E861&lt;$D861,"EVET","HAYIR"))</f>
        <v/>
      </c>
      <c r="H861" s="0" t="str">
        <f aca="false">IF(OR($A861="",$E861="",$F861=""),"",IF($E861&lt;=$F861,"KAZANDI","KAYBETTİ"))</f>
        <v/>
      </c>
    </row>
    <row r="862" customFormat="false" ht="15" hidden="false" customHeight="false" outlineLevel="0" collapsed="false">
      <c r="A862" s="23"/>
      <c r="B862" s="25"/>
      <c r="C862" s="26"/>
      <c r="D862" s="26"/>
      <c r="E862" s="26"/>
      <c r="F862" s="26"/>
      <c r="G862" s="0" t="str">
        <f aca="false">IF(OR($A862="",$E862="",$D862=""),"",IF($E862&lt;$D862,"EVET","HAYIR"))</f>
        <v/>
      </c>
      <c r="H862" s="0" t="str">
        <f aca="false">IF(OR($A862="",$E862="",$F862=""),"",IF($E862&lt;=$F862,"KAZANDI","KAYBETTİ"))</f>
        <v/>
      </c>
    </row>
    <row r="863" customFormat="false" ht="15" hidden="false" customHeight="false" outlineLevel="0" collapsed="false">
      <c r="A863" s="23"/>
      <c r="B863" s="25"/>
      <c r="C863" s="26"/>
      <c r="D863" s="26"/>
      <c r="E863" s="26"/>
      <c r="F863" s="26"/>
      <c r="G863" s="0" t="str">
        <f aca="false">IF(OR($A863="",$E863="",$D863=""),"",IF($E863&lt;$D863,"EVET","HAYIR"))</f>
        <v/>
      </c>
      <c r="H863" s="0" t="str">
        <f aca="false">IF(OR($A863="",$E863="",$F863=""),"",IF($E863&lt;=$F863,"KAZANDI","KAYBETTİ"))</f>
        <v/>
      </c>
    </row>
    <row r="864" customFormat="false" ht="15" hidden="false" customHeight="false" outlineLevel="0" collapsed="false">
      <c r="A864" s="23"/>
      <c r="B864" s="25"/>
      <c r="C864" s="26"/>
      <c r="D864" s="26"/>
      <c r="E864" s="26"/>
      <c r="F864" s="26"/>
      <c r="G864" s="0" t="str">
        <f aca="false">IF(OR($A864="",$E864="",$D864=""),"",IF($E864&lt;$D864,"EVET","HAYIR"))</f>
        <v/>
      </c>
      <c r="H864" s="0" t="str">
        <f aca="false">IF(OR($A864="",$E864="",$F864=""),"",IF($E864&lt;=$F864,"KAZANDI","KAYBETTİ"))</f>
        <v/>
      </c>
    </row>
    <row r="865" customFormat="false" ht="15" hidden="false" customHeight="false" outlineLevel="0" collapsed="false">
      <c r="A865" s="23"/>
      <c r="B865" s="25"/>
      <c r="C865" s="26"/>
      <c r="D865" s="26"/>
      <c r="E865" s="26"/>
      <c r="F865" s="26"/>
      <c r="G865" s="0" t="str">
        <f aca="false">IF(OR($A865="",$E865="",$D865=""),"",IF($E865&lt;$D865,"EVET","HAYIR"))</f>
        <v/>
      </c>
      <c r="H865" s="0" t="str">
        <f aca="false">IF(OR($A865="",$E865="",$F865=""),"",IF($E865&lt;=$F865,"KAZANDI","KAYBETTİ"))</f>
        <v/>
      </c>
    </row>
    <row r="866" customFormat="false" ht="15" hidden="false" customHeight="false" outlineLevel="0" collapsed="false">
      <c r="A866" s="23"/>
      <c r="B866" s="25"/>
      <c r="C866" s="26"/>
      <c r="D866" s="26"/>
      <c r="E866" s="26"/>
      <c r="F866" s="26"/>
      <c r="G866" s="0" t="str">
        <f aca="false">IF(OR($A866="",$E866="",$D866=""),"",IF($E866&lt;$D866,"EVET","HAYIR"))</f>
        <v/>
      </c>
      <c r="H866" s="0" t="str">
        <f aca="false">IF(OR($A866="",$E866="",$F866=""),"",IF($E866&lt;=$F866,"KAZANDI","KAYBETTİ"))</f>
        <v/>
      </c>
    </row>
    <row r="867" customFormat="false" ht="15" hidden="false" customHeight="false" outlineLevel="0" collapsed="false">
      <c r="A867" s="23"/>
      <c r="B867" s="25"/>
      <c r="C867" s="26"/>
      <c r="D867" s="26"/>
      <c r="E867" s="26"/>
      <c r="F867" s="26"/>
      <c r="G867" s="0" t="str">
        <f aca="false">IF(OR($A867="",$E867="",$D867=""),"",IF($E867&lt;$D867,"EVET","HAYIR"))</f>
        <v/>
      </c>
      <c r="H867" s="0" t="str">
        <f aca="false">IF(OR($A867="",$E867="",$F867=""),"",IF($E867&lt;=$F867,"KAZANDI","KAYBETTİ"))</f>
        <v/>
      </c>
    </row>
    <row r="868" customFormat="false" ht="15" hidden="false" customHeight="false" outlineLevel="0" collapsed="false">
      <c r="A868" s="23"/>
      <c r="B868" s="25"/>
      <c r="C868" s="26"/>
      <c r="D868" s="26"/>
      <c r="E868" s="26"/>
      <c r="F868" s="26"/>
      <c r="G868" s="0" t="str">
        <f aca="false">IF(OR($A868="",$E868="",$D868=""),"",IF($E868&lt;$D868,"EVET","HAYIR"))</f>
        <v/>
      </c>
      <c r="H868" s="0" t="str">
        <f aca="false">IF(OR($A868="",$E868="",$F868=""),"",IF($E868&lt;=$F868,"KAZANDI","KAYBETTİ"))</f>
        <v/>
      </c>
    </row>
    <row r="869" customFormat="false" ht="15" hidden="false" customHeight="false" outlineLevel="0" collapsed="false">
      <c r="A869" s="23"/>
      <c r="B869" s="25"/>
      <c r="C869" s="26"/>
      <c r="D869" s="26"/>
      <c r="E869" s="26"/>
      <c r="F869" s="26"/>
      <c r="G869" s="0" t="str">
        <f aca="false">IF(OR($A869="",$E869="",$D869=""),"",IF($E869&lt;$D869,"EVET","HAYIR"))</f>
        <v/>
      </c>
      <c r="H869" s="0" t="str">
        <f aca="false">IF(OR($A869="",$E869="",$F869=""),"",IF($E869&lt;=$F869,"KAZANDI","KAYBETTİ"))</f>
        <v/>
      </c>
    </row>
    <row r="870" customFormat="false" ht="15" hidden="false" customHeight="false" outlineLevel="0" collapsed="false">
      <c r="A870" s="23"/>
      <c r="B870" s="25"/>
      <c r="C870" s="26"/>
      <c r="D870" s="26"/>
      <c r="E870" s="26"/>
      <c r="F870" s="26"/>
      <c r="G870" s="0" t="str">
        <f aca="false">IF(OR($A870="",$E870="",$D870=""),"",IF($E870&lt;$D870,"EVET","HAYIR"))</f>
        <v/>
      </c>
      <c r="H870" s="0" t="str">
        <f aca="false">IF(OR($A870="",$E870="",$F870=""),"",IF($E870&lt;=$F870,"KAZANDI","KAYBETTİ"))</f>
        <v/>
      </c>
    </row>
    <row r="871" customFormat="false" ht="15" hidden="false" customHeight="false" outlineLevel="0" collapsed="false">
      <c r="A871" s="23"/>
      <c r="B871" s="25"/>
      <c r="C871" s="26"/>
      <c r="D871" s="26"/>
      <c r="E871" s="26"/>
      <c r="F871" s="26"/>
      <c r="G871" s="0" t="str">
        <f aca="false">IF(OR($A871="",$E871="",$D871=""),"",IF($E871&lt;$D871,"EVET","HAYIR"))</f>
        <v/>
      </c>
      <c r="H871" s="0" t="str">
        <f aca="false">IF(OR($A871="",$E871="",$F871=""),"",IF($E871&lt;=$F871,"KAZANDI","KAYBETTİ"))</f>
        <v/>
      </c>
    </row>
    <row r="872" customFormat="false" ht="15" hidden="false" customHeight="false" outlineLevel="0" collapsed="false">
      <c r="A872" s="23"/>
      <c r="B872" s="25"/>
      <c r="C872" s="26"/>
      <c r="D872" s="26"/>
      <c r="E872" s="26"/>
      <c r="F872" s="26"/>
      <c r="G872" s="0" t="str">
        <f aca="false">IF(OR($A872="",$E872="",$D872=""),"",IF($E872&lt;$D872,"EVET","HAYIR"))</f>
        <v/>
      </c>
      <c r="H872" s="0" t="str">
        <f aca="false">IF(OR($A872="",$E872="",$F872=""),"",IF($E872&lt;=$F872,"KAZANDI","KAYBETTİ"))</f>
        <v/>
      </c>
    </row>
    <row r="873" customFormat="false" ht="15" hidden="false" customHeight="false" outlineLevel="0" collapsed="false">
      <c r="A873" s="23"/>
      <c r="B873" s="25"/>
      <c r="C873" s="26"/>
      <c r="D873" s="26"/>
      <c r="E873" s="26"/>
      <c r="F873" s="26"/>
      <c r="G873" s="0" t="str">
        <f aca="false">IF(OR($A873="",$E873="",$D873=""),"",IF($E873&lt;$D873,"EVET","HAYIR"))</f>
        <v/>
      </c>
      <c r="H873" s="0" t="str">
        <f aca="false">IF(OR($A873="",$E873="",$F873=""),"",IF($E873&lt;=$F873,"KAZANDI","KAYBETTİ"))</f>
        <v/>
      </c>
    </row>
    <row r="874" customFormat="false" ht="15" hidden="false" customHeight="false" outlineLevel="0" collapsed="false">
      <c r="A874" s="23"/>
      <c r="B874" s="25"/>
      <c r="C874" s="26"/>
      <c r="D874" s="26"/>
      <c r="E874" s="26"/>
      <c r="F874" s="26"/>
      <c r="G874" s="0" t="str">
        <f aca="false">IF(OR($A874="",$E874="",$D874=""),"",IF($E874&lt;$D874,"EVET","HAYIR"))</f>
        <v/>
      </c>
      <c r="H874" s="0" t="str">
        <f aca="false">IF(OR($A874="",$E874="",$F874=""),"",IF($E874&lt;=$F874,"KAZANDI","KAYBETTİ"))</f>
        <v/>
      </c>
    </row>
    <row r="875" customFormat="false" ht="15" hidden="false" customHeight="false" outlineLevel="0" collapsed="false">
      <c r="A875" s="23"/>
      <c r="B875" s="25"/>
      <c r="C875" s="26"/>
      <c r="D875" s="26"/>
      <c r="E875" s="26"/>
      <c r="F875" s="26"/>
      <c r="G875" s="0" t="str">
        <f aca="false">IF(OR($A875="",$E875="",$D875=""),"",IF($E875&lt;$D875,"EVET","HAYIR"))</f>
        <v/>
      </c>
      <c r="H875" s="0" t="str">
        <f aca="false">IF(OR($A875="",$E875="",$F875=""),"",IF($E875&lt;=$F875,"KAZANDI","KAYBETTİ"))</f>
        <v/>
      </c>
    </row>
    <row r="876" customFormat="false" ht="15" hidden="false" customHeight="false" outlineLevel="0" collapsed="false">
      <c r="A876" s="23"/>
      <c r="B876" s="25"/>
      <c r="C876" s="26"/>
      <c r="D876" s="26"/>
      <c r="E876" s="26"/>
      <c r="F876" s="26"/>
      <c r="G876" s="0" t="str">
        <f aca="false">IF(OR($A876="",$E876="",$D876=""),"",IF($E876&lt;$D876,"EVET","HAYIR"))</f>
        <v/>
      </c>
      <c r="H876" s="0" t="str">
        <f aca="false">IF(OR($A876="",$E876="",$F876=""),"",IF($E876&lt;=$F876,"KAZANDI","KAYBETTİ"))</f>
        <v/>
      </c>
    </row>
    <row r="877" customFormat="false" ht="15" hidden="false" customHeight="false" outlineLevel="0" collapsed="false">
      <c r="A877" s="23"/>
      <c r="B877" s="25"/>
      <c r="C877" s="26"/>
      <c r="D877" s="26"/>
      <c r="E877" s="26"/>
      <c r="F877" s="26"/>
      <c r="G877" s="0" t="str">
        <f aca="false">IF(OR($A877="",$E877="",$D877=""),"",IF($E877&lt;$D877,"EVET","HAYIR"))</f>
        <v/>
      </c>
      <c r="H877" s="0" t="str">
        <f aca="false">IF(OR($A877="",$E877="",$F877=""),"",IF($E877&lt;=$F877,"KAZANDI","KAYBETTİ"))</f>
        <v/>
      </c>
    </row>
    <row r="878" customFormat="false" ht="15" hidden="false" customHeight="false" outlineLevel="0" collapsed="false">
      <c r="A878" s="23"/>
      <c r="B878" s="25"/>
      <c r="C878" s="26"/>
      <c r="D878" s="26"/>
      <c r="E878" s="26"/>
      <c r="F878" s="26"/>
      <c r="G878" s="0" t="str">
        <f aca="false">IF(OR($A878="",$E878="",$D878=""),"",IF($E878&lt;$D878,"EVET","HAYIR"))</f>
        <v/>
      </c>
      <c r="H878" s="0" t="str">
        <f aca="false">IF(OR($A878="",$E878="",$F878=""),"",IF($E878&lt;=$F878,"KAZANDI","KAYBETTİ"))</f>
        <v/>
      </c>
    </row>
    <row r="879" customFormat="false" ht="15" hidden="false" customHeight="false" outlineLevel="0" collapsed="false">
      <c r="A879" s="23"/>
      <c r="B879" s="25"/>
      <c r="C879" s="26"/>
      <c r="D879" s="26"/>
      <c r="E879" s="26"/>
      <c r="F879" s="26"/>
      <c r="G879" s="0" t="str">
        <f aca="false">IF(OR($A879="",$E879="",$D879=""),"",IF($E879&lt;$D879,"EVET","HAYIR"))</f>
        <v/>
      </c>
      <c r="H879" s="0" t="str">
        <f aca="false">IF(OR($A879="",$E879="",$F879=""),"",IF($E879&lt;=$F879,"KAZANDI","KAYBETTİ"))</f>
        <v/>
      </c>
    </row>
    <row r="880" customFormat="false" ht="15" hidden="false" customHeight="false" outlineLevel="0" collapsed="false">
      <c r="A880" s="23"/>
      <c r="B880" s="25"/>
      <c r="C880" s="26"/>
      <c r="D880" s="26"/>
      <c r="E880" s="26"/>
      <c r="F880" s="26"/>
      <c r="G880" s="0" t="str">
        <f aca="false">IF(OR($A880="",$E880="",$D880=""),"",IF($E880&lt;$D880,"EVET","HAYIR"))</f>
        <v/>
      </c>
      <c r="H880" s="0" t="str">
        <f aca="false">IF(OR($A880="",$E880="",$F880=""),"",IF($E880&lt;=$F880,"KAZANDI","KAYBETTİ"))</f>
        <v/>
      </c>
    </row>
    <row r="881" customFormat="false" ht="15" hidden="false" customHeight="false" outlineLevel="0" collapsed="false">
      <c r="A881" s="23"/>
      <c r="B881" s="25"/>
      <c r="C881" s="26"/>
      <c r="D881" s="26"/>
      <c r="E881" s="26"/>
      <c r="F881" s="26"/>
      <c r="G881" s="0" t="str">
        <f aca="false">IF(OR($A881="",$E881="",$D881=""),"",IF($E881&lt;$D881,"EVET","HAYIR"))</f>
        <v/>
      </c>
      <c r="H881" s="0" t="str">
        <f aca="false">IF(OR($A881="",$E881="",$F881=""),"",IF($E881&lt;=$F881,"KAZANDI","KAYBETTİ"))</f>
        <v/>
      </c>
    </row>
    <row r="882" customFormat="false" ht="15" hidden="false" customHeight="false" outlineLevel="0" collapsed="false">
      <c r="A882" s="23"/>
      <c r="B882" s="25"/>
      <c r="C882" s="26"/>
      <c r="D882" s="26"/>
      <c r="E882" s="26"/>
      <c r="F882" s="26"/>
      <c r="G882" s="0" t="str">
        <f aca="false">IF(OR($A882="",$E882="",$D882=""),"",IF($E882&lt;$D882,"EVET","HAYIR"))</f>
        <v/>
      </c>
      <c r="H882" s="0" t="str">
        <f aca="false">IF(OR($A882="",$E882="",$F882=""),"",IF($E882&lt;=$F882,"KAZANDI","KAYBETTİ"))</f>
        <v/>
      </c>
    </row>
    <row r="883" customFormat="false" ht="15" hidden="false" customHeight="false" outlineLevel="0" collapsed="false">
      <c r="A883" s="23"/>
      <c r="B883" s="25"/>
      <c r="C883" s="26"/>
      <c r="D883" s="26"/>
      <c r="E883" s="26"/>
      <c r="F883" s="26"/>
      <c r="G883" s="0" t="str">
        <f aca="false">IF(OR($A883="",$E883="",$D883=""),"",IF($E883&lt;$D883,"EVET","HAYIR"))</f>
        <v/>
      </c>
      <c r="H883" s="0" t="str">
        <f aca="false">IF(OR($A883="",$E883="",$F883=""),"",IF($E883&lt;=$F883,"KAZANDI","KAYBETTİ"))</f>
        <v/>
      </c>
    </row>
    <row r="884" customFormat="false" ht="15" hidden="false" customHeight="false" outlineLevel="0" collapsed="false">
      <c r="A884" s="23"/>
      <c r="B884" s="25"/>
      <c r="C884" s="26"/>
      <c r="D884" s="26"/>
      <c r="E884" s="26"/>
      <c r="F884" s="26"/>
      <c r="G884" s="0" t="str">
        <f aca="false">IF(OR($A884="",$E884="",$D884=""),"",IF($E884&lt;$D884,"EVET","HAYIR"))</f>
        <v/>
      </c>
      <c r="H884" s="0" t="str">
        <f aca="false">IF(OR($A884="",$E884="",$F884=""),"",IF($E884&lt;=$F884,"KAZANDI","KAYBETTİ"))</f>
        <v/>
      </c>
    </row>
    <row r="885" customFormat="false" ht="15" hidden="false" customHeight="false" outlineLevel="0" collapsed="false">
      <c r="A885" s="23"/>
      <c r="B885" s="25"/>
      <c r="C885" s="26"/>
      <c r="D885" s="26"/>
      <c r="E885" s="26"/>
      <c r="F885" s="26"/>
      <c r="G885" s="0" t="str">
        <f aca="false">IF(OR($A885="",$E885="",$D885=""),"",IF($E885&lt;$D885,"EVET","HAYIR"))</f>
        <v/>
      </c>
      <c r="H885" s="0" t="str">
        <f aca="false">IF(OR($A885="",$E885="",$F885=""),"",IF($E885&lt;=$F885,"KAZANDI","KAYBETTİ"))</f>
        <v/>
      </c>
    </row>
    <row r="886" customFormat="false" ht="15" hidden="false" customHeight="false" outlineLevel="0" collapsed="false">
      <c r="A886" s="23"/>
      <c r="B886" s="25"/>
      <c r="C886" s="26"/>
      <c r="D886" s="26"/>
      <c r="E886" s="26"/>
      <c r="F886" s="26"/>
      <c r="G886" s="0" t="str">
        <f aca="false">IF(OR($A886="",$E886="",$D886=""),"",IF($E886&lt;$D886,"EVET","HAYIR"))</f>
        <v/>
      </c>
      <c r="H886" s="0" t="str">
        <f aca="false">IF(OR($A886="",$E886="",$F886=""),"",IF($E886&lt;=$F886,"KAZANDI","KAYBETTİ"))</f>
        <v/>
      </c>
    </row>
    <row r="887" customFormat="false" ht="15" hidden="false" customHeight="false" outlineLevel="0" collapsed="false">
      <c r="A887" s="23"/>
      <c r="B887" s="25"/>
      <c r="C887" s="26"/>
      <c r="D887" s="26"/>
      <c r="E887" s="26"/>
      <c r="F887" s="26"/>
      <c r="G887" s="0" t="str">
        <f aca="false">IF(OR($A887="",$E887="",$D887=""),"",IF($E887&lt;$D887,"EVET","HAYIR"))</f>
        <v/>
      </c>
      <c r="H887" s="0" t="str">
        <f aca="false">IF(OR($A887="",$E887="",$F887=""),"",IF($E887&lt;=$F887,"KAZANDI","KAYBETTİ"))</f>
        <v/>
      </c>
    </row>
    <row r="888" customFormat="false" ht="15" hidden="false" customHeight="false" outlineLevel="0" collapsed="false">
      <c r="A888" s="23"/>
      <c r="B888" s="25"/>
      <c r="C888" s="26"/>
      <c r="D888" s="26"/>
      <c r="E888" s="26"/>
      <c r="F888" s="26"/>
      <c r="G888" s="0" t="str">
        <f aca="false">IF(OR($A888="",$E888="",$D888=""),"",IF($E888&lt;$D888,"EVET","HAYIR"))</f>
        <v/>
      </c>
      <c r="H888" s="0" t="str">
        <f aca="false">IF(OR($A888="",$E888="",$F888=""),"",IF($E888&lt;=$F888,"KAZANDI","KAYBETTİ"))</f>
        <v/>
      </c>
    </row>
    <row r="889" customFormat="false" ht="15" hidden="false" customHeight="false" outlineLevel="0" collapsed="false">
      <c r="A889" s="23"/>
      <c r="B889" s="25"/>
      <c r="C889" s="26"/>
      <c r="D889" s="26"/>
      <c r="E889" s="26"/>
      <c r="F889" s="26"/>
      <c r="G889" s="0" t="str">
        <f aca="false">IF(OR($A889="",$E889="",$D889=""),"",IF($E889&lt;$D889,"EVET","HAYIR"))</f>
        <v/>
      </c>
      <c r="H889" s="0" t="str">
        <f aca="false">IF(OR($A889="",$E889="",$F889=""),"",IF($E889&lt;=$F889,"KAZANDI","KAYBETTİ"))</f>
        <v/>
      </c>
    </row>
    <row r="890" customFormat="false" ht="15" hidden="false" customHeight="false" outlineLevel="0" collapsed="false">
      <c r="A890" s="23"/>
      <c r="B890" s="25"/>
      <c r="C890" s="26"/>
      <c r="D890" s="26"/>
      <c r="E890" s="26"/>
      <c r="F890" s="26"/>
      <c r="G890" s="0" t="str">
        <f aca="false">IF(OR($A890="",$E890="",$D890=""),"",IF($E890&lt;$D890,"EVET","HAYIR"))</f>
        <v/>
      </c>
      <c r="H890" s="0" t="str">
        <f aca="false">IF(OR($A890="",$E890="",$F890=""),"",IF($E890&lt;=$F890,"KAZANDI","KAYBETTİ"))</f>
        <v/>
      </c>
    </row>
    <row r="891" customFormat="false" ht="15" hidden="false" customHeight="false" outlineLevel="0" collapsed="false">
      <c r="A891" s="23"/>
      <c r="B891" s="25"/>
      <c r="C891" s="26"/>
      <c r="D891" s="26"/>
      <c r="E891" s="26"/>
      <c r="F891" s="26"/>
      <c r="G891" s="0" t="str">
        <f aca="false">IF(OR($A891="",$E891="",$D891=""),"",IF($E891&lt;$D891,"EVET","HAYIR"))</f>
        <v/>
      </c>
      <c r="H891" s="0" t="str">
        <f aca="false">IF(OR($A891="",$E891="",$F891=""),"",IF($E891&lt;=$F891,"KAZANDI","KAYBETTİ"))</f>
        <v/>
      </c>
    </row>
    <row r="892" customFormat="false" ht="15" hidden="false" customHeight="false" outlineLevel="0" collapsed="false">
      <c r="A892" s="23"/>
      <c r="B892" s="25"/>
      <c r="C892" s="26"/>
      <c r="D892" s="26"/>
      <c r="E892" s="26"/>
      <c r="F892" s="26"/>
      <c r="G892" s="0" t="str">
        <f aca="false">IF(OR($A892="",$E892="",$D892=""),"",IF($E892&lt;$D892,"EVET","HAYIR"))</f>
        <v/>
      </c>
      <c r="H892" s="0" t="str">
        <f aca="false">IF(OR($A892="",$E892="",$F892=""),"",IF($E892&lt;=$F892,"KAZANDI","KAYBETTİ"))</f>
        <v/>
      </c>
    </row>
    <row r="893" customFormat="false" ht="15" hidden="false" customHeight="false" outlineLevel="0" collapsed="false">
      <c r="A893" s="23"/>
      <c r="B893" s="25"/>
      <c r="C893" s="26"/>
      <c r="D893" s="26"/>
      <c r="E893" s="26"/>
      <c r="F893" s="26"/>
      <c r="G893" s="0" t="str">
        <f aca="false">IF(OR($A893="",$E893="",$D893=""),"",IF($E893&lt;$D893,"EVET","HAYIR"))</f>
        <v/>
      </c>
      <c r="H893" s="0" t="str">
        <f aca="false">IF(OR($A893="",$E893="",$F893=""),"",IF($E893&lt;=$F893,"KAZANDI","KAYBETTİ"))</f>
        <v/>
      </c>
    </row>
    <row r="894" customFormat="false" ht="15" hidden="false" customHeight="false" outlineLevel="0" collapsed="false">
      <c r="A894" s="23"/>
      <c r="B894" s="25"/>
      <c r="C894" s="26"/>
      <c r="D894" s="26"/>
      <c r="E894" s="26"/>
      <c r="F894" s="26"/>
      <c r="G894" s="0" t="str">
        <f aca="false">IF(OR($A894="",$E894="",$D894=""),"",IF($E894&lt;$D894,"EVET","HAYIR"))</f>
        <v/>
      </c>
      <c r="H894" s="0" t="str">
        <f aca="false">IF(OR($A894="",$E894="",$F894=""),"",IF($E894&lt;=$F894,"KAZANDI","KAYBETTİ"))</f>
        <v/>
      </c>
    </row>
    <row r="895" customFormat="false" ht="15" hidden="false" customHeight="false" outlineLevel="0" collapsed="false">
      <c r="A895" s="23"/>
      <c r="B895" s="25"/>
      <c r="C895" s="26"/>
      <c r="D895" s="26"/>
      <c r="E895" s="26"/>
      <c r="F895" s="26"/>
      <c r="G895" s="0" t="str">
        <f aca="false">IF(OR($A895="",$E895="",$D895=""),"",IF($E895&lt;$D895,"EVET","HAYIR"))</f>
        <v/>
      </c>
      <c r="H895" s="0" t="str">
        <f aca="false">IF(OR($A895="",$E895="",$F895=""),"",IF($E895&lt;=$F895,"KAZANDI","KAYBETTİ"))</f>
        <v/>
      </c>
    </row>
    <row r="896" customFormat="false" ht="15" hidden="false" customHeight="false" outlineLevel="0" collapsed="false">
      <c r="A896" s="23"/>
      <c r="B896" s="25"/>
      <c r="C896" s="26"/>
      <c r="D896" s="26"/>
      <c r="E896" s="26"/>
      <c r="F896" s="26"/>
      <c r="G896" s="0" t="str">
        <f aca="false">IF(OR($A896="",$E896="",$D896=""),"",IF($E896&lt;$D896,"EVET","HAYIR"))</f>
        <v/>
      </c>
      <c r="H896" s="0" t="str">
        <f aca="false">IF(OR($A896="",$E896="",$F896=""),"",IF($E896&lt;=$F896,"KAZANDI","KAYBETTİ"))</f>
        <v/>
      </c>
    </row>
    <row r="897" customFormat="false" ht="15" hidden="false" customHeight="false" outlineLevel="0" collapsed="false">
      <c r="A897" s="23"/>
      <c r="B897" s="25"/>
      <c r="C897" s="26"/>
      <c r="D897" s="26"/>
      <c r="E897" s="26"/>
      <c r="F897" s="26"/>
      <c r="G897" s="0" t="str">
        <f aca="false">IF(OR($A897="",$E897="",$D897=""),"",IF($E897&lt;$D897,"EVET","HAYIR"))</f>
        <v/>
      </c>
      <c r="H897" s="0" t="str">
        <f aca="false">IF(OR($A897="",$E897="",$F897=""),"",IF($E897&lt;=$F897,"KAZANDI","KAYBETTİ"))</f>
        <v/>
      </c>
    </row>
    <row r="898" customFormat="false" ht="15" hidden="false" customHeight="false" outlineLevel="0" collapsed="false">
      <c r="A898" s="23"/>
      <c r="B898" s="25"/>
      <c r="C898" s="26"/>
      <c r="D898" s="26"/>
      <c r="E898" s="26"/>
      <c r="F898" s="26"/>
      <c r="G898" s="0" t="str">
        <f aca="false">IF(OR($A898="",$E898="",$D898=""),"",IF($E898&lt;$D898,"EVET","HAYIR"))</f>
        <v/>
      </c>
      <c r="H898" s="0" t="str">
        <f aca="false">IF(OR($A898="",$E898="",$F898=""),"",IF($E898&lt;=$F898,"KAZANDI","KAYBETTİ"))</f>
        <v/>
      </c>
    </row>
    <row r="899" customFormat="false" ht="15" hidden="false" customHeight="false" outlineLevel="0" collapsed="false">
      <c r="A899" s="23"/>
      <c r="B899" s="25"/>
      <c r="C899" s="26"/>
      <c r="D899" s="26"/>
      <c r="E899" s="26"/>
      <c r="F899" s="26"/>
      <c r="G899" s="0" t="str">
        <f aca="false">IF(OR($A899="",$E899="",$D899=""),"",IF($E899&lt;$D899,"EVET","HAYIR"))</f>
        <v/>
      </c>
      <c r="H899" s="0" t="str">
        <f aca="false">IF(OR($A899="",$E899="",$F899=""),"",IF($E899&lt;=$F899,"KAZANDI","KAYBETTİ"))</f>
        <v/>
      </c>
    </row>
    <row r="900" customFormat="false" ht="15" hidden="false" customHeight="false" outlineLevel="0" collapsed="false">
      <c r="A900" s="23"/>
      <c r="B900" s="25"/>
      <c r="C900" s="26"/>
      <c r="D900" s="26"/>
      <c r="E900" s="26"/>
      <c r="F900" s="26"/>
      <c r="G900" s="0" t="str">
        <f aca="false">IF(OR($A900="",$E900="",$D900=""),"",IF($E900&lt;$D900,"EVET","HAYIR"))</f>
        <v/>
      </c>
      <c r="H900" s="0" t="str">
        <f aca="false">IF(OR($A900="",$E900="",$F900=""),"",IF($E900&lt;=$F900,"KAZANDI","KAYBETTİ"))</f>
        <v/>
      </c>
    </row>
    <row r="901" customFormat="false" ht="15" hidden="false" customHeight="false" outlineLevel="0" collapsed="false">
      <c r="A901" s="23"/>
      <c r="B901" s="25"/>
      <c r="C901" s="26"/>
      <c r="D901" s="26"/>
      <c r="E901" s="26"/>
      <c r="F901" s="26"/>
      <c r="G901" s="0" t="str">
        <f aca="false">IF(OR($A901="",$E901="",$D901=""),"",IF($E901&lt;$D901,"EVET","HAYIR"))</f>
        <v/>
      </c>
      <c r="H901" s="0" t="str">
        <f aca="false">IF(OR($A901="",$E901="",$F901=""),"",IF($E901&lt;=$F901,"KAZANDI","KAYBETTİ"))</f>
        <v/>
      </c>
    </row>
    <row r="902" customFormat="false" ht="15" hidden="false" customHeight="false" outlineLevel="0" collapsed="false">
      <c r="A902" s="23"/>
      <c r="B902" s="25"/>
      <c r="C902" s="26"/>
      <c r="D902" s="26"/>
      <c r="E902" s="26"/>
      <c r="F902" s="26"/>
      <c r="G902" s="0" t="str">
        <f aca="false">IF(OR($A902="",$E902="",$D902=""),"",IF($E902&lt;$D902,"EVET","HAYIR"))</f>
        <v/>
      </c>
      <c r="H902" s="0" t="str">
        <f aca="false">IF(OR($A902="",$E902="",$F902=""),"",IF($E902&lt;=$F902,"KAZANDI","KAYBETTİ"))</f>
        <v/>
      </c>
    </row>
    <row r="903" customFormat="false" ht="15" hidden="false" customHeight="false" outlineLevel="0" collapsed="false">
      <c r="A903" s="23"/>
      <c r="B903" s="25"/>
      <c r="C903" s="26"/>
      <c r="D903" s="26"/>
      <c r="E903" s="26"/>
      <c r="F903" s="26"/>
      <c r="G903" s="0" t="str">
        <f aca="false">IF(OR($A903="",$E903="",$D903=""),"",IF($E903&lt;$D903,"EVET","HAYIR"))</f>
        <v/>
      </c>
      <c r="H903" s="0" t="str">
        <f aca="false">IF(OR($A903="",$E903="",$F903=""),"",IF($E903&lt;=$F903,"KAZANDI","KAYBETTİ"))</f>
        <v/>
      </c>
    </row>
    <row r="904" customFormat="false" ht="15" hidden="false" customHeight="false" outlineLevel="0" collapsed="false">
      <c r="A904" s="23"/>
      <c r="B904" s="25"/>
      <c r="C904" s="26"/>
      <c r="D904" s="26"/>
      <c r="E904" s="26"/>
      <c r="F904" s="26"/>
      <c r="G904" s="0" t="str">
        <f aca="false">IF(OR($A904="",$E904="",$D904=""),"",IF($E904&lt;$D904,"EVET","HAYIR"))</f>
        <v/>
      </c>
      <c r="H904" s="0" t="str">
        <f aca="false">IF(OR($A904="",$E904="",$F904=""),"",IF($E904&lt;=$F904,"KAZANDI","KAYBETTİ"))</f>
        <v/>
      </c>
    </row>
    <row r="905" customFormat="false" ht="15" hidden="false" customHeight="false" outlineLevel="0" collapsed="false">
      <c r="A905" s="23"/>
      <c r="B905" s="25"/>
      <c r="C905" s="26"/>
      <c r="D905" s="26"/>
      <c r="E905" s="26"/>
      <c r="F905" s="26"/>
      <c r="G905" s="0" t="str">
        <f aca="false">IF(OR($A905="",$E905="",$D905=""),"",IF($E905&lt;$D905,"EVET","HAYIR"))</f>
        <v/>
      </c>
      <c r="H905" s="0" t="str">
        <f aca="false">IF(OR($A905="",$E905="",$F905=""),"",IF($E905&lt;=$F905,"KAZANDI","KAYBETTİ"))</f>
        <v/>
      </c>
    </row>
    <row r="906" customFormat="false" ht="15" hidden="false" customHeight="false" outlineLevel="0" collapsed="false">
      <c r="A906" s="23"/>
      <c r="B906" s="25"/>
      <c r="C906" s="26"/>
      <c r="D906" s="26"/>
      <c r="E906" s="26"/>
      <c r="F906" s="26"/>
      <c r="G906" s="0" t="str">
        <f aca="false">IF(OR($A906="",$E906="",$D906=""),"",IF($E906&lt;$D906,"EVET","HAYIR"))</f>
        <v/>
      </c>
      <c r="H906" s="0" t="str">
        <f aca="false">IF(OR($A906="",$E906="",$F906=""),"",IF($E906&lt;=$F906,"KAZANDI","KAYBETTİ"))</f>
        <v/>
      </c>
    </row>
    <row r="907" customFormat="false" ht="15" hidden="false" customHeight="false" outlineLevel="0" collapsed="false">
      <c r="A907" s="23"/>
      <c r="B907" s="25"/>
      <c r="C907" s="26"/>
      <c r="D907" s="26"/>
      <c r="E907" s="26"/>
      <c r="F907" s="26"/>
      <c r="G907" s="0" t="str">
        <f aca="false">IF(OR($A907="",$E907="",$D907=""),"",IF($E907&lt;$D907,"EVET","HAYIR"))</f>
        <v/>
      </c>
      <c r="H907" s="0" t="str">
        <f aca="false">IF(OR($A907="",$E907="",$F907=""),"",IF($E907&lt;=$F907,"KAZANDI","KAYBETTİ"))</f>
        <v/>
      </c>
    </row>
    <row r="908" customFormat="false" ht="15" hidden="false" customHeight="false" outlineLevel="0" collapsed="false">
      <c r="A908" s="23"/>
      <c r="B908" s="25"/>
      <c r="C908" s="26"/>
      <c r="D908" s="26"/>
      <c r="E908" s="26"/>
      <c r="F908" s="26"/>
      <c r="G908" s="0" t="str">
        <f aca="false">IF(OR($A908="",$E908="",$D908=""),"",IF($E908&lt;$D908,"EVET","HAYIR"))</f>
        <v/>
      </c>
      <c r="H908" s="0" t="str">
        <f aca="false">IF(OR($A908="",$E908="",$F908=""),"",IF($E908&lt;=$F908,"KAZANDI","KAYBETTİ"))</f>
        <v/>
      </c>
    </row>
    <row r="909" customFormat="false" ht="15" hidden="false" customHeight="false" outlineLevel="0" collapsed="false">
      <c r="A909" s="23"/>
      <c r="B909" s="25"/>
      <c r="C909" s="26"/>
      <c r="D909" s="26"/>
      <c r="E909" s="26"/>
      <c r="F909" s="26"/>
      <c r="G909" s="0" t="str">
        <f aca="false">IF(OR($A909="",$E909="",$D909=""),"",IF($E909&lt;$D909,"EVET","HAYIR"))</f>
        <v/>
      </c>
      <c r="H909" s="0" t="str">
        <f aca="false">IF(OR($A909="",$E909="",$F909=""),"",IF($E909&lt;=$F909,"KAZANDI","KAYBETTİ"))</f>
        <v/>
      </c>
    </row>
    <row r="910" customFormat="false" ht="15" hidden="false" customHeight="false" outlineLevel="0" collapsed="false">
      <c r="A910" s="23"/>
      <c r="B910" s="25"/>
      <c r="C910" s="26"/>
      <c r="D910" s="26"/>
      <c r="E910" s="26"/>
      <c r="F910" s="26"/>
      <c r="G910" s="0" t="str">
        <f aca="false">IF(OR($A910="",$E910="",$D910=""),"",IF($E910&lt;$D910,"EVET","HAYIR"))</f>
        <v/>
      </c>
      <c r="H910" s="0" t="str">
        <f aca="false">IF(OR($A910="",$E910="",$F910=""),"",IF($E910&lt;=$F910,"KAZANDI","KAYBETTİ"))</f>
        <v/>
      </c>
    </row>
    <row r="911" customFormat="false" ht="15" hidden="false" customHeight="false" outlineLevel="0" collapsed="false">
      <c r="A911" s="23"/>
      <c r="B911" s="25"/>
      <c r="C911" s="26"/>
      <c r="D911" s="26"/>
      <c r="E911" s="26"/>
      <c r="F911" s="26"/>
      <c r="G911" s="0" t="str">
        <f aca="false">IF(OR($A911="",$E911="",$D911=""),"",IF($E911&lt;$D911,"EVET","HAYIR"))</f>
        <v/>
      </c>
      <c r="H911" s="0" t="str">
        <f aca="false">IF(OR($A911="",$E911="",$F911=""),"",IF($E911&lt;=$F911,"KAZANDI","KAYBETTİ"))</f>
        <v/>
      </c>
    </row>
    <row r="912" customFormat="false" ht="15" hidden="false" customHeight="false" outlineLevel="0" collapsed="false">
      <c r="A912" s="23"/>
      <c r="B912" s="25"/>
      <c r="C912" s="26"/>
      <c r="D912" s="26"/>
      <c r="E912" s="26"/>
      <c r="F912" s="26"/>
      <c r="G912" s="0" t="str">
        <f aca="false">IF(OR($A912="",$E912="",$D912=""),"",IF($E912&lt;$D912,"EVET","HAYIR"))</f>
        <v/>
      </c>
      <c r="H912" s="0" t="str">
        <f aca="false">IF(OR($A912="",$E912="",$F912=""),"",IF($E912&lt;=$F912,"KAZANDI","KAYBETTİ"))</f>
        <v/>
      </c>
    </row>
    <row r="913" customFormat="false" ht="15" hidden="false" customHeight="false" outlineLevel="0" collapsed="false">
      <c r="A913" s="23"/>
      <c r="B913" s="25"/>
      <c r="C913" s="26"/>
      <c r="D913" s="26"/>
      <c r="E913" s="26"/>
      <c r="F913" s="26"/>
      <c r="G913" s="0" t="str">
        <f aca="false">IF(OR($A913="",$E913="",$D913=""),"",IF($E913&lt;$D913,"EVET","HAYIR"))</f>
        <v/>
      </c>
      <c r="H913" s="0" t="str">
        <f aca="false">IF(OR($A913="",$E913="",$F913=""),"",IF($E913&lt;=$F913,"KAZANDI","KAYBETTİ"))</f>
        <v/>
      </c>
    </row>
    <row r="914" customFormat="false" ht="15" hidden="false" customHeight="false" outlineLevel="0" collapsed="false">
      <c r="A914" s="23"/>
      <c r="B914" s="25"/>
      <c r="C914" s="26"/>
      <c r="D914" s="26"/>
      <c r="E914" s="26"/>
      <c r="F914" s="26"/>
      <c r="G914" s="0" t="str">
        <f aca="false">IF(OR($A914="",$E914="",$D914=""),"",IF($E914&lt;$D914,"EVET","HAYIR"))</f>
        <v/>
      </c>
      <c r="H914" s="0" t="str">
        <f aca="false">IF(OR($A914="",$E914="",$F914=""),"",IF($E914&lt;=$F914,"KAZANDI","KAYBETTİ"))</f>
        <v/>
      </c>
    </row>
    <row r="915" customFormat="false" ht="15" hidden="false" customHeight="false" outlineLevel="0" collapsed="false">
      <c r="A915" s="23"/>
      <c r="B915" s="25"/>
      <c r="C915" s="26"/>
      <c r="D915" s="26"/>
      <c r="E915" s="26"/>
      <c r="F915" s="26"/>
      <c r="G915" s="0" t="str">
        <f aca="false">IF(OR($A915="",$E915="",$D915=""),"",IF($E915&lt;$D915,"EVET","HAYIR"))</f>
        <v/>
      </c>
      <c r="H915" s="0" t="str">
        <f aca="false">IF(OR($A915="",$E915="",$F915=""),"",IF($E915&lt;=$F915,"KAZANDI","KAYBETTİ"))</f>
        <v/>
      </c>
    </row>
    <row r="916" customFormat="false" ht="15" hidden="false" customHeight="false" outlineLevel="0" collapsed="false">
      <c r="A916" s="23"/>
      <c r="B916" s="25"/>
      <c r="C916" s="26"/>
      <c r="D916" s="26"/>
      <c r="E916" s="26"/>
      <c r="F916" s="26"/>
      <c r="G916" s="0" t="str">
        <f aca="false">IF(OR($A916="",$E916="",$D916=""),"",IF($E916&lt;$D916,"EVET","HAYIR"))</f>
        <v/>
      </c>
      <c r="H916" s="0" t="str">
        <f aca="false">IF(OR($A916="",$E916="",$F916=""),"",IF($E916&lt;=$F916,"KAZANDI","KAYBETTİ"))</f>
        <v/>
      </c>
    </row>
    <row r="917" customFormat="false" ht="15" hidden="false" customHeight="false" outlineLevel="0" collapsed="false">
      <c r="A917" s="23"/>
      <c r="B917" s="25"/>
      <c r="C917" s="26"/>
      <c r="D917" s="26"/>
      <c r="E917" s="26"/>
      <c r="F917" s="26"/>
      <c r="G917" s="0" t="str">
        <f aca="false">IF(OR($A917="",$E917="",$D917=""),"",IF($E917&lt;$D917,"EVET","HAYIR"))</f>
        <v/>
      </c>
      <c r="H917" s="0" t="str">
        <f aca="false">IF(OR($A917="",$E917="",$F917=""),"",IF($E917&lt;=$F917,"KAZANDI","KAYBETTİ"))</f>
        <v/>
      </c>
    </row>
    <row r="918" customFormat="false" ht="15" hidden="false" customHeight="false" outlineLevel="0" collapsed="false">
      <c r="A918" s="23"/>
      <c r="B918" s="25"/>
      <c r="C918" s="26"/>
      <c r="D918" s="26"/>
      <c r="E918" s="26"/>
      <c r="F918" s="26"/>
      <c r="G918" s="0" t="str">
        <f aca="false">IF(OR($A918="",$E918="",$D918=""),"",IF($E918&lt;$D918,"EVET","HAYIR"))</f>
        <v/>
      </c>
      <c r="H918" s="0" t="str">
        <f aca="false">IF(OR($A918="",$E918="",$F918=""),"",IF($E918&lt;=$F918,"KAZANDI","KAYBETTİ"))</f>
        <v/>
      </c>
    </row>
    <row r="919" customFormat="false" ht="15" hidden="false" customHeight="false" outlineLevel="0" collapsed="false">
      <c r="A919" s="23"/>
      <c r="B919" s="25"/>
      <c r="C919" s="26"/>
      <c r="D919" s="26"/>
      <c r="E919" s="26"/>
      <c r="F919" s="26"/>
      <c r="G919" s="0" t="str">
        <f aca="false">IF(OR($A919="",$E919="",$D919=""),"",IF($E919&lt;$D919,"EVET","HAYIR"))</f>
        <v/>
      </c>
      <c r="H919" s="0" t="str">
        <f aca="false">IF(OR($A919="",$E919="",$F919=""),"",IF($E919&lt;=$F919,"KAZANDI","KAYBETTİ"))</f>
        <v/>
      </c>
    </row>
    <row r="920" customFormat="false" ht="15" hidden="false" customHeight="false" outlineLevel="0" collapsed="false">
      <c r="A920" s="23"/>
      <c r="B920" s="25"/>
      <c r="C920" s="26"/>
      <c r="D920" s="26"/>
      <c r="E920" s="26"/>
      <c r="F920" s="26"/>
      <c r="G920" s="0" t="str">
        <f aca="false">IF(OR($A920="",$E920="",$D920=""),"",IF($E920&lt;$D920,"EVET","HAYIR"))</f>
        <v/>
      </c>
      <c r="H920" s="0" t="str">
        <f aca="false">IF(OR($A920="",$E920="",$F920=""),"",IF($E920&lt;=$F920,"KAZANDI","KAYBETTİ"))</f>
        <v/>
      </c>
    </row>
    <row r="921" customFormat="false" ht="15" hidden="false" customHeight="false" outlineLevel="0" collapsed="false">
      <c r="A921" s="23"/>
      <c r="B921" s="25"/>
      <c r="C921" s="26"/>
      <c r="D921" s="26"/>
      <c r="E921" s="26"/>
      <c r="F921" s="26"/>
      <c r="G921" s="0" t="str">
        <f aca="false">IF(OR($A921="",$E921="",$D921=""),"",IF($E921&lt;$D921,"EVET","HAYIR"))</f>
        <v/>
      </c>
      <c r="H921" s="0" t="str">
        <f aca="false">IF(OR($A921="",$E921="",$F921=""),"",IF($E921&lt;=$F921,"KAZANDI","KAYBETTİ"))</f>
        <v/>
      </c>
    </row>
    <row r="922" customFormat="false" ht="15" hidden="false" customHeight="false" outlineLevel="0" collapsed="false">
      <c r="A922" s="23"/>
      <c r="B922" s="25"/>
      <c r="C922" s="26"/>
      <c r="D922" s="26"/>
      <c r="E922" s="26"/>
      <c r="F922" s="26"/>
      <c r="G922" s="0" t="str">
        <f aca="false">IF(OR($A922="",$E922="",$D922=""),"",IF($E922&lt;$D922,"EVET","HAYIR"))</f>
        <v/>
      </c>
      <c r="H922" s="0" t="str">
        <f aca="false">IF(OR($A922="",$E922="",$F922=""),"",IF($E922&lt;=$F922,"KAZANDI","KAYBETTİ"))</f>
        <v/>
      </c>
    </row>
    <row r="923" customFormat="false" ht="15" hidden="false" customHeight="false" outlineLevel="0" collapsed="false">
      <c r="A923" s="23"/>
      <c r="B923" s="25"/>
      <c r="C923" s="26"/>
      <c r="D923" s="26"/>
      <c r="E923" s="26"/>
      <c r="F923" s="26"/>
      <c r="G923" s="0" t="str">
        <f aca="false">IF(OR($A923="",$E923="",$D923=""),"",IF($E923&lt;$D923,"EVET","HAYIR"))</f>
        <v/>
      </c>
      <c r="H923" s="0" t="str">
        <f aca="false">IF(OR($A923="",$E923="",$F923=""),"",IF($E923&lt;=$F923,"KAZANDI","KAYBETTİ"))</f>
        <v/>
      </c>
    </row>
    <row r="924" customFormat="false" ht="15" hidden="false" customHeight="false" outlineLevel="0" collapsed="false">
      <c r="A924" s="23"/>
      <c r="B924" s="25"/>
      <c r="C924" s="26"/>
      <c r="D924" s="26"/>
      <c r="E924" s="26"/>
      <c r="F924" s="26"/>
      <c r="G924" s="0" t="str">
        <f aca="false">IF(OR($A924="",$E924="",$D924=""),"",IF($E924&lt;$D924,"EVET","HAYIR"))</f>
        <v/>
      </c>
      <c r="H924" s="0" t="str">
        <f aca="false">IF(OR($A924="",$E924="",$F924=""),"",IF($E924&lt;=$F924,"KAZANDI","KAYBETTİ"))</f>
        <v/>
      </c>
    </row>
    <row r="925" customFormat="false" ht="15" hidden="false" customHeight="false" outlineLevel="0" collapsed="false">
      <c r="A925" s="23"/>
      <c r="B925" s="25"/>
      <c r="C925" s="26"/>
      <c r="D925" s="26"/>
      <c r="E925" s="26"/>
      <c r="F925" s="26"/>
      <c r="G925" s="0" t="str">
        <f aca="false">IF(OR($A925="",$E925="",$D925=""),"",IF($E925&lt;$D925,"EVET","HAYIR"))</f>
        <v/>
      </c>
      <c r="H925" s="0" t="str">
        <f aca="false">IF(OR($A925="",$E925="",$F925=""),"",IF($E925&lt;=$F925,"KAZANDI","KAYBETTİ"))</f>
        <v/>
      </c>
    </row>
    <row r="926" customFormat="false" ht="15" hidden="false" customHeight="false" outlineLevel="0" collapsed="false">
      <c r="A926" s="23"/>
      <c r="B926" s="25"/>
      <c r="C926" s="26"/>
      <c r="D926" s="26"/>
      <c r="E926" s="26"/>
      <c r="F926" s="26"/>
      <c r="G926" s="0" t="str">
        <f aca="false">IF(OR($A926="",$E926="",$D926=""),"",IF($E926&lt;$D926,"EVET","HAYIR"))</f>
        <v/>
      </c>
      <c r="H926" s="0" t="str">
        <f aca="false">IF(OR($A926="",$E926="",$F926=""),"",IF($E926&lt;=$F926,"KAZANDI","KAYBETTİ"))</f>
        <v/>
      </c>
    </row>
    <row r="927" customFormat="false" ht="15" hidden="false" customHeight="false" outlineLevel="0" collapsed="false">
      <c r="A927" s="23"/>
      <c r="B927" s="25"/>
      <c r="C927" s="26"/>
      <c r="D927" s="26"/>
      <c r="E927" s="26"/>
      <c r="F927" s="26"/>
      <c r="G927" s="0" t="str">
        <f aca="false">IF(OR($A927="",$E927="",$D927=""),"",IF($E927&lt;$D927,"EVET","HAYIR"))</f>
        <v/>
      </c>
      <c r="H927" s="0" t="str">
        <f aca="false">IF(OR($A927="",$E927="",$F927=""),"",IF($E927&lt;=$F927,"KAZANDI","KAYBETTİ"))</f>
        <v/>
      </c>
    </row>
    <row r="928" customFormat="false" ht="15" hidden="false" customHeight="false" outlineLevel="0" collapsed="false">
      <c r="A928" s="23"/>
      <c r="B928" s="25"/>
      <c r="C928" s="26"/>
      <c r="D928" s="26"/>
      <c r="E928" s="26"/>
      <c r="F928" s="26"/>
      <c r="G928" s="0" t="str">
        <f aca="false">IF(OR($A928="",$E928="",$D928=""),"",IF($E928&lt;$D928,"EVET","HAYIR"))</f>
        <v/>
      </c>
      <c r="H928" s="0" t="str">
        <f aca="false">IF(OR($A928="",$E928="",$F928=""),"",IF($E928&lt;=$F928,"KAZANDI","KAYBETTİ"))</f>
        <v/>
      </c>
    </row>
    <row r="929" customFormat="false" ht="15" hidden="false" customHeight="false" outlineLevel="0" collapsed="false">
      <c r="A929" s="23"/>
      <c r="B929" s="25"/>
      <c r="C929" s="26"/>
      <c r="D929" s="26"/>
      <c r="E929" s="26"/>
      <c r="F929" s="26"/>
      <c r="G929" s="0" t="str">
        <f aca="false">IF(OR($A929="",$E929="",$D929=""),"",IF($E929&lt;$D929,"EVET","HAYIR"))</f>
        <v/>
      </c>
      <c r="H929" s="0" t="str">
        <f aca="false">IF(OR($A929="",$E929="",$F929=""),"",IF($E929&lt;=$F929,"KAZANDI","KAYBETTİ"))</f>
        <v/>
      </c>
    </row>
    <row r="930" customFormat="false" ht="15" hidden="false" customHeight="false" outlineLevel="0" collapsed="false">
      <c r="A930" s="23"/>
      <c r="B930" s="25"/>
      <c r="C930" s="26"/>
      <c r="D930" s="26"/>
      <c r="E930" s="26"/>
      <c r="F930" s="26"/>
      <c r="G930" s="0" t="str">
        <f aca="false">IF(OR($A930="",$E930="",$D930=""),"",IF($E930&lt;$D930,"EVET","HAYIR"))</f>
        <v/>
      </c>
      <c r="H930" s="0" t="str">
        <f aca="false">IF(OR($A930="",$E930="",$F930=""),"",IF($E930&lt;=$F930,"KAZANDI","KAYBETTİ"))</f>
        <v/>
      </c>
    </row>
    <row r="931" customFormat="false" ht="15" hidden="false" customHeight="false" outlineLevel="0" collapsed="false">
      <c r="A931" s="23"/>
      <c r="B931" s="25"/>
      <c r="C931" s="26"/>
      <c r="D931" s="26"/>
      <c r="E931" s="26"/>
      <c r="F931" s="26"/>
      <c r="G931" s="0" t="str">
        <f aca="false">IF(OR($A931="",$E931="",$D931=""),"",IF($E931&lt;$D931,"EVET","HAYIR"))</f>
        <v/>
      </c>
      <c r="H931" s="0" t="str">
        <f aca="false">IF(OR($A931="",$E931="",$F931=""),"",IF($E931&lt;=$F931,"KAZANDI","KAYBETTİ"))</f>
        <v/>
      </c>
    </row>
    <row r="932" customFormat="false" ht="15" hidden="false" customHeight="false" outlineLevel="0" collapsed="false">
      <c r="A932" s="23"/>
      <c r="B932" s="25"/>
      <c r="C932" s="26"/>
      <c r="D932" s="26"/>
      <c r="E932" s="26"/>
      <c r="F932" s="26"/>
      <c r="G932" s="0" t="str">
        <f aca="false">IF(OR($A932="",$E932="",$D932=""),"",IF($E932&lt;$D932,"EVET","HAYIR"))</f>
        <v/>
      </c>
      <c r="H932" s="0" t="str">
        <f aca="false">IF(OR($A932="",$E932="",$F932=""),"",IF($E932&lt;=$F932,"KAZANDI","KAYBETTİ"))</f>
        <v/>
      </c>
    </row>
    <row r="933" customFormat="false" ht="15" hidden="false" customHeight="false" outlineLevel="0" collapsed="false">
      <c r="A933" s="23"/>
      <c r="B933" s="25"/>
      <c r="C933" s="26"/>
      <c r="D933" s="26"/>
      <c r="E933" s="26"/>
      <c r="F933" s="26"/>
      <c r="G933" s="0" t="str">
        <f aca="false">IF(OR($A933="",$E933="",$D933=""),"",IF($E933&lt;$D933,"EVET","HAYIR"))</f>
        <v/>
      </c>
      <c r="H933" s="0" t="str">
        <f aca="false">IF(OR($A933="",$E933="",$F933=""),"",IF($E933&lt;=$F933,"KAZANDI","KAYBETTİ"))</f>
        <v/>
      </c>
    </row>
    <row r="934" customFormat="false" ht="15" hidden="false" customHeight="false" outlineLevel="0" collapsed="false">
      <c r="A934" s="23"/>
      <c r="B934" s="25"/>
      <c r="C934" s="26"/>
      <c r="D934" s="26"/>
      <c r="E934" s="26"/>
      <c r="F934" s="26"/>
      <c r="G934" s="0" t="str">
        <f aca="false">IF(OR($A934="",$E934="",$D934=""),"",IF($E934&lt;$D934,"EVET","HAYIR"))</f>
        <v/>
      </c>
      <c r="H934" s="0" t="str">
        <f aca="false">IF(OR($A934="",$E934="",$F934=""),"",IF($E934&lt;=$F934,"KAZANDI","KAYBETTİ"))</f>
        <v/>
      </c>
    </row>
    <row r="935" customFormat="false" ht="15" hidden="false" customHeight="false" outlineLevel="0" collapsed="false">
      <c r="A935" s="23"/>
      <c r="B935" s="25"/>
      <c r="C935" s="26"/>
      <c r="D935" s="26"/>
      <c r="E935" s="26"/>
      <c r="F935" s="26"/>
      <c r="G935" s="0" t="str">
        <f aca="false">IF(OR($A935="",$E935="",$D935=""),"",IF($E935&lt;$D935,"EVET","HAYIR"))</f>
        <v/>
      </c>
      <c r="H935" s="0" t="str">
        <f aca="false">IF(OR($A935="",$E935="",$F935=""),"",IF($E935&lt;=$F935,"KAZANDI","KAYBETTİ"))</f>
        <v/>
      </c>
    </row>
    <row r="936" customFormat="false" ht="15" hidden="false" customHeight="false" outlineLevel="0" collapsed="false">
      <c r="A936" s="23"/>
      <c r="B936" s="25"/>
      <c r="C936" s="26"/>
      <c r="D936" s="26"/>
      <c r="E936" s="26"/>
      <c r="F936" s="26"/>
      <c r="G936" s="0" t="str">
        <f aca="false">IF(OR($A936="",$E936="",$D936=""),"",IF($E936&lt;$D936,"EVET","HAYIR"))</f>
        <v/>
      </c>
      <c r="H936" s="0" t="str">
        <f aca="false">IF(OR($A936="",$E936="",$F936=""),"",IF($E936&lt;=$F936,"KAZANDI","KAYBETTİ"))</f>
        <v/>
      </c>
    </row>
    <row r="937" customFormat="false" ht="15" hidden="false" customHeight="false" outlineLevel="0" collapsed="false">
      <c r="A937" s="23"/>
      <c r="B937" s="25"/>
      <c r="C937" s="26"/>
      <c r="D937" s="26"/>
      <c r="E937" s="26"/>
      <c r="F937" s="26"/>
      <c r="G937" s="0" t="str">
        <f aca="false">IF(OR($A937="",$E937="",$D937=""),"",IF($E937&lt;$D937,"EVET","HAYIR"))</f>
        <v/>
      </c>
      <c r="H937" s="0" t="str">
        <f aca="false">IF(OR($A937="",$E937="",$F937=""),"",IF($E937&lt;=$F937,"KAZANDI","KAYBETTİ"))</f>
        <v/>
      </c>
    </row>
    <row r="938" customFormat="false" ht="15" hidden="false" customHeight="false" outlineLevel="0" collapsed="false">
      <c r="A938" s="23"/>
      <c r="B938" s="25"/>
      <c r="C938" s="26"/>
      <c r="D938" s="26"/>
      <c r="E938" s="26"/>
      <c r="F938" s="26"/>
      <c r="G938" s="0" t="str">
        <f aca="false">IF(OR($A938="",$E938="",$D938=""),"",IF($E938&lt;$D938,"EVET","HAYIR"))</f>
        <v/>
      </c>
      <c r="H938" s="0" t="str">
        <f aca="false">IF(OR($A938="",$E938="",$F938=""),"",IF($E938&lt;=$F938,"KAZANDI","KAYBETTİ"))</f>
        <v/>
      </c>
    </row>
    <row r="939" customFormat="false" ht="15" hidden="false" customHeight="false" outlineLevel="0" collapsed="false">
      <c r="A939" s="23"/>
      <c r="B939" s="25"/>
      <c r="C939" s="26"/>
      <c r="D939" s="26"/>
      <c r="E939" s="26"/>
      <c r="F939" s="26"/>
      <c r="G939" s="0" t="str">
        <f aca="false">IF(OR($A939="",$E939="",$D939=""),"",IF($E939&lt;$D939,"EVET","HAYIR"))</f>
        <v/>
      </c>
      <c r="H939" s="0" t="str">
        <f aca="false">IF(OR($A939="",$E939="",$F939=""),"",IF($E939&lt;=$F939,"KAZANDI","KAYBETTİ"))</f>
        <v/>
      </c>
    </row>
    <row r="940" customFormat="false" ht="15" hidden="false" customHeight="false" outlineLevel="0" collapsed="false">
      <c r="A940" s="23"/>
      <c r="B940" s="25"/>
      <c r="C940" s="26"/>
      <c r="D940" s="26"/>
      <c r="E940" s="26"/>
      <c r="F940" s="26"/>
      <c r="G940" s="0" t="str">
        <f aca="false">IF(OR($A940="",$E940="",$D940=""),"",IF($E940&lt;$D940,"EVET","HAYIR"))</f>
        <v/>
      </c>
      <c r="H940" s="0" t="str">
        <f aca="false">IF(OR($A940="",$E940="",$F940=""),"",IF($E940&lt;=$F940,"KAZANDI","KAYBETTİ"))</f>
        <v/>
      </c>
    </row>
    <row r="941" customFormat="false" ht="15" hidden="false" customHeight="false" outlineLevel="0" collapsed="false">
      <c r="A941" s="23"/>
      <c r="B941" s="25"/>
      <c r="C941" s="26"/>
      <c r="D941" s="26"/>
      <c r="E941" s="26"/>
      <c r="F941" s="26"/>
      <c r="G941" s="0" t="str">
        <f aca="false">IF(OR($A941="",$E941="",$D941=""),"",IF($E941&lt;$D941,"EVET","HAYIR"))</f>
        <v/>
      </c>
      <c r="H941" s="0" t="str">
        <f aca="false">IF(OR($A941="",$E941="",$F941=""),"",IF($E941&lt;=$F941,"KAZANDI","KAYBETTİ"))</f>
        <v/>
      </c>
    </row>
    <row r="942" customFormat="false" ht="15" hidden="false" customHeight="false" outlineLevel="0" collapsed="false">
      <c r="A942" s="23"/>
      <c r="B942" s="25"/>
      <c r="C942" s="26"/>
      <c r="D942" s="26"/>
      <c r="E942" s="26"/>
      <c r="F942" s="26"/>
      <c r="G942" s="0" t="str">
        <f aca="false">IF(OR($A942="",$E942="",$D942=""),"",IF($E942&lt;$D942,"EVET","HAYIR"))</f>
        <v/>
      </c>
      <c r="H942" s="0" t="str">
        <f aca="false">IF(OR($A942="",$E942="",$F942=""),"",IF($E942&lt;=$F942,"KAZANDI","KAYBETTİ"))</f>
        <v/>
      </c>
    </row>
    <row r="943" customFormat="false" ht="15" hidden="false" customHeight="false" outlineLevel="0" collapsed="false">
      <c r="A943" s="23"/>
      <c r="B943" s="25"/>
      <c r="C943" s="26"/>
      <c r="D943" s="26"/>
      <c r="E943" s="26"/>
      <c r="F943" s="26"/>
      <c r="G943" s="0" t="str">
        <f aca="false">IF(OR($A943="",$E943="",$D943=""),"",IF($E943&lt;$D943,"EVET","HAYIR"))</f>
        <v/>
      </c>
      <c r="H943" s="0" t="str">
        <f aca="false">IF(OR($A943="",$E943="",$F943=""),"",IF($E943&lt;=$F943,"KAZANDI","KAYBETTİ"))</f>
        <v/>
      </c>
    </row>
    <row r="944" customFormat="false" ht="15" hidden="false" customHeight="false" outlineLevel="0" collapsed="false">
      <c r="A944" s="23"/>
      <c r="B944" s="25"/>
      <c r="C944" s="26"/>
      <c r="D944" s="26"/>
      <c r="E944" s="26"/>
      <c r="F944" s="26"/>
      <c r="G944" s="0" t="str">
        <f aca="false">IF(OR($A944="",$E944="",$D944=""),"",IF($E944&lt;$D944,"EVET","HAYIR"))</f>
        <v/>
      </c>
      <c r="H944" s="0" t="str">
        <f aca="false">IF(OR($A944="",$E944="",$F944=""),"",IF($E944&lt;=$F944,"KAZANDI","KAYBETTİ"))</f>
        <v/>
      </c>
    </row>
    <row r="945" customFormat="false" ht="15" hidden="false" customHeight="false" outlineLevel="0" collapsed="false">
      <c r="A945" s="23"/>
      <c r="B945" s="25"/>
      <c r="C945" s="26"/>
      <c r="D945" s="26"/>
      <c r="E945" s="26"/>
      <c r="F945" s="26"/>
      <c r="G945" s="0" t="str">
        <f aca="false">IF(OR($A945="",$E945="",$D945=""),"",IF($E945&lt;$D945,"EVET","HAYIR"))</f>
        <v/>
      </c>
      <c r="H945" s="0" t="str">
        <f aca="false">IF(OR($A945="",$E945="",$F945=""),"",IF($E945&lt;=$F945,"KAZANDI","KAYBETTİ"))</f>
        <v/>
      </c>
    </row>
    <row r="946" customFormat="false" ht="15" hidden="false" customHeight="false" outlineLevel="0" collapsed="false">
      <c r="A946" s="23"/>
      <c r="B946" s="25"/>
      <c r="C946" s="26"/>
      <c r="D946" s="26"/>
      <c r="E946" s="26"/>
      <c r="F946" s="26"/>
      <c r="G946" s="0" t="str">
        <f aca="false">IF(OR($A946="",$E946="",$D946=""),"",IF($E946&lt;$D946,"EVET","HAYIR"))</f>
        <v/>
      </c>
      <c r="H946" s="0" t="str">
        <f aca="false">IF(OR($A946="",$E946="",$F946=""),"",IF($E946&lt;=$F946,"KAZANDI","KAYBETTİ"))</f>
        <v/>
      </c>
    </row>
    <row r="947" customFormat="false" ht="15" hidden="false" customHeight="false" outlineLevel="0" collapsed="false">
      <c r="A947" s="23"/>
      <c r="B947" s="25"/>
      <c r="C947" s="26"/>
      <c r="D947" s="26"/>
      <c r="E947" s="26"/>
      <c r="F947" s="26"/>
      <c r="G947" s="0" t="str">
        <f aca="false">IF(OR($A947="",$E947="",$D947=""),"",IF($E947&lt;$D947,"EVET","HAYIR"))</f>
        <v/>
      </c>
      <c r="H947" s="0" t="str">
        <f aca="false">IF(OR($A947="",$E947="",$F947=""),"",IF($E947&lt;=$F947,"KAZANDI","KAYBETTİ"))</f>
        <v/>
      </c>
    </row>
    <row r="948" customFormat="false" ht="15" hidden="false" customHeight="false" outlineLevel="0" collapsed="false">
      <c r="A948" s="23"/>
      <c r="B948" s="25"/>
      <c r="C948" s="26"/>
      <c r="D948" s="26"/>
      <c r="E948" s="26"/>
      <c r="F948" s="26"/>
      <c r="G948" s="0" t="str">
        <f aca="false">IF(OR($A948="",$E948="",$D948=""),"",IF($E948&lt;$D948,"EVET","HAYIR"))</f>
        <v/>
      </c>
      <c r="H948" s="0" t="str">
        <f aca="false">IF(OR($A948="",$E948="",$F948=""),"",IF($E948&lt;=$F948,"KAZANDI","KAYBETTİ"))</f>
        <v/>
      </c>
    </row>
    <row r="949" customFormat="false" ht="15" hidden="false" customHeight="false" outlineLevel="0" collapsed="false">
      <c r="A949" s="23"/>
      <c r="B949" s="25"/>
      <c r="C949" s="26"/>
      <c r="D949" s="26"/>
      <c r="E949" s="26"/>
      <c r="F949" s="26"/>
      <c r="G949" s="0" t="str">
        <f aca="false">IF(OR($A949="",$E949="",$D949=""),"",IF($E949&lt;$D949,"EVET","HAYIR"))</f>
        <v/>
      </c>
      <c r="H949" s="0" t="str">
        <f aca="false">IF(OR($A949="",$E949="",$F949=""),"",IF($E949&lt;=$F949,"KAZANDI","KAYBETTİ"))</f>
        <v/>
      </c>
    </row>
    <row r="950" customFormat="false" ht="15" hidden="false" customHeight="false" outlineLevel="0" collapsed="false">
      <c r="A950" s="23"/>
      <c r="B950" s="25"/>
      <c r="C950" s="26"/>
      <c r="D950" s="26"/>
      <c r="E950" s="26"/>
      <c r="F950" s="26"/>
      <c r="G950" s="0" t="str">
        <f aca="false">IF(OR($A950="",$E950="",$D950=""),"",IF($E950&lt;$D950,"EVET","HAYIR"))</f>
        <v/>
      </c>
      <c r="H950" s="0" t="str">
        <f aca="false">IF(OR($A950="",$E950="",$F950=""),"",IF($E950&lt;=$F950,"KAZANDI","KAYBETTİ"))</f>
        <v/>
      </c>
    </row>
    <row r="951" customFormat="false" ht="15" hidden="false" customHeight="false" outlineLevel="0" collapsed="false">
      <c r="A951" s="23"/>
      <c r="B951" s="25"/>
      <c r="C951" s="26"/>
      <c r="D951" s="26"/>
      <c r="E951" s="26"/>
      <c r="F951" s="26"/>
      <c r="G951" s="0" t="str">
        <f aca="false">IF(OR($A951="",$E951="",$D951=""),"",IF($E951&lt;$D951,"EVET","HAYIR"))</f>
        <v/>
      </c>
      <c r="H951" s="0" t="str">
        <f aca="false">IF(OR($A951="",$E951="",$F951=""),"",IF($E951&lt;=$F951,"KAZANDI","KAYBETTİ"))</f>
        <v/>
      </c>
    </row>
    <row r="952" customFormat="false" ht="15" hidden="false" customHeight="false" outlineLevel="0" collapsed="false">
      <c r="A952" s="23"/>
      <c r="B952" s="25"/>
      <c r="C952" s="26"/>
      <c r="D952" s="26"/>
      <c r="E952" s="26"/>
      <c r="F952" s="26"/>
      <c r="G952" s="0" t="str">
        <f aca="false">IF(OR($A952="",$E952="",$D952=""),"",IF($E952&lt;$D952,"EVET","HAYIR"))</f>
        <v/>
      </c>
      <c r="H952" s="0" t="str">
        <f aca="false">IF(OR($A952="",$E952="",$F952=""),"",IF($E952&lt;=$F952,"KAZANDI","KAYBETTİ"))</f>
        <v/>
      </c>
    </row>
    <row r="953" customFormat="false" ht="15" hidden="false" customHeight="false" outlineLevel="0" collapsed="false">
      <c r="A953" s="23"/>
      <c r="B953" s="25"/>
      <c r="C953" s="26"/>
      <c r="D953" s="26"/>
      <c r="E953" s="26"/>
      <c r="F953" s="26"/>
      <c r="G953" s="0" t="str">
        <f aca="false">IF(OR($A953="",$E953="",$D953=""),"",IF($E953&lt;$D953,"EVET","HAYIR"))</f>
        <v/>
      </c>
      <c r="H953" s="0" t="str">
        <f aca="false">IF(OR($A953="",$E953="",$F953=""),"",IF($E953&lt;=$F953,"KAZANDI","KAYBETTİ"))</f>
        <v/>
      </c>
    </row>
    <row r="954" customFormat="false" ht="15" hidden="false" customHeight="false" outlineLevel="0" collapsed="false">
      <c r="A954" s="23"/>
      <c r="B954" s="25"/>
      <c r="C954" s="26"/>
      <c r="D954" s="26"/>
      <c r="E954" s="26"/>
      <c r="F954" s="26"/>
      <c r="G954" s="0" t="str">
        <f aca="false">IF(OR($A954="",$E954="",$D954=""),"",IF($E954&lt;$D954,"EVET","HAYIR"))</f>
        <v/>
      </c>
      <c r="H954" s="0" t="str">
        <f aca="false">IF(OR($A954="",$E954="",$F954=""),"",IF($E954&lt;=$F954,"KAZANDI","KAYBETTİ"))</f>
        <v/>
      </c>
    </row>
    <row r="955" customFormat="false" ht="15" hidden="false" customHeight="false" outlineLevel="0" collapsed="false">
      <c r="A955" s="23"/>
      <c r="B955" s="25"/>
      <c r="C955" s="26"/>
      <c r="D955" s="26"/>
      <c r="E955" s="26"/>
      <c r="F955" s="26"/>
      <c r="G955" s="0" t="str">
        <f aca="false">IF(OR($A955="",$E955="",$D955=""),"",IF($E955&lt;$D955,"EVET","HAYIR"))</f>
        <v/>
      </c>
      <c r="H955" s="0" t="str">
        <f aca="false">IF(OR($A955="",$E955="",$F955=""),"",IF($E955&lt;=$F955,"KAZANDI","KAYBETTİ"))</f>
        <v/>
      </c>
    </row>
    <row r="956" customFormat="false" ht="15" hidden="false" customHeight="false" outlineLevel="0" collapsed="false">
      <c r="A956" s="23"/>
      <c r="B956" s="25"/>
      <c r="C956" s="26"/>
      <c r="D956" s="26"/>
      <c r="E956" s="26"/>
      <c r="F956" s="26"/>
      <c r="G956" s="0" t="str">
        <f aca="false">IF(OR($A956="",$E956="",$D956=""),"",IF($E956&lt;$D956,"EVET","HAYIR"))</f>
        <v/>
      </c>
      <c r="H956" s="0" t="str">
        <f aca="false">IF(OR($A956="",$E956="",$F956=""),"",IF($E956&lt;=$F956,"KAZANDI","KAYBETTİ"))</f>
        <v/>
      </c>
    </row>
    <row r="957" customFormat="false" ht="15" hidden="false" customHeight="false" outlineLevel="0" collapsed="false">
      <c r="A957" s="23"/>
      <c r="B957" s="25"/>
      <c r="C957" s="26"/>
      <c r="D957" s="26"/>
      <c r="E957" s="26"/>
      <c r="F957" s="26"/>
      <c r="G957" s="0" t="str">
        <f aca="false">IF(OR($A957="",$E957="",$D957=""),"",IF($E957&lt;$D957,"EVET","HAYIR"))</f>
        <v/>
      </c>
      <c r="H957" s="0" t="str">
        <f aca="false">IF(OR($A957="",$E957="",$F957=""),"",IF($E957&lt;=$F957,"KAZANDI","KAYBETTİ"))</f>
        <v/>
      </c>
    </row>
    <row r="958" customFormat="false" ht="15" hidden="false" customHeight="false" outlineLevel="0" collapsed="false">
      <c r="A958" s="23"/>
      <c r="B958" s="25"/>
      <c r="C958" s="26"/>
      <c r="D958" s="26"/>
      <c r="E958" s="26"/>
      <c r="F958" s="26"/>
      <c r="G958" s="0" t="str">
        <f aca="false">IF(OR($A958="",$E958="",$D958=""),"",IF($E958&lt;$D958,"EVET","HAYIR"))</f>
        <v/>
      </c>
      <c r="H958" s="0" t="str">
        <f aca="false">IF(OR($A958="",$E958="",$F958=""),"",IF($E958&lt;=$F958,"KAZANDI","KAYBETTİ"))</f>
        <v/>
      </c>
    </row>
    <row r="959" customFormat="false" ht="15" hidden="false" customHeight="false" outlineLevel="0" collapsed="false">
      <c r="A959" s="23"/>
      <c r="B959" s="25"/>
      <c r="C959" s="26"/>
      <c r="D959" s="26"/>
      <c r="E959" s="26"/>
      <c r="F959" s="26"/>
      <c r="G959" s="0" t="str">
        <f aca="false">IF(OR($A959="",$E959="",$D959=""),"",IF($E959&lt;$D959,"EVET","HAYIR"))</f>
        <v/>
      </c>
      <c r="H959" s="0" t="str">
        <f aca="false">IF(OR($A959="",$E959="",$F959=""),"",IF($E959&lt;=$F959,"KAZANDI","KAYBETTİ"))</f>
        <v/>
      </c>
    </row>
    <row r="960" customFormat="false" ht="15" hidden="false" customHeight="false" outlineLevel="0" collapsed="false">
      <c r="A960" s="23"/>
      <c r="B960" s="25"/>
      <c r="C960" s="26"/>
      <c r="D960" s="26"/>
      <c r="E960" s="26"/>
      <c r="F960" s="26"/>
      <c r="G960" s="0" t="str">
        <f aca="false">IF(OR($A960="",$E960="",$D960=""),"",IF($E960&lt;$D960,"EVET","HAYIR"))</f>
        <v/>
      </c>
      <c r="H960" s="0" t="str">
        <f aca="false">IF(OR($A960="",$E960="",$F960=""),"",IF($E960&lt;=$F960,"KAZANDI","KAYBETTİ"))</f>
        <v/>
      </c>
    </row>
    <row r="961" customFormat="false" ht="15" hidden="false" customHeight="false" outlineLevel="0" collapsed="false">
      <c r="A961" s="23"/>
      <c r="B961" s="25"/>
      <c r="C961" s="26"/>
      <c r="D961" s="26"/>
      <c r="E961" s="26"/>
      <c r="F961" s="26"/>
      <c r="G961" s="0" t="str">
        <f aca="false">IF(OR($A961="",$E961="",$D961=""),"",IF($E961&lt;$D961,"EVET","HAYIR"))</f>
        <v/>
      </c>
      <c r="H961" s="0" t="str">
        <f aca="false">IF(OR($A961="",$E961="",$F961=""),"",IF($E961&lt;=$F961,"KAZANDI","KAYBETTİ"))</f>
        <v/>
      </c>
    </row>
    <row r="962" customFormat="false" ht="15" hidden="false" customHeight="false" outlineLevel="0" collapsed="false">
      <c r="A962" s="23"/>
      <c r="B962" s="25"/>
      <c r="C962" s="26"/>
      <c r="D962" s="26"/>
      <c r="E962" s="26"/>
      <c r="F962" s="26"/>
      <c r="G962" s="0" t="str">
        <f aca="false">IF(OR($A962="",$E962="",$D962=""),"",IF($E962&lt;$D962,"EVET","HAYIR"))</f>
        <v/>
      </c>
      <c r="H962" s="0" t="str">
        <f aca="false">IF(OR($A962="",$E962="",$F962=""),"",IF($E962&lt;=$F962,"KAZANDI","KAYBETTİ"))</f>
        <v/>
      </c>
    </row>
    <row r="963" customFormat="false" ht="15" hidden="false" customHeight="false" outlineLevel="0" collapsed="false">
      <c r="A963" s="23"/>
      <c r="B963" s="25"/>
      <c r="C963" s="26"/>
      <c r="D963" s="26"/>
      <c r="E963" s="26"/>
      <c r="F963" s="26"/>
      <c r="G963" s="0" t="str">
        <f aca="false">IF(OR($A963="",$E963="",$D963=""),"",IF($E963&lt;$D963,"EVET","HAYIR"))</f>
        <v/>
      </c>
      <c r="H963" s="0" t="str">
        <f aca="false">IF(OR($A963="",$E963="",$F963=""),"",IF($E963&lt;=$F963,"KAZANDI","KAYBETTİ"))</f>
        <v/>
      </c>
    </row>
    <row r="964" customFormat="false" ht="15" hidden="false" customHeight="false" outlineLevel="0" collapsed="false">
      <c r="A964" s="23"/>
      <c r="B964" s="25"/>
      <c r="C964" s="26"/>
      <c r="D964" s="26"/>
      <c r="E964" s="26"/>
      <c r="F964" s="26"/>
      <c r="G964" s="0" t="str">
        <f aca="false">IF(OR($A964="",$E964="",$D964=""),"",IF($E964&lt;$D964,"EVET","HAYIR"))</f>
        <v/>
      </c>
      <c r="H964" s="0" t="str">
        <f aca="false">IF(OR($A964="",$E964="",$F964=""),"",IF($E964&lt;=$F964,"KAZANDI","KAYBETTİ"))</f>
        <v/>
      </c>
    </row>
    <row r="965" customFormat="false" ht="15" hidden="false" customHeight="false" outlineLevel="0" collapsed="false">
      <c r="A965" s="23"/>
      <c r="B965" s="25"/>
      <c r="C965" s="26"/>
      <c r="D965" s="26"/>
      <c r="E965" s="26"/>
      <c r="F965" s="26"/>
      <c r="G965" s="0" t="str">
        <f aca="false">IF(OR($A965="",$E965="",$D965=""),"",IF($E965&lt;$D965,"EVET","HAYIR"))</f>
        <v/>
      </c>
      <c r="H965" s="0" t="str">
        <f aca="false">IF(OR($A965="",$E965="",$F965=""),"",IF($E965&lt;=$F965,"KAZANDI","KAYBETTİ"))</f>
        <v/>
      </c>
    </row>
    <row r="966" customFormat="false" ht="15" hidden="false" customHeight="false" outlineLevel="0" collapsed="false">
      <c r="A966" s="23"/>
      <c r="B966" s="25"/>
      <c r="C966" s="26"/>
      <c r="D966" s="26"/>
      <c r="E966" s="26"/>
      <c r="F966" s="26"/>
      <c r="G966" s="0" t="str">
        <f aca="false">IF(OR($A966="",$E966="",$D966=""),"",IF($E966&lt;$D966,"EVET","HAYIR"))</f>
        <v/>
      </c>
      <c r="H966" s="0" t="str">
        <f aca="false">IF(OR($A966="",$E966="",$F966=""),"",IF($E966&lt;=$F966,"KAZANDI","KAYBETTİ"))</f>
        <v/>
      </c>
    </row>
    <row r="967" customFormat="false" ht="15" hidden="false" customHeight="false" outlineLevel="0" collapsed="false">
      <c r="A967" s="23"/>
      <c r="B967" s="25"/>
      <c r="C967" s="26"/>
      <c r="D967" s="26"/>
      <c r="E967" s="26"/>
      <c r="F967" s="26"/>
      <c r="G967" s="0" t="str">
        <f aca="false">IF(OR($A967="",$E967="",$D967=""),"",IF($E967&lt;$D967,"EVET","HAYIR"))</f>
        <v/>
      </c>
      <c r="H967" s="0" t="str">
        <f aca="false">IF(OR($A967="",$E967="",$F967=""),"",IF($E967&lt;=$F967,"KAZANDI","KAYBETTİ"))</f>
        <v/>
      </c>
    </row>
    <row r="968" customFormat="false" ht="15" hidden="false" customHeight="false" outlineLevel="0" collapsed="false">
      <c r="A968" s="23"/>
      <c r="B968" s="25"/>
      <c r="C968" s="26"/>
      <c r="D968" s="26"/>
      <c r="E968" s="26"/>
      <c r="F968" s="26"/>
      <c r="G968" s="0" t="str">
        <f aca="false">IF(OR($A968="",$E968="",$D968=""),"",IF($E968&lt;$D968,"EVET","HAYIR"))</f>
        <v/>
      </c>
      <c r="H968" s="0" t="str">
        <f aca="false">IF(OR($A968="",$E968="",$F968=""),"",IF($E968&lt;=$F968,"KAZANDI","KAYBETTİ"))</f>
        <v/>
      </c>
    </row>
    <row r="969" customFormat="false" ht="15" hidden="false" customHeight="false" outlineLevel="0" collapsed="false">
      <c r="A969" s="23"/>
      <c r="B969" s="25"/>
      <c r="C969" s="26"/>
      <c r="D969" s="26"/>
      <c r="E969" s="26"/>
      <c r="F969" s="26"/>
      <c r="G969" s="0" t="str">
        <f aca="false">IF(OR($A969="",$E969="",$D969=""),"",IF($E969&lt;$D969,"EVET","HAYIR"))</f>
        <v/>
      </c>
      <c r="H969" s="0" t="str">
        <f aca="false">IF(OR($A969="",$E969="",$F969=""),"",IF($E969&lt;=$F969,"KAZANDI","KAYBETTİ"))</f>
        <v/>
      </c>
    </row>
    <row r="970" customFormat="false" ht="15" hidden="false" customHeight="false" outlineLevel="0" collapsed="false">
      <c r="A970" s="23"/>
      <c r="B970" s="25"/>
      <c r="C970" s="26"/>
      <c r="D970" s="26"/>
      <c r="E970" s="26"/>
      <c r="F970" s="26"/>
      <c r="G970" s="0" t="str">
        <f aca="false">IF(OR($A970="",$E970="",$D970=""),"",IF($E970&lt;$D970,"EVET","HAYIR"))</f>
        <v/>
      </c>
      <c r="H970" s="0" t="str">
        <f aca="false">IF(OR($A970="",$E970="",$F970=""),"",IF($E970&lt;=$F970,"KAZANDI","KAYBETTİ"))</f>
        <v/>
      </c>
    </row>
    <row r="971" customFormat="false" ht="15" hidden="false" customHeight="false" outlineLevel="0" collapsed="false">
      <c r="A971" s="23"/>
      <c r="B971" s="25"/>
      <c r="C971" s="26"/>
      <c r="D971" s="26"/>
      <c r="E971" s="26"/>
      <c r="F971" s="26"/>
      <c r="G971" s="0" t="str">
        <f aca="false">IF(OR($A971="",$E971="",$D971=""),"",IF($E971&lt;$D971,"EVET","HAYIR"))</f>
        <v/>
      </c>
      <c r="H971" s="0" t="str">
        <f aca="false">IF(OR($A971="",$E971="",$F971=""),"",IF($E971&lt;=$F971,"KAZANDI","KAYBETTİ"))</f>
        <v/>
      </c>
    </row>
    <row r="972" customFormat="false" ht="15" hidden="false" customHeight="false" outlineLevel="0" collapsed="false">
      <c r="A972" s="23"/>
      <c r="B972" s="25"/>
      <c r="C972" s="26"/>
      <c r="D972" s="26"/>
      <c r="E972" s="26"/>
      <c r="F972" s="26"/>
      <c r="G972" s="0" t="str">
        <f aca="false">IF(OR($A972="",$E972="",$D972=""),"",IF($E972&lt;$D972,"EVET","HAYIR"))</f>
        <v/>
      </c>
      <c r="H972" s="0" t="str">
        <f aca="false">IF(OR($A972="",$E972="",$F972=""),"",IF($E972&lt;=$F972,"KAZANDI","KAYBETTİ"))</f>
        <v/>
      </c>
    </row>
    <row r="973" customFormat="false" ht="15" hidden="false" customHeight="false" outlineLevel="0" collapsed="false">
      <c r="A973" s="23"/>
      <c r="B973" s="25"/>
      <c r="C973" s="26"/>
      <c r="D973" s="26"/>
      <c r="E973" s="26"/>
      <c r="F973" s="26"/>
      <c r="G973" s="0" t="str">
        <f aca="false">IF(OR($A973="",$E973="",$D973=""),"",IF($E973&lt;$D973,"EVET","HAYIR"))</f>
        <v/>
      </c>
      <c r="H973" s="0" t="str">
        <f aca="false">IF(OR($A973="",$E973="",$F973=""),"",IF($E973&lt;=$F973,"KAZANDI","KAYBETTİ"))</f>
        <v/>
      </c>
    </row>
    <row r="974" customFormat="false" ht="15" hidden="false" customHeight="false" outlineLevel="0" collapsed="false">
      <c r="A974" s="23"/>
      <c r="B974" s="25"/>
      <c r="C974" s="26"/>
      <c r="D974" s="26"/>
      <c r="E974" s="26"/>
      <c r="F974" s="26"/>
      <c r="G974" s="0" t="str">
        <f aca="false">IF(OR($A974="",$E974="",$D974=""),"",IF($E974&lt;$D974,"EVET","HAYIR"))</f>
        <v/>
      </c>
      <c r="H974" s="0" t="str">
        <f aca="false">IF(OR($A974="",$E974="",$F974=""),"",IF($E974&lt;=$F974,"KAZANDI","KAYBETTİ"))</f>
        <v/>
      </c>
    </row>
    <row r="975" customFormat="false" ht="15" hidden="false" customHeight="false" outlineLevel="0" collapsed="false">
      <c r="A975" s="23"/>
      <c r="B975" s="25"/>
      <c r="C975" s="26"/>
      <c r="D975" s="26"/>
      <c r="E975" s="26"/>
      <c r="F975" s="26"/>
      <c r="G975" s="0" t="str">
        <f aca="false">IF(OR($A975="",$E975="",$D975=""),"",IF($E975&lt;$D975,"EVET","HAYIR"))</f>
        <v/>
      </c>
      <c r="H975" s="0" t="str">
        <f aca="false">IF(OR($A975="",$E975="",$F975=""),"",IF($E975&lt;=$F975,"KAZANDI","KAYBETTİ"))</f>
        <v/>
      </c>
    </row>
    <row r="976" customFormat="false" ht="15" hidden="false" customHeight="false" outlineLevel="0" collapsed="false">
      <c r="A976" s="23"/>
      <c r="B976" s="25"/>
      <c r="C976" s="26"/>
      <c r="D976" s="26"/>
      <c r="E976" s="26"/>
      <c r="F976" s="26"/>
      <c r="G976" s="0" t="str">
        <f aca="false">IF(OR($A976="",$E976="",$D976=""),"",IF($E976&lt;$D976,"EVET","HAYIR"))</f>
        <v/>
      </c>
      <c r="H976" s="0" t="str">
        <f aca="false">IF(OR($A976="",$E976="",$F976=""),"",IF($E976&lt;=$F976,"KAZANDI","KAYBETTİ"))</f>
        <v/>
      </c>
    </row>
    <row r="977" customFormat="false" ht="15" hidden="false" customHeight="false" outlineLevel="0" collapsed="false">
      <c r="A977" s="23"/>
      <c r="B977" s="25"/>
      <c r="C977" s="26"/>
      <c r="D977" s="26"/>
      <c r="E977" s="26"/>
      <c r="F977" s="26"/>
      <c r="G977" s="0" t="str">
        <f aca="false">IF(OR($A977="",$E977="",$D977=""),"",IF($E977&lt;$D977,"EVET","HAYIR"))</f>
        <v/>
      </c>
      <c r="H977" s="0" t="str">
        <f aca="false">IF(OR($A977="",$E977="",$F977=""),"",IF($E977&lt;=$F977,"KAZANDI","KAYBETTİ"))</f>
        <v/>
      </c>
    </row>
    <row r="978" customFormat="false" ht="15" hidden="false" customHeight="false" outlineLevel="0" collapsed="false">
      <c r="A978" s="23"/>
      <c r="B978" s="25"/>
      <c r="C978" s="26"/>
      <c r="D978" s="26"/>
      <c r="E978" s="26"/>
      <c r="F978" s="26"/>
      <c r="G978" s="0" t="str">
        <f aca="false">IF(OR($A978="",$E978="",$D978=""),"",IF($E978&lt;$D978,"EVET","HAYIR"))</f>
        <v/>
      </c>
      <c r="H978" s="0" t="str">
        <f aca="false">IF(OR($A978="",$E978="",$F978=""),"",IF($E978&lt;=$F978,"KAZANDI","KAYBETTİ"))</f>
        <v/>
      </c>
    </row>
    <row r="979" customFormat="false" ht="15" hidden="false" customHeight="false" outlineLevel="0" collapsed="false">
      <c r="A979" s="23"/>
      <c r="B979" s="25"/>
      <c r="C979" s="26"/>
      <c r="D979" s="26"/>
      <c r="E979" s="26"/>
      <c r="F979" s="26"/>
      <c r="G979" s="0" t="str">
        <f aca="false">IF(OR($A979="",$E979="",$D979=""),"",IF($E979&lt;$D979,"EVET","HAYIR"))</f>
        <v/>
      </c>
      <c r="H979" s="0" t="str">
        <f aca="false">IF(OR($A979="",$E979="",$F979=""),"",IF($E979&lt;=$F979,"KAZANDI","KAYBETTİ"))</f>
        <v/>
      </c>
    </row>
    <row r="980" customFormat="false" ht="15" hidden="false" customHeight="false" outlineLevel="0" collapsed="false">
      <c r="A980" s="23"/>
      <c r="B980" s="25"/>
      <c r="C980" s="26"/>
      <c r="D980" s="26"/>
      <c r="E980" s="26"/>
      <c r="F980" s="26"/>
      <c r="G980" s="0" t="str">
        <f aca="false">IF(OR($A980="",$E980="",$D980=""),"",IF($E980&lt;$D980,"EVET","HAYIR"))</f>
        <v/>
      </c>
      <c r="H980" s="0" t="str">
        <f aca="false">IF(OR($A980="",$E980="",$F980=""),"",IF($E980&lt;=$F980,"KAZANDI","KAYBETTİ"))</f>
        <v/>
      </c>
    </row>
    <row r="981" customFormat="false" ht="15" hidden="false" customHeight="false" outlineLevel="0" collapsed="false">
      <c r="A981" s="23"/>
      <c r="B981" s="25"/>
      <c r="C981" s="26"/>
      <c r="D981" s="26"/>
      <c r="E981" s="26"/>
      <c r="F981" s="26"/>
      <c r="G981" s="0" t="str">
        <f aca="false">IF(OR($A981="",$E981="",$D981=""),"",IF($E981&lt;$D981,"EVET","HAYIR"))</f>
        <v/>
      </c>
      <c r="H981" s="0" t="str">
        <f aca="false">IF(OR($A981="",$E981="",$F981=""),"",IF($E981&lt;=$F981,"KAZANDI","KAYBETTİ"))</f>
        <v/>
      </c>
    </row>
    <row r="982" customFormat="false" ht="15" hidden="false" customHeight="false" outlineLevel="0" collapsed="false">
      <c r="A982" s="23"/>
      <c r="B982" s="25"/>
      <c r="C982" s="26"/>
      <c r="D982" s="26"/>
      <c r="E982" s="26"/>
      <c r="F982" s="26"/>
      <c r="G982" s="0" t="str">
        <f aca="false">IF(OR($A982="",$E982="",$D982=""),"",IF($E982&lt;$D982,"EVET","HAYIR"))</f>
        <v/>
      </c>
      <c r="H982" s="0" t="str">
        <f aca="false">IF(OR($A982="",$E982="",$F982=""),"",IF($E982&lt;=$F982,"KAZANDI","KAYBETTİ"))</f>
        <v/>
      </c>
    </row>
    <row r="983" customFormat="false" ht="15" hidden="false" customHeight="false" outlineLevel="0" collapsed="false">
      <c r="A983" s="23"/>
      <c r="B983" s="25"/>
      <c r="C983" s="26"/>
      <c r="D983" s="26"/>
      <c r="E983" s="26"/>
      <c r="F983" s="26"/>
      <c r="G983" s="0" t="str">
        <f aca="false">IF(OR($A983="",$E983="",$D983=""),"",IF($E983&lt;$D983,"EVET","HAYIR"))</f>
        <v/>
      </c>
      <c r="H983" s="0" t="str">
        <f aca="false">IF(OR($A983="",$E983="",$F983=""),"",IF($E983&lt;=$F983,"KAZANDI","KAYBETTİ"))</f>
        <v/>
      </c>
    </row>
    <row r="984" customFormat="false" ht="15" hidden="false" customHeight="false" outlineLevel="0" collapsed="false">
      <c r="A984" s="23"/>
      <c r="B984" s="25"/>
      <c r="C984" s="26"/>
      <c r="D984" s="26"/>
      <c r="E984" s="26"/>
      <c r="F984" s="26"/>
      <c r="G984" s="0" t="str">
        <f aca="false">IF(OR($A984="",$E984="",$D984=""),"",IF($E984&lt;$D984,"EVET","HAYIR"))</f>
        <v/>
      </c>
      <c r="H984" s="0" t="str">
        <f aca="false">IF(OR($A984="",$E984="",$F984=""),"",IF($E984&lt;=$F984,"KAZANDI","KAYBETTİ"))</f>
        <v/>
      </c>
    </row>
    <row r="985" customFormat="false" ht="15" hidden="false" customHeight="false" outlineLevel="0" collapsed="false">
      <c r="A985" s="23"/>
      <c r="B985" s="25"/>
      <c r="C985" s="26"/>
      <c r="D985" s="26"/>
      <c r="E985" s="26"/>
      <c r="F985" s="26"/>
      <c r="G985" s="0" t="str">
        <f aca="false">IF(OR($A985="",$E985="",$D985=""),"",IF($E985&lt;$D985,"EVET","HAYIR"))</f>
        <v/>
      </c>
      <c r="H985" s="0" t="str">
        <f aca="false">IF(OR($A985="",$E985="",$F985=""),"",IF($E985&lt;=$F985,"KAZANDI","KAYBETTİ"))</f>
        <v/>
      </c>
    </row>
    <row r="986" customFormat="false" ht="15" hidden="false" customHeight="false" outlineLevel="0" collapsed="false">
      <c r="A986" s="23"/>
      <c r="B986" s="25"/>
      <c r="C986" s="26"/>
      <c r="D986" s="26"/>
      <c r="E986" s="26"/>
      <c r="F986" s="26"/>
      <c r="G986" s="0" t="str">
        <f aca="false">IF(OR($A986="",$E986="",$D986=""),"",IF($E986&lt;$D986,"EVET","HAYIR"))</f>
        <v/>
      </c>
      <c r="H986" s="0" t="str">
        <f aca="false">IF(OR($A986="",$E986="",$F986=""),"",IF($E986&lt;=$F986,"KAZANDI","KAYBETTİ"))</f>
        <v/>
      </c>
    </row>
    <row r="987" customFormat="false" ht="15" hidden="false" customHeight="false" outlineLevel="0" collapsed="false">
      <c r="A987" s="23"/>
      <c r="B987" s="25"/>
      <c r="C987" s="26"/>
      <c r="D987" s="26"/>
      <c r="E987" s="26"/>
      <c r="F987" s="26"/>
      <c r="G987" s="0" t="str">
        <f aca="false">IF(OR($A987="",$E987="",$D987=""),"",IF($E987&lt;$D987,"EVET","HAYIR"))</f>
        <v/>
      </c>
      <c r="H987" s="0" t="str">
        <f aca="false">IF(OR($A987="",$E987="",$F987=""),"",IF($E987&lt;=$F987,"KAZANDI","KAYBETTİ"))</f>
        <v/>
      </c>
    </row>
    <row r="988" customFormat="false" ht="15" hidden="false" customHeight="false" outlineLevel="0" collapsed="false">
      <c r="A988" s="23"/>
      <c r="B988" s="25"/>
      <c r="C988" s="26"/>
      <c r="D988" s="26"/>
      <c r="E988" s="26"/>
      <c r="F988" s="26"/>
      <c r="G988" s="0" t="str">
        <f aca="false">IF(OR($A988="",$E988="",$D988=""),"",IF($E988&lt;$D988,"EVET","HAYIR"))</f>
        <v/>
      </c>
      <c r="H988" s="0" t="str">
        <f aca="false">IF(OR($A988="",$E988="",$F988=""),"",IF($E988&lt;=$F988,"KAZANDI","KAYBETTİ"))</f>
        <v/>
      </c>
    </row>
    <row r="989" customFormat="false" ht="15" hidden="false" customHeight="false" outlineLevel="0" collapsed="false">
      <c r="A989" s="23"/>
      <c r="B989" s="25"/>
      <c r="C989" s="26"/>
      <c r="D989" s="26"/>
      <c r="E989" s="26"/>
      <c r="F989" s="26"/>
      <c r="G989" s="0" t="str">
        <f aca="false">IF(OR($A989="",$E989="",$D989=""),"",IF($E989&lt;$D989,"EVET","HAYIR"))</f>
        <v/>
      </c>
      <c r="H989" s="0" t="str">
        <f aca="false">IF(OR($A989="",$E989="",$F989=""),"",IF($E989&lt;=$F989,"KAZANDI","KAYBETTİ"))</f>
        <v/>
      </c>
    </row>
    <row r="990" customFormat="false" ht="15" hidden="false" customHeight="false" outlineLevel="0" collapsed="false">
      <c r="A990" s="23"/>
      <c r="B990" s="25"/>
      <c r="C990" s="26"/>
      <c r="D990" s="26"/>
      <c r="E990" s="26"/>
      <c r="F990" s="26"/>
      <c r="G990" s="0" t="str">
        <f aca="false">IF(OR($A990="",$E990="",$D990=""),"",IF($E990&lt;$D990,"EVET","HAYIR"))</f>
        <v/>
      </c>
      <c r="H990" s="0" t="str">
        <f aca="false">IF(OR($A990="",$E990="",$F990=""),"",IF($E990&lt;=$F990,"KAZANDI","KAYBETTİ"))</f>
        <v/>
      </c>
    </row>
    <row r="991" customFormat="false" ht="15" hidden="false" customHeight="false" outlineLevel="0" collapsed="false">
      <c r="A991" s="23"/>
      <c r="B991" s="25"/>
      <c r="C991" s="26"/>
      <c r="D991" s="26"/>
      <c r="E991" s="26"/>
      <c r="F991" s="26"/>
      <c r="G991" s="0" t="str">
        <f aca="false">IF(OR($A991="",$E991="",$D991=""),"",IF($E991&lt;$D991,"EVET","HAYIR"))</f>
        <v/>
      </c>
      <c r="H991" s="0" t="str">
        <f aca="false">IF(OR($A991="",$E991="",$F991=""),"",IF($E991&lt;=$F991,"KAZANDI","KAYBETTİ"))</f>
        <v/>
      </c>
    </row>
    <row r="992" customFormat="false" ht="15" hidden="false" customHeight="false" outlineLevel="0" collapsed="false">
      <c r="A992" s="23"/>
      <c r="B992" s="25"/>
      <c r="C992" s="26"/>
      <c r="D992" s="26"/>
      <c r="E992" s="26"/>
      <c r="F992" s="26"/>
      <c r="G992" s="0" t="str">
        <f aca="false">IF(OR($A992="",$E992="",$D992=""),"",IF($E992&lt;$D992,"EVET","HAYIR"))</f>
        <v/>
      </c>
      <c r="H992" s="0" t="str">
        <f aca="false">IF(OR($A992="",$E992="",$F992=""),"",IF($E992&lt;=$F992,"KAZANDI","KAYBETTİ"))</f>
        <v/>
      </c>
    </row>
    <row r="993" customFormat="false" ht="15" hidden="false" customHeight="false" outlineLevel="0" collapsed="false">
      <c r="A993" s="23"/>
      <c r="B993" s="25"/>
      <c r="C993" s="26"/>
      <c r="D993" s="26"/>
      <c r="E993" s="26"/>
      <c r="F993" s="26"/>
      <c r="G993" s="0" t="str">
        <f aca="false">IF(OR($A993="",$E993="",$D993=""),"",IF($E993&lt;$D993,"EVET","HAYIR"))</f>
        <v/>
      </c>
      <c r="H993" s="0" t="str">
        <f aca="false">IF(OR($A993="",$E993="",$F993=""),"",IF($E993&lt;=$F993,"KAZANDI","KAYBETTİ"))</f>
        <v/>
      </c>
    </row>
    <row r="994" customFormat="false" ht="15" hidden="false" customHeight="false" outlineLevel="0" collapsed="false">
      <c r="A994" s="23"/>
      <c r="B994" s="25"/>
      <c r="C994" s="26"/>
      <c r="D994" s="26"/>
      <c r="E994" s="26"/>
      <c r="F994" s="26"/>
      <c r="G994" s="0" t="str">
        <f aca="false">IF(OR($A994="",$E994="",$D994=""),"",IF($E994&lt;$D994,"EVET","HAYIR"))</f>
        <v/>
      </c>
      <c r="H994" s="0" t="str">
        <f aca="false">IF(OR($A994="",$E994="",$F994=""),"",IF($E994&lt;=$F994,"KAZANDI","KAYBETTİ"))</f>
        <v/>
      </c>
    </row>
    <row r="995" customFormat="false" ht="15" hidden="false" customHeight="false" outlineLevel="0" collapsed="false">
      <c r="A995" s="23"/>
      <c r="B995" s="25"/>
      <c r="C995" s="26"/>
      <c r="D995" s="26"/>
      <c r="E995" s="26"/>
      <c r="F995" s="26"/>
      <c r="G995" s="0" t="str">
        <f aca="false">IF(OR($A995="",$E995="",$D995=""),"",IF($E995&lt;$D995,"EVET","HAYIR"))</f>
        <v/>
      </c>
      <c r="H995" s="0" t="str">
        <f aca="false">IF(OR($A995="",$E995="",$F995=""),"",IF($E995&lt;=$F995,"KAZANDI","KAYBETTİ"))</f>
        <v/>
      </c>
    </row>
    <row r="996" customFormat="false" ht="15" hidden="false" customHeight="false" outlineLevel="0" collapsed="false">
      <c r="A996" s="23"/>
      <c r="B996" s="25"/>
      <c r="C996" s="26"/>
      <c r="D996" s="26"/>
      <c r="E996" s="26"/>
      <c r="F996" s="26"/>
      <c r="G996" s="0" t="str">
        <f aca="false">IF(OR($A996="",$E996="",$D996=""),"",IF($E996&lt;$D996,"EVET","HAYIR"))</f>
        <v/>
      </c>
      <c r="H996" s="0" t="str">
        <f aca="false">IF(OR($A996="",$E996="",$F996=""),"",IF($E996&lt;=$F996,"KAZANDI","KAYBETTİ"))</f>
        <v/>
      </c>
    </row>
    <row r="997" customFormat="false" ht="15" hidden="false" customHeight="false" outlineLevel="0" collapsed="false">
      <c r="A997" s="23"/>
      <c r="B997" s="25"/>
      <c r="C997" s="26"/>
      <c r="D997" s="26"/>
      <c r="E997" s="26"/>
      <c r="F997" s="26"/>
      <c r="G997" s="0" t="str">
        <f aca="false">IF(OR($A997="",$E997="",$D997=""),"",IF($E997&lt;$D997,"EVET","HAYIR"))</f>
        <v/>
      </c>
      <c r="H997" s="0" t="str">
        <f aca="false">IF(OR($A997="",$E997="",$F997=""),"",IF($E997&lt;=$F997,"KAZANDI","KAYBETTİ"))</f>
        <v/>
      </c>
    </row>
    <row r="998" customFormat="false" ht="15" hidden="false" customHeight="false" outlineLevel="0" collapsed="false">
      <c r="A998" s="23"/>
      <c r="B998" s="25"/>
      <c r="C998" s="26"/>
      <c r="D998" s="26"/>
      <c r="E998" s="26"/>
      <c r="F998" s="26"/>
      <c r="G998" s="0" t="str">
        <f aca="false">IF(OR($A998="",$E998="",$D998=""),"",IF($E998&lt;$D998,"EVET","HAYIR"))</f>
        <v/>
      </c>
      <c r="H998" s="0" t="str">
        <f aca="false">IF(OR($A998="",$E998="",$F998=""),"",IF($E998&lt;=$F998,"KAZANDI","KAYBETTİ"))</f>
        <v/>
      </c>
    </row>
    <row r="999" customFormat="false" ht="15" hidden="false" customHeight="false" outlineLevel="0" collapsed="false">
      <c r="A999" s="23"/>
      <c r="B999" s="25"/>
      <c r="C999" s="26"/>
      <c r="D999" s="26"/>
      <c r="E999" s="26"/>
      <c r="F999" s="26"/>
      <c r="G999" s="0" t="str">
        <f aca="false">IF(OR($A999="",$E999="",$D999=""),"",IF($E999&lt;$D999,"EVET","HAYIR"))</f>
        <v/>
      </c>
      <c r="H999" s="0" t="str">
        <f aca="false">IF(OR($A999="",$E999="",$F999=""),"",IF($E999&lt;=$F999,"KAZANDI","KAYBETTİ"))</f>
        <v/>
      </c>
    </row>
    <row r="1000" customFormat="false" ht="15" hidden="false" customHeight="false" outlineLevel="0" collapsed="false">
      <c r="A1000" s="23"/>
      <c r="B1000" s="25"/>
      <c r="C1000" s="26"/>
      <c r="D1000" s="26"/>
      <c r="E1000" s="26"/>
      <c r="F1000" s="26"/>
      <c r="G1000" s="0" t="str">
        <f aca="false">IF(OR($A1000="",$E1000="",$D1000=""),"",IF($E1000&lt;$D1000,"EVET","HAYIR"))</f>
        <v/>
      </c>
      <c r="H1000" s="0" t="str">
        <f aca="false">IF(OR($A1000="",$E1000="",$F1000=""),"",IF($E1000&lt;=$F1000,"KAZANDI","KAYBETTİ"))</f>
        <v/>
      </c>
    </row>
    <row r="1001" customFormat="false" ht="15" hidden="false" customHeight="false" outlineLevel="0" collapsed="false">
      <c r="A1001" s="23"/>
      <c r="B1001" s="25"/>
      <c r="C1001" s="26"/>
      <c r="D1001" s="26"/>
      <c r="E1001" s="26"/>
      <c r="F1001" s="26"/>
      <c r="G1001" s="0" t="str">
        <f aca="false">IF(OR($A1001="",$E1001="",$D1001=""),"",IF($E1001&lt;$D1001,"EVET","HAYIR"))</f>
        <v/>
      </c>
      <c r="H1001" s="0" t="str">
        <f aca="false">IF(OR($A1001="",$E1001="",$F1001=""),"",IF($E1001&lt;=$F1001,"KAZANDI","KAYBETTİ"))</f>
        <v/>
      </c>
    </row>
    <row r="1002" customFormat="false" ht="15" hidden="false" customHeight="false" outlineLevel="0" collapsed="false">
      <c r="A1002" s="23"/>
      <c r="B1002" s="25"/>
      <c r="C1002" s="26"/>
      <c r="D1002" s="26"/>
      <c r="E1002" s="26"/>
      <c r="F1002" s="26"/>
      <c r="G1002" s="0" t="str">
        <f aca="false">IF(OR($A1002="",$E1002="",$D1002=""),"",IF($E1002&lt;$D1002,"EVET","HAYIR"))</f>
        <v/>
      </c>
      <c r="H1002" s="0" t="str">
        <f aca="false">IF(OR($A1002="",$E1002="",$F1002=""),"",IF($E1002&lt;=$F1002,"KAZANDI","KAYBETTİ"))</f>
        <v/>
      </c>
    </row>
    <row r="1003" customFormat="false" ht="15" hidden="false" customHeight="false" outlineLevel="0" collapsed="false">
      <c r="A1003" s="23"/>
      <c r="B1003" s="25"/>
      <c r="C1003" s="26"/>
      <c r="D1003" s="26"/>
      <c r="E1003" s="26"/>
      <c r="F1003" s="26"/>
      <c r="G1003" s="0" t="str">
        <f aca="false">IF(OR($A1003="",$E1003="",$D1003=""),"",IF($E1003&lt;$D1003,"EVET","HAYIR"))</f>
        <v/>
      </c>
      <c r="H1003" s="0" t="str">
        <f aca="false">IF(OR($A1003="",$E1003="",$F1003=""),"",IF($E1003&lt;=$F1003,"KAZANDI","KAYBETTİ"))</f>
        <v/>
      </c>
    </row>
    <row r="1004" customFormat="false" ht="15" hidden="false" customHeight="false" outlineLevel="0" collapsed="false">
      <c r="A1004" s="23"/>
      <c r="B1004" s="23"/>
      <c r="C1004" s="23"/>
      <c r="D1004" s="23"/>
      <c r="E1004" s="23"/>
      <c r="F1004" s="23"/>
      <c r="G1004" s="0" t="str">
        <f aca="false">IF(OR($A1004="",$E1004="",$D1004=""),"",IF($E1004&lt;$D1004,"EVET","HAYIR"))</f>
        <v/>
      </c>
      <c r="H1004" s="0" t="str">
        <f aca="false">IF(OR($A1004="",$E1004="",$F1004=""),"",IF($E1004&lt;=$F1004,"KAZANDI","KAYBETTİ"))</f>
        <v/>
      </c>
    </row>
    <row r="1006" customFormat="false" ht="19.5" hidden="false" customHeight="true" outlineLevel="0" collapsed="false">
      <c r="A1006" s="11" t="s">
        <v>77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H6">
    <cfRule type="cellIs" priority="2" operator="equal" aboveAverage="0" equalAverage="0" bottom="0" percent="0" rank="0" text="" dxfId="2">
      <formula>"KAZANDI"</formula>
    </cfRule>
    <cfRule type="cellIs" priority="3" operator="equal" aboveAverage="0" equalAverage="0" bottom="0" percent="0" rank="0" text="" dxfId="0">
      <formula>"KAYBETTİ"</formula>
    </cfRule>
  </conditionalFormatting>
  <conditionalFormatting sqref="G6">
    <cfRule type="cellIs" priority="4" operator="equal" aboveAverage="0" equalAverage="0" bottom="0" percent="0" rank="0" text="" dxfId="1">
      <formula>"EVET"</formula>
    </cfRule>
  </conditionalFormatting>
  <conditionalFormatting sqref="H7">
    <cfRule type="cellIs" priority="5" operator="equal" aboveAverage="0" equalAverage="0" bottom="0" percent="0" rank="0" text="" dxfId="2">
      <formula>"KAZANDI"</formula>
    </cfRule>
    <cfRule type="cellIs" priority="6" operator="equal" aboveAverage="0" equalAverage="0" bottom="0" percent="0" rank="0" text="" dxfId="0">
      <formula>"KAYBETTİ"</formula>
    </cfRule>
  </conditionalFormatting>
  <conditionalFormatting sqref="G7">
    <cfRule type="cellIs" priority="7" operator="equal" aboveAverage="0" equalAverage="0" bottom="0" percent="0" rank="0" text="" dxfId="1">
      <formula>"EVET"</formula>
    </cfRule>
  </conditionalFormatting>
  <conditionalFormatting sqref="H8">
    <cfRule type="cellIs" priority="8" operator="equal" aboveAverage="0" equalAverage="0" bottom="0" percent="0" rank="0" text="" dxfId="2">
      <formula>"KAZANDI"</formula>
    </cfRule>
    <cfRule type="cellIs" priority="9" operator="equal" aboveAverage="0" equalAverage="0" bottom="0" percent="0" rank="0" text="" dxfId="0">
      <formula>"KAYBETTİ"</formula>
    </cfRule>
  </conditionalFormatting>
  <conditionalFormatting sqref="G8">
    <cfRule type="cellIs" priority="10" operator="equal" aboveAverage="0" equalAverage="0" bottom="0" percent="0" rank="0" text="" dxfId="1">
      <formula>"EVET"</formula>
    </cfRule>
  </conditionalFormatting>
  <conditionalFormatting sqref="H9">
    <cfRule type="cellIs" priority="11" operator="equal" aboveAverage="0" equalAverage="0" bottom="0" percent="0" rank="0" text="" dxfId="2">
      <formula>"KAZANDI"</formula>
    </cfRule>
    <cfRule type="cellIs" priority="12" operator="equal" aboveAverage="0" equalAverage="0" bottom="0" percent="0" rank="0" text="" dxfId="0">
      <formula>"KAYBETTİ"</formula>
    </cfRule>
  </conditionalFormatting>
  <conditionalFormatting sqref="G9">
    <cfRule type="cellIs" priority="13" operator="equal" aboveAverage="0" equalAverage="0" bottom="0" percent="0" rank="0" text="" dxfId="1">
      <formula>"EVET"</formula>
    </cfRule>
  </conditionalFormatting>
  <conditionalFormatting sqref="H10">
    <cfRule type="cellIs" priority="14" operator="equal" aboveAverage="0" equalAverage="0" bottom="0" percent="0" rank="0" text="" dxfId="2">
      <formula>"KAZANDI"</formula>
    </cfRule>
    <cfRule type="cellIs" priority="15" operator="equal" aboveAverage="0" equalAverage="0" bottom="0" percent="0" rank="0" text="" dxfId="0">
      <formula>"KAYBETTİ"</formula>
    </cfRule>
  </conditionalFormatting>
  <conditionalFormatting sqref="G10">
    <cfRule type="cellIs" priority="16" operator="equal" aboveAverage="0" equalAverage="0" bottom="0" percent="0" rank="0" text="" dxfId="1">
      <formula>"EVET"</formula>
    </cfRule>
  </conditionalFormatting>
  <conditionalFormatting sqref="H11">
    <cfRule type="cellIs" priority="17" operator="equal" aboveAverage="0" equalAverage="0" bottom="0" percent="0" rank="0" text="" dxfId="2">
      <formula>"KAZANDI"</formula>
    </cfRule>
    <cfRule type="cellIs" priority="18" operator="equal" aboveAverage="0" equalAverage="0" bottom="0" percent="0" rank="0" text="" dxfId="0">
      <formula>"KAYBETTİ"</formula>
    </cfRule>
  </conditionalFormatting>
  <conditionalFormatting sqref="G11">
    <cfRule type="cellIs" priority="19" operator="equal" aboveAverage="0" equalAverage="0" bottom="0" percent="0" rank="0" text="" dxfId="1">
      <formula>"EVET"</formula>
    </cfRule>
  </conditionalFormatting>
  <conditionalFormatting sqref="H12">
    <cfRule type="cellIs" priority="20" operator="equal" aboveAverage="0" equalAverage="0" bottom="0" percent="0" rank="0" text="" dxfId="2">
      <formula>"KAZANDI"</formula>
    </cfRule>
    <cfRule type="cellIs" priority="21" operator="equal" aboveAverage="0" equalAverage="0" bottom="0" percent="0" rank="0" text="" dxfId="0">
      <formula>"KAYBETTİ"</formula>
    </cfRule>
  </conditionalFormatting>
  <conditionalFormatting sqref="G12">
    <cfRule type="cellIs" priority="22" operator="equal" aboveAverage="0" equalAverage="0" bottom="0" percent="0" rank="0" text="" dxfId="1">
      <formula>"EVET"</formula>
    </cfRule>
  </conditionalFormatting>
  <conditionalFormatting sqref="H13">
    <cfRule type="cellIs" priority="23" operator="equal" aboveAverage="0" equalAverage="0" bottom="0" percent="0" rank="0" text="" dxfId="2">
      <formula>"KAZANDI"</formula>
    </cfRule>
    <cfRule type="cellIs" priority="24" operator="equal" aboveAverage="0" equalAverage="0" bottom="0" percent="0" rank="0" text="" dxfId="0">
      <formula>"KAYBETTİ"</formula>
    </cfRule>
  </conditionalFormatting>
  <conditionalFormatting sqref="G13">
    <cfRule type="cellIs" priority="25" operator="equal" aboveAverage="0" equalAverage="0" bottom="0" percent="0" rank="0" text="" dxfId="1">
      <formula>"EVET"</formula>
    </cfRule>
  </conditionalFormatting>
  <conditionalFormatting sqref="H14">
    <cfRule type="cellIs" priority="26" operator="equal" aboveAverage="0" equalAverage="0" bottom="0" percent="0" rank="0" text="" dxfId="2">
      <formula>"KAZANDI"</formula>
    </cfRule>
    <cfRule type="cellIs" priority="27" operator="equal" aboveAverage="0" equalAverage="0" bottom="0" percent="0" rank="0" text="" dxfId="0">
      <formula>"KAYBETTİ"</formula>
    </cfRule>
  </conditionalFormatting>
  <conditionalFormatting sqref="G14">
    <cfRule type="cellIs" priority="28" operator="equal" aboveAverage="0" equalAverage="0" bottom="0" percent="0" rank="0" text="" dxfId="1">
      <formula>"EVET"</formula>
    </cfRule>
  </conditionalFormatting>
  <conditionalFormatting sqref="H15">
    <cfRule type="cellIs" priority="29" operator="equal" aboveAverage="0" equalAverage="0" bottom="0" percent="0" rank="0" text="" dxfId="2">
      <formula>"KAZANDI"</formula>
    </cfRule>
    <cfRule type="cellIs" priority="30" operator="equal" aboveAverage="0" equalAverage="0" bottom="0" percent="0" rank="0" text="" dxfId="0">
      <formula>"KAYBETTİ"</formula>
    </cfRule>
  </conditionalFormatting>
  <conditionalFormatting sqref="G15">
    <cfRule type="cellIs" priority="31" operator="equal" aboveAverage="0" equalAverage="0" bottom="0" percent="0" rank="0" text="" dxfId="1">
      <formula>"EVET"</formula>
    </cfRule>
  </conditionalFormatting>
  <conditionalFormatting sqref="H16">
    <cfRule type="cellIs" priority="32" operator="equal" aboveAverage="0" equalAverage="0" bottom="0" percent="0" rank="0" text="" dxfId="2">
      <formula>"KAZANDI"</formula>
    </cfRule>
    <cfRule type="cellIs" priority="33" operator="equal" aboveAverage="0" equalAverage="0" bottom="0" percent="0" rank="0" text="" dxfId="0">
      <formula>"KAYBETTİ"</formula>
    </cfRule>
  </conditionalFormatting>
  <conditionalFormatting sqref="G16">
    <cfRule type="cellIs" priority="34" operator="equal" aboveAverage="0" equalAverage="0" bottom="0" percent="0" rank="0" text="" dxfId="1">
      <formula>"EVET"</formula>
    </cfRule>
  </conditionalFormatting>
  <conditionalFormatting sqref="H17">
    <cfRule type="cellIs" priority="35" operator="equal" aboveAverage="0" equalAverage="0" bottom="0" percent="0" rank="0" text="" dxfId="2">
      <formula>"KAZANDI"</formula>
    </cfRule>
    <cfRule type="cellIs" priority="36" operator="equal" aboveAverage="0" equalAverage="0" bottom="0" percent="0" rank="0" text="" dxfId="0">
      <formula>"KAYBETTİ"</formula>
    </cfRule>
  </conditionalFormatting>
  <conditionalFormatting sqref="G17">
    <cfRule type="cellIs" priority="37" operator="equal" aboveAverage="0" equalAverage="0" bottom="0" percent="0" rank="0" text="" dxfId="1">
      <formula>"EVET"</formula>
    </cfRule>
  </conditionalFormatting>
  <conditionalFormatting sqref="H18">
    <cfRule type="cellIs" priority="38" operator="equal" aboveAverage="0" equalAverage="0" bottom="0" percent="0" rank="0" text="" dxfId="2">
      <formula>"KAZANDI"</formula>
    </cfRule>
    <cfRule type="cellIs" priority="39" operator="equal" aboveAverage="0" equalAverage="0" bottom="0" percent="0" rank="0" text="" dxfId="0">
      <formula>"KAYBETTİ"</formula>
    </cfRule>
  </conditionalFormatting>
  <conditionalFormatting sqref="G18">
    <cfRule type="cellIs" priority="40" operator="equal" aboveAverage="0" equalAverage="0" bottom="0" percent="0" rank="0" text="" dxfId="1">
      <formula>"EVET"</formula>
    </cfRule>
  </conditionalFormatting>
  <conditionalFormatting sqref="H19">
    <cfRule type="cellIs" priority="41" operator="equal" aboveAverage="0" equalAverage="0" bottom="0" percent="0" rank="0" text="" dxfId="2">
      <formula>"KAZANDI"</formula>
    </cfRule>
    <cfRule type="cellIs" priority="42" operator="equal" aboveAverage="0" equalAverage="0" bottom="0" percent="0" rank="0" text="" dxfId="0">
      <formula>"KAYBETTİ"</formula>
    </cfRule>
  </conditionalFormatting>
  <conditionalFormatting sqref="G19">
    <cfRule type="cellIs" priority="43" operator="equal" aboveAverage="0" equalAverage="0" bottom="0" percent="0" rank="0" text="" dxfId="1">
      <formula>"EVET"</formula>
    </cfRule>
  </conditionalFormatting>
  <conditionalFormatting sqref="H20">
    <cfRule type="cellIs" priority="44" operator="equal" aboveAverage="0" equalAverage="0" bottom="0" percent="0" rank="0" text="" dxfId="2">
      <formula>"KAZANDI"</formula>
    </cfRule>
    <cfRule type="cellIs" priority="45" operator="equal" aboveAverage="0" equalAverage="0" bottom="0" percent="0" rank="0" text="" dxfId="0">
      <formula>"KAYBETTİ"</formula>
    </cfRule>
  </conditionalFormatting>
  <conditionalFormatting sqref="G20">
    <cfRule type="cellIs" priority="46" operator="equal" aboveAverage="0" equalAverage="0" bottom="0" percent="0" rank="0" text="" dxfId="1">
      <formula>"EVET"</formula>
    </cfRule>
  </conditionalFormatting>
  <conditionalFormatting sqref="H21">
    <cfRule type="cellIs" priority="47" operator="equal" aboveAverage="0" equalAverage="0" bottom="0" percent="0" rank="0" text="" dxfId="2">
      <formula>"KAZANDI"</formula>
    </cfRule>
    <cfRule type="cellIs" priority="48" operator="equal" aboveAverage="0" equalAverage="0" bottom="0" percent="0" rank="0" text="" dxfId="0">
      <formula>"KAYBETTİ"</formula>
    </cfRule>
  </conditionalFormatting>
  <conditionalFormatting sqref="G21">
    <cfRule type="cellIs" priority="49" operator="equal" aboveAverage="0" equalAverage="0" bottom="0" percent="0" rank="0" text="" dxfId="1">
      <formula>"EVET"</formula>
    </cfRule>
  </conditionalFormatting>
  <conditionalFormatting sqref="H22">
    <cfRule type="cellIs" priority="50" operator="equal" aboveAverage="0" equalAverage="0" bottom="0" percent="0" rank="0" text="" dxfId="2">
      <formula>"KAZANDI"</formula>
    </cfRule>
    <cfRule type="cellIs" priority="51" operator="equal" aboveAverage="0" equalAverage="0" bottom="0" percent="0" rank="0" text="" dxfId="0">
      <formula>"KAYBETTİ"</formula>
    </cfRule>
  </conditionalFormatting>
  <conditionalFormatting sqref="G22">
    <cfRule type="cellIs" priority="52" operator="equal" aboveAverage="0" equalAverage="0" bottom="0" percent="0" rank="0" text="" dxfId="1">
      <formula>"EVET"</formula>
    </cfRule>
  </conditionalFormatting>
  <conditionalFormatting sqref="H23">
    <cfRule type="cellIs" priority="53" operator="equal" aboveAverage="0" equalAverage="0" bottom="0" percent="0" rank="0" text="" dxfId="2">
      <formula>"KAZANDI"</formula>
    </cfRule>
    <cfRule type="cellIs" priority="54" operator="equal" aboveAverage="0" equalAverage="0" bottom="0" percent="0" rank="0" text="" dxfId="0">
      <formula>"KAYBETTİ"</formula>
    </cfRule>
  </conditionalFormatting>
  <conditionalFormatting sqref="G23">
    <cfRule type="cellIs" priority="55" operator="equal" aboveAverage="0" equalAverage="0" bottom="0" percent="0" rank="0" text="" dxfId="1">
      <formula>"EVET"</formula>
    </cfRule>
  </conditionalFormatting>
  <conditionalFormatting sqref="H24">
    <cfRule type="cellIs" priority="56" operator="equal" aboveAverage="0" equalAverage="0" bottom="0" percent="0" rank="0" text="" dxfId="2">
      <formula>"KAZANDI"</formula>
    </cfRule>
    <cfRule type="cellIs" priority="57" operator="equal" aboveAverage="0" equalAverage="0" bottom="0" percent="0" rank="0" text="" dxfId="0">
      <formula>"KAYBETTİ"</formula>
    </cfRule>
  </conditionalFormatting>
  <conditionalFormatting sqref="G24">
    <cfRule type="cellIs" priority="58" operator="equal" aboveAverage="0" equalAverage="0" bottom="0" percent="0" rank="0" text="" dxfId="1">
      <formula>"EVET"</formula>
    </cfRule>
  </conditionalFormatting>
  <conditionalFormatting sqref="H25">
    <cfRule type="cellIs" priority="59" operator="equal" aboveAverage="0" equalAverage="0" bottom="0" percent="0" rank="0" text="" dxfId="2">
      <formula>"KAZANDI"</formula>
    </cfRule>
    <cfRule type="cellIs" priority="60" operator="equal" aboveAverage="0" equalAverage="0" bottom="0" percent="0" rank="0" text="" dxfId="0">
      <formula>"KAYBETTİ"</formula>
    </cfRule>
  </conditionalFormatting>
  <conditionalFormatting sqref="G25">
    <cfRule type="cellIs" priority="61" operator="equal" aboveAverage="0" equalAverage="0" bottom="0" percent="0" rank="0" text="" dxfId="1">
      <formula>"EVET"</formula>
    </cfRule>
  </conditionalFormatting>
  <conditionalFormatting sqref="H26">
    <cfRule type="cellIs" priority="62" operator="equal" aboveAverage="0" equalAverage="0" bottom="0" percent="0" rank="0" text="" dxfId="2">
      <formula>"KAZANDI"</formula>
    </cfRule>
    <cfRule type="cellIs" priority="63" operator="equal" aboveAverage="0" equalAverage="0" bottom="0" percent="0" rank="0" text="" dxfId="0">
      <formula>"KAYBETTİ"</formula>
    </cfRule>
  </conditionalFormatting>
  <conditionalFormatting sqref="G26">
    <cfRule type="cellIs" priority="64" operator="equal" aboveAverage="0" equalAverage="0" bottom="0" percent="0" rank="0" text="" dxfId="1">
      <formula>"EVET"</formula>
    </cfRule>
  </conditionalFormatting>
  <conditionalFormatting sqref="H27">
    <cfRule type="cellIs" priority="65" operator="equal" aboveAverage="0" equalAverage="0" bottom="0" percent="0" rank="0" text="" dxfId="2">
      <formula>"KAZANDI"</formula>
    </cfRule>
    <cfRule type="cellIs" priority="66" operator="equal" aboveAverage="0" equalAverage="0" bottom="0" percent="0" rank="0" text="" dxfId="0">
      <formula>"KAYBETTİ"</formula>
    </cfRule>
  </conditionalFormatting>
  <conditionalFormatting sqref="G27">
    <cfRule type="cellIs" priority="67" operator="equal" aboveAverage="0" equalAverage="0" bottom="0" percent="0" rank="0" text="" dxfId="1">
      <formula>"EVET"</formula>
    </cfRule>
  </conditionalFormatting>
  <conditionalFormatting sqref="H28">
    <cfRule type="cellIs" priority="68" operator="equal" aboveAverage="0" equalAverage="0" bottom="0" percent="0" rank="0" text="" dxfId="2">
      <formula>"KAZANDI"</formula>
    </cfRule>
    <cfRule type="cellIs" priority="69" operator="equal" aboveAverage="0" equalAverage="0" bottom="0" percent="0" rank="0" text="" dxfId="0">
      <formula>"KAYBETTİ"</formula>
    </cfRule>
  </conditionalFormatting>
  <conditionalFormatting sqref="G28">
    <cfRule type="cellIs" priority="70" operator="equal" aboveAverage="0" equalAverage="0" bottom="0" percent="0" rank="0" text="" dxfId="1">
      <formula>"EVET"</formula>
    </cfRule>
  </conditionalFormatting>
  <conditionalFormatting sqref="H29">
    <cfRule type="cellIs" priority="71" operator="equal" aboveAverage="0" equalAverage="0" bottom="0" percent="0" rank="0" text="" dxfId="2">
      <formula>"KAZANDI"</formula>
    </cfRule>
    <cfRule type="cellIs" priority="72" operator="equal" aboveAverage="0" equalAverage="0" bottom="0" percent="0" rank="0" text="" dxfId="0">
      <formula>"KAYBETTİ"</formula>
    </cfRule>
  </conditionalFormatting>
  <conditionalFormatting sqref="G29">
    <cfRule type="cellIs" priority="73" operator="equal" aboveAverage="0" equalAverage="0" bottom="0" percent="0" rank="0" text="" dxfId="1">
      <formula>"EVET"</formula>
    </cfRule>
  </conditionalFormatting>
  <conditionalFormatting sqref="H30">
    <cfRule type="cellIs" priority="74" operator="equal" aboveAverage="0" equalAverage="0" bottom="0" percent="0" rank="0" text="" dxfId="2">
      <formula>"KAZANDI"</formula>
    </cfRule>
    <cfRule type="cellIs" priority="75" operator="equal" aboveAverage="0" equalAverage="0" bottom="0" percent="0" rank="0" text="" dxfId="0">
      <formula>"KAYBETTİ"</formula>
    </cfRule>
  </conditionalFormatting>
  <conditionalFormatting sqref="G30">
    <cfRule type="cellIs" priority="76" operator="equal" aboveAverage="0" equalAverage="0" bottom="0" percent="0" rank="0" text="" dxfId="1">
      <formula>"EVET"</formula>
    </cfRule>
  </conditionalFormatting>
  <conditionalFormatting sqref="H31">
    <cfRule type="cellIs" priority="77" operator="equal" aboveAverage="0" equalAverage="0" bottom="0" percent="0" rank="0" text="" dxfId="2">
      <formula>"KAZANDI"</formula>
    </cfRule>
    <cfRule type="cellIs" priority="78" operator="equal" aboveAverage="0" equalAverage="0" bottom="0" percent="0" rank="0" text="" dxfId="0">
      <formula>"KAYBETTİ"</formula>
    </cfRule>
  </conditionalFormatting>
  <conditionalFormatting sqref="G31">
    <cfRule type="cellIs" priority="79" operator="equal" aboveAverage="0" equalAverage="0" bottom="0" percent="0" rank="0" text="" dxfId="1">
      <formula>"EVET"</formula>
    </cfRule>
  </conditionalFormatting>
  <conditionalFormatting sqref="H32">
    <cfRule type="cellIs" priority="80" operator="equal" aboveAverage="0" equalAverage="0" bottom="0" percent="0" rank="0" text="" dxfId="2">
      <formula>"KAZANDI"</formula>
    </cfRule>
    <cfRule type="cellIs" priority="81" operator="equal" aboveAverage="0" equalAverage="0" bottom="0" percent="0" rank="0" text="" dxfId="0">
      <formula>"KAYBETTİ"</formula>
    </cfRule>
  </conditionalFormatting>
  <conditionalFormatting sqref="G32">
    <cfRule type="cellIs" priority="82" operator="equal" aboveAverage="0" equalAverage="0" bottom="0" percent="0" rank="0" text="" dxfId="1">
      <formula>"EVET"</formula>
    </cfRule>
  </conditionalFormatting>
  <conditionalFormatting sqref="H33">
    <cfRule type="cellIs" priority="83" operator="equal" aboveAverage="0" equalAverage="0" bottom="0" percent="0" rank="0" text="" dxfId="2">
      <formula>"KAZANDI"</formula>
    </cfRule>
    <cfRule type="cellIs" priority="84" operator="equal" aboveAverage="0" equalAverage="0" bottom="0" percent="0" rank="0" text="" dxfId="0">
      <formula>"KAYBETTİ"</formula>
    </cfRule>
  </conditionalFormatting>
  <conditionalFormatting sqref="G33">
    <cfRule type="cellIs" priority="85" operator="equal" aboveAverage="0" equalAverage="0" bottom="0" percent="0" rank="0" text="" dxfId="1">
      <formula>"EVET"</formula>
    </cfRule>
  </conditionalFormatting>
  <conditionalFormatting sqref="H34">
    <cfRule type="cellIs" priority="86" operator="equal" aboveAverage="0" equalAverage="0" bottom="0" percent="0" rank="0" text="" dxfId="2">
      <formula>"KAZANDI"</formula>
    </cfRule>
    <cfRule type="cellIs" priority="87" operator="equal" aboveAverage="0" equalAverage="0" bottom="0" percent="0" rank="0" text="" dxfId="0">
      <formula>"KAYBETTİ"</formula>
    </cfRule>
  </conditionalFormatting>
  <conditionalFormatting sqref="G34">
    <cfRule type="cellIs" priority="88" operator="equal" aboveAverage="0" equalAverage="0" bottom="0" percent="0" rank="0" text="" dxfId="1">
      <formula>"EVET"</formula>
    </cfRule>
  </conditionalFormatting>
  <conditionalFormatting sqref="H35">
    <cfRule type="cellIs" priority="89" operator="equal" aboveAverage="0" equalAverage="0" bottom="0" percent="0" rank="0" text="" dxfId="2">
      <formula>"KAZANDI"</formula>
    </cfRule>
    <cfRule type="cellIs" priority="90" operator="equal" aboveAverage="0" equalAverage="0" bottom="0" percent="0" rank="0" text="" dxfId="0">
      <formula>"KAYBETTİ"</formula>
    </cfRule>
  </conditionalFormatting>
  <conditionalFormatting sqref="G35">
    <cfRule type="cellIs" priority="91" operator="equal" aboveAverage="0" equalAverage="0" bottom="0" percent="0" rank="0" text="" dxfId="1">
      <formula>"EVET"</formula>
    </cfRule>
  </conditionalFormatting>
  <conditionalFormatting sqref="H36">
    <cfRule type="cellIs" priority="92" operator="equal" aboveAverage="0" equalAverage="0" bottom="0" percent="0" rank="0" text="" dxfId="2">
      <formula>"KAZANDI"</formula>
    </cfRule>
    <cfRule type="cellIs" priority="93" operator="equal" aboveAverage="0" equalAverage="0" bottom="0" percent="0" rank="0" text="" dxfId="0">
      <formula>"KAYBETTİ"</formula>
    </cfRule>
  </conditionalFormatting>
  <conditionalFormatting sqref="G36">
    <cfRule type="cellIs" priority="94" operator="equal" aboveAverage="0" equalAverage="0" bottom="0" percent="0" rank="0" text="" dxfId="1">
      <formula>"EVET"</formula>
    </cfRule>
  </conditionalFormatting>
  <conditionalFormatting sqref="H37">
    <cfRule type="cellIs" priority="95" operator="equal" aboveAverage="0" equalAverage="0" bottom="0" percent="0" rank="0" text="" dxfId="2">
      <formula>"KAZANDI"</formula>
    </cfRule>
    <cfRule type="cellIs" priority="96" operator="equal" aboveAverage="0" equalAverage="0" bottom="0" percent="0" rank="0" text="" dxfId="0">
      <formula>"KAYBETTİ"</formula>
    </cfRule>
  </conditionalFormatting>
  <conditionalFormatting sqref="G37">
    <cfRule type="cellIs" priority="97" operator="equal" aboveAverage="0" equalAverage="0" bottom="0" percent="0" rank="0" text="" dxfId="1">
      <formula>"EVET"</formula>
    </cfRule>
  </conditionalFormatting>
  <conditionalFormatting sqref="H38">
    <cfRule type="cellIs" priority="98" operator="equal" aboveAverage="0" equalAverage="0" bottom="0" percent="0" rank="0" text="" dxfId="2">
      <formula>"KAZANDI"</formula>
    </cfRule>
    <cfRule type="cellIs" priority="99" operator="equal" aboveAverage="0" equalAverage="0" bottom="0" percent="0" rank="0" text="" dxfId="0">
      <formula>"KAYBETTİ"</formula>
    </cfRule>
  </conditionalFormatting>
  <conditionalFormatting sqref="G38">
    <cfRule type="cellIs" priority="100" operator="equal" aboveAverage="0" equalAverage="0" bottom="0" percent="0" rank="0" text="" dxfId="1">
      <formula>"EVET"</formula>
    </cfRule>
  </conditionalFormatting>
  <conditionalFormatting sqref="H39">
    <cfRule type="cellIs" priority="101" operator="equal" aboveAverage="0" equalAverage="0" bottom="0" percent="0" rank="0" text="" dxfId="2">
      <formula>"KAZANDI"</formula>
    </cfRule>
    <cfRule type="cellIs" priority="102" operator="equal" aboveAverage="0" equalAverage="0" bottom="0" percent="0" rank="0" text="" dxfId="0">
      <formula>"KAYBETTİ"</formula>
    </cfRule>
  </conditionalFormatting>
  <conditionalFormatting sqref="G39">
    <cfRule type="cellIs" priority="103" operator="equal" aboveAverage="0" equalAverage="0" bottom="0" percent="0" rank="0" text="" dxfId="1">
      <formula>"EVET"</formula>
    </cfRule>
  </conditionalFormatting>
  <conditionalFormatting sqref="H40">
    <cfRule type="cellIs" priority="104" operator="equal" aboveAverage="0" equalAverage="0" bottom="0" percent="0" rank="0" text="" dxfId="2">
      <formula>"KAZANDI"</formula>
    </cfRule>
    <cfRule type="cellIs" priority="105" operator="equal" aboveAverage="0" equalAverage="0" bottom="0" percent="0" rank="0" text="" dxfId="0">
      <formula>"KAYBETTİ"</formula>
    </cfRule>
  </conditionalFormatting>
  <conditionalFormatting sqref="G40">
    <cfRule type="cellIs" priority="106" operator="equal" aboveAverage="0" equalAverage="0" bottom="0" percent="0" rank="0" text="" dxfId="1">
      <formula>"EVET"</formula>
    </cfRule>
  </conditionalFormatting>
  <conditionalFormatting sqref="H41">
    <cfRule type="cellIs" priority="107" operator="equal" aboveAverage="0" equalAverage="0" bottom="0" percent="0" rank="0" text="" dxfId="2">
      <formula>"KAZANDI"</formula>
    </cfRule>
    <cfRule type="cellIs" priority="108" operator="equal" aboveAverage="0" equalAverage="0" bottom="0" percent="0" rank="0" text="" dxfId="0">
      <formula>"KAYBETTİ"</formula>
    </cfRule>
  </conditionalFormatting>
  <conditionalFormatting sqref="G41">
    <cfRule type="cellIs" priority="109" operator="equal" aboveAverage="0" equalAverage="0" bottom="0" percent="0" rank="0" text="" dxfId="1">
      <formula>"EVET"</formula>
    </cfRule>
  </conditionalFormatting>
  <conditionalFormatting sqref="H42">
    <cfRule type="cellIs" priority="110" operator="equal" aboveAverage="0" equalAverage="0" bottom="0" percent="0" rank="0" text="" dxfId="2">
      <formula>"KAZANDI"</formula>
    </cfRule>
    <cfRule type="cellIs" priority="111" operator="equal" aboveAverage="0" equalAverage="0" bottom="0" percent="0" rank="0" text="" dxfId="0">
      <formula>"KAYBETTİ"</formula>
    </cfRule>
  </conditionalFormatting>
  <conditionalFormatting sqref="G42">
    <cfRule type="cellIs" priority="112" operator="equal" aboveAverage="0" equalAverage="0" bottom="0" percent="0" rank="0" text="" dxfId="1">
      <formula>"EVET"</formula>
    </cfRule>
  </conditionalFormatting>
  <conditionalFormatting sqref="H43">
    <cfRule type="cellIs" priority="113" operator="equal" aboveAverage="0" equalAverage="0" bottom="0" percent="0" rank="0" text="" dxfId="2">
      <formula>"KAZANDI"</formula>
    </cfRule>
    <cfRule type="cellIs" priority="114" operator="equal" aboveAverage="0" equalAverage="0" bottom="0" percent="0" rank="0" text="" dxfId="0">
      <formula>"KAYBETTİ"</formula>
    </cfRule>
  </conditionalFormatting>
  <conditionalFormatting sqref="G43">
    <cfRule type="cellIs" priority="115" operator="equal" aboveAverage="0" equalAverage="0" bottom="0" percent="0" rank="0" text="" dxfId="1">
      <formula>"EVET"</formula>
    </cfRule>
  </conditionalFormatting>
  <conditionalFormatting sqref="H44">
    <cfRule type="cellIs" priority="116" operator="equal" aboveAverage="0" equalAverage="0" bottom="0" percent="0" rank="0" text="" dxfId="2">
      <formula>"KAZANDI"</formula>
    </cfRule>
    <cfRule type="cellIs" priority="117" operator="equal" aboveAverage="0" equalAverage="0" bottom="0" percent="0" rank="0" text="" dxfId="0">
      <formula>"KAYBETTİ"</formula>
    </cfRule>
  </conditionalFormatting>
  <conditionalFormatting sqref="G44">
    <cfRule type="cellIs" priority="118" operator="equal" aboveAverage="0" equalAverage="0" bottom="0" percent="0" rank="0" text="" dxfId="1">
      <formula>"EVET"</formula>
    </cfRule>
  </conditionalFormatting>
  <conditionalFormatting sqref="H45">
    <cfRule type="cellIs" priority="119" operator="equal" aboveAverage="0" equalAverage="0" bottom="0" percent="0" rank="0" text="" dxfId="2">
      <formula>"KAZANDI"</formula>
    </cfRule>
    <cfRule type="cellIs" priority="120" operator="equal" aboveAverage="0" equalAverage="0" bottom="0" percent="0" rank="0" text="" dxfId="0">
      <formula>"KAYBETTİ"</formula>
    </cfRule>
  </conditionalFormatting>
  <conditionalFormatting sqref="G45">
    <cfRule type="cellIs" priority="121" operator="equal" aboveAverage="0" equalAverage="0" bottom="0" percent="0" rank="0" text="" dxfId="1">
      <formula>"EVET"</formula>
    </cfRule>
  </conditionalFormatting>
  <conditionalFormatting sqref="H46">
    <cfRule type="cellIs" priority="122" operator="equal" aboveAverage="0" equalAverage="0" bottom="0" percent="0" rank="0" text="" dxfId="2">
      <formula>"KAZANDI"</formula>
    </cfRule>
    <cfRule type="cellIs" priority="123" operator="equal" aboveAverage="0" equalAverage="0" bottom="0" percent="0" rank="0" text="" dxfId="0">
      <formula>"KAYBETTİ"</formula>
    </cfRule>
  </conditionalFormatting>
  <conditionalFormatting sqref="G46">
    <cfRule type="cellIs" priority="124" operator="equal" aboveAverage="0" equalAverage="0" bottom="0" percent="0" rank="0" text="" dxfId="1">
      <formula>"EVET"</formula>
    </cfRule>
  </conditionalFormatting>
  <conditionalFormatting sqref="H47">
    <cfRule type="cellIs" priority="125" operator="equal" aboveAverage="0" equalAverage="0" bottom="0" percent="0" rank="0" text="" dxfId="2">
      <formula>"KAZANDI"</formula>
    </cfRule>
    <cfRule type="cellIs" priority="126" operator="equal" aboveAverage="0" equalAverage="0" bottom="0" percent="0" rank="0" text="" dxfId="0">
      <formula>"KAYBETTİ"</formula>
    </cfRule>
  </conditionalFormatting>
  <conditionalFormatting sqref="G47">
    <cfRule type="cellIs" priority="127" operator="equal" aboveAverage="0" equalAverage="0" bottom="0" percent="0" rank="0" text="" dxfId="1">
      <formula>"EVET"</formula>
    </cfRule>
  </conditionalFormatting>
  <conditionalFormatting sqref="H48">
    <cfRule type="cellIs" priority="128" operator="equal" aboveAverage="0" equalAverage="0" bottom="0" percent="0" rank="0" text="" dxfId="2">
      <formula>"KAZANDI"</formula>
    </cfRule>
    <cfRule type="cellIs" priority="129" operator="equal" aboveAverage="0" equalAverage="0" bottom="0" percent="0" rank="0" text="" dxfId="0">
      <formula>"KAYBETTİ"</formula>
    </cfRule>
  </conditionalFormatting>
  <conditionalFormatting sqref="G48">
    <cfRule type="cellIs" priority="130" operator="equal" aboveAverage="0" equalAverage="0" bottom="0" percent="0" rank="0" text="" dxfId="1">
      <formula>"EVET"</formula>
    </cfRule>
  </conditionalFormatting>
  <conditionalFormatting sqref="H49">
    <cfRule type="cellIs" priority="131" operator="equal" aboveAverage="0" equalAverage="0" bottom="0" percent="0" rank="0" text="" dxfId="2">
      <formula>"KAZANDI"</formula>
    </cfRule>
    <cfRule type="cellIs" priority="132" operator="equal" aboveAverage="0" equalAverage="0" bottom="0" percent="0" rank="0" text="" dxfId="0">
      <formula>"KAYBETTİ"</formula>
    </cfRule>
  </conditionalFormatting>
  <conditionalFormatting sqref="G49">
    <cfRule type="cellIs" priority="133" operator="equal" aboveAverage="0" equalAverage="0" bottom="0" percent="0" rank="0" text="" dxfId="1">
      <formula>"EVET"</formula>
    </cfRule>
  </conditionalFormatting>
  <conditionalFormatting sqref="H50">
    <cfRule type="cellIs" priority="134" operator="equal" aboveAverage="0" equalAverage="0" bottom="0" percent="0" rank="0" text="" dxfId="2">
      <formula>"KAZANDI"</formula>
    </cfRule>
    <cfRule type="cellIs" priority="135" operator="equal" aboveAverage="0" equalAverage="0" bottom="0" percent="0" rank="0" text="" dxfId="0">
      <formula>"KAYBETTİ"</formula>
    </cfRule>
  </conditionalFormatting>
  <conditionalFormatting sqref="G50">
    <cfRule type="cellIs" priority="136" operator="equal" aboveAverage="0" equalAverage="0" bottom="0" percent="0" rank="0" text="" dxfId="1">
      <formula>"EVET"</formula>
    </cfRule>
  </conditionalFormatting>
  <conditionalFormatting sqref="H51">
    <cfRule type="cellIs" priority="137" operator="equal" aboveAverage="0" equalAverage="0" bottom="0" percent="0" rank="0" text="" dxfId="2">
      <formula>"KAZANDI"</formula>
    </cfRule>
    <cfRule type="cellIs" priority="138" operator="equal" aboveAverage="0" equalAverage="0" bottom="0" percent="0" rank="0" text="" dxfId="0">
      <formula>"KAYBETTİ"</formula>
    </cfRule>
  </conditionalFormatting>
  <conditionalFormatting sqref="G51">
    <cfRule type="cellIs" priority="139" operator="equal" aboveAverage="0" equalAverage="0" bottom="0" percent="0" rank="0" text="" dxfId="1">
      <formula>"EVET"</formula>
    </cfRule>
  </conditionalFormatting>
  <conditionalFormatting sqref="H52">
    <cfRule type="cellIs" priority="140" operator="equal" aboveAverage="0" equalAverage="0" bottom="0" percent="0" rank="0" text="" dxfId="2">
      <formula>"KAZANDI"</formula>
    </cfRule>
    <cfRule type="cellIs" priority="141" operator="equal" aboveAverage="0" equalAverage="0" bottom="0" percent="0" rank="0" text="" dxfId="0">
      <formula>"KAYBETTİ"</formula>
    </cfRule>
  </conditionalFormatting>
  <conditionalFormatting sqref="G52">
    <cfRule type="cellIs" priority="142" operator="equal" aboveAverage="0" equalAverage="0" bottom="0" percent="0" rank="0" text="" dxfId="1">
      <formula>"EVET"</formula>
    </cfRule>
  </conditionalFormatting>
  <conditionalFormatting sqref="H53">
    <cfRule type="cellIs" priority="143" operator="equal" aboveAverage="0" equalAverage="0" bottom="0" percent="0" rank="0" text="" dxfId="2">
      <formula>"KAZANDI"</formula>
    </cfRule>
    <cfRule type="cellIs" priority="144" operator="equal" aboveAverage="0" equalAverage="0" bottom="0" percent="0" rank="0" text="" dxfId="0">
      <formula>"KAYBETTİ"</formula>
    </cfRule>
  </conditionalFormatting>
  <conditionalFormatting sqref="G53">
    <cfRule type="cellIs" priority="145" operator="equal" aboveAverage="0" equalAverage="0" bottom="0" percent="0" rank="0" text="" dxfId="1">
      <formula>"EVET"</formula>
    </cfRule>
  </conditionalFormatting>
  <conditionalFormatting sqref="H54">
    <cfRule type="cellIs" priority="146" operator="equal" aboveAverage="0" equalAverage="0" bottom="0" percent="0" rank="0" text="" dxfId="2">
      <formula>"KAZANDI"</formula>
    </cfRule>
    <cfRule type="cellIs" priority="147" operator="equal" aboveAverage="0" equalAverage="0" bottom="0" percent="0" rank="0" text="" dxfId="0">
      <formula>"KAYBETTİ"</formula>
    </cfRule>
  </conditionalFormatting>
  <conditionalFormatting sqref="G54">
    <cfRule type="cellIs" priority="148" operator="equal" aboveAverage="0" equalAverage="0" bottom="0" percent="0" rank="0" text="" dxfId="1">
      <formula>"EVET"</formula>
    </cfRule>
  </conditionalFormatting>
  <conditionalFormatting sqref="H55">
    <cfRule type="cellIs" priority="149" operator="equal" aboveAverage="0" equalAverage="0" bottom="0" percent="0" rank="0" text="" dxfId="2">
      <formula>"KAZANDI"</formula>
    </cfRule>
    <cfRule type="cellIs" priority="150" operator="equal" aboveAverage="0" equalAverage="0" bottom="0" percent="0" rank="0" text="" dxfId="0">
      <formula>"KAYBETTİ"</formula>
    </cfRule>
  </conditionalFormatting>
  <conditionalFormatting sqref="G55">
    <cfRule type="cellIs" priority="151" operator="equal" aboveAverage="0" equalAverage="0" bottom="0" percent="0" rank="0" text="" dxfId="1">
      <formula>"EVET"</formula>
    </cfRule>
  </conditionalFormatting>
  <conditionalFormatting sqref="H56">
    <cfRule type="cellIs" priority="152" operator="equal" aboveAverage="0" equalAverage="0" bottom="0" percent="0" rank="0" text="" dxfId="2">
      <formula>"KAZANDI"</formula>
    </cfRule>
    <cfRule type="cellIs" priority="153" operator="equal" aboveAverage="0" equalAverage="0" bottom="0" percent="0" rank="0" text="" dxfId="0">
      <formula>"KAYBETTİ"</formula>
    </cfRule>
  </conditionalFormatting>
  <conditionalFormatting sqref="G56">
    <cfRule type="cellIs" priority="154" operator="equal" aboveAverage="0" equalAverage="0" bottom="0" percent="0" rank="0" text="" dxfId="1">
      <formula>"EVET"</formula>
    </cfRule>
  </conditionalFormatting>
  <conditionalFormatting sqref="H57">
    <cfRule type="cellIs" priority="155" operator="equal" aboveAverage="0" equalAverage="0" bottom="0" percent="0" rank="0" text="" dxfId="2">
      <formula>"KAZANDI"</formula>
    </cfRule>
    <cfRule type="cellIs" priority="156" operator="equal" aboveAverage="0" equalAverage="0" bottom="0" percent="0" rank="0" text="" dxfId="0">
      <formula>"KAYBETTİ"</formula>
    </cfRule>
  </conditionalFormatting>
  <conditionalFormatting sqref="G57">
    <cfRule type="cellIs" priority="157" operator="equal" aboveAverage="0" equalAverage="0" bottom="0" percent="0" rank="0" text="" dxfId="1">
      <formula>"EVET"</formula>
    </cfRule>
  </conditionalFormatting>
  <conditionalFormatting sqref="H58">
    <cfRule type="cellIs" priority="158" operator="equal" aboveAverage="0" equalAverage="0" bottom="0" percent="0" rank="0" text="" dxfId="2">
      <formula>"KAZANDI"</formula>
    </cfRule>
    <cfRule type="cellIs" priority="159" operator="equal" aboveAverage="0" equalAverage="0" bottom="0" percent="0" rank="0" text="" dxfId="0">
      <formula>"KAYBETTİ"</formula>
    </cfRule>
  </conditionalFormatting>
  <conditionalFormatting sqref="G58">
    <cfRule type="cellIs" priority="160" operator="equal" aboveAverage="0" equalAverage="0" bottom="0" percent="0" rank="0" text="" dxfId="1">
      <formula>"EVET"</formula>
    </cfRule>
  </conditionalFormatting>
  <conditionalFormatting sqref="H59">
    <cfRule type="cellIs" priority="161" operator="equal" aboveAverage="0" equalAverage="0" bottom="0" percent="0" rank="0" text="" dxfId="2">
      <formula>"KAZANDI"</formula>
    </cfRule>
    <cfRule type="cellIs" priority="162" operator="equal" aboveAverage="0" equalAverage="0" bottom="0" percent="0" rank="0" text="" dxfId="0">
      <formula>"KAYBETTİ"</formula>
    </cfRule>
  </conditionalFormatting>
  <conditionalFormatting sqref="G59">
    <cfRule type="cellIs" priority="163" operator="equal" aboveAverage="0" equalAverage="0" bottom="0" percent="0" rank="0" text="" dxfId="1">
      <formula>"EVET"</formula>
    </cfRule>
  </conditionalFormatting>
  <conditionalFormatting sqref="H60">
    <cfRule type="cellIs" priority="164" operator="equal" aboveAverage="0" equalAverage="0" bottom="0" percent="0" rank="0" text="" dxfId="2">
      <formula>"KAZANDI"</formula>
    </cfRule>
    <cfRule type="cellIs" priority="165" operator="equal" aboveAverage="0" equalAverage="0" bottom="0" percent="0" rank="0" text="" dxfId="0">
      <formula>"KAYBETTİ"</formula>
    </cfRule>
  </conditionalFormatting>
  <conditionalFormatting sqref="G60">
    <cfRule type="cellIs" priority="166" operator="equal" aboveAverage="0" equalAverage="0" bottom="0" percent="0" rank="0" text="" dxfId="1">
      <formula>"EVET"</formula>
    </cfRule>
  </conditionalFormatting>
  <conditionalFormatting sqref="H61">
    <cfRule type="cellIs" priority="167" operator="equal" aboveAverage="0" equalAverage="0" bottom="0" percent="0" rank="0" text="" dxfId="2">
      <formula>"KAZANDI"</formula>
    </cfRule>
    <cfRule type="cellIs" priority="168" operator="equal" aboveAverage="0" equalAverage="0" bottom="0" percent="0" rank="0" text="" dxfId="0">
      <formula>"KAYBETTİ"</formula>
    </cfRule>
  </conditionalFormatting>
  <conditionalFormatting sqref="G61">
    <cfRule type="cellIs" priority="169" operator="equal" aboveAverage="0" equalAverage="0" bottom="0" percent="0" rank="0" text="" dxfId="1">
      <formula>"EVET"</formula>
    </cfRule>
  </conditionalFormatting>
  <conditionalFormatting sqref="H62">
    <cfRule type="cellIs" priority="170" operator="equal" aboveAverage="0" equalAverage="0" bottom="0" percent="0" rank="0" text="" dxfId="2">
      <formula>"KAZANDI"</formula>
    </cfRule>
    <cfRule type="cellIs" priority="171" operator="equal" aboveAverage="0" equalAverage="0" bottom="0" percent="0" rank="0" text="" dxfId="0">
      <formula>"KAYBETTİ"</formula>
    </cfRule>
  </conditionalFormatting>
  <conditionalFormatting sqref="G62">
    <cfRule type="cellIs" priority="172" operator="equal" aboveAverage="0" equalAverage="0" bottom="0" percent="0" rank="0" text="" dxfId="1">
      <formula>"EVET"</formula>
    </cfRule>
  </conditionalFormatting>
  <conditionalFormatting sqref="H63">
    <cfRule type="cellIs" priority="173" operator="equal" aboveAverage="0" equalAverage="0" bottom="0" percent="0" rank="0" text="" dxfId="2">
      <formula>"KAZANDI"</formula>
    </cfRule>
    <cfRule type="cellIs" priority="174" operator="equal" aboveAverage="0" equalAverage="0" bottom="0" percent="0" rank="0" text="" dxfId="0">
      <formula>"KAYBETTİ"</formula>
    </cfRule>
  </conditionalFormatting>
  <conditionalFormatting sqref="G63">
    <cfRule type="cellIs" priority="175" operator="equal" aboveAverage="0" equalAverage="0" bottom="0" percent="0" rank="0" text="" dxfId="1">
      <formula>"EVET"</formula>
    </cfRule>
  </conditionalFormatting>
  <conditionalFormatting sqref="H64">
    <cfRule type="cellIs" priority="176" operator="equal" aboveAverage="0" equalAverage="0" bottom="0" percent="0" rank="0" text="" dxfId="2">
      <formula>"KAZANDI"</formula>
    </cfRule>
    <cfRule type="cellIs" priority="177" operator="equal" aboveAverage="0" equalAverage="0" bottom="0" percent="0" rank="0" text="" dxfId="0">
      <formula>"KAYBETTİ"</formula>
    </cfRule>
  </conditionalFormatting>
  <conditionalFormatting sqref="G64">
    <cfRule type="cellIs" priority="178" operator="equal" aboveAverage="0" equalAverage="0" bottom="0" percent="0" rank="0" text="" dxfId="1">
      <formula>"EVET"</formula>
    </cfRule>
  </conditionalFormatting>
  <conditionalFormatting sqref="H65">
    <cfRule type="cellIs" priority="179" operator="equal" aboveAverage="0" equalAverage="0" bottom="0" percent="0" rank="0" text="" dxfId="2">
      <formula>"KAZANDI"</formula>
    </cfRule>
    <cfRule type="cellIs" priority="180" operator="equal" aboveAverage="0" equalAverage="0" bottom="0" percent="0" rank="0" text="" dxfId="0">
      <formula>"KAYBETTİ"</formula>
    </cfRule>
  </conditionalFormatting>
  <conditionalFormatting sqref="G65">
    <cfRule type="cellIs" priority="181" operator="equal" aboveAverage="0" equalAverage="0" bottom="0" percent="0" rank="0" text="" dxfId="1">
      <formula>"EVET"</formula>
    </cfRule>
  </conditionalFormatting>
  <conditionalFormatting sqref="H66">
    <cfRule type="cellIs" priority="182" operator="equal" aboveAverage="0" equalAverage="0" bottom="0" percent="0" rank="0" text="" dxfId="2">
      <formula>"KAZANDI"</formula>
    </cfRule>
    <cfRule type="cellIs" priority="183" operator="equal" aboveAverage="0" equalAverage="0" bottom="0" percent="0" rank="0" text="" dxfId="0">
      <formula>"KAYBETTİ"</formula>
    </cfRule>
  </conditionalFormatting>
  <conditionalFormatting sqref="G66">
    <cfRule type="cellIs" priority="184" operator="equal" aboveAverage="0" equalAverage="0" bottom="0" percent="0" rank="0" text="" dxfId="1">
      <formula>"EVET"</formula>
    </cfRule>
  </conditionalFormatting>
  <conditionalFormatting sqref="H67">
    <cfRule type="cellIs" priority="185" operator="equal" aboveAverage="0" equalAverage="0" bottom="0" percent="0" rank="0" text="" dxfId="2">
      <formula>"KAZANDI"</formula>
    </cfRule>
    <cfRule type="cellIs" priority="186" operator="equal" aboveAverage="0" equalAverage="0" bottom="0" percent="0" rank="0" text="" dxfId="0">
      <formula>"KAYBETTİ"</formula>
    </cfRule>
  </conditionalFormatting>
  <conditionalFormatting sqref="G67">
    <cfRule type="cellIs" priority="187" operator="equal" aboveAverage="0" equalAverage="0" bottom="0" percent="0" rank="0" text="" dxfId="1">
      <formula>"EVET"</formula>
    </cfRule>
  </conditionalFormatting>
  <conditionalFormatting sqref="H68">
    <cfRule type="cellIs" priority="188" operator="equal" aboveAverage="0" equalAverage="0" bottom="0" percent="0" rank="0" text="" dxfId="2">
      <formula>"KAZANDI"</formula>
    </cfRule>
    <cfRule type="cellIs" priority="189" operator="equal" aboveAverage="0" equalAverage="0" bottom="0" percent="0" rank="0" text="" dxfId="0">
      <formula>"KAYBETTİ"</formula>
    </cfRule>
  </conditionalFormatting>
  <conditionalFormatting sqref="G68">
    <cfRule type="cellIs" priority="190" operator="equal" aboveAverage="0" equalAverage="0" bottom="0" percent="0" rank="0" text="" dxfId="1">
      <formula>"EVET"</formula>
    </cfRule>
  </conditionalFormatting>
  <conditionalFormatting sqref="H69">
    <cfRule type="cellIs" priority="191" operator="equal" aboveAverage="0" equalAverage="0" bottom="0" percent="0" rank="0" text="" dxfId="2">
      <formula>"KAZANDI"</formula>
    </cfRule>
    <cfRule type="cellIs" priority="192" operator="equal" aboveAverage="0" equalAverage="0" bottom="0" percent="0" rank="0" text="" dxfId="0">
      <formula>"KAYBETTİ"</formula>
    </cfRule>
  </conditionalFormatting>
  <conditionalFormatting sqref="G69">
    <cfRule type="cellIs" priority="193" operator="equal" aboveAverage="0" equalAverage="0" bottom="0" percent="0" rank="0" text="" dxfId="1">
      <formula>"EVET"</formula>
    </cfRule>
  </conditionalFormatting>
  <conditionalFormatting sqref="H70">
    <cfRule type="cellIs" priority="194" operator="equal" aboveAverage="0" equalAverage="0" bottom="0" percent="0" rank="0" text="" dxfId="2">
      <formula>"KAZANDI"</formula>
    </cfRule>
    <cfRule type="cellIs" priority="195" operator="equal" aboveAverage="0" equalAverage="0" bottom="0" percent="0" rank="0" text="" dxfId="0">
      <formula>"KAYBETTİ"</formula>
    </cfRule>
  </conditionalFormatting>
  <conditionalFormatting sqref="G70">
    <cfRule type="cellIs" priority="196" operator="equal" aboveAverage="0" equalAverage="0" bottom="0" percent="0" rank="0" text="" dxfId="1">
      <formula>"EVET"</formula>
    </cfRule>
  </conditionalFormatting>
  <conditionalFormatting sqref="H71">
    <cfRule type="cellIs" priority="197" operator="equal" aboveAverage="0" equalAverage="0" bottom="0" percent="0" rank="0" text="" dxfId="2">
      <formula>"KAZANDI"</formula>
    </cfRule>
    <cfRule type="cellIs" priority="198" operator="equal" aboveAverage="0" equalAverage="0" bottom="0" percent="0" rank="0" text="" dxfId="0">
      <formula>"KAYBETTİ"</formula>
    </cfRule>
  </conditionalFormatting>
  <conditionalFormatting sqref="G71">
    <cfRule type="cellIs" priority="199" operator="equal" aboveAverage="0" equalAverage="0" bottom="0" percent="0" rank="0" text="" dxfId="1">
      <formula>"EVET"</formula>
    </cfRule>
  </conditionalFormatting>
  <conditionalFormatting sqref="H72">
    <cfRule type="cellIs" priority="200" operator="equal" aboveAverage="0" equalAverage="0" bottom="0" percent="0" rank="0" text="" dxfId="2">
      <formula>"KAZANDI"</formula>
    </cfRule>
    <cfRule type="cellIs" priority="201" operator="equal" aboveAverage="0" equalAverage="0" bottom="0" percent="0" rank="0" text="" dxfId="0">
      <formula>"KAYBETTİ"</formula>
    </cfRule>
  </conditionalFormatting>
  <conditionalFormatting sqref="G72">
    <cfRule type="cellIs" priority="202" operator="equal" aboveAverage="0" equalAverage="0" bottom="0" percent="0" rank="0" text="" dxfId="1">
      <formula>"EVET"</formula>
    </cfRule>
  </conditionalFormatting>
  <conditionalFormatting sqref="H73">
    <cfRule type="cellIs" priority="203" operator="equal" aboveAverage="0" equalAverage="0" bottom="0" percent="0" rank="0" text="" dxfId="2">
      <formula>"KAZANDI"</formula>
    </cfRule>
    <cfRule type="cellIs" priority="204" operator="equal" aboveAverage="0" equalAverage="0" bottom="0" percent="0" rank="0" text="" dxfId="0">
      <formula>"KAYBETTİ"</formula>
    </cfRule>
  </conditionalFormatting>
  <conditionalFormatting sqref="G73">
    <cfRule type="cellIs" priority="205" operator="equal" aboveAverage="0" equalAverage="0" bottom="0" percent="0" rank="0" text="" dxfId="1">
      <formula>"EVET"</formula>
    </cfRule>
  </conditionalFormatting>
  <conditionalFormatting sqref="H74">
    <cfRule type="cellIs" priority="206" operator="equal" aboveAverage="0" equalAverage="0" bottom="0" percent="0" rank="0" text="" dxfId="2">
      <formula>"KAZANDI"</formula>
    </cfRule>
    <cfRule type="cellIs" priority="207" operator="equal" aboveAverage="0" equalAverage="0" bottom="0" percent="0" rank="0" text="" dxfId="0">
      <formula>"KAYBETTİ"</formula>
    </cfRule>
  </conditionalFormatting>
  <conditionalFormatting sqref="G74">
    <cfRule type="cellIs" priority="208" operator="equal" aboveAverage="0" equalAverage="0" bottom="0" percent="0" rank="0" text="" dxfId="1">
      <formula>"EVET"</formula>
    </cfRule>
  </conditionalFormatting>
  <conditionalFormatting sqref="H75">
    <cfRule type="cellIs" priority="209" operator="equal" aboveAverage="0" equalAverage="0" bottom="0" percent="0" rank="0" text="" dxfId="2">
      <formula>"KAZANDI"</formula>
    </cfRule>
    <cfRule type="cellIs" priority="210" operator="equal" aboveAverage="0" equalAverage="0" bottom="0" percent="0" rank="0" text="" dxfId="0">
      <formula>"KAYBETTİ"</formula>
    </cfRule>
  </conditionalFormatting>
  <conditionalFormatting sqref="G75">
    <cfRule type="cellIs" priority="211" operator="equal" aboveAverage="0" equalAverage="0" bottom="0" percent="0" rank="0" text="" dxfId="1">
      <formula>"EVET"</formula>
    </cfRule>
  </conditionalFormatting>
  <conditionalFormatting sqref="H76">
    <cfRule type="cellIs" priority="212" operator="equal" aboveAverage="0" equalAverage="0" bottom="0" percent="0" rank="0" text="" dxfId="2">
      <formula>"KAZANDI"</formula>
    </cfRule>
    <cfRule type="cellIs" priority="213" operator="equal" aboveAverage="0" equalAverage="0" bottom="0" percent="0" rank="0" text="" dxfId="0">
      <formula>"KAYBETTİ"</formula>
    </cfRule>
  </conditionalFormatting>
  <conditionalFormatting sqref="G76">
    <cfRule type="cellIs" priority="214" operator="equal" aboveAverage="0" equalAverage="0" bottom="0" percent="0" rank="0" text="" dxfId="1">
      <formula>"EVET"</formula>
    </cfRule>
  </conditionalFormatting>
  <conditionalFormatting sqref="H77">
    <cfRule type="cellIs" priority="215" operator="equal" aboveAverage="0" equalAverage="0" bottom="0" percent="0" rank="0" text="" dxfId="2">
      <formula>"KAZANDI"</formula>
    </cfRule>
    <cfRule type="cellIs" priority="216" operator="equal" aboveAverage="0" equalAverage="0" bottom="0" percent="0" rank="0" text="" dxfId="0">
      <formula>"KAYBETTİ"</formula>
    </cfRule>
  </conditionalFormatting>
  <conditionalFormatting sqref="G77">
    <cfRule type="cellIs" priority="217" operator="equal" aboveAverage="0" equalAverage="0" bottom="0" percent="0" rank="0" text="" dxfId="1">
      <formula>"EVET"</formula>
    </cfRule>
  </conditionalFormatting>
  <conditionalFormatting sqref="H78">
    <cfRule type="cellIs" priority="218" operator="equal" aboveAverage="0" equalAverage="0" bottom="0" percent="0" rank="0" text="" dxfId="2">
      <formula>"KAZANDI"</formula>
    </cfRule>
    <cfRule type="cellIs" priority="219" operator="equal" aboveAverage="0" equalAverage="0" bottom="0" percent="0" rank="0" text="" dxfId="0">
      <formula>"KAYBETTİ"</formula>
    </cfRule>
  </conditionalFormatting>
  <conditionalFormatting sqref="G78">
    <cfRule type="cellIs" priority="220" operator="equal" aboveAverage="0" equalAverage="0" bottom="0" percent="0" rank="0" text="" dxfId="1">
      <formula>"EVET"</formula>
    </cfRule>
  </conditionalFormatting>
  <conditionalFormatting sqref="H79">
    <cfRule type="cellIs" priority="221" operator="equal" aboveAverage="0" equalAverage="0" bottom="0" percent="0" rank="0" text="" dxfId="2">
      <formula>"KAZANDI"</formula>
    </cfRule>
    <cfRule type="cellIs" priority="222" operator="equal" aboveAverage="0" equalAverage="0" bottom="0" percent="0" rank="0" text="" dxfId="0">
      <formula>"KAYBETTİ"</formula>
    </cfRule>
  </conditionalFormatting>
  <conditionalFormatting sqref="G79">
    <cfRule type="cellIs" priority="223" operator="equal" aboveAverage="0" equalAverage="0" bottom="0" percent="0" rank="0" text="" dxfId="1">
      <formula>"EVET"</formula>
    </cfRule>
  </conditionalFormatting>
  <conditionalFormatting sqref="H80">
    <cfRule type="cellIs" priority="224" operator="equal" aboveAverage="0" equalAverage="0" bottom="0" percent="0" rank="0" text="" dxfId="2">
      <formula>"KAZANDI"</formula>
    </cfRule>
    <cfRule type="cellIs" priority="225" operator="equal" aboveAverage="0" equalAverage="0" bottom="0" percent="0" rank="0" text="" dxfId="0">
      <formula>"KAYBETTİ"</formula>
    </cfRule>
  </conditionalFormatting>
  <conditionalFormatting sqref="G80">
    <cfRule type="cellIs" priority="226" operator="equal" aboveAverage="0" equalAverage="0" bottom="0" percent="0" rank="0" text="" dxfId="1">
      <formula>"EVET"</formula>
    </cfRule>
  </conditionalFormatting>
  <conditionalFormatting sqref="H81">
    <cfRule type="cellIs" priority="227" operator="equal" aboveAverage="0" equalAverage="0" bottom="0" percent="0" rank="0" text="" dxfId="2">
      <formula>"KAZANDI"</formula>
    </cfRule>
    <cfRule type="cellIs" priority="228" operator="equal" aboveAverage="0" equalAverage="0" bottom="0" percent="0" rank="0" text="" dxfId="0">
      <formula>"KAYBETTİ"</formula>
    </cfRule>
  </conditionalFormatting>
  <conditionalFormatting sqref="G81">
    <cfRule type="cellIs" priority="229" operator="equal" aboveAverage="0" equalAverage="0" bottom="0" percent="0" rank="0" text="" dxfId="1">
      <formula>"EVET"</formula>
    </cfRule>
  </conditionalFormatting>
  <conditionalFormatting sqref="H82">
    <cfRule type="cellIs" priority="230" operator="equal" aboveAverage="0" equalAverage="0" bottom="0" percent="0" rank="0" text="" dxfId="2">
      <formula>"KAZANDI"</formula>
    </cfRule>
    <cfRule type="cellIs" priority="231" operator="equal" aboveAverage="0" equalAverage="0" bottom="0" percent="0" rank="0" text="" dxfId="0">
      <formula>"KAYBETTİ"</formula>
    </cfRule>
  </conditionalFormatting>
  <conditionalFormatting sqref="G82">
    <cfRule type="cellIs" priority="232" operator="equal" aboveAverage="0" equalAverage="0" bottom="0" percent="0" rank="0" text="" dxfId="1">
      <formula>"EVET"</formula>
    </cfRule>
  </conditionalFormatting>
  <conditionalFormatting sqref="H83">
    <cfRule type="cellIs" priority="233" operator="equal" aboveAverage="0" equalAverage="0" bottom="0" percent="0" rank="0" text="" dxfId="2">
      <formula>"KAZANDI"</formula>
    </cfRule>
    <cfRule type="cellIs" priority="234" operator="equal" aboveAverage="0" equalAverage="0" bottom="0" percent="0" rank="0" text="" dxfId="0">
      <formula>"KAYBETTİ"</formula>
    </cfRule>
  </conditionalFormatting>
  <conditionalFormatting sqref="G83">
    <cfRule type="cellIs" priority="235" operator="equal" aboveAverage="0" equalAverage="0" bottom="0" percent="0" rank="0" text="" dxfId="1">
      <formula>"EVET"</formula>
    </cfRule>
  </conditionalFormatting>
  <conditionalFormatting sqref="H84">
    <cfRule type="cellIs" priority="236" operator="equal" aboveAverage="0" equalAverage="0" bottom="0" percent="0" rank="0" text="" dxfId="2">
      <formula>"KAZANDI"</formula>
    </cfRule>
    <cfRule type="cellIs" priority="237" operator="equal" aboveAverage="0" equalAverage="0" bottom="0" percent="0" rank="0" text="" dxfId="0">
      <formula>"KAYBETTİ"</formula>
    </cfRule>
  </conditionalFormatting>
  <conditionalFormatting sqref="G84">
    <cfRule type="cellIs" priority="238" operator="equal" aboveAverage="0" equalAverage="0" bottom="0" percent="0" rank="0" text="" dxfId="1">
      <formula>"EVET"</formula>
    </cfRule>
  </conditionalFormatting>
  <conditionalFormatting sqref="H85">
    <cfRule type="cellIs" priority="239" operator="equal" aboveAverage="0" equalAverage="0" bottom="0" percent="0" rank="0" text="" dxfId="2">
      <formula>"KAZANDI"</formula>
    </cfRule>
    <cfRule type="cellIs" priority="240" operator="equal" aboveAverage="0" equalAverage="0" bottom="0" percent="0" rank="0" text="" dxfId="0">
      <formula>"KAYBETTİ"</formula>
    </cfRule>
  </conditionalFormatting>
  <conditionalFormatting sqref="G85">
    <cfRule type="cellIs" priority="241" operator="equal" aboveAverage="0" equalAverage="0" bottom="0" percent="0" rank="0" text="" dxfId="1">
      <formula>"EVET"</formula>
    </cfRule>
  </conditionalFormatting>
  <conditionalFormatting sqref="H86">
    <cfRule type="cellIs" priority="242" operator="equal" aboveAverage="0" equalAverage="0" bottom="0" percent="0" rank="0" text="" dxfId="2">
      <formula>"KAZANDI"</formula>
    </cfRule>
    <cfRule type="cellIs" priority="243" operator="equal" aboveAverage="0" equalAverage="0" bottom="0" percent="0" rank="0" text="" dxfId="0">
      <formula>"KAYBETTİ"</formula>
    </cfRule>
  </conditionalFormatting>
  <conditionalFormatting sqref="G86">
    <cfRule type="cellIs" priority="244" operator="equal" aboveAverage="0" equalAverage="0" bottom="0" percent="0" rank="0" text="" dxfId="1">
      <formula>"EVET"</formula>
    </cfRule>
  </conditionalFormatting>
  <conditionalFormatting sqref="H87">
    <cfRule type="cellIs" priority="245" operator="equal" aboveAverage="0" equalAverage="0" bottom="0" percent="0" rank="0" text="" dxfId="2">
      <formula>"KAZANDI"</formula>
    </cfRule>
    <cfRule type="cellIs" priority="246" operator="equal" aboveAverage="0" equalAverage="0" bottom="0" percent="0" rank="0" text="" dxfId="0">
      <formula>"KAYBETTİ"</formula>
    </cfRule>
  </conditionalFormatting>
  <conditionalFormatting sqref="G87">
    <cfRule type="cellIs" priority="247" operator="equal" aboveAverage="0" equalAverage="0" bottom="0" percent="0" rank="0" text="" dxfId="1">
      <formula>"EVET"</formula>
    </cfRule>
  </conditionalFormatting>
  <conditionalFormatting sqref="H88">
    <cfRule type="cellIs" priority="248" operator="equal" aboveAverage="0" equalAverage="0" bottom="0" percent="0" rank="0" text="" dxfId="2">
      <formula>"KAZANDI"</formula>
    </cfRule>
    <cfRule type="cellIs" priority="249" operator="equal" aboveAverage="0" equalAverage="0" bottom="0" percent="0" rank="0" text="" dxfId="0">
      <formula>"KAYBETTİ"</formula>
    </cfRule>
  </conditionalFormatting>
  <conditionalFormatting sqref="G88">
    <cfRule type="cellIs" priority="250" operator="equal" aboveAverage="0" equalAverage="0" bottom="0" percent="0" rank="0" text="" dxfId="1">
      <formula>"EVET"</formula>
    </cfRule>
  </conditionalFormatting>
  <conditionalFormatting sqref="H89">
    <cfRule type="cellIs" priority="251" operator="equal" aboveAverage="0" equalAverage="0" bottom="0" percent="0" rank="0" text="" dxfId="2">
      <formula>"KAZANDI"</formula>
    </cfRule>
    <cfRule type="cellIs" priority="252" operator="equal" aboveAverage="0" equalAverage="0" bottom="0" percent="0" rank="0" text="" dxfId="0">
      <formula>"KAYBETTİ"</formula>
    </cfRule>
  </conditionalFormatting>
  <conditionalFormatting sqref="G89">
    <cfRule type="cellIs" priority="253" operator="equal" aboveAverage="0" equalAverage="0" bottom="0" percent="0" rank="0" text="" dxfId="1">
      <formula>"EVET"</formula>
    </cfRule>
  </conditionalFormatting>
  <conditionalFormatting sqref="H90">
    <cfRule type="cellIs" priority="254" operator="equal" aboveAverage="0" equalAverage="0" bottom="0" percent="0" rank="0" text="" dxfId="2">
      <formula>"KAZANDI"</formula>
    </cfRule>
    <cfRule type="cellIs" priority="255" operator="equal" aboveAverage="0" equalAverage="0" bottom="0" percent="0" rank="0" text="" dxfId="0">
      <formula>"KAYBETTİ"</formula>
    </cfRule>
  </conditionalFormatting>
  <conditionalFormatting sqref="G90">
    <cfRule type="cellIs" priority="256" operator="equal" aboveAverage="0" equalAverage="0" bottom="0" percent="0" rank="0" text="" dxfId="1">
      <formula>"EVET"</formula>
    </cfRule>
  </conditionalFormatting>
  <conditionalFormatting sqref="H91">
    <cfRule type="cellIs" priority="257" operator="equal" aboveAverage="0" equalAverage="0" bottom="0" percent="0" rank="0" text="" dxfId="2">
      <formula>"KAZANDI"</formula>
    </cfRule>
    <cfRule type="cellIs" priority="258" operator="equal" aboveAverage="0" equalAverage="0" bottom="0" percent="0" rank="0" text="" dxfId="0">
      <formula>"KAYBETTİ"</formula>
    </cfRule>
  </conditionalFormatting>
  <conditionalFormatting sqref="G91">
    <cfRule type="cellIs" priority="259" operator="equal" aboveAverage="0" equalAverage="0" bottom="0" percent="0" rank="0" text="" dxfId="1">
      <formula>"EVET"</formula>
    </cfRule>
  </conditionalFormatting>
  <conditionalFormatting sqref="H92">
    <cfRule type="cellIs" priority="260" operator="equal" aboveAverage="0" equalAverage="0" bottom="0" percent="0" rank="0" text="" dxfId="2">
      <formula>"KAZANDI"</formula>
    </cfRule>
    <cfRule type="cellIs" priority="261" operator="equal" aboveAverage="0" equalAverage="0" bottom="0" percent="0" rank="0" text="" dxfId="0">
      <formula>"KAYBETTİ"</formula>
    </cfRule>
  </conditionalFormatting>
  <conditionalFormatting sqref="G92">
    <cfRule type="cellIs" priority="262" operator="equal" aboveAverage="0" equalAverage="0" bottom="0" percent="0" rank="0" text="" dxfId="1">
      <formula>"EVET"</formula>
    </cfRule>
  </conditionalFormatting>
  <conditionalFormatting sqref="H93">
    <cfRule type="cellIs" priority="263" operator="equal" aboveAverage="0" equalAverage="0" bottom="0" percent="0" rank="0" text="" dxfId="2">
      <formula>"KAZANDI"</formula>
    </cfRule>
    <cfRule type="cellIs" priority="264" operator="equal" aboveAverage="0" equalAverage="0" bottom="0" percent="0" rank="0" text="" dxfId="0">
      <formula>"KAYBETTİ"</formula>
    </cfRule>
  </conditionalFormatting>
  <conditionalFormatting sqref="G93">
    <cfRule type="cellIs" priority="265" operator="equal" aboveAverage="0" equalAverage="0" bottom="0" percent="0" rank="0" text="" dxfId="1">
      <formula>"EVET"</formula>
    </cfRule>
  </conditionalFormatting>
  <conditionalFormatting sqref="H94">
    <cfRule type="cellIs" priority="266" operator="equal" aboveAverage="0" equalAverage="0" bottom="0" percent="0" rank="0" text="" dxfId="2">
      <formula>"KAZANDI"</formula>
    </cfRule>
    <cfRule type="cellIs" priority="267" operator="equal" aboveAverage="0" equalAverage="0" bottom="0" percent="0" rank="0" text="" dxfId="0">
      <formula>"KAYBETTİ"</formula>
    </cfRule>
  </conditionalFormatting>
  <conditionalFormatting sqref="G94">
    <cfRule type="cellIs" priority="268" operator="equal" aboveAverage="0" equalAverage="0" bottom="0" percent="0" rank="0" text="" dxfId="1">
      <formula>"EVET"</formula>
    </cfRule>
  </conditionalFormatting>
  <conditionalFormatting sqref="H95">
    <cfRule type="cellIs" priority="269" operator="equal" aboveAverage="0" equalAverage="0" bottom="0" percent="0" rank="0" text="" dxfId="2">
      <formula>"KAZANDI"</formula>
    </cfRule>
    <cfRule type="cellIs" priority="270" operator="equal" aboveAverage="0" equalAverage="0" bottom="0" percent="0" rank="0" text="" dxfId="0">
      <formula>"KAYBETTİ"</formula>
    </cfRule>
  </conditionalFormatting>
  <conditionalFormatting sqref="G95">
    <cfRule type="cellIs" priority="271" operator="equal" aboveAverage="0" equalAverage="0" bottom="0" percent="0" rank="0" text="" dxfId="1">
      <formula>"EVET"</formula>
    </cfRule>
  </conditionalFormatting>
  <conditionalFormatting sqref="H96">
    <cfRule type="cellIs" priority="272" operator="equal" aboveAverage="0" equalAverage="0" bottom="0" percent="0" rank="0" text="" dxfId="2">
      <formula>"KAZANDI"</formula>
    </cfRule>
    <cfRule type="cellIs" priority="273" operator="equal" aboveAverage="0" equalAverage="0" bottom="0" percent="0" rank="0" text="" dxfId="0">
      <formula>"KAYBETTİ"</formula>
    </cfRule>
  </conditionalFormatting>
  <conditionalFormatting sqref="G96">
    <cfRule type="cellIs" priority="274" operator="equal" aboveAverage="0" equalAverage="0" bottom="0" percent="0" rank="0" text="" dxfId="1">
      <formula>"EVET"</formula>
    </cfRule>
  </conditionalFormatting>
  <conditionalFormatting sqref="H97">
    <cfRule type="cellIs" priority="275" operator="equal" aboveAverage="0" equalAverage="0" bottom="0" percent="0" rank="0" text="" dxfId="2">
      <formula>"KAZANDI"</formula>
    </cfRule>
    <cfRule type="cellIs" priority="276" operator="equal" aboveAverage="0" equalAverage="0" bottom="0" percent="0" rank="0" text="" dxfId="0">
      <formula>"KAYBETTİ"</formula>
    </cfRule>
  </conditionalFormatting>
  <conditionalFormatting sqref="G97">
    <cfRule type="cellIs" priority="277" operator="equal" aboveAverage="0" equalAverage="0" bottom="0" percent="0" rank="0" text="" dxfId="1">
      <formula>"EVET"</formula>
    </cfRule>
  </conditionalFormatting>
  <conditionalFormatting sqref="H98">
    <cfRule type="cellIs" priority="278" operator="equal" aboveAverage="0" equalAverage="0" bottom="0" percent="0" rank="0" text="" dxfId="2">
      <formula>"KAZANDI"</formula>
    </cfRule>
    <cfRule type="cellIs" priority="279" operator="equal" aboveAverage="0" equalAverage="0" bottom="0" percent="0" rank="0" text="" dxfId="0">
      <formula>"KAYBETTİ"</formula>
    </cfRule>
  </conditionalFormatting>
  <conditionalFormatting sqref="G98">
    <cfRule type="cellIs" priority="280" operator="equal" aboveAverage="0" equalAverage="0" bottom="0" percent="0" rank="0" text="" dxfId="1">
      <formula>"EVET"</formula>
    </cfRule>
  </conditionalFormatting>
  <conditionalFormatting sqref="H99">
    <cfRule type="cellIs" priority="281" operator="equal" aboveAverage="0" equalAverage="0" bottom="0" percent="0" rank="0" text="" dxfId="2">
      <formula>"KAZANDI"</formula>
    </cfRule>
    <cfRule type="cellIs" priority="282" operator="equal" aboveAverage="0" equalAverage="0" bottom="0" percent="0" rank="0" text="" dxfId="0">
      <formula>"KAYBETTİ"</formula>
    </cfRule>
  </conditionalFormatting>
  <conditionalFormatting sqref="G99">
    <cfRule type="cellIs" priority="283" operator="equal" aboveAverage="0" equalAverage="0" bottom="0" percent="0" rank="0" text="" dxfId="1">
      <formula>"EVET"</formula>
    </cfRule>
  </conditionalFormatting>
  <conditionalFormatting sqref="H100">
    <cfRule type="cellIs" priority="284" operator="equal" aboveAverage="0" equalAverage="0" bottom="0" percent="0" rank="0" text="" dxfId="2">
      <formula>"KAZANDI"</formula>
    </cfRule>
    <cfRule type="cellIs" priority="285" operator="equal" aboveAverage="0" equalAverage="0" bottom="0" percent="0" rank="0" text="" dxfId="0">
      <formula>"KAYBETTİ"</formula>
    </cfRule>
  </conditionalFormatting>
  <conditionalFormatting sqref="G100">
    <cfRule type="cellIs" priority="286" operator="equal" aboveAverage="0" equalAverage="0" bottom="0" percent="0" rank="0" text="" dxfId="1">
      <formula>"EVET"</formula>
    </cfRule>
  </conditionalFormatting>
  <conditionalFormatting sqref="H101">
    <cfRule type="cellIs" priority="287" operator="equal" aboveAverage="0" equalAverage="0" bottom="0" percent="0" rank="0" text="" dxfId="2">
      <formula>"KAZANDI"</formula>
    </cfRule>
    <cfRule type="cellIs" priority="288" operator="equal" aboveAverage="0" equalAverage="0" bottom="0" percent="0" rank="0" text="" dxfId="0">
      <formula>"KAYBETTİ"</formula>
    </cfRule>
  </conditionalFormatting>
  <conditionalFormatting sqref="G101">
    <cfRule type="cellIs" priority="289" operator="equal" aboveAverage="0" equalAverage="0" bottom="0" percent="0" rank="0" text="" dxfId="1">
      <formula>"EVET"</formula>
    </cfRule>
  </conditionalFormatting>
  <conditionalFormatting sqref="H102">
    <cfRule type="cellIs" priority="290" operator="equal" aboveAverage="0" equalAverage="0" bottom="0" percent="0" rank="0" text="" dxfId="2">
      <formula>"KAZANDI"</formula>
    </cfRule>
    <cfRule type="cellIs" priority="291" operator="equal" aboveAverage="0" equalAverage="0" bottom="0" percent="0" rank="0" text="" dxfId="0">
      <formula>"KAYBETTİ"</formula>
    </cfRule>
  </conditionalFormatting>
  <conditionalFormatting sqref="G102">
    <cfRule type="cellIs" priority="292" operator="equal" aboveAverage="0" equalAverage="0" bottom="0" percent="0" rank="0" text="" dxfId="1">
      <formula>"EVET"</formula>
    </cfRule>
  </conditionalFormatting>
  <conditionalFormatting sqref="H103">
    <cfRule type="cellIs" priority="293" operator="equal" aboveAverage="0" equalAverage="0" bottom="0" percent="0" rank="0" text="" dxfId="2">
      <formula>"KAZANDI"</formula>
    </cfRule>
    <cfRule type="cellIs" priority="294" operator="equal" aboveAverage="0" equalAverage="0" bottom="0" percent="0" rank="0" text="" dxfId="0">
      <formula>"KAYBETTİ"</formula>
    </cfRule>
  </conditionalFormatting>
  <conditionalFormatting sqref="G103">
    <cfRule type="cellIs" priority="295" operator="equal" aboveAverage="0" equalAverage="0" bottom="0" percent="0" rank="0" text="" dxfId="1">
      <formula>"EVET"</formula>
    </cfRule>
  </conditionalFormatting>
  <conditionalFormatting sqref="H104">
    <cfRule type="cellIs" priority="296" operator="equal" aboveAverage="0" equalAverage="0" bottom="0" percent="0" rank="0" text="" dxfId="2">
      <formula>"KAZANDI"</formula>
    </cfRule>
    <cfRule type="cellIs" priority="297" operator="equal" aboveAverage="0" equalAverage="0" bottom="0" percent="0" rank="0" text="" dxfId="0">
      <formula>"KAYBETTİ"</formula>
    </cfRule>
  </conditionalFormatting>
  <conditionalFormatting sqref="G104">
    <cfRule type="cellIs" priority="298" operator="equal" aboveAverage="0" equalAverage="0" bottom="0" percent="0" rank="0" text="" dxfId="1">
      <formula>"EVET"</formula>
    </cfRule>
  </conditionalFormatting>
  <conditionalFormatting sqref="H105">
    <cfRule type="cellIs" priority="299" operator="equal" aboveAverage="0" equalAverage="0" bottom="0" percent="0" rank="0" text="" dxfId="2">
      <formula>"KAZANDI"</formula>
    </cfRule>
    <cfRule type="cellIs" priority="300" operator="equal" aboveAverage="0" equalAverage="0" bottom="0" percent="0" rank="0" text="" dxfId="0">
      <formula>"KAYBETTİ"</formula>
    </cfRule>
  </conditionalFormatting>
  <conditionalFormatting sqref="G105">
    <cfRule type="cellIs" priority="301" operator="equal" aboveAverage="0" equalAverage="0" bottom="0" percent="0" rank="0" text="" dxfId="1">
      <formula>"EVET"</formula>
    </cfRule>
  </conditionalFormatting>
  <conditionalFormatting sqref="H106">
    <cfRule type="cellIs" priority="302" operator="equal" aboveAverage="0" equalAverage="0" bottom="0" percent="0" rank="0" text="" dxfId="2">
      <formula>"KAZANDI"</formula>
    </cfRule>
    <cfRule type="cellIs" priority="303" operator="equal" aboveAverage="0" equalAverage="0" bottom="0" percent="0" rank="0" text="" dxfId="0">
      <formula>"KAYBETTİ"</formula>
    </cfRule>
  </conditionalFormatting>
  <conditionalFormatting sqref="G106">
    <cfRule type="cellIs" priority="304" operator="equal" aboveAverage="0" equalAverage="0" bottom="0" percent="0" rank="0" text="" dxfId="1">
      <formula>"EVET"</formula>
    </cfRule>
  </conditionalFormatting>
  <conditionalFormatting sqref="H107">
    <cfRule type="cellIs" priority="305" operator="equal" aboveAverage="0" equalAverage="0" bottom="0" percent="0" rank="0" text="" dxfId="2">
      <formula>"KAZANDI"</formula>
    </cfRule>
    <cfRule type="cellIs" priority="306" operator="equal" aboveAverage="0" equalAverage="0" bottom="0" percent="0" rank="0" text="" dxfId="0">
      <formula>"KAYBETTİ"</formula>
    </cfRule>
  </conditionalFormatting>
  <conditionalFormatting sqref="G107">
    <cfRule type="cellIs" priority="307" operator="equal" aboveAverage="0" equalAverage="0" bottom="0" percent="0" rank="0" text="" dxfId="1">
      <formula>"EVET"</formula>
    </cfRule>
  </conditionalFormatting>
  <conditionalFormatting sqref="H108">
    <cfRule type="cellIs" priority="308" operator="equal" aboveAverage="0" equalAverage="0" bottom="0" percent="0" rank="0" text="" dxfId="2">
      <formula>"KAZANDI"</formula>
    </cfRule>
    <cfRule type="cellIs" priority="309" operator="equal" aboveAverage="0" equalAverage="0" bottom="0" percent="0" rank="0" text="" dxfId="0">
      <formula>"KAYBETTİ"</formula>
    </cfRule>
  </conditionalFormatting>
  <conditionalFormatting sqref="G108">
    <cfRule type="cellIs" priority="310" operator="equal" aboveAverage="0" equalAverage="0" bottom="0" percent="0" rank="0" text="" dxfId="1">
      <formula>"EVET"</formula>
    </cfRule>
  </conditionalFormatting>
  <conditionalFormatting sqref="H109">
    <cfRule type="cellIs" priority="311" operator="equal" aboveAverage="0" equalAverage="0" bottom="0" percent="0" rank="0" text="" dxfId="2">
      <formula>"KAZANDI"</formula>
    </cfRule>
    <cfRule type="cellIs" priority="312" operator="equal" aboveAverage="0" equalAverage="0" bottom="0" percent="0" rank="0" text="" dxfId="0">
      <formula>"KAYBETTİ"</formula>
    </cfRule>
  </conditionalFormatting>
  <conditionalFormatting sqref="G109">
    <cfRule type="cellIs" priority="313" operator="equal" aboveAverage="0" equalAverage="0" bottom="0" percent="0" rank="0" text="" dxfId="1">
      <formula>"EVET"</formula>
    </cfRule>
  </conditionalFormatting>
  <conditionalFormatting sqref="H110">
    <cfRule type="cellIs" priority="314" operator="equal" aboveAverage="0" equalAverage="0" bottom="0" percent="0" rank="0" text="" dxfId="2">
      <formula>"KAZANDI"</formula>
    </cfRule>
    <cfRule type="cellIs" priority="315" operator="equal" aboveAverage="0" equalAverage="0" bottom="0" percent="0" rank="0" text="" dxfId="0">
      <formula>"KAYBETTİ"</formula>
    </cfRule>
  </conditionalFormatting>
  <conditionalFormatting sqref="G110">
    <cfRule type="cellIs" priority="316" operator="equal" aboveAverage="0" equalAverage="0" bottom="0" percent="0" rank="0" text="" dxfId="1">
      <formula>"EVET"</formula>
    </cfRule>
  </conditionalFormatting>
  <conditionalFormatting sqref="H111">
    <cfRule type="cellIs" priority="317" operator="equal" aboveAverage="0" equalAverage="0" bottom="0" percent="0" rank="0" text="" dxfId="2">
      <formula>"KAZANDI"</formula>
    </cfRule>
    <cfRule type="cellIs" priority="318" operator="equal" aboveAverage="0" equalAverage="0" bottom="0" percent="0" rank="0" text="" dxfId="0">
      <formula>"KAYBETTİ"</formula>
    </cfRule>
  </conditionalFormatting>
  <conditionalFormatting sqref="G111">
    <cfRule type="cellIs" priority="319" operator="equal" aboveAverage="0" equalAverage="0" bottom="0" percent="0" rank="0" text="" dxfId="1">
      <formula>"EVET"</formula>
    </cfRule>
  </conditionalFormatting>
  <conditionalFormatting sqref="H112">
    <cfRule type="cellIs" priority="320" operator="equal" aboveAverage="0" equalAverage="0" bottom="0" percent="0" rank="0" text="" dxfId="2">
      <formula>"KAZANDI"</formula>
    </cfRule>
    <cfRule type="cellIs" priority="321" operator="equal" aboveAverage="0" equalAverage="0" bottom="0" percent="0" rank="0" text="" dxfId="0">
      <formula>"KAYBETTİ"</formula>
    </cfRule>
  </conditionalFormatting>
  <conditionalFormatting sqref="G112">
    <cfRule type="cellIs" priority="322" operator="equal" aboveAverage="0" equalAverage="0" bottom="0" percent="0" rank="0" text="" dxfId="1">
      <formula>"EVET"</formula>
    </cfRule>
  </conditionalFormatting>
  <conditionalFormatting sqref="H113">
    <cfRule type="cellIs" priority="323" operator="equal" aboveAverage="0" equalAverage="0" bottom="0" percent="0" rank="0" text="" dxfId="2">
      <formula>"KAZANDI"</formula>
    </cfRule>
    <cfRule type="cellIs" priority="324" operator="equal" aboveAverage="0" equalAverage="0" bottom="0" percent="0" rank="0" text="" dxfId="0">
      <formula>"KAYBETTİ"</formula>
    </cfRule>
  </conditionalFormatting>
  <conditionalFormatting sqref="G113">
    <cfRule type="cellIs" priority="325" operator="equal" aboveAverage="0" equalAverage="0" bottom="0" percent="0" rank="0" text="" dxfId="1">
      <formula>"EVET"</formula>
    </cfRule>
  </conditionalFormatting>
  <conditionalFormatting sqref="H114">
    <cfRule type="cellIs" priority="326" operator="equal" aboveAverage="0" equalAverage="0" bottom="0" percent="0" rank="0" text="" dxfId="2">
      <formula>"KAZANDI"</formula>
    </cfRule>
    <cfRule type="cellIs" priority="327" operator="equal" aboveAverage="0" equalAverage="0" bottom="0" percent="0" rank="0" text="" dxfId="0">
      <formula>"KAYBETTİ"</formula>
    </cfRule>
  </conditionalFormatting>
  <conditionalFormatting sqref="G114">
    <cfRule type="cellIs" priority="328" operator="equal" aboveAverage="0" equalAverage="0" bottom="0" percent="0" rank="0" text="" dxfId="1">
      <formula>"EVET"</formula>
    </cfRule>
  </conditionalFormatting>
  <conditionalFormatting sqref="H115">
    <cfRule type="cellIs" priority="329" operator="equal" aboveAverage="0" equalAverage="0" bottom="0" percent="0" rank="0" text="" dxfId="2">
      <formula>"KAZANDI"</formula>
    </cfRule>
    <cfRule type="cellIs" priority="330" operator="equal" aboveAverage="0" equalAverage="0" bottom="0" percent="0" rank="0" text="" dxfId="0">
      <formula>"KAYBETTİ"</formula>
    </cfRule>
  </conditionalFormatting>
  <conditionalFormatting sqref="G115">
    <cfRule type="cellIs" priority="331" operator="equal" aboveAverage="0" equalAverage="0" bottom="0" percent="0" rank="0" text="" dxfId="1">
      <formula>"EVET"</formula>
    </cfRule>
  </conditionalFormatting>
  <conditionalFormatting sqref="H116">
    <cfRule type="cellIs" priority="332" operator="equal" aboveAverage="0" equalAverage="0" bottom="0" percent="0" rank="0" text="" dxfId="2">
      <formula>"KAZANDI"</formula>
    </cfRule>
    <cfRule type="cellIs" priority="333" operator="equal" aboveAverage="0" equalAverage="0" bottom="0" percent="0" rank="0" text="" dxfId="0">
      <formula>"KAYBETTİ"</formula>
    </cfRule>
  </conditionalFormatting>
  <conditionalFormatting sqref="G116">
    <cfRule type="cellIs" priority="334" operator="equal" aboveAverage="0" equalAverage="0" bottom="0" percent="0" rank="0" text="" dxfId="1">
      <formula>"EVET"</formula>
    </cfRule>
  </conditionalFormatting>
  <conditionalFormatting sqref="H117">
    <cfRule type="cellIs" priority="335" operator="equal" aboveAverage="0" equalAverage="0" bottom="0" percent="0" rank="0" text="" dxfId="2">
      <formula>"KAZANDI"</formula>
    </cfRule>
    <cfRule type="cellIs" priority="336" operator="equal" aboveAverage="0" equalAverage="0" bottom="0" percent="0" rank="0" text="" dxfId="0">
      <formula>"KAYBETTİ"</formula>
    </cfRule>
  </conditionalFormatting>
  <conditionalFormatting sqref="G117">
    <cfRule type="cellIs" priority="337" operator="equal" aboveAverage="0" equalAverage="0" bottom="0" percent="0" rank="0" text="" dxfId="1">
      <formula>"EVET"</formula>
    </cfRule>
  </conditionalFormatting>
  <conditionalFormatting sqref="H118">
    <cfRule type="cellIs" priority="338" operator="equal" aboveAverage="0" equalAverage="0" bottom="0" percent="0" rank="0" text="" dxfId="2">
      <formula>"KAZANDI"</formula>
    </cfRule>
    <cfRule type="cellIs" priority="339" operator="equal" aboveAverage="0" equalAverage="0" bottom="0" percent="0" rank="0" text="" dxfId="0">
      <formula>"KAYBETTİ"</formula>
    </cfRule>
  </conditionalFormatting>
  <conditionalFormatting sqref="G118">
    <cfRule type="cellIs" priority="340" operator="equal" aboveAverage="0" equalAverage="0" bottom="0" percent="0" rank="0" text="" dxfId="1">
      <formula>"EVET"</formula>
    </cfRule>
  </conditionalFormatting>
  <conditionalFormatting sqref="H119">
    <cfRule type="cellIs" priority="341" operator="equal" aboveAverage="0" equalAverage="0" bottom="0" percent="0" rank="0" text="" dxfId="2">
      <formula>"KAZANDI"</formula>
    </cfRule>
    <cfRule type="cellIs" priority="342" operator="equal" aboveAverage="0" equalAverage="0" bottom="0" percent="0" rank="0" text="" dxfId="0">
      <formula>"KAYBETTİ"</formula>
    </cfRule>
  </conditionalFormatting>
  <conditionalFormatting sqref="G119">
    <cfRule type="cellIs" priority="343" operator="equal" aboveAverage="0" equalAverage="0" bottom="0" percent="0" rank="0" text="" dxfId="1">
      <formula>"EVET"</formula>
    </cfRule>
  </conditionalFormatting>
  <conditionalFormatting sqref="H120">
    <cfRule type="cellIs" priority="344" operator="equal" aboveAverage="0" equalAverage="0" bottom="0" percent="0" rank="0" text="" dxfId="2">
      <formula>"KAZANDI"</formula>
    </cfRule>
    <cfRule type="cellIs" priority="345" operator="equal" aboveAverage="0" equalAverage="0" bottom="0" percent="0" rank="0" text="" dxfId="0">
      <formula>"KAYBETTİ"</formula>
    </cfRule>
  </conditionalFormatting>
  <conditionalFormatting sqref="G120">
    <cfRule type="cellIs" priority="346" operator="equal" aboveAverage="0" equalAverage="0" bottom="0" percent="0" rank="0" text="" dxfId="1">
      <formula>"EVET"</formula>
    </cfRule>
  </conditionalFormatting>
  <conditionalFormatting sqref="H121">
    <cfRule type="cellIs" priority="347" operator="equal" aboveAverage="0" equalAverage="0" bottom="0" percent="0" rank="0" text="" dxfId="2">
      <formula>"KAZANDI"</formula>
    </cfRule>
    <cfRule type="cellIs" priority="348" operator="equal" aboveAverage="0" equalAverage="0" bottom="0" percent="0" rank="0" text="" dxfId="0">
      <formula>"KAYBETTİ"</formula>
    </cfRule>
  </conditionalFormatting>
  <conditionalFormatting sqref="G121">
    <cfRule type="cellIs" priority="349" operator="equal" aboveAverage="0" equalAverage="0" bottom="0" percent="0" rank="0" text="" dxfId="1">
      <formula>"EVET"</formula>
    </cfRule>
  </conditionalFormatting>
  <conditionalFormatting sqref="H122">
    <cfRule type="cellIs" priority="350" operator="equal" aboveAverage="0" equalAverage="0" bottom="0" percent="0" rank="0" text="" dxfId="2">
      <formula>"KAZANDI"</formula>
    </cfRule>
    <cfRule type="cellIs" priority="351" operator="equal" aboveAverage="0" equalAverage="0" bottom="0" percent="0" rank="0" text="" dxfId="0">
      <formula>"KAYBETTİ"</formula>
    </cfRule>
  </conditionalFormatting>
  <conditionalFormatting sqref="G122">
    <cfRule type="cellIs" priority="352" operator="equal" aboveAverage="0" equalAverage="0" bottom="0" percent="0" rank="0" text="" dxfId="1">
      <formula>"EVET"</formula>
    </cfRule>
  </conditionalFormatting>
  <conditionalFormatting sqref="H123">
    <cfRule type="cellIs" priority="353" operator="equal" aboveAverage="0" equalAverage="0" bottom="0" percent="0" rank="0" text="" dxfId="2">
      <formula>"KAZANDI"</formula>
    </cfRule>
    <cfRule type="cellIs" priority="354" operator="equal" aboveAverage="0" equalAverage="0" bottom="0" percent="0" rank="0" text="" dxfId="0">
      <formula>"KAYBETTİ"</formula>
    </cfRule>
  </conditionalFormatting>
  <conditionalFormatting sqref="G123">
    <cfRule type="cellIs" priority="355" operator="equal" aboveAverage="0" equalAverage="0" bottom="0" percent="0" rank="0" text="" dxfId="1">
      <formula>"EVET"</formula>
    </cfRule>
  </conditionalFormatting>
  <conditionalFormatting sqref="H124">
    <cfRule type="cellIs" priority="356" operator="equal" aboveAverage="0" equalAverage="0" bottom="0" percent="0" rank="0" text="" dxfId="2">
      <formula>"KAZANDI"</formula>
    </cfRule>
    <cfRule type="cellIs" priority="357" operator="equal" aboveAverage="0" equalAverage="0" bottom="0" percent="0" rank="0" text="" dxfId="0">
      <formula>"KAYBETTİ"</formula>
    </cfRule>
  </conditionalFormatting>
  <conditionalFormatting sqref="G124">
    <cfRule type="cellIs" priority="358" operator="equal" aboveAverage="0" equalAverage="0" bottom="0" percent="0" rank="0" text="" dxfId="1">
      <formula>"EVET"</formula>
    </cfRule>
  </conditionalFormatting>
  <conditionalFormatting sqref="H125">
    <cfRule type="cellIs" priority="359" operator="equal" aboveAverage="0" equalAverage="0" bottom="0" percent="0" rank="0" text="" dxfId="2">
      <formula>"KAZANDI"</formula>
    </cfRule>
    <cfRule type="cellIs" priority="360" operator="equal" aboveAverage="0" equalAverage="0" bottom="0" percent="0" rank="0" text="" dxfId="0">
      <formula>"KAYBETTİ"</formula>
    </cfRule>
  </conditionalFormatting>
  <conditionalFormatting sqref="G125">
    <cfRule type="cellIs" priority="361" operator="equal" aboveAverage="0" equalAverage="0" bottom="0" percent="0" rank="0" text="" dxfId="1">
      <formula>"EVET"</formula>
    </cfRule>
  </conditionalFormatting>
  <conditionalFormatting sqref="H126">
    <cfRule type="cellIs" priority="362" operator="equal" aboveAverage="0" equalAverage="0" bottom="0" percent="0" rank="0" text="" dxfId="2">
      <formula>"KAZANDI"</formula>
    </cfRule>
    <cfRule type="cellIs" priority="363" operator="equal" aboveAverage="0" equalAverage="0" bottom="0" percent="0" rank="0" text="" dxfId="0">
      <formula>"KAYBETTİ"</formula>
    </cfRule>
  </conditionalFormatting>
  <conditionalFormatting sqref="G126">
    <cfRule type="cellIs" priority="364" operator="equal" aboveAverage="0" equalAverage="0" bottom="0" percent="0" rank="0" text="" dxfId="1">
      <formula>"EVET"</formula>
    </cfRule>
  </conditionalFormatting>
  <conditionalFormatting sqref="H127">
    <cfRule type="cellIs" priority="365" operator="equal" aboveAverage="0" equalAverage="0" bottom="0" percent="0" rank="0" text="" dxfId="2">
      <formula>"KAZANDI"</formula>
    </cfRule>
    <cfRule type="cellIs" priority="366" operator="equal" aboveAverage="0" equalAverage="0" bottom="0" percent="0" rank="0" text="" dxfId="0">
      <formula>"KAYBETTİ"</formula>
    </cfRule>
  </conditionalFormatting>
  <conditionalFormatting sqref="G127">
    <cfRule type="cellIs" priority="367" operator="equal" aboveAverage="0" equalAverage="0" bottom="0" percent="0" rank="0" text="" dxfId="1">
      <formula>"EVET"</formula>
    </cfRule>
  </conditionalFormatting>
  <conditionalFormatting sqref="H128">
    <cfRule type="cellIs" priority="368" operator="equal" aboveAverage="0" equalAverage="0" bottom="0" percent="0" rank="0" text="" dxfId="2">
      <formula>"KAZANDI"</formula>
    </cfRule>
    <cfRule type="cellIs" priority="369" operator="equal" aboveAverage="0" equalAverage="0" bottom="0" percent="0" rank="0" text="" dxfId="0">
      <formula>"KAYBETTİ"</formula>
    </cfRule>
  </conditionalFormatting>
  <conditionalFormatting sqref="G128">
    <cfRule type="cellIs" priority="370" operator="equal" aboveAverage="0" equalAverage="0" bottom="0" percent="0" rank="0" text="" dxfId="1">
      <formula>"EVET"</formula>
    </cfRule>
  </conditionalFormatting>
  <conditionalFormatting sqref="H129">
    <cfRule type="cellIs" priority="371" operator="equal" aboveAverage="0" equalAverage="0" bottom="0" percent="0" rank="0" text="" dxfId="2">
      <formula>"KAZANDI"</formula>
    </cfRule>
    <cfRule type="cellIs" priority="372" operator="equal" aboveAverage="0" equalAverage="0" bottom="0" percent="0" rank="0" text="" dxfId="0">
      <formula>"KAYBETTİ"</formula>
    </cfRule>
  </conditionalFormatting>
  <conditionalFormatting sqref="G129">
    <cfRule type="cellIs" priority="373" operator="equal" aboveAverage="0" equalAverage="0" bottom="0" percent="0" rank="0" text="" dxfId="1">
      <formula>"EVET"</formula>
    </cfRule>
  </conditionalFormatting>
  <conditionalFormatting sqref="H130">
    <cfRule type="cellIs" priority="374" operator="equal" aboveAverage="0" equalAverage="0" bottom="0" percent="0" rank="0" text="" dxfId="2">
      <formula>"KAZANDI"</formula>
    </cfRule>
    <cfRule type="cellIs" priority="375" operator="equal" aboveAverage="0" equalAverage="0" bottom="0" percent="0" rank="0" text="" dxfId="0">
      <formula>"KAYBETTİ"</formula>
    </cfRule>
  </conditionalFormatting>
  <conditionalFormatting sqref="G130">
    <cfRule type="cellIs" priority="376" operator="equal" aboveAverage="0" equalAverage="0" bottom="0" percent="0" rank="0" text="" dxfId="1">
      <formula>"EVET"</formula>
    </cfRule>
  </conditionalFormatting>
  <conditionalFormatting sqref="H131">
    <cfRule type="cellIs" priority="377" operator="equal" aboveAverage="0" equalAverage="0" bottom="0" percent="0" rank="0" text="" dxfId="2">
      <formula>"KAZANDI"</formula>
    </cfRule>
    <cfRule type="cellIs" priority="378" operator="equal" aboveAverage="0" equalAverage="0" bottom="0" percent="0" rank="0" text="" dxfId="0">
      <formula>"KAYBETTİ"</formula>
    </cfRule>
  </conditionalFormatting>
  <conditionalFormatting sqref="G131">
    <cfRule type="cellIs" priority="379" operator="equal" aboveAverage="0" equalAverage="0" bottom="0" percent="0" rank="0" text="" dxfId="1">
      <formula>"EVET"</formula>
    </cfRule>
  </conditionalFormatting>
  <conditionalFormatting sqref="H132">
    <cfRule type="cellIs" priority="380" operator="equal" aboveAverage="0" equalAverage="0" bottom="0" percent="0" rank="0" text="" dxfId="2">
      <formula>"KAZANDI"</formula>
    </cfRule>
    <cfRule type="cellIs" priority="381" operator="equal" aboveAverage="0" equalAverage="0" bottom="0" percent="0" rank="0" text="" dxfId="0">
      <formula>"KAYBETTİ"</formula>
    </cfRule>
  </conditionalFormatting>
  <conditionalFormatting sqref="G132">
    <cfRule type="cellIs" priority="382" operator="equal" aboveAverage="0" equalAverage="0" bottom="0" percent="0" rank="0" text="" dxfId="1">
      <formula>"EVET"</formula>
    </cfRule>
  </conditionalFormatting>
  <conditionalFormatting sqref="H133">
    <cfRule type="cellIs" priority="383" operator="equal" aboveAverage="0" equalAverage="0" bottom="0" percent="0" rank="0" text="" dxfId="2">
      <formula>"KAZANDI"</formula>
    </cfRule>
    <cfRule type="cellIs" priority="384" operator="equal" aboveAverage="0" equalAverage="0" bottom="0" percent="0" rank="0" text="" dxfId="0">
      <formula>"KAYBETTİ"</formula>
    </cfRule>
  </conditionalFormatting>
  <conditionalFormatting sqref="G133">
    <cfRule type="cellIs" priority="385" operator="equal" aboveAverage="0" equalAverage="0" bottom="0" percent="0" rank="0" text="" dxfId="1">
      <formula>"EVET"</formula>
    </cfRule>
  </conditionalFormatting>
  <conditionalFormatting sqref="H134">
    <cfRule type="cellIs" priority="386" operator="equal" aboveAverage="0" equalAverage="0" bottom="0" percent="0" rank="0" text="" dxfId="2">
      <formula>"KAZANDI"</formula>
    </cfRule>
    <cfRule type="cellIs" priority="387" operator="equal" aboveAverage="0" equalAverage="0" bottom="0" percent="0" rank="0" text="" dxfId="0">
      <formula>"KAYBETTİ"</formula>
    </cfRule>
  </conditionalFormatting>
  <conditionalFormatting sqref="G134">
    <cfRule type="cellIs" priority="388" operator="equal" aboveAverage="0" equalAverage="0" bottom="0" percent="0" rank="0" text="" dxfId="1">
      <formula>"EVET"</formula>
    </cfRule>
  </conditionalFormatting>
  <conditionalFormatting sqref="H135">
    <cfRule type="cellIs" priority="389" operator="equal" aboveAverage="0" equalAverage="0" bottom="0" percent="0" rank="0" text="" dxfId="2">
      <formula>"KAZANDI"</formula>
    </cfRule>
    <cfRule type="cellIs" priority="390" operator="equal" aboveAverage="0" equalAverage="0" bottom="0" percent="0" rank="0" text="" dxfId="0">
      <formula>"KAYBETTİ"</formula>
    </cfRule>
  </conditionalFormatting>
  <conditionalFormatting sqref="G135">
    <cfRule type="cellIs" priority="391" operator="equal" aboveAverage="0" equalAverage="0" bottom="0" percent="0" rank="0" text="" dxfId="1">
      <formula>"EVET"</formula>
    </cfRule>
  </conditionalFormatting>
  <conditionalFormatting sqref="H136">
    <cfRule type="cellIs" priority="392" operator="equal" aboveAverage="0" equalAverage="0" bottom="0" percent="0" rank="0" text="" dxfId="2">
      <formula>"KAZANDI"</formula>
    </cfRule>
    <cfRule type="cellIs" priority="393" operator="equal" aboveAverage="0" equalAverage="0" bottom="0" percent="0" rank="0" text="" dxfId="0">
      <formula>"KAYBETTİ"</formula>
    </cfRule>
  </conditionalFormatting>
  <conditionalFormatting sqref="G136">
    <cfRule type="cellIs" priority="394" operator="equal" aboveAverage="0" equalAverage="0" bottom="0" percent="0" rank="0" text="" dxfId="1">
      <formula>"EVET"</formula>
    </cfRule>
  </conditionalFormatting>
  <conditionalFormatting sqref="H137">
    <cfRule type="cellIs" priority="395" operator="equal" aboveAverage="0" equalAverage="0" bottom="0" percent="0" rank="0" text="" dxfId="2">
      <formula>"KAZANDI"</formula>
    </cfRule>
    <cfRule type="cellIs" priority="396" operator="equal" aboveAverage="0" equalAverage="0" bottom="0" percent="0" rank="0" text="" dxfId="0">
      <formula>"KAYBETTİ"</formula>
    </cfRule>
  </conditionalFormatting>
  <conditionalFormatting sqref="G137">
    <cfRule type="cellIs" priority="397" operator="equal" aboveAverage="0" equalAverage="0" bottom="0" percent="0" rank="0" text="" dxfId="1">
      <formula>"EVET"</formula>
    </cfRule>
  </conditionalFormatting>
  <conditionalFormatting sqref="H138">
    <cfRule type="cellIs" priority="398" operator="equal" aboveAverage="0" equalAverage="0" bottom="0" percent="0" rank="0" text="" dxfId="2">
      <formula>"KAZANDI"</formula>
    </cfRule>
    <cfRule type="cellIs" priority="399" operator="equal" aboveAverage="0" equalAverage="0" bottom="0" percent="0" rank="0" text="" dxfId="0">
      <formula>"KAYBETTİ"</formula>
    </cfRule>
  </conditionalFormatting>
  <conditionalFormatting sqref="G138">
    <cfRule type="cellIs" priority="400" operator="equal" aboveAverage="0" equalAverage="0" bottom="0" percent="0" rank="0" text="" dxfId="1">
      <formula>"EVET"</formula>
    </cfRule>
  </conditionalFormatting>
  <conditionalFormatting sqref="H139">
    <cfRule type="cellIs" priority="401" operator="equal" aboveAverage="0" equalAverage="0" bottom="0" percent="0" rank="0" text="" dxfId="2">
      <formula>"KAZANDI"</formula>
    </cfRule>
    <cfRule type="cellIs" priority="402" operator="equal" aboveAverage="0" equalAverage="0" bottom="0" percent="0" rank="0" text="" dxfId="0">
      <formula>"KAYBETTİ"</formula>
    </cfRule>
  </conditionalFormatting>
  <conditionalFormatting sqref="G139">
    <cfRule type="cellIs" priority="403" operator="equal" aboveAverage="0" equalAverage="0" bottom="0" percent="0" rank="0" text="" dxfId="1">
      <formula>"EVET"</formula>
    </cfRule>
  </conditionalFormatting>
  <conditionalFormatting sqref="H140">
    <cfRule type="cellIs" priority="404" operator="equal" aboveAverage="0" equalAverage="0" bottom="0" percent="0" rank="0" text="" dxfId="2">
      <formula>"KAZANDI"</formula>
    </cfRule>
    <cfRule type="cellIs" priority="405" operator="equal" aboveAverage="0" equalAverage="0" bottom="0" percent="0" rank="0" text="" dxfId="0">
      <formula>"KAYBETTİ"</formula>
    </cfRule>
  </conditionalFormatting>
  <conditionalFormatting sqref="G140">
    <cfRule type="cellIs" priority="406" operator="equal" aboveAverage="0" equalAverage="0" bottom="0" percent="0" rank="0" text="" dxfId="1">
      <formula>"EVET"</formula>
    </cfRule>
  </conditionalFormatting>
  <conditionalFormatting sqref="H141">
    <cfRule type="cellIs" priority="407" operator="equal" aboveAverage="0" equalAverage="0" bottom="0" percent="0" rank="0" text="" dxfId="2">
      <formula>"KAZANDI"</formula>
    </cfRule>
    <cfRule type="cellIs" priority="408" operator="equal" aboveAverage="0" equalAverage="0" bottom="0" percent="0" rank="0" text="" dxfId="0">
      <formula>"KAYBETTİ"</formula>
    </cfRule>
  </conditionalFormatting>
  <conditionalFormatting sqref="G141">
    <cfRule type="cellIs" priority="409" operator="equal" aboveAverage="0" equalAverage="0" bottom="0" percent="0" rank="0" text="" dxfId="1">
      <formula>"EVET"</formula>
    </cfRule>
  </conditionalFormatting>
  <conditionalFormatting sqref="H142">
    <cfRule type="cellIs" priority="410" operator="equal" aboveAverage="0" equalAverage="0" bottom="0" percent="0" rank="0" text="" dxfId="2">
      <formula>"KAZANDI"</formula>
    </cfRule>
    <cfRule type="cellIs" priority="411" operator="equal" aboveAverage="0" equalAverage="0" bottom="0" percent="0" rank="0" text="" dxfId="0">
      <formula>"KAYBETTİ"</formula>
    </cfRule>
  </conditionalFormatting>
  <conditionalFormatting sqref="G142">
    <cfRule type="cellIs" priority="412" operator="equal" aboveAverage="0" equalAverage="0" bottom="0" percent="0" rank="0" text="" dxfId="1">
      <formula>"EVET"</formula>
    </cfRule>
  </conditionalFormatting>
  <conditionalFormatting sqref="H143">
    <cfRule type="cellIs" priority="413" operator="equal" aboveAverage="0" equalAverage="0" bottom="0" percent="0" rank="0" text="" dxfId="2">
      <formula>"KAZANDI"</formula>
    </cfRule>
    <cfRule type="cellIs" priority="414" operator="equal" aboveAverage="0" equalAverage="0" bottom="0" percent="0" rank="0" text="" dxfId="0">
      <formula>"KAYBETTİ"</formula>
    </cfRule>
  </conditionalFormatting>
  <conditionalFormatting sqref="G143">
    <cfRule type="cellIs" priority="415" operator="equal" aboveAverage="0" equalAverage="0" bottom="0" percent="0" rank="0" text="" dxfId="1">
      <formula>"EVET"</formula>
    </cfRule>
  </conditionalFormatting>
  <conditionalFormatting sqref="H144">
    <cfRule type="cellIs" priority="416" operator="equal" aboveAverage="0" equalAverage="0" bottom="0" percent="0" rank="0" text="" dxfId="2">
      <formula>"KAZANDI"</formula>
    </cfRule>
    <cfRule type="cellIs" priority="417" operator="equal" aboveAverage="0" equalAverage="0" bottom="0" percent="0" rank="0" text="" dxfId="0">
      <formula>"KAYBETTİ"</formula>
    </cfRule>
  </conditionalFormatting>
  <conditionalFormatting sqref="G144">
    <cfRule type="cellIs" priority="418" operator="equal" aboveAverage="0" equalAverage="0" bottom="0" percent="0" rank="0" text="" dxfId="1">
      <formula>"EVET"</formula>
    </cfRule>
  </conditionalFormatting>
  <conditionalFormatting sqref="H145">
    <cfRule type="cellIs" priority="419" operator="equal" aboveAverage="0" equalAverage="0" bottom="0" percent="0" rank="0" text="" dxfId="2">
      <formula>"KAZANDI"</formula>
    </cfRule>
    <cfRule type="cellIs" priority="420" operator="equal" aboveAverage="0" equalAverage="0" bottom="0" percent="0" rank="0" text="" dxfId="0">
      <formula>"KAYBETTİ"</formula>
    </cfRule>
  </conditionalFormatting>
  <conditionalFormatting sqref="G145">
    <cfRule type="cellIs" priority="421" operator="equal" aboveAverage="0" equalAverage="0" bottom="0" percent="0" rank="0" text="" dxfId="1">
      <formula>"EVET"</formula>
    </cfRule>
  </conditionalFormatting>
  <conditionalFormatting sqref="H146">
    <cfRule type="cellIs" priority="422" operator="equal" aboveAverage="0" equalAverage="0" bottom="0" percent="0" rank="0" text="" dxfId="2">
      <formula>"KAZANDI"</formula>
    </cfRule>
    <cfRule type="cellIs" priority="423" operator="equal" aboveAverage="0" equalAverage="0" bottom="0" percent="0" rank="0" text="" dxfId="0">
      <formula>"KAYBETTİ"</formula>
    </cfRule>
  </conditionalFormatting>
  <conditionalFormatting sqref="G146">
    <cfRule type="cellIs" priority="424" operator="equal" aboveAverage="0" equalAverage="0" bottom="0" percent="0" rank="0" text="" dxfId="1">
      <formula>"EVET"</formula>
    </cfRule>
  </conditionalFormatting>
  <conditionalFormatting sqref="H147">
    <cfRule type="cellIs" priority="425" operator="equal" aboveAverage="0" equalAverage="0" bottom="0" percent="0" rank="0" text="" dxfId="2">
      <formula>"KAZANDI"</formula>
    </cfRule>
    <cfRule type="cellIs" priority="426" operator="equal" aboveAverage="0" equalAverage="0" bottom="0" percent="0" rank="0" text="" dxfId="0">
      <formula>"KAYBETTİ"</formula>
    </cfRule>
  </conditionalFormatting>
  <conditionalFormatting sqref="G147">
    <cfRule type="cellIs" priority="427" operator="equal" aboveAverage="0" equalAverage="0" bottom="0" percent="0" rank="0" text="" dxfId="1">
      <formula>"EVET"</formula>
    </cfRule>
  </conditionalFormatting>
  <conditionalFormatting sqref="H148">
    <cfRule type="cellIs" priority="428" operator="equal" aboveAverage="0" equalAverage="0" bottom="0" percent="0" rank="0" text="" dxfId="2">
      <formula>"KAZANDI"</formula>
    </cfRule>
    <cfRule type="cellIs" priority="429" operator="equal" aboveAverage="0" equalAverage="0" bottom="0" percent="0" rank="0" text="" dxfId="0">
      <formula>"KAYBETTİ"</formula>
    </cfRule>
  </conditionalFormatting>
  <conditionalFormatting sqref="G148">
    <cfRule type="cellIs" priority="430" operator="equal" aboveAverage="0" equalAverage="0" bottom="0" percent="0" rank="0" text="" dxfId="1">
      <formula>"EVET"</formula>
    </cfRule>
  </conditionalFormatting>
  <conditionalFormatting sqref="H149">
    <cfRule type="cellIs" priority="431" operator="equal" aboveAverage="0" equalAverage="0" bottom="0" percent="0" rank="0" text="" dxfId="2">
      <formula>"KAZANDI"</formula>
    </cfRule>
    <cfRule type="cellIs" priority="432" operator="equal" aboveAverage="0" equalAverage="0" bottom="0" percent="0" rank="0" text="" dxfId="0">
      <formula>"KAYBETTİ"</formula>
    </cfRule>
  </conditionalFormatting>
  <conditionalFormatting sqref="G149">
    <cfRule type="cellIs" priority="433" operator="equal" aboveAverage="0" equalAverage="0" bottom="0" percent="0" rank="0" text="" dxfId="1">
      <formula>"EVET"</formula>
    </cfRule>
  </conditionalFormatting>
  <conditionalFormatting sqref="H150">
    <cfRule type="cellIs" priority="434" operator="equal" aboveAverage="0" equalAverage="0" bottom="0" percent="0" rank="0" text="" dxfId="2">
      <formula>"KAZANDI"</formula>
    </cfRule>
    <cfRule type="cellIs" priority="435" operator="equal" aboveAverage="0" equalAverage="0" bottom="0" percent="0" rank="0" text="" dxfId="0">
      <formula>"KAYBETTİ"</formula>
    </cfRule>
  </conditionalFormatting>
  <conditionalFormatting sqref="G150">
    <cfRule type="cellIs" priority="436" operator="equal" aboveAverage="0" equalAverage="0" bottom="0" percent="0" rank="0" text="" dxfId="1">
      <formula>"EVET"</formula>
    </cfRule>
  </conditionalFormatting>
  <conditionalFormatting sqref="H151">
    <cfRule type="cellIs" priority="437" operator="equal" aboveAverage="0" equalAverage="0" bottom="0" percent="0" rank="0" text="" dxfId="2">
      <formula>"KAZANDI"</formula>
    </cfRule>
    <cfRule type="cellIs" priority="438" operator="equal" aboveAverage="0" equalAverage="0" bottom="0" percent="0" rank="0" text="" dxfId="0">
      <formula>"KAYBETTİ"</formula>
    </cfRule>
  </conditionalFormatting>
  <conditionalFormatting sqref="G151">
    <cfRule type="cellIs" priority="439" operator="equal" aboveAverage="0" equalAverage="0" bottom="0" percent="0" rank="0" text="" dxfId="1">
      <formula>"EVET"</formula>
    </cfRule>
  </conditionalFormatting>
  <conditionalFormatting sqref="H152">
    <cfRule type="cellIs" priority="440" operator="equal" aboveAverage="0" equalAverage="0" bottom="0" percent="0" rank="0" text="" dxfId="2">
      <formula>"KAZANDI"</formula>
    </cfRule>
    <cfRule type="cellIs" priority="441" operator="equal" aboveAverage="0" equalAverage="0" bottom="0" percent="0" rank="0" text="" dxfId="0">
      <formula>"KAYBETTİ"</formula>
    </cfRule>
  </conditionalFormatting>
  <conditionalFormatting sqref="G152">
    <cfRule type="cellIs" priority="442" operator="equal" aboveAverage="0" equalAverage="0" bottom="0" percent="0" rank="0" text="" dxfId="1">
      <formula>"EVET"</formula>
    </cfRule>
  </conditionalFormatting>
  <conditionalFormatting sqref="H153">
    <cfRule type="cellIs" priority="443" operator="equal" aboveAverage="0" equalAverage="0" bottom="0" percent="0" rank="0" text="" dxfId="2">
      <formula>"KAZANDI"</formula>
    </cfRule>
    <cfRule type="cellIs" priority="444" operator="equal" aboveAverage="0" equalAverage="0" bottom="0" percent="0" rank="0" text="" dxfId="0">
      <formula>"KAYBETTİ"</formula>
    </cfRule>
  </conditionalFormatting>
  <conditionalFormatting sqref="G153">
    <cfRule type="cellIs" priority="445" operator="equal" aboveAverage="0" equalAverage="0" bottom="0" percent="0" rank="0" text="" dxfId="1">
      <formula>"EVET"</formula>
    </cfRule>
  </conditionalFormatting>
  <conditionalFormatting sqref="H154">
    <cfRule type="cellIs" priority="446" operator="equal" aboveAverage="0" equalAverage="0" bottom="0" percent="0" rank="0" text="" dxfId="2">
      <formula>"KAZANDI"</formula>
    </cfRule>
    <cfRule type="cellIs" priority="447" operator="equal" aboveAverage="0" equalAverage="0" bottom="0" percent="0" rank="0" text="" dxfId="0">
      <formula>"KAYBETTİ"</formula>
    </cfRule>
  </conditionalFormatting>
  <conditionalFormatting sqref="G154">
    <cfRule type="cellIs" priority="448" operator="equal" aboveAverage="0" equalAverage="0" bottom="0" percent="0" rank="0" text="" dxfId="1">
      <formula>"EVET"</formula>
    </cfRule>
  </conditionalFormatting>
  <conditionalFormatting sqref="H155">
    <cfRule type="cellIs" priority="449" operator="equal" aboveAverage="0" equalAverage="0" bottom="0" percent="0" rank="0" text="" dxfId="2">
      <formula>"KAZANDI"</formula>
    </cfRule>
    <cfRule type="cellIs" priority="450" operator="equal" aboveAverage="0" equalAverage="0" bottom="0" percent="0" rank="0" text="" dxfId="0">
      <formula>"KAYBETTİ"</formula>
    </cfRule>
  </conditionalFormatting>
  <conditionalFormatting sqref="G155">
    <cfRule type="cellIs" priority="451" operator="equal" aboveAverage="0" equalAverage="0" bottom="0" percent="0" rank="0" text="" dxfId="1">
      <formula>"EVET"</formula>
    </cfRule>
  </conditionalFormatting>
  <conditionalFormatting sqref="H156">
    <cfRule type="cellIs" priority="452" operator="equal" aboveAverage="0" equalAverage="0" bottom="0" percent="0" rank="0" text="" dxfId="2">
      <formula>"KAZANDI"</formula>
    </cfRule>
    <cfRule type="cellIs" priority="453" operator="equal" aboveAverage="0" equalAverage="0" bottom="0" percent="0" rank="0" text="" dxfId="0">
      <formula>"KAYBETTİ"</formula>
    </cfRule>
  </conditionalFormatting>
  <conditionalFormatting sqref="G156">
    <cfRule type="cellIs" priority="454" operator="equal" aboveAverage="0" equalAverage="0" bottom="0" percent="0" rank="0" text="" dxfId="1">
      <formula>"EVET"</formula>
    </cfRule>
  </conditionalFormatting>
  <conditionalFormatting sqref="H157">
    <cfRule type="cellIs" priority="455" operator="equal" aboveAverage="0" equalAverage="0" bottom="0" percent="0" rank="0" text="" dxfId="2">
      <formula>"KAZANDI"</formula>
    </cfRule>
    <cfRule type="cellIs" priority="456" operator="equal" aboveAverage="0" equalAverage="0" bottom="0" percent="0" rank="0" text="" dxfId="0">
      <formula>"KAYBETTİ"</formula>
    </cfRule>
  </conditionalFormatting>
  <conditionalFormatting sqref="G157">
    <cfRule type="cellIs" priority="457" operator="equal" aboveAverage="0" equalAverage="0" bottom="0" percent="0" rank="0" text="" dxfId="1">
      <formula>"EVET"</formula>
    </cfRule>
  </conditionalFormatting>
  <conditionalFormatting sqref="H158">
    <cfRule type="cellIs" priority="458" operator="equal" aboveAverage="0" equalAverage="0" bottom="0" percent="0" rank="0" text="" dxfId="2">
      <formula>"KAZANDI"</formula>
    </cfRule>
    <cfRule type="cellIs" priority="459" operator="equal" aboveAverage="0" equalAverage="0" bottom="0" percent="0" rank="0" text="" dxfId="0">
      <formula>"KAYBETTİ"</formula>
    </cfRule>
  </conditionalFormatting>
  <conditionalFormatting sqref="G158">
    <cfRule type="cellIs" priority="460" operator="equal" aboveAverage="0" equalAverage="0" bottom="0" percent="0" rank="0" text="" dxfId="1">
      <formula>"EVET"</formula>
    </cfRule>
  </conditionalFormatting>
  <conditionalFormatting sqref="H159">
    <cfRule type="cellIs" priority="461" operator="equal" aboveAverage="0" equalAverage="0" bottom="0" percent="0" rank="0" text="" dxfId="2">
      <formula>"KAZANDI"</formula>
    </cfRule>
    <cfRule type="cellIs" priority="462" operator="equal" aboveAverage="0" equalAverage="0" bottom="0" percent="0" rank="0" text="" dxfId="0">
      <formula>"KAYBETTİ"</formula>
    </cfRule>
  </conditionalFormatting>
  <conditionalFormatting sqref="G159">
    <cfRule type="cellIs" priority="463" operator="equal" aboveAverage="0" equalAverage="0" bottom="0" percent="0" rank="0" text="" dxfId="1">
      <formula>"EVET"</formula>
    </cfRule>
  </conditionalFormatting>
  <conditionalFormatting sqref="H160">
    <cfRule type="cellIs" priority="464" operator="equal" aboveAverage="0" equalAverage="0" bottom="0" percent="0" rank="0" text="" dxfId="2">
      <formula>"KAZANDI"</formula>
    </cfRule>
    <cfRule type="cellIs" priority="465" operator="equal" aboveAverage="0" equalAverage="0" bottom="0" percent="0" rank="0" text="" dxfId="0">
      <formula>"KAYBETTİ"</formula>
    </cfRule>
  </conditionalFormatting>
  <conditionalFormatting sqref="G160">
    <cfRule type="cellIs" priority="466" operator="equal" aboveAverage="0" equalAverage="0" bottom="0" percent="0" rank="0" text="" dxfId="1">
      <formula>"EVET"</formula>
    </cfRule>
  </conditionalFormatting>
  <conditionalFormatting sqref="H161">
    <cfRule type="cellIs" priority="467" operator="equal" aboveAverage="0" equalAverage="0" bottom="0" percent="0" rank="0" text="" dxfId="2">
      <formula>"KAZANDI"</formula>
    </cfRule>
    <cfRule type="cellIs" priority="468" operator="equal" aboveAverage="0" equalAverage="0" bottom="0" percent="0" rank="0" text="" dxfId="0">
      <formula>"KAYBETTİ"</formula>
    </cfRule>
  </conditionalFormatting>
  <conditionalFormatting sqref="G161">
    <cfRule type="cellIs" priority="469" operator="equal" aboveAverage="0" equalAverage="0" bottom="0" percent="0" rank="0" text="" dxfId="1">
      <formula>"EVET"</formula>
    </cfRule>
  </conditionalFormatting>
  <conditionalFormatting sqref="H162">
    <cfRule type="cellIs" priority="470" operator="equal" aboveAverage="0" equalAverage="0" bottom="0" percent="0" rank="0" text="" dxfId="2">
      <formula>"KAZANDI"</formula>
    </cfRule>
    <cfRule type="cellIs" priority="471" operator="equal" aboveAverage="0" equalAverage="0" bottom="0" percent="0" rank="0" text="" dxfId="0">
      <formula>"KAYBETTİ"</formula>
    </cfRule>
  </conditionalFormatting>
  <conditionalFormatting sqref="G162">
    <cfRule type="cellIs" priority="472" operator="equal" aboveAverage="0" equalAverage="0" bottom="0" percent="0" rank="0" text="" dxfId="1">
      <formula>"EVET"</formula>
    </cfRule>
  </conditionalFormatting>
  <conditionalFormatting sqref="H163">
    <cfRule type="cellIs" priority="473" operator="equal" aboveAverage="0" equalAverage="0" bottom="0" percent="0" rank="0" text="" dxfId="2">
      <formula>"KAZANDI"</formula>
    </cfRule>
    <cfRule type="cellIs" priority="474" operator="equal" aboveAverage="0" equalAverage="0" bottom="0" percent="0" rank="0" text="" dxfId="0">
      <formula>"KAYBETTİ"</formula>
    </cfRule>
  </conditionalFormatting>
  <conditionalFormatting sqref="G163">
    <cfRule type="cellIs" priority="475" operator="equal" aboveAverage="0" equalAverage="0" bottom="0" percent="0" rank="0" text="" dxfId="1">
      <formula>"EVET"</formula>
    </cfRule>
  </conditionalFormatting>
  <conditionalFormatting sqref="H164">
    <cfRule type="cellIs" priority="476" operator="equal" aboveAverage="0" equalAverage="0" bottom="0" percent="0" rank="0" text="" dxfId="2">
      <formula>"KAZANDI"</formula>
    </cfRule>
    <cfRule type="cellIs" priority="477" operator="equal" aboveAverage="0" equalAverage="0" bottom="0" percent="0" rank="0" text="" dxfId="0">
      <formula>"KAYBETTİ"</formula>
    </cfRule>
  </conditionalFormatting>
  <conditionalFormatting sqref="G164">
    <cfRule type="cellIs" priority="478" operator="equal" aboveAverage="0" equalAverage="0" bottom="0" percent="0" rank="0" text="" dxfId="1">
      <formula>"EVET"</formula>
    </cfRule>
  </conditionalFormatting>
  <conditionalFormatting sqref="H165">
    <cfRule type="cellIs" priority="479" operator="equal" aboveAverage="0" equalAverage="0" bottom="0" percent="0" rank="0" text="" dxfId="2">
      <formula>"KAZANDI"</formula>
    </cfRule>
    <cfRule type="cellIs" priority="480" operator="equal" aboveAverage="0" equalAverage="0" bottom="0" percent="0" rank="0" text="" dxfId="0">
      <formula>"KAYBETTİ"</formula>
    </cfRule>
  </conditionalFormatting>
  <conditionalFormatting sqref="G165">
    <cfRule type="cellIs" priority="481" operator="equal" aboveAverage="0" equalAverage="0" bottom="0" percent="0" rank="0" text="" dxfId="1">
      <formula>"EVET"</formula>
    </cfRule>
  </conditionalFormatting>
  <conditionalFormatting sqref="H166">
    <cfRule type="cellIs" priority="482" operator="equal" aboveAverage="0" equalAverage="0" bottom="0" percent="0" rank="0" text="" dxfId="2">
      <formula>"KAZANDI"</formula>
    </cfRule>
    <cfRule type="cellIs" priority="483" operator="equal" aboveAverage="0" equalAverage="0" bottom="0" percent="0" rank="0" text="" dxfId="0">
      <formula>"KAYBETTİ"</formula>
    </cfRule>
  </conditionalFormatting>
  <conditionalFormatting sqref="G166">
    <cfRule type="cellIs" priority="484" operator="equal" aboveAverage="0" equalAverage="0" bottom="0" percent="0" rank="0" text="" dxfId="1">
      <formula>"EVET"</formula>
    </cfRule>
  </conditionalFormatting>
  <conditionalFormatting sqref="H167">
    <cfRule type="cellIs" priority="485" operator="equal" aboveAverage="0" equalAverage="0" bottom="0" percent="0" rank="0" text="" dxfId="2">
      <formula>"KAZANDI"</formula>
    </cfRule>
    <cfRule type="cellIs" priority="486" operator="equal" aboveAverage="0" equalAverage="0" bottom="0" percent="0" rank="0" text="" dxfId="0">
      <formula>"KAYBETTİ"</formula>
    </cfRule>
  </conditionalFormatting>
  <conditionalFormatting sqref="G167">
    <cfRule type="cellIs" priority="487" operator="equal" aboveAverage="0" equalAverage="0" bottom="0" percent="0" rank="0" text="" dxfId="1">
      <formula>"EVET"</formula>
    </cfRule>
  </conditionalFormatting>
  <conditionalFormatting sqref="H168">
    <cfRule type="cellIs" priority="488" operator="equal" aboveAverage="0" equalAverage="0" bottom="0" percent="0" rank="0" text="" dxfId="2">
      <formula>"KAZANDI"</formula>
    </cfRule>
    <cfRule type="cellIs" priority="489" operator="equal" aboveAverage="0" equalAverage="0" bottom="0" percent="0" rank="0" text="" dxfId="0">
      <formula>"KAYBETTİ"</formula>
    </cfRule>
  </conditionalFormatting>
  <conditionalFormatting sqref="G168">
    <cfRule type="cellIs" priority="490" operator="equal" aboveAverage="0" equalAverage="0" bottom="0" percent="0" rank="0" text="" dxfId="1">
      <formula>"EVET"</formula>
    </cfRule>
  </conditionalFormatting>
  <conditionalFormatting sqref="H169">
    <cfRule type="cellIs" priority="491" operator="equal" aboveAverage="0" equalAverage="0" bottom="0" percent="0" rank="0" text="" dxfId="2">
      <formula>"KAZANDI"</formula>
    </cfRule>
    <cfRule type="cellIs" priority="492" operator="equal" aboveAverage="0" equalAverage="0" bottom="0" percent="0" rank="0" text="" dxfId="0">
      <formula>"KAYBETTİ"</formula>
    </cfRule>
  </conditionalFormatting>
  <conditionalFormatting sqref="G169">
    <cfRule type="cellIs" priority="493" operator="equal" aboveAverage="0" equalAverage="0" bottom="0" percent="0" rank="0" text="" dxfId="1">
      <formula>"EVET"</formula>
    </cfRule>
  </conditionalFormatting>
  <conditionalFormatting sqref="H170">
    <cfRule type="cellIs" priority="494" operator="equal" aboveAverage="0" equalAverage="0" bottom="0" percent="0" rank="0" text="" dxfId="2">
      <formula>"KAZANDI"</formula>
    </cfRule>
    <cfRule type="cellIs" priority="495" operator="equal" aboveAverage="0" equalAverage="0" bottom="0" percent="0" rank="0" text="" dxfId="0">
      <formula>"KAYBETTİ"</formula>
    </cfRule>
  </conditionalFormatting>
  <conditionalFormatting sqref="G170">
    <cfRule type="cellIs" priority="496" operator="equal" aboveAverage="0" equalAverage="0" bottom="0" percent="0" rank="0" text="" dxfId="1">
      <formula>"EVET"</formula>
    </cfRule>
  </conditionalFormatting>
  <conditionalFormatting sqref="H171">
    <cfRule type="cellIs" priority="497" operator="equal" aboveAverage="0" equalAverage="0" bottom="0" percent="0" rank="0" text="" dxfId="2">
      <formula>"KAZANDI"</formula>
    </cfRule>
    <cfRule type="cellIs" priority="498" operator="equal" aboveAverage="0" equalAverage="0" bottom="0" percent="0" rank="0" text="" dxfId="0">
      <formula>"KAYBETTİ"</formula>
    </cfRule>
  </conditionalFormatting>
  <conditionalFormatting sqref="G171">
    <cfRule type="cellIs" priority="499" operator="equal" aboveAverage="0" equalAverage="0" bottom="0" percent="0" rank="0" text="" dxfId="1">
      <formula>"EVET"</formula>
    </cfRule>
  </conditionalFormatting>
  <conditionalFormatting sqref="H172">
    <cfRule type="cellIs" priority="500" operator="equal" aboveAverage="0" equalAverage="0" bottom="0" percent="0" rank="0" text="" dxfId="2">
      <formula>"KAZANDI"</formula>
    </cfRule>
    <cfRule type="cellIs" priority="501" operator="equal" aboveAverage="0" equalAverage="0" bottom="0" percent="0" rank="0" text="" dxfId="0">
      <formula>"KAYBETTİ"</formula>
    </cfRule>
  </conditionalFormatting>
  <conditionalFormatting sqref="G172">
    <cfRule type="cellIs" priority="502" operator="equal" aboveAverage="0" equalAverage="0" bottom="0" percent="0" rank="0" text="" dxfId="1">
      <formula>"EVET"</formula>
    </cfRule>
  </conditionalFormatting>
  <conditionalFormatting sqref="H173">
    <cfRule type="cellIs" priority="503" operator="equal" aboveAverage="0" equalAverage="0" bottom="0" percent="0" rank="0" text="" dxfId="2">
      <formula>"KAZANDI"</formula>
    </cfRule>
    <cfRule type="cellIs" priority="504" operator="equal" aboveAverage="0" equalAverage="0" bottom="0" percent="0" rank="0" text="" dxfId="0">
      <formula>"KAYBETTİ"</formula>
    </cfRule>
  </conditionalFormatting>
  <conditionalFormatting sqref="G173">
    <cfRule type="cellIs" priority="505" operator="equal" aboveAverage="0" equalAverage="0" bottom="0" percent="0" rank="0" text="" dxfId="1">
      <formula>"EVET"</formula>
    </cfRule>
  </conditionalFormatting>
  <conditionalFormatting sqref="H174">
    <cfRule type="cellIs" priority="506" operator="equal" aboveAverage="0" equalAverage="0" bottom="0" percent="0" rank="0" text="" dxfId="2">
      <formula>"KAZANDI"</formula>
    </cfRule>
    <cfRule type="cellIs" priority="507" operator="equal" aboveAverage="0" equalAverage="0" bottom="0" percent="0" rank="0" text="" dxfId="0">
      <formula>"KAYBETTİ"</formula>
    </cfRule>
  </conditionalFormatting>
  <conditionalFormatting sqref="G174">
    <cfRule type="cellIs" priority="508" operator="equal" aboveAverage="0" equalAverage="0" bottom="0" percent="0" rank="0" text="" dxfId="1">
      <formula>"EVET"</formula>
    </cfRule>
  </conditionalFormatting>
  <conditionalFormatting sqref="H175">
    <cfRule type="cellIs" priority="509" operator="equal" aboveAverage="0" equalAverage="0" bottom="0" percent="0" rank="0" text="" dxfId="2">
      <formula>"KAZANDI"</formula>
    </cfRule>
    <cfRule type="cellIs" priority="510" operator="equal" aboveAverage="0" equalAverage="0" bottom="0" percent="0" rank="0" text="" dxfId="0">
      <formula>"KAYBETTİ"</formula>
    </cfRule>
  </conditionalFormatting>
  <conditionalFormatting sqref="G175">
    <cfRule type="cellIs" priority="511" operator="equal" aboveAverage="0" equalAverage="0" bottom="0" percent="0" rank="0" text="" dxfId="1">
      <formula>"EVET"</formula>
    </cfRule>
  </conditionalFormatting>
  <conditionalFormatting sqref="H176">
    <cfRule type="cellIs" priority="512" operator="equal" aboveAverage="0" equalAverage="0" bottom="0" percent="0" rank="0" text="" dxfId="2">
      <formula>"KAZANDI"</formula>
    </cfRule>
    <cfRule type="cellIs" priority="513" operator="equal" aboveAverage="0" equalAverage="0" bottom="0" percent="0" rank="0" text="" dxfId="0">
      <formula>"KAYBETTİ"</formula>
    </cfRule>
  </conditionalFormatting>
  <conditionalFormatting sqref="G176">
    <cfRule type="cellIs" priority="514" operator="equal" aboveAverage="0" equalAverage="0" bottom="0" percent="0" rank="0" text="" dxfId="1">
      <formula>"EVET"</formula>
    </cfRule>
  </conditionalFormatting>
  <conditionalFormatting sqref="H177">
    <cfRule type="cellIs" priority="515" operator="equal" aboveAverage="0" equalAverage="0" bottom="0" percent="0" rank="0" text="" dxfId="2">
      <formula>"KAZANDI"</formula>
    </cfRule>
    <cfRule type="cellIs" priority="516" operator="equal" aboveAverage="0" equalAverage="0" bottom="0" percent="0" rank="0" text="" dxfId="0">
      <formula>"KAYBETTİ"</formula>
    </cfRule>
  </conditionalFormatting>
  <conditionalFormatting sqref="G177">
    <cfRule type="cellIs" priority="517" operator="equal" aboveAverage="0" equalAverage="0" bottom="0" percent="0" rank="0" text="" dxfId="1">
      <formula>"EVET"</formula>
    </cfRule>
  </conditionalFormatting>
  <conditionalFormatting sqref="H178">
    <cfRule type="cellIs" priority="518" operator="equal" aboveAverage="0" equalAverage="0" bottom="0" percent="0" rank="0" text="" dxfId="2">
      <formula>"KAZANDI"</formula>
    </cfRule>
    <cfRule type="cellIs" priority="519" operator="equal" aboveAverage="0" equalAverage="0" bottom="0" percent="0" rank="0" text="" dxfId="0">
      <formula>"KAYBETTİ"</formula>
    </cfRule>
  </conditionalFormatting>
  <conditionalFormatting sqref="G178">
    <cfRule type="cellIs" priority="520" operator="equal" aboveAverage="0" equalAverage="0" bottom="0" percent="0" rank="0" text="" dxfId="1">
      <formula>"EVET"</formula>
    </cfRule>
  </conditionalFormatting>
  <conditionalFormatting sqref="H179">
    <cfRule type="cellIs" priority="521" operator="equal" aboveAverage="0" equalAverage="0" bottom="0" percent="0" rank="0" text="" dxfId="2">
      <formula>"KAZANDI"</formula>
    </cfRule>
    <cfRule type="cellIs" priority="522" operator="equal" aboveAverage="0" equalAverage="0" bottom="0" percent="0" rank="0" text="" dxfId="0">
      <formula>"KAYBETTİ"</formula>
    </cfRule>
  </conditionalFormatting>
  <conditionalFormatting sqref="G179">
    <cfRule type="cellIs" priority="523" operator="equal" aboveAverage="0" equalAverage="0" bottom="0" percent="0" rank="0" text="" dxfId="1">
      <formula>"EVET"</formula>
    </cfRule>
  </conditionalFormatting>
  <conditionalFormatting sqref="H180">
    <cfRule type="cellIs" priority="524" operator="equal" aboveAverage="0" equalAverage="0" bottom="0" percent="0" rank="0" text="" dxfId="2">
      <formula>"KAZANDI"</formula>
    </cfRule>
    <cfRule type="cellIs" priority="525" operator="equal" aboveAverage="0" equalAverage="0" bottom="0" percent="0" rank="0" text="" dxfId="0">
      <formula>"KAYBETTİ"</formula>
    </cfRule>
  </conditionalFormatting>
  <conditionalFormatting sqref="G180">
    <cfRule type="cellIs" priority="526" operator="equal" aboveAverage="0" equalAverage="0" bottom="0" percent="0" rank="0" text="" dxfId="1">
      <formula>"EVET"</formula>
    </cfRule>
  </conditionalFormatting>
  <conditionalFormatting sqref="H181">
    <cfRule type="cellIs" priority="527" operator="equal" aboveAverage="0" equalAverage="0" bottom="0" percent="0" rank="0" text="" dxfId="2">
      <formula>"KAZANDI"</formula>
    </cfRule>
    <cfRule type="cellIs" priority="528" operator="equal" aboveAverage="0" equalAverage="0" bottom="0" percent="0" rank="0" text="" dxfId="0">
      <formula>"KAYBETTİ"</formula>
    </cfRule>
  </conditionalFormatting>
  <conditionalFormatting sqref="G181">
    <cfRule type="cellIs" priority="529" operator="equal" aboveAverage="0" equalAverage="0" bottom="0" percent="0" rank="0" text="" dxfId="1">
      <formula>"EVET"</formula>
    </cfRule>
  </conditionalFormatting>
  <conditionalFormatting sqref="H182">
    <cfRule type="cellIs" priority="530" operator="equal" aboveAverage="0" equalAverage="0" bottom="0" percent="0" rank="0" text="" dxfId="2">
      <formula>"KAZANDI"</formula>
    </cfRule>
    <cfRule type="cellIs" priority="531" operator="equal" aboveAverage="0" equalAverage="0" bottom="0" percent="0" rank="0" text="" dxfId="0">
      <formula>"KAYBETTİ"</formula>
    </cfRule>
  </conditionalFormatting>
  <conditionalFormatting sqref="G182">
    <cfRule type="cellIs" priority="532" operator="equal" aboveAverage="0" equalAverage="0" bottom="0" percent="0" rank="0" text="" dxfId="1">
      <formula>"EVET"</formula>
    </cfRule>
  </conditionalFormatting>
  <conditionalFormatting sqref="H183">
    <cfRule type="cellIs" priority="533" operator="equal" aboveAverage="0" equalAverage="0" bottom="0" percent="0" rank="0" text="" dxfId="2">
      <formula>"KAZANDI"</formula>
    </cfRule>
    <cfRule type="cellIs" priority="534" operator="equal" aboveAverage="0" equalAverage="0" bottom="0" percent="0" rank="0" text="" dxfId="0">
      <formula>"KAYBETTİ"</formula>
    </cfRule>
  </conditionalFormatting>
  <conditionalFormatting sqref="G183">
    <cfRule type="cellIs" priority="535" operator="equal" aboveAverage="0" equalAverage="0" bottom="0" percent="0" rank="0" text="" dxfId="1">
      <formula>"EVET"</formula>
    </cfRule>
  </conditionalFormatting>
  <conditionalFormatting sqref="H184">
    <cfRule type="cellIs" priority="536" operator="equal" aboveAverage="0" equalAverage="0" bottom="0" percent="0" rank="0" text="" dxfId="2">
      <formula>"KAZANDI"</formula>
    </cfRule>
    <cfRule type="cellIs" priority="537" operator="equal" aboveAverage="0" equalAverage="0" bottom="0" percent="0" rank="0" text="" dxfId="0">
      <formula>"KAYBETTİ"</formula>
    </cfRule>
  </conditionalFormatting>
  <conditionalFormatting sqref="G184">
    <cfRule type="cellIs" priority="538" operator="equal" aboveAverage="0" equalAverage="0" bottom="0" percent="0" rank="0" text="" dxfId="1">
      <formula>"EVET"</formula>
    </cfRule>
  </conditionalFormatting>
  <conditionalFormatting sqref="H185">
    <cfRule type="cellIs" priority="539" operator="equal" aboveAverage="0" equalAverage="0" bottom="0" percent="0" rank="0" text="" dxfId="2">
      <formula>"KAZANDI"</formula>
    </cfRule>
    <cfRule type="cellIs" priority="540" operator="equal" aboveAverage="0" equalAverage="0" bottom="0" percent="0" rank="0" text="" dxfId="0">
      <formula>"KAYBETTİ"</formula>
    </cfRule>
  </conditionalFormatting>
  <conditionalFormatting sqref="G185">
    <cfRule type="cellIs" priority="541" operator="equal" aboveAverage="0" equalAverage="0" bottom="0" percent="0" rank="0" text="" dxfId="1">
      <formula>"EVET"</formula>
    </cfRule>
  </conditionalFormatting>
  <conditionalFormatting sqref="H186">
    <cfRule type="cellIs" priority="542" operator="equal" aboveAverage="0" equalAverage="0" bottom="0" percent="0" rank="0" text="" dxfId="2">
      <formula>"KAZANDI"</formula>
    </cfRule>
    <cfRule type="cellIs" priority="543" operator="equal" aboveAverage="0" equalAverage="0" bottom="0" percent="0" rank="0" text="" dxfId="0">
      <formula>"KAYBETTİ"</formula>
    </cfRule>
  </conditionalFormatting>
  <conditionalFormatting sqref="G186">
    <cfRule type="cellIs" priority="544" operator="equal" aboveAverage="0" equalAverage="0" bottom="0" percent="0" rank="0" text="" dxfId="1">
      <formula>"EVET"</formula>
    </cfRule>
  </conditionalFormatting>
  <conditionalFormatting sqref="H187">
    <cfRule type="cellIs" priority="545" operator="equal" aboveAverage="0" equalAverage="0" bottom="0" percent="0" rank="0" text="" dxfId="2">
      <formula>"KAZANDI"</formula>
    </cfRule>
    <cfRule type="cellIs" priority="546" operator="equal" aboveAverage="0" equalAverage="0" bottom="0" percent="0" rank="0" text="" dxfId="0">
      <formula>"KAYBETTİ"</formula>
    </cfRule>
  </conditionalFormatting>
  <conditionalFormatting sqref="G187">
    <cfRule type="cellIs" priority="547" operator="equal" aboveAverage="0" equalAverage="0" bottom="0" percent="0" rank="0" text="" dxfId="1">
      <formula>"EVET"</formula>
    </cfRule>
  </conditionalFormatting>
  <conditionalFormatting sqref="H188">
    <cfRule type="cellIs" priority="548" operator="equal" aboveAverage="0" equalAverage="0" bottom="0" percent="0" rank="0" text="" dxfId="2">
      <formula>"KAZANDI"</formula>
    </cfRule>
    <cfRule type="cellIs" priority="549" operator="equal" aboveAverage="0" equalAverage="0" bottom="0" percent="0" rank="0" text="" dxfId="0">
      <formula>"KAYBETTİ"</formula>
    </cfRule>
  </conditionalFormatting>
  <conditionalFormatting sqref="G188">
    <cfRule type="cellIs" priority="550" operator="equal" aboveAverage="0" equalAverage="0" bottom="0" percent="0" rank="0" text="" dxfId="1">
      <formula>"EVET"</formula>
    </cfRule>
  </conditionalFormatting>
  <conditionalFormatting sqref="H189">
    <cfRule type="cellIs" priority="551" operator="equal" aboveAverage="0" equalAverage="0" bottom="0" percent="0" rank="0" text="" dxfId="2">
      <formula>"KAZANDI"</formula>
    </cfRule>
    <cfRule type="cellIs" priority="552" operator="equal" aboveAverage="0" equalAverage="0" bottom="0" percent="0" rank="0" text="" dxfId="0">
      <formula>"KAYBETTİ"</formula>
    </cfRule>
  </conditionalFormatting>
  <conditionalFormatting sqref="G189">
    <cfRule type="cellIs" priority="553" operator="equal" aboveAverage="0" equalAverage="0" bottom="0" percent="0" rank="0" text="" dxfId="1">
      <formula>"EVET"</formula>
    </cfRule>
  </conditionalFormatting>
  <conditionalFormatting sqref="H190">
    <cfRule type="cellIs" priority="554" operator="equal" aboveAverage="0" equalAverage="0" bottom="0" percent="0" rank="0" text="" dxfId="2">
      <formula>"KAZANDI"</formula>
    </cfRule>
    <cfRule type="cellIs" priority="555" operator="equal" aboveAverage="0" equalAverage="0" bottom="0" percent="0" rank="0" text="" dxfId="0">
      <formula>"KAYBETTİ"</formula>
    </cfRule>
  </conditionalFormatting>
  <conditionalFormatting sqref="G190">
    <cfRule type="cellIs" priority="556" operator="equal" aboveAverage="0" equalAverage="0" bottom="0" percent="0" rank="0" text="" dxfId="1">
      <formula>"EVET"</formula>
    </cfRule>
  </conditionalFormatting>
  <conditionalFormatting sqref="H191">
    <cfRule type="cellIs" priority="557" operator="equal" aboveAverage="0" equalAverage="0" bottom="0" percent="0" rank="0" text="" dxfId="2">
      <formula>"KAZANDI"</formula>
    </cfRule>
    <cfRule type="cellIs" priority="558" operator="equal" aboveAverage="0" equalAverage="0" bottom="0" percent="0" rank="0" text="" dxfId="0">
      <formula>"KAYBETTİ"</formula>
    </cfRule>
  </conditionalFormatting>
  <conditionalFormatting sqref="G191">
    <cfRule type="cellIs" priority="559" operator="equal" aboveAverage="0" equalAverage="0" bottom="0" percent="0" rank="0" text="" dxfId="1">
      <formula>"EVET"</formula>
    </cfRule>
  </conditionalFormatting>
  <conditionalFormatting sqref="H192">
    <cfRule type="cellIs" priority="560" operator="equal" aboveAverage="0" equalAverage="0" bottom="0" percent="0" rank="0" text="" dxfId="2">
      <formula>"KAZANDI"</formula>
    </cfRule>
    <cfRule type="cellIs" priority="561" operator="equal" aboveAverage="0" equalAverage="0" bottom="0" percent="0" rank="0" text="" dxfId="0">
      <formula>"KAYBETTİ"</formula>
    </cfRule>
  </conditionalFormatting>
  <conditionalFormatting sqref="G192">
    <cfRule type="cellIs" priority="562" operator="equal" aboveAverage="0" equalAverage="0" bottom="0" percent="0" rank="0" text="" dxfId="1">
      <formula>"EVET"</formula>
    </cfRule>
  </conditionalFormatting>
  <conditionalFormatting sqref="H193">
    <cfRule type="cellIs" priority="563" operator="equal" aboveAverage="0" equalAverage="0" bottom="0" percent="0" rank="0" text="" dxfId="2">
      <formula>"KAZANDI"</formula>
    </cfRule>
    <cfRule type="cellIs" priority="564" operator="equal" aboveAverage="0" equalAverage="0" bottom="0" percent="0" rank="0" text="" dxfId="0">
      <formula>"KAYBETTİ"</formula>
    </cfRule>
  </conditionalFormatting>
  <conditionalFormatting sqref="G193">
    <cfRule type="cellIs" priority="565" operator="equal" aboveAverage="0" equalAverage="0" bottom="0" percent="0" rank="0" text="" dxfId="1">
      <formula>"EVET"</formula>
    </cfRule>
  </conditionalFormatting>
  <conditionalFormatting sqref="H194">
    <cfRule type="cellIs" priority="566" operator="equal" aboveAverage="0" equalAverage="0" bottom="0" percent="0" rank="0" text="" dxfId="2">
      <formula>"KAZANDI"</formula>
    </cfRule>
    <cfRule type="cellIs" priority="567" operator="equal" aboveAverage="0" equalAverage="0" bottom="0" percent="0" rank="0" text="" dxfId="0">
      <formula>"KAYBETTİ"</formula>
    </cfRule>
  </conditionalFormatting>
  <conditionalFormatting sqref="G194">
    <cfRule type="cellIs" priority="568" operator="equal" aboveAverage="0" equalAverage="0" bottom="0" percent="0" rank="0" text="" dxfId="1">
      <formula>"EVET"</formula>
    </cfRule>
  </conditionalFormatting>
  <conditionalFormatting sqref="H195">
    <cfRule type="cellIs" priority="569" operator="equal" aboveAverage="0" equalAverage="0" bottom="0" percent="0" rank="0" text="" dxfId="2">
      <formula>"KAZANDI"</formula>
    </cfRule>
    <cfRule type="cellIs" priority="570" operator="equal" aboveAverage="0" equalAverage="0" bottom="0" percent="0" rank="0" text="" dxfId="0">
      <formula>"KAYBETTİ"</formula>
    </cfRule>
  </conditionalFormatting>
  <conditionalFormatting sqref="G195">
    <cfRule type="cellIs" priority="571" operator="equal" aboveAverage="0" equalAverage="0" bottom="0" percent="0" rank="0" text="" dxfId="1">
      <formula>"EVET"</formula>
    </cfRule>
  </conditionalFormatting>
  <conditionalFormatting sqref="H196">
    <cfRule type="cellIs" priority="572" operator="equal" aboveAverage="0" equalAverage="0" bottom="0" percent="0" rank="0" text="" dxfId="2">
      <formula>"KAZANDI"</formula>
    </cfRule>
    <cfRule type="cellIs" priority="573" operator="equal" aboveAverage="0" equalAverage="0" bottom="0" percent="0" rank="0" text="" dxfId="0">
      <formula>"KAYBETTİ"</formula>
    </cfRule>
  </conditionalFormatting>
  <conditionalFormatting sqref="G196">
    <cfRule type="cellIs" priority="574" operator="equal" aboveAverage="0" equalAverage="0" bottom="0" percent="0" rank="0" text="" dxfId="1">
      <formula>"EVET"</formula>
    </cfRule>
  </conditionalFormatting>
  <conditionalFormatting sqref="H197">
    <cfRule type="cellIs" priority="575" operator="equal" aboveAverage="0" equalAverage="0" bottom="0" percent="0" rank="0" text="" dxfId="2">
      <formula>"KAZANDI"</formula>
    </cfRule>
    <cfRule type="cellIs" priority="576" operator="equal" aboveAverage="0" equalAverage="0" bottom="0" percent="0" rank="0" text="" dxfId="0">
      <formula>"KAYBETTİ"</formula>
    </cfRule>
  </conditionalFormatting>
  <conditionalFormatting sqref="G197">
    <cfRule type="cellIs" priority="577" operator="equal" aboveAverage="0" equalAverage="0" bottom="0" percent="0" rank="0" text="" dxfId="1">
      <formula>"EVET"</formula>
    </cfRule>
  </conditionalFormatting>
  <conditionalFormatting sqref="H198">
    <cfRule type="cellIs" priority="578" operator="equal" aboveAverage="0" equalAverage="0" bottom="0" percent="0" rank="0" text="" dxfId="2">
      <formula>"KAZANDI"</formula>
    </cfRule>
    <cfRule type="cellIs" priority="579" operator="equal" aboveAverage="0" equalAverage="0" bottom="0" percent="0" rank="0" text="" dxfId="0">
      <formula>"KAYBETTİ"</formula>
    </cfRule>
  </conditionalFormatting>
  <conditionalFormatting sqref="G198">
    <cfRule type="cellIs" priority="580" operator="equal" aboveAverage="0" equalAverage="0" bottom="0" percent="0" rank="0" text="" dxfId="1">
      <formula>"EVET"</formula>
    </cfRule>
  </conditionalFormatting>
  <conditionalFormatting sqref="H199">
    <cfRule type="cellIs" priority="581" operator="equal" aboveAverage="0" equalAverage="0" bottom="0" percent="0" rank="0" text="" dxfId="2">
      <formula>"KAZANDI"</formula>
    </cfRule>
    <cfRule type="cellIs" priority="582" operator="equal" aboveAverage="0" equalAverage="0" bottom="0" percent="0" rank="0" text="" dxfId="0">
      <formula>"KAYBETTİ"</formula>
    </cfRule>
  </conditionalFormatting>
  <conditionalFormatting sqref="G199">
    <cfRule type="cellIs" priority="583" operator="equal" aboveAverage="0" equalAverage="0" bottom="0" percent="0" rank="0" text="" dxfId="1">
      <formula>"EVET"</formula>
    </cfRule>
  </conditionalFormatting>
  <conditionalFormatting sqref="H200">
    <cfRule type="cellIs" priority="584" operator="equal" aboveAverage="0" equalAverage="0" bottom="0" percent="0" rank="0" text="" dxfId="2">
      <formula>"KAZANDI"</formula>
    </cfRule>
    <cfRule type="cellIs" priority="585" operator="equal" aboveAverage="0" equalAverage="0" bottom="0" percent="0" rank="0" text="" dxfId="0">
      <formula>"KAYBETTİ"</formula>
    </cfRule>
  </conditionalFormatting>
  <conditionalFormatting sqref="G200">
    <cfRule type="cellIs" priority="586" operator="equal" aboveAverage="0" equalAverage="0" bottom="0" percent="0" rank="0" text="" dxfId="1">
      <formula>"EVET"</formula>
    </cfRule>
  </conditionalFormatting>
  <conditionalFormatting sqref="H201">
    <cfRule type="cellIs" priority="587" operator="equal" aboveAverage="0" equalAverage="0" bottom="0" percent="0" rank="0" text="" dxfId="2">
      <formula>"KAZANDI"</formula>
    </cfRule>
    <cfRule type="cellIs" priority="588" operator="equal" aboveAverage="0" equalAverage="0" bottom="0" percent="0" rank="0" text="" dxfId="0">
      <formula>"KAYBETTİ"</formula>
    </cfRule>
  </conditionalFormatting>
  <conditionalFormatting sqref="G201">
    <cfRule type="cellIs" priority="589" operator="equal" aboveAverage="0" equalAverage="0" bottom="0" percent="0" rank="0" text="" dxfId="1">
      <formula>"EVET"</formula>
    </cfRule>
  </conditionalFormatting>
  <conditionalFormatting sqref="H202">
    <cfRule type="cellIs" priority="590" operator="equal" aboveAverage="0" equalAverage="0" bottom="0" percent="0" rank="0" text="" dxfId="2">
      <formula>"KAZANDI"</formula>
    </cfRule>
    <cfRule type="cellIs" priority="591" operator="equal" aboveAverage="0" equalAverage="0" bottom="0" percent="0" rank="0" text="" dxfId="0">
      <formula>"KAYBETTİ"</formula>
    </cfRule>
  </conditionalFormatting>
  <conditionalFormatting sqref="G202">
    <cfRule type="cellIs" priority="592" operator="equal" aboveAverage="0" equalAverage="0" bottom="0" percent="0" rank="0" text="" dxfId="1">
      <formula>"EVET"</formula>
    </cfRule>
  </conditionalFormatting>
  <conditionalFormatting sqref="H203">
    <cfRule type="cellIs" priority="593" operator="equal" aboveAverage="0" equalAverage="0" bottom="0" percent="0" rank="0" text="" dxfId="2">
      <formula>"KAZANDI"</formula>
    </cfRule>
    <cfRule type="cellIs" priority="594" operator="equal" aboveAverage="0" equalAverage="0" bottom="0" percent="0" rank="0" text="" dxfId="0">
      <formula>"KAYBETTİ"</formula>
    </cfRule>
  </conditionalFormatting>
  <conditionalFormatting sqref="G203">
    <cfRule type="cellIs" priority="595" operator="equal" aboveAverage="0" equalAverage="0" bottom="0" percent="0" rank="0" text="" dxfId="1">
      <formula>"EVET"</formula>
    </cfRule>
  </conditionalFormatting>
  <conditionalFormatting sqref="H204">
    <cfRule type="cellIs" priority="596" operator="equal" aboveAverage="0" equalAverage="0" bottom="0" percent="0" rank="0" text="" dxfId="2">
      <formula>"KAZANDI"</formula>
    </cfRule>
    <cfRule type="cellIs" priority="597" operator="equal" aboveAverage="0" equalAverage="0" bottom="0" percent="0" rank="0" text="" dxfId="0">
      <formula>"KAYBETTİ"</formula>
    </cfRule>
  </conditionalFormatting>
  <conditionalFormatting sqref="G204">
    <cfRule type="cellIs" priority="598" operator="equal" aboveAverage="0" equalAverage="0" bottom="0" percent="0" rank="0" text="" dxfId="1">
      <formula>"EVET"</formula>
    </cfRule>
  </conditionalFormatting>
  <conditionalFormatting sqref="H205">
    <cfRule type="cellIs" priority="599" operator="equal" aboveAverage="0" equalAverage="0" bottom="0" percent="0" rank="0" text="" dxfId="2">
      <formula>"KAZANDI"</formula>
    </cfRule>
    <cfRule type="cellIs" priority="600" operator="equal" aboveAverage="0" equalAverage="0" bottom="0" percent="0" rank="0" text="" dxfId="0">
      <formula>"KAYBETTİ"</formula>
    </cfRule>
  </conditionalFormatting>
  <conditionalFormatting sqref="G205">
    <cfRule type="cellIs" priority="601" operator="equal" aboveAverage="0" equalAverage="0" bottom="0" percent="0" rank="0" text="" dxfId="1">
      <formula>"EVET"</formula>
    </cfRule>
  </conditionalFormatting>
  <conditionalFormatting sqref="H206">
    <cfRule type="cellIs" priority="602" operator="equal" aboveAverage="0" equalAverage="0" bottom="0" percent="0" rank="0" text="" dxfId="2">
      <formula>"KAZANDI"</formula>
    </cfRule>
    <cfRule type="cellIs" priority="603" operator="equal" aboveAverage="0" equalAverage="0" bottom="0" percent="0" rank="0" text="" dxfId="0">
      <formula>"KAYBETTİ"</formula>
    </cfRule>
  </conditionalFormatting>
  <conditionalFormatting sqref="G206">
    <cfRule type="cellIs" priority="604" operator="equal" aboveAverage="0" equalAverage="0" bottom="0" percent="0" rank="0" text="" dxfId="1">
      <formula>"EVET"</formula>
    </cfRule>
  </conditionalFormatting>
  <conditionalFormatting sqref="H207">
    <cfRule type="cellIs" priority="605" operator="equal" aboveAverage="0" equalAverage="0" bottom="0" percent="0" rank="0" text="" dxfId="2">
      <formula>"KAZANDI"</formula>
    </cfRule>
    <cfRule type="cellIs" priority="606" operator="equal" aboveAverage="0" equalAverage="0" bottom="0" percent="0" rank="0" text="" dxfId="0">
      <formula>"KAYBETTİ"</formula>
    </cfRule>
  </conditionalFormatting>
  <conditionalFormatting sqref="G207">
    <cfRule type="cellIs" priority="607" operator="equal" aboveAverage="0" equalAverage="0" bottom="0" percent="0" rank="0" text="" dxfId="1">
      <formula>"EVET"</formula>
    </cfRule>
  </conditionalFormatting>
  <conditionalFormatting sqref="H208">
    <cfRule type="cellIs" priority="608" operator="equal" aboveAverage="0" equalAverage="0" bottom="0" percent="0" rank="0" text="" dxfId="2">
      <formula>"KAZANDI"</formula>
    </cfRule>
    <cfRule type="cellIs" priority="609" operator="equal" aboveAverage="0" equalAverage="0" bottom="0" percent="0" rank="0" text="" dxfId="0">
      <formula>"KAYBETTİ"</formula>
    </cfRule>
  </conditionalFormatting>
  <conditionalFormatting sqref="G208">
    <cfRule type="cellIs" priority="610" operator="equal" aboveAverage="0" equalAverage="0" bottom="0" percent="0" rank="0" text="" dxfId="1">
      <formula>"EVET"</formula>
    </cfRule>
  </conditionalFormatting>
  <conditionalFormatting sqref="H209">
    <cfRule type="cellIs" priority="611" operator="equal" aboveAverage="0" equalAverage="0" bottom="0" percent="0" rank="0" text="" dxfId="2">
      <formula>"KAZANDI"</formula>
    </cfRule>
    <cfRule type="cellIs" priority="612" operator="equal" aboveAverage="0" equalAverage="0" bottom="0" percent="0" rank="0" text="" dxfId="0">
      <formula>"KAYBETTİ"</formula>
    </cfRule>
  </conditionalFormatting>
  <conditionalFormatting sqref="G209">
    <cfRule type="cellIs" priority="613" operator="equal" aboveAverage="0" equalAverage="0" bottom="0" percent="0" rank="0" text="" dxfId="1">
      <formula>"EVET"</formula>
    </cfRule>
  </conditionalFormatting>
  <conditionalFormatting sqref="H210">
    <cfRule type="cellIs" priority="614" operator="equal" aboveAverage="0" equalAverage="0" bottom="0" percent="0" rank="0" text="" dxfId="2">
      <formula>"KAZANDI"</formula>
    </cfRule>
    <cfRule type="cellIs" priority="615" operator="equal" aboveAverage="0" equalAverage="0" bottom="0" percent="0" rank="0" text="" dxfId="0">
      <formula>"KAYBETTİ"</formula>
    </cfRule>
  </conditionalFormatting>
  <conditionalFormatting sqref="G210">
    <cfRule type="cellIs" priority="616" operator="equal" aboveAverage="0" equalAverage="0" bottom="0" percent="0" rank="0" text="" dxfId="1">
      <formula>"EVET"</formula>
    </cfRule>
  </conditionalFormatting>
  <conditionalFormatting sqref="H211">
    <cfRule type="cellIs" priority="617" operator="equal" aboveAverage="0" equalAverage="0" bottom="0" percent="0" rank="0" text="" dxfId="2">
      <formula>"KAZANDI"</formula>
    </cfRule>
    <cfRule type="cellIs" priority="618" operator="equal" aboveAverage="0" equalAverage="0" bottom="0" percent="0" rank="0" text="" dxfId="0">
      <formula>"KAYBETTİ"</formula>
    </cfRule>
  </conditionalFormatting>
  <conditionalFormatting sqref="G211">
    <cfRule type="cellIs" priority="619" operator="equal" aboveAverage="0" equalAverage="0" bottom="0" percent="0" rank="0" text="" dxfId="1">
      <formula>"EVET"</formula>
    </cfRule>
  </conditionalFormatting>
  <conditionalFormatting sqref="H212">
    <cfRule type="cellIs" priority="620" operator="equal" aboveAverage="0" equalAverage="0" bottom="0" percent="0" rank="0" text="" dxfId="2">
      <formula>"KAZANDI"</formula>
    </cfRule>
    <cfRule type="cellIs" priority="621" operator="equal" aboveAverage="0" equalAverage="0" bottom="0" percent="0" rank="0" text="" dxfId="0">
      <formula>"KAYBETTİ"</formula>
    </cfRule>
  </conditionalFormatting>
  <conditionalFormatting sqref="G212">
    <cfRule type="cellIs" priority="622" operator="equal" aboveAverage="0" equalAverage="0" bottom="0" percent="0" rank="0" text="" dxfId="1">
      <formula>"EVET"</formula>
    </cfRule>
  </conditionalFormatting>
  <conditionalFormatting sqref="H213">
    <cfRule type="cellIs" priority="623" operator="equal" aboveAverage="0" equalAverage="0" bottom="0" percent="0" rank="0" text="" dxfId="2">
      <formula>"KAZANDI"</formula>
    </cfRule>
    <cfRule type="cellIs" priority="624" operator="equal" aboveAverage="0" equalAverage="0" bottom="0" percent="0" rank="0" text="" dxfId="0">
      <formula>"KAYBETTİ"</formula>
    </cfRule>
  </conditionalFormatting>
  <conditionalFormatting sqref="G213">
    <cfRule type="cellIs" priority="625" operator="equal" aboveAverage="0" equalAverage="0" bottom="0" percent="0" rank="0" text="" dxfId="1">
      <formula>"EVET"</formula>
    </cfRule>
  </conditionalFormatting>
  <conditionalFormatting sqref="H214">
    <cfRule type="cellIs" priority="626" operator="equal" aboveAverage="0" equalAverage="0" bottom="0" percent="0" rank="0" text="" dxfId="2">
      <formula>"KAZANDI"</formula>
    </cfRule>
    <cfRule type="cellIs" priority="627" operator="equal" aboveAverage="0" equalAverage="0" bottom="0" percent="0" rank="0" text="" dxfId="0">
      <formula>"KAYBETTİ"</formula>
    </cfRule>
  </conditionalFormatting>
  <conditionalFormatting sqref="G214">
    <cfRule type="cellIs" priority="628" operator="equal" aboveAverage="0" equalAverage="0" bottom="0" percent="0" rank="0" text="" dxfId="1">
      <formula>"EVET"</formula>
    </cfRule>
  </conditionalFormatting>
  <conditionalFormatting sqref="H215">
    <cfRule type="cellIs" priority="629" operator="equal" aboveAverage="0" equalAverage="0" bottom="0" percent="0" rank="0" text="" dxfId="2">
      <formula>"KAZANDI"</formula>
    </cfRule>
    <cfRule type="cellIs" priority="630" operator="equal" aboveAverage="0" equalAverage="0" bottom="0" percent="0" rank="0" text="" dxfId="0">
      <formula>"KAYBETTİ"</formula>
    </cfRule>
  </conditionalFormatting>
  <conditionalFormatting sqref="G215">
    <cfRule type="cellIs" priority="631" operator="equal" aboveAverage="0" equalAverage="0" bottom="0" percent="0" rank="0" text="" dxfId="1">
      <formula>"EVET"</formula>
    </cfRule>
  </conditionalFormatting>
  <conditionalFormatting sqref="H216">
    <cfRule type="cellIs" priority="632" operator="equal" aboveAverage="0" equalAverage="0" bottom="0" percent="0" rank="0" text="" dxfId="2">
      <formula>"KAZANDI"</formula>
    </cfRule>
    <cfRule type="cellIs" priority="633" operator="equal" aboveAverage="0" equalAverage="0" bottom="0" percent="0" rank="0" text="" dxfId="0">
      <formula>"KAYBETTİ"</formula>
    </cfRule>
  </conditionalFormatting>
  <conditionalFormatting sqref="G216">
    <cfRule type="cellIs" priority="634" operator="equal" aboveAverage="0" equalAverage="0" bottom="0" percent="0" rank="0" text="" dxfId="1">
      <formula>"EVET"</formula>
    </cfRule>
  </conditionalFormatting>
  <conditionalFormatting sqref="H217">
    <cfRule type="cellIs" priority="635" operator="equal" aboveAverage="0" equalAverage="0" bottom="0" percent="0" rank="0" text="" dxfId="2">
      <formula>"KAZANDI"</formula>
    </cfRule>
    <cfRule type="cellIs" priority="636" operator="equal" aboveAverage="0" equalAverage="0" bottom="0" percent="0" rank="0" text="" dxfId="0">
      <formula>"KAYBETTİ"</formula>
    </cfRule>
  </conditionalFormatting>
  <conditionalFormatting sqref="G217">
    <cfRule type="cellIs" priority="637" operator="equal" aboveAverage="0" equalAverage="0" bottom="0" percent="0" rank="0" text="" dxfId="1">
      <formula>"EVET"</formula>
    </cfRule>
  </conditionalFormatting>
  <conditionalFormatting sqref="H218">
    <cfRule type="cellIs" priority="638" operator="equal" aboveAverage="0" equalAverage="0" bottom="0" percent="0" rank="0" text="" dxfId="2">
      <formula>"KAZANDI"</formula>
    </cfRule>
    <cfRule type="cellIs" priority="639" operator="equal" aboveAverage="0" equalAverage="0" bottom="0" percent="0" rank="0" text="" dxfId="0">
      <formula>"KAYBETTİ"</formula>
    </cfRule>
  </conditionalFormatting>
  <conditionalFormatting sqref="G218">
    <cfRule type="cellIs" priority="640" operator="equal" aboveAverage="0" equalAverage="0" bottom="0" percent="0" rank="0" text="" dxfId="1">
      <formula>"EVET"</formula>
    </cfRule>
  </conditionalFormatting>
  <conditionalFormatting sqref="H219">
    <cfRule type="cellIs" priority="641" operator="equal" aboveAverage="0" equalAverage="0" bottom="0" percent="0" rank="0" text="" dxfId="2">
      <formula>"KAZANDI"</formula>
    </cfRule>
    <cfRule type="cellIs" priority="642" operator="equal" aboveAverage="0" equalAverage="0" bottom="0" percent="0" rank="0" text="" dxfId="0">
      <formula>"KAYBETTİ"</formula>
    </cfRule>
  </conditionalFormatting>
  <conditionalFormatting sqref="G219">
    <cfRule type="cellIs" priority="643" operator="equal" aboveAverage="0" equalAverage="0" bottom="0" percent="0" rank="0" text="" dxfId="1">
      <formula>"EVET"</formula>
    </cfRule>
  </conditionalFormatting>
  <conditionalFormatting sqref="H220">
    <cfRule type="cellIs" priority="644" operator="equal" aboveAverage="0" equalAverage="0" bottom="0" percent="0" rank="0" text="" dxfId="2">
      <formula>"KAZANDI"</formula>
    </cfRule>
    <cfRule type="cellIs" priority="645" operator="equal" aboveAverage="0" equalAverage="0" bottom="0" percent="0" rank="0" text="" dxfId="0">
      <formula>"KAYBETTİ"</formula>
    </cfRule>
  </conditionalFormatting>
  <conditionalFormatting sqref="G220">
    <cfRule type="cellIs" priority="646" operator="equal" aboveAverage="0" equalAverage="0" bottom="0" percent="0" rank="0" text="" dxfId="1">
      <formula>"EVET"</formula>
    </cfRule>
  </conditionalFormatting>
  <conditionalFormatting sqref="H221">
    <cfRule type="cellIs" priority="647" operator="equal" aboveAverage="0" equalAverage="0" bottom="0" percent="0" rank="0" text="" dxfId="2">
      <formula>"KAZANDI"</formula>
    </cfRule>
    <cfRule type="cellIs" priority="648" operator="equal" aboveAverage="0" equalAverage="0" bottom="0" percent="0" rank="0" text="" dxfId="0">
      <formula>"KAYBETTİ"</formula>
    </cfRule>
  </conditionalFormatting>
  <conditionalFormatting sqref="G221">
    <cfRule type="cellIs" priority="649" operator="equal" aboveAverage="0" equalAverage="0" bottom="0" percent="0" rank="0" text="" dxfId="1">
      <formula>"EVET"</formula>
    </cfRule>
  </conditionalFormatting>
  <conditionalFormatting sqref="H222">
    <cfRule type="cellIs" priority="650" operator="equal" aboveAverage="0" equalAverage="0" bottom="0" percent="0" rank="0" text="" dxfId="2">
      <formula>"KAZANDI"</formula>
    </cfRule>
    <cfRule type="cellIs" priority="651" operator="equal" aboveAverage="0" equalAverage="0" bottom="0" percent="0" rank="0" text="" dxfId="0">
      <formula>"KAYBETTİ"</formula>
    </cfRule>
  </conditionalFormatting>
  <conditionalFormatting sqref="G222">
    <cfRule type="cellIs" priority="652" operator="equal" aboveAverage="0" equalAverage="0" bottom="0" percent="0" rank="0" text="" dxfId="1">
      <formula>"EVET"</formula>
    </cfRule>
  </conditionalFormatting>
  <conditionalFormatting sqref="H223">
    <cfRule type="cellIs" priority="653" operator="equal" aboveAverage="0" equalAverage="0" bottom="0" percent="0" rank="0" text="" dxfId="2">
      <formula>"KAZANDI"</formula>
    </cfRule>
    <cfRule type="cellIs" priority="654" operator="equal" aboveAverage="0" equalAverage="0" bottom="0" percent="0" rank="0" text="" dxfId="0">
      <formula>"KAYBETTİ"</formula>
    </cfRule>
  </conditionalFormatting>
  <conditionalFormatting sqref="G223">
    <cfRule type="cellIs" priority="655" operator="equal" aboveAverage="0" equalAverage="0" bottom="0" percent="0" rank="0" text="" dxfId="1">
      <formula>"EVET"</formula>
    </cfRule>
  </conditionalFormatting>
  <conditionalFormatting sqref="H224">
    <cfRule type="cellIs" priority="656" operator="equal" aboveAverage="0" equalAverage="0" bottom="0" percent="0" rank="0" text="" dxfId="2">
      <formula>"KAZANDI"</formula>
    </cfRule>
    <cfRule type="cellIs" priority="657" operator="equal" aboveAverage="0" equalAverage="0" bottom="0" percent="0" rank="0" text="" dxfId="0">
      <formula>"KAYBETTİ"</formula>
    </cfRule>
  </conditionalFormatting>
  <conditionalFormatting sqref="G224">
    <cfRule type="cellIs" priority="658" operator="equal" aboveAverage="0" equalAverage="0" bottom="0" percent="0" rank="0" text="" dxfId="1">
      <formula>"EVET"</formula>
    </cfRule>
  </conditionalFormatting>
  <conditionalFormatting sqref="H225">
    <cfRule type="cellIs" priority="659" operator="equal" aboveAverage="0" equalAverage="0" bottom="0" percent="0" rank="0" text="" dxfId="2">
      <formula>"KAZANDI"</formula>
    </cfRule>
    <cfRule type="cellIs" priority="660" operator="equal" aboveAverage="0" equalAverage="0" bottom="0" percent="0" rank="0" text="" dxfId="0">
      <formula>"KAYBETTİ"</formula>
    </cfRule>
  </conditionalFormatting>
  <conditionalFormatting sqref="G225">
    <cfRule type="cellIs" priority="661" operator="equal" aboveAverage="0" equalAverage="0" bottom="0" percent="0" rank="0" text="" dxfId="1">
      <formula>"EVET"</formula>
    </cfRule>
  </conditionalFormatting>
  <conditionalFormatting sqref="H226">
    <cfRule type="cellIs" priority="662" operator="equal" aboveAverage="0" equalAverage="0" bottom="0" percent="0" rank="0" text="" dxfId="2">
      <formula>"KAZANDI"</formula>
    </cfRule>
    <cfRule type="cellIs" priority="663" operator="equal" aboveAverage="0" equalAverage="0" bottom="0" percent="0" rank="0" text="" dxfId="0">
      <formula>"KAYBETTİ"</formula>
    </cfRule>
  </conditionalFormatting>
  <conditionalFormatting sqref="G226">
    <cfRule type="cellIs" priority="664" operator="equal" aboveAverage="0" equalAverage="0" bottom="0" percent="0" rank="0" text="" dxfId="1">
      <formula>"EVET"</formula>
    </cfRule>
  </conditionalFormatting>
  <conditionalFormatting sqref="H227">
    <cfRule type="cellIs" priority="665" operator="equal" aboveAverage="0" equalAverage="0" bottom="0" percent="0" rank="0" text="" dxfId="2">
      <formula>"KAZANDI"</formula>
    </cfRule>
    <cfRule type="cellIs" priority="666" operator="equal" aboveAverage="0" equalAverage="0" bottom="0" percent="0" rank="0" text="" dxfId="0">
      <formula>"KAYBETTİ"</formula>
    </cfRule>
  </conditionalFormatting>
  <conditionalFormatting sqref="G227">
    <cfRule type="cellIs" priority="667" operator="equal" aboveAverage="0" equalAverage="0" bottom="0" percent="0" rank="0" text="" dxfId="1">
      <formula>"EVET"</formula>
    </cfRule>
  </conditionalFormatting>
  <conditionalFormatting sqref="H228">
    <cfRule type="cellIs" priority="668" operator="equal" aboveAverage="0" equalAverage="0" bottom="0" percent="0" rank="0" text="" dxfId="2">
      <formula>"KAZANDI"</formula>
    </cfRule>
    <cfRule type="cellIs" priority="669" operator="equal" aboveAverage="0" equalAverage="0" bottom="0" percent="0" rank="0" text="" dxfId="0">
      <formula>"KAYBETTİ"</formula>
    </cfRule>
  </conditionalFormatting>
  <conditionalFormatting sqref="G228">
    <cfRule type="cellIs" priority="670" operator="equal" aboveAverage="0" equalAverage="0" bottom="0" percent="0" rank="0" text="" dxfId="1">
      <formula>"EVET"</formula>
    </cfRule>
  </conditionalFormatting>
  <conditionalFormatting sqref="H229">
    <cfRule type="cellIs" priority="671" operator="equal" aboveAverage="0" equalAverage="0" bottom="0" percent="0" rank="0" text="" dxfId="2">
      <formula>"KAZANDI"</formula>
    </cfRule>
    <cfRule type="cellIs" priority="672" operator="equal" aboveAverage="0" equalAverage="0" bottom="0" percent="0" rank="0" text="" dxfId="0">
      <formula>"KAYBETTİ"</formula>
    </cfRule>
  </conditionalFormatting>
  <conditionalFormatting sqref="G229">
    <cfRule type="cellIs" priority="673" operator="equal" aboveAverage="0" equalAverage="0" bottom="0" percent="0" rank="0" text="" dxfId="1">
      <formula>"EVET"</formula>
    </cfRule>
  </conditionalFormatting>
  <conditionalFormatting sqref="H230">
    <cfRule type="cellIs" priority="674" operator="equal" aboveAverage="0" equalAverage="0" bottom="0" percent="0" rank="0" text="" dxfId="2">
      <formula>"KAZANDI"</formula>
    </cfRule>
    <cfRule type="cellIs" priority="675" operator="equal" aboveAverage="0" equalAverage="0" bottom="0" percent="0" rank="0" text="" dxfId="0">
      <formula>"KAYBETTİ"</formula>
    </cfRule>
  </conditionalFormatting>
  <conditionalFormatting sqref="G230">
    <cfRule type="cellIs" priority="676" operator="equal" aboveAverage="0" equalAverage="0" bottom="0" percent="0" rank="0" text="" dxfId="1">
      <formula>"EVET"</formula>
    </cfRule>
  </conditionalFormatting>
  <conditionalFormatting sqref="H231">
    <cfRule type="cellIs" priority="677" operator="equal" aboveAverage="0" equalAverage="0" bottom="0" percent="0" rank="0" text="" dxfId="2">
      <formula>"KAZANDI"</formula>
    </cfRule>
    <cfRule type="cellIs" priority="678" operator="equal" aboveAverage="0" equalAverage="0" bottom="0" percent="0" rank="0" text="" dxfId="0">
      <formula>"KAYBETTİ"</formula>
    </cfRule>
  </conditionalFormatting>
  <conditionalFormatting sqref="G231">
    <cfRule type="cellIs" priority="679" operator="equal" aboveAverage="0" equalAverage="0" bottom="0" percent="0" rank="0" text="" dxfId="1">
      <formula>"EVET"</formula>
    </cfRule>
  </conditionalFormatting>
  <conditionalFormatting sqref="H232">
    <cfRule type="cellIs" priority="680" operator="equal" aboveAverage="0" equalAverage="0" bottom="0" percent="0" rank="0" text="" dxfId="2">
      <formula>"KAZANDI"</formula>
    </cfRule>
    <cfRule type="cellIs" priority="681" operator="equal" aboveAverage="0" equalAverage="0" bottom="0" percent="0" rank="0" text="" dxfId="0">
      <formula>"KAYBETTİ"</formula>
    </cfRule>
  </conditionalFormatting>
  <conditionalFormatting sqref="G232">
    <cfRule type="cellIs" priority="682" operator="equal" aboveAverage="0" equalAverage="0" bottom="0" percent="0" rank="0" text="" dxfId="1">
      <formula>"EVET"</formula>
    </cfRule>
  </conditionalFormatting>
  <conditionalFormatting sqref="H233">
    <cfRule type="cellIs" priority="683" operator="equal" aboveAverage="0" equalAverage="0" bottom="0" percent="0" rank="0" text="" dxfId="2">
      <formula>"KAZANDI"</formula>
    </cfRule>
    <cfRule type="cellIs" priority="684" operator="equal" aboveAverage="0" equalAverage="0" bottom="0" percent="0" rank="0" text="" dxfId="0">
      <formula>"KAYBETTİ"</formula>
    </cfRule>
  </conditionalFormatting>
  <conditionalFormatting sqref="G233">
    <cfRule type="cellIs" priority="685" operator="equal" aboveAverage="0" equalAverage="0" bottom="0" percent="0" rank="0" text="" dxfId="1">
      <formula>"EVET"</formula>
    </cfRule>
  </conditionalFormatting>
  <conditionalFormatting sqref="H234">
    <cfRule type="cellIs" priority="686" operator="equal" aboveAverage="0" equalAverage="0" bottom="0" percent="0" rank="0" text="" dxfId="2">
      <formula>"KAZANDI"</formula>
    </cfRule>
    <cfRule type="cellIs" priority="687" operator="equal" aboveAverage="0" equalAverage="0" bottom="0" percent="0" rank="0" text="" dxfId="0">
      <formula>"KAYBETTİ"</formula>
    </cfRule>
  </conditionalFormatting>
  <conditionalFormatting sqref="G234">
    <cfRule type="cellIs" priority="688" operator="equal" aboveAverage="0" equalAverage="0" bottom="0" percent="0" rank="0" text="" dxfId="1">
      <formula>"EVET"</formula>
    </cfRule>
  </conditionalFormatting>
  <conditionalFormatting sqref="H235">
    <cfRule type="cellIs" priority="689" operator="equal" aboveAverage="0" equalAverage="0" bottom="0" percent="0" rank="0" text="" dxfId="2">
      <formula>"KAZANDI"</formula>
    </cfRule>
    <cfRule type="cellIs" priority="690" operator="equal" aboveAverage="0" equalAverage="0" bottom="0" percent="0" rank="0" text="" dxfId="0">
      <formula>"KAYBETTİ"</formula>
    </cfRule>
  </conditionalFormatting>
  <conditionalFormatting sqref="G235">
    <cfRule type="cellIs" priority="691" operator="equal" aboveAverage="0" equalAverage="0" bottom="0" percent="0" rank="0" text="" dxfId="1">
      <formula>"EVET"</formula>
    </cfRule>
  </conditionalFormatting>
  <conditionalFormatting sqref="H236">
    <cfRule type="cellIs" priority="692" operator="equal" aboveAverage="0" equalAverage="0" bottom="0" percent="0" rank="0" text="" dxfId="2">
      <formula>"KAZANDI"</formula>
    </cfRule>
    <cfRule type="cellIs" priority="693" operator="equal" aboveAverage="0" equalAverage="0" bottom="0" percent="0" rank="0" text="" dxfId="0">
      <formula>"KAYBETTİ"</formula>
    </cfRule>
  </conditionalFormatting>
  <conditionalFormatting sqref="G236">
    <cfRule type="cellIs" priority="694" operator="equal" aboveAverage="0" equalAverage="0" bottom="0" percent="0" rank="0" text="" dxfId="1">
      <formula>"EVET"</formula>
    </cfRule>
  </conditionalFormatting>
  <conditionalFormatting sqref="H237">
    <cfRule type="cellIs" priority="695" operator="equal" aboveAverage="0" equalAverage="0" bottom="0" percent="0" rank="0" text="" dxfId="2">
      <formula>"KAZANDI"</formula>
    </cfRule>
    <cfRule type="cellIs" priority="696" operator="equal" aboveAverage="0" equalAverage="0" bottom="0" percent="0" rank="0" text="" dxfId="0">
      <formula>"KAYBETTİ"</formula>
    </cfRule>
  </conditionalFormatting>
  <conditionalFormatting sqref="G237">
    <cfRule type="cellIs" priority="697" operator="equal" aboveAverage="0" equalAverage="0" bottom="0" percent="0" rank="0" text="" dxfId="1">
      <formula>"EVET"</formula>
    </cfRule>
  </conditionalFormatting>
  <conditionalFormatting sqref="H238">
    <cfRule type="cellIs" priority="698" operator="equal" aboveAverage="0" equalAverage="0" bottom="0" percent="0" rank="0" text="" dxfId="2">
      <formula>"KAZANDI"</formula>
    </cfRule>
    <cfRule type="cellIs" priority="699" operator="equal" aboveAverage="0" equalAverage="0" bottom="0" percent="0" rank="0" text="" dxfId="0">
      <formula>"KAYBETTİ"</formula>
    </cfRule>
  </conditionalFormatting>
  <conditionalFormatting sqref="G238">
    <cfRule type="cellIs" priority="700" operator="equal" aboveAverage="0" equalAverage="0" bottom="0" percent="0" rank="0" text="" dxfId="1">
      <formula>"EVET"</formula>
    </cfRule>
  </conditionalFormatting>
  <conditionalFormatting sqref="H239">
    <cfRule type="cellIs" priority="701" operator="equal" aboveAverage="0" equalAverage="0" bottom="0" percent="0" rank="0" text="" dxfId="2">
      <formula>"KAZANDI"</formula>
    </cfRule>
    <cfRule type="cellIs" priority="702" operator="equal" aboveAverage="0" equalAverage="0" bottom="0" percent="0" rank="0" text="" dxfId="0">
      <formula>"KAYBETTİ"</formula>
    </cfRule>
  </conditionalFormatting>
  <conditionalFormatting sqref="G239">
    <cfRule type="cellIs" priority="703" operator="equal" aboveAverage="0" equalAverage="0" bottom="0" percent="0" rank="0" text="" dxfId="1">
      <formula>"EVET"</formula>
    </cfRule>
  </conditionalFormatting>
  <conditionalFormatting sqref="H240">
    <cfRule type="cellIs" priority="704" operator="equal" aboveAverage="0" equalAverage="0" bottom="0" percent="0" rank="0" text="" dxfId="2">
      <formula>"KAZANDI"</formula>
    </cfRule>
    <cfRule type="cellIs" priority="705" operator="equal" aboveAverage="0" equalAverage="0" bottom="0" percent="0" rank="0" text="" dxfId="0">
      <formula>"KAYBETTİ"</formula>
    </cfRule>
  </conditionalFormatting>
  <conditionalFormatting sqref="G240">
    <cfRule type="cellIs" priority="706" operator="equal" aboveAverage="0" equalAverage="0" bottom="0" percent="0" rank="0" text="" dxfId="1">
      <formula>"EVET"</formula>
    </cfRule>
  </conditionalFormatting>
  <conditionalFormatting sqref="H241">
    <cfRule type="cellIs" priority="707" operator="equal" aboveAverage="0" equalAverage="0" bottom="0" percent="0" rank="0" text="" dxfId="2">
      <formula>"KAZANDI"</formula>
    </cfRule>
    <cfRule type="cellIs" priority="708" operator="equal" aboveAverage="0" equalAverage="0" bottom="0" percent="0" rank="0" text="" dxfId="0">
      <formula>"KAYBETTİ"</formula>
    </cfRule>
  </conditionalFormatting>
  <conditionalFormatting sqref="G241">
    <cfRule type="cellIs" priority="709" operator="equal" aboveAverage="0" equalAverage="0" bottom="0" percent="0" rank="0" text="" dxfId="1">
      <formula>"EVET"</formula>
    </cfRule>
  </conditionalFormatting>
  <conditionalFormatting sqref="H242">
    <cfRule type="cellIs" priority="710" operator="equal" aboveAverage="0" equalAverage="0" bottom="0" percent="0" rank="0" text="" dxfId="2">
      <formula>"KAZANDI"</formula>
    </cfRule>
    <cfRule type="cellIs" priority="711" operator="equal" aboveAverage="0" equalAverage="0" bottom="0" percent="0" rank="0" text="" dxfId="0">
      <formula>"KAYBETTİ"</formula>
    </cfRule>
  </conditionalFormatting>
  <conditionalFormatting sqref="G242">
    <cfRule type="cellIs" priority="712" operator="equal" aboveAverage="0" equalAverage="0" bottom="0" percent="0" rank="0" text="" dxfId="1">
      <formula>"EVET"</formula>
    </cfRule>
  </conditionalFormatting>
  <conditionalFormatting sqref="H243">
    <cfRule type="cellIs" priority="713" operator="equal" aboveAverage="0" equalAverage="0" bottom="0" percent="0" rank="0" text="" dxfId="2">
      <formula>"KAZANDI"</formula>
    </cfRule>
    <cfRule type="cellIs" priority="714" operator="equal" aboveAverage="0" equalAverage="0" bottom="0" percent="0" rank="0" text="" dxfId="0">
      <formula>"KAYBETTİ"</formula>
    </cfRule>
  </conditionalFormatting>
  <conditionalFormatting sqref="G243">
    <cfRule type="cellIs" priority="715" operator="equal" aboveAverage="0" equalAverage="0" bottom="0" percent="0" rank="0" text="" dxfId="1">
      <formula>"EVET"</formula>
    </cfRule>
  </conditionalFormatting>
  <conditionalFormatting sqref="H244">
    <cfRule type="cellIs" priority="716" operator="equal" aboveAverage="0" equalAverage="0" bottom="0" percent="0" rank="0" text="" dxfId="2">
      <formula>"KAZANDI"</formula>
    </cfRule>
    <cfRule type="cellIs" priority="717" operator="equal" aboveAverage="0" equalAverage="0" bottom="0" percent="0" rank="0" text="" dxfId="0">
      <formula>"KAYBETTİ"</formula>
    </cfRule>
  </conditionalFormatting>
  <conditionalFormatting sqref="G244">
    <cfRule type="cellIs" priority="718" operator="equal" aboveAverage="0" equalAverage="0" bottom="0" percent="0" rank="0" text="" dxfId="1">
      <formula>"EVET"</formula>
    </cfRule>
  </conditionalFormatting>
  <conditionalFormatting sqref="H245">
    <cfRule type="cellIs" priority="719" operator="equal" aboveAverage="0" equalAverage="0" bottom="0" percent="0" rank="0" text="" dxfId="2">
      <formula>"KAZANDI"</formula>
    </cfRule>
    <cfRule type="cellIs" priority="720" operator="equal" aboveAverage="0" equalAverage="0" bottom="0" percent="0" rank="0" text="" dxfId="0">
      <formula>"KAYBETTİ"</formula>
    </cfRule>
  </conditionalFormatting>
  <conditionalFormatting sqref="G245">
    <cfRule type="cellIs" priority="721" operator="equal" aboveAverage="0" equalAverage="0" bottom="0" percent="0" rank="0" text="" dxfId="1">
      <formula>"EVET"</formula>
    </cfRule>
  </conditionalFormatting>
  <conditionalFormatting sqref="H246">
    <cfRule type="cellIs" priority="722" operator="equal" aboveAverage="0" equalAverage="0" bottom="0" percent="0" rank="0" text="" dxfId="2">
      <formula>"KAZANDI"</formula>
    </cfRule>
    <cfRule type="cellIs" priority="723" operator="equal" aboveAverage="0" equalAverage="0" bottom="0" percent="0" rank="0" text="" dxfId="0">
      <formula>"KAYBETTİ"</formula>
    </cfRule>
  </conditionalFormatting>
  <conditionalFormatting sqref="G246">
    <cfRule type="cellIs" priority="724" operator="equal" aboveAverage="0" equalAverage="0" bottom="0" percent="0" rank="0" text="" dxfId="1">
      <formula>"EVET"</formula>
    </cfRule>
  </conditionalFormatting>
  <conditionalFormatting sqref="H247">
    <cfRule type="cellIs" priority="725" operator="equal" aboveAverage="0" equalAverage="0" bottom="0" percent="0" rank="0" text="" dxfId="2">
      <formula>"KAZANDI"</formula>
    </cfRule>
    <cfRule type="cellIs" priority="726" operator="equal" aboveAverage="0" equalAverage="0" bottom="0" percent="0" rank="0" text="" dxfId="0">
      <formula>"KAYBETTİ"</formula>
    </cfRule>
  </conditionalFormatting>
  <conditionalFormatting sqref="G247">
    <cfRule type="cellIs" priority="727" operator="equal" aboveAverage="0" equalAverage="0" bottom="0" percent="0" rank="0" text="" dxfId="1">
      <formula>"EVET"</formula>
    </cfRule>
  </conditionalFormatting>
  <conditionalFormatting sqref="H248">
    <cfRule type="cellIs" priority="728" operator="equal" aboveAverage="0" equalAverage="0" bottom="0" percent="0" rank="0" text="" dxfId="2">
      <formula>"KAZANDI"</formula>
    </cfRule>
    <cfRule type="cellIs" priority="729" operator="equal" aboveAverage="0" equalAverage="0" bottom="0" percent="0" rank="0" text="" dxfId="0">
      <formula>"KAYBETTİ"</formula>
    </cfRule>
  </conditionalFormatting>
  <conditionalFormatting sqref="G248">
    <cfRule type="cellIs" priority="730" operator="equal" aboveAverage="0" equalAverage="0" bottom="0" percent="0" rank="0" text="" dxfId="1">
      <formula>"EVET"</formula>
    </cfRule>
  </conditionalFormatting>
  <conditionalFormatting sqref="H249">
    <cfRule type="cellIs" priority="731" operator="equal" aboveAverage="0" equalAverage="0" bottom="0" percent="0" rank="0" text="" dxfId="2">
      <formula>"KAZANDI"</formula>
    </cfRule>
    <cfRule type="cellIs" priority="732" operator="equal" aboveAverage="0" equalAverage="0" bottom="0" percent="0" rank="0" text="" dxfId="0">
      <formula>"KAYBETTİ"</formula>
    </cfRule>
  </conditionalFormatting>
  <conditionalFormatting sqref="G249">
    <cfRule type="cellIs" priority="733" operator="equal" aboveAverage="0" equalAverage="0" bottom="0" percent="0" rank="0" text="" dxfId="1">
      <formula>"EVET"</formula>
    </cfRule>
  </conditionalFormatting>
  <conditionalFormatting sqref="H250">
    <cfRule type="cellIs" priority="734" operator="equal" aboveAverage="0" equalAverage="0" bottom="0" percent="0" rank="0" text="" dxfId="2">
      <formula>"KAZANDI"</formula>
    </cfRule>
    <cfRule type="cellIs" priority="735" operator="equal" aboveAverage="0" equalAverage="0" bottom="0" percent="0" rank="0" text="" dxfId="0">
      <formula>"KAYBETTİ"</formula>
    </cfRule>
  </conditionalFormatting>
  <conditionalFormatting sqref="G250">
    <cfRule type="cellIs" priority="736" operator="equal" aboveAverage="0" equalAverage="0" bottom="0" percent="0" rank="0" text="" dxfId="1">
      <formula>"EVET"</formula>
    </cfRule>
  </conditionalFormatting>
  <conditionalFormatting sqref="H251">
    <cfRule type="cellIs" priority="737" operator="equal" aboveAverage="0" equalAverage="0" bottom="0" percent="0" rank="0" text="" dxfId="2">
      <formula>"KAZANDI"</formula>
    </cfRule>
    <cfRule type="cellIs" priority="738" operator="equal" aboveAverage="0" equalAverage="0" bottom="0" percent="0" rank="0" text="" dxfId="0">
      <formula>"KAYBETTİ"</formula>
    </cfRule>
  </conditionalFormatting>
  <conditionalFormatting sqref="G251">
    <cfRule type="cellIs" priority="739" operator="equal" aboveAverage="0" equalAverage="0" bottom="0" percent="0" rank="0" text="" dxfId="1">
      <formula>"EVET"</formula>
    </cfRule>
  </conditionalFormatting>
  <conditionalFormatting sqref="H252">
    <cfRule type="cellIs" priority="740" operator="equal" aboveAverage="0" equalAverage="0" bottom="0" percent="0" rank="0" text="" dxfId="2">
      <formula>"KAZANDI"</formula>
    </cfRule>
    <cfRule type="cellIs" priority="741" operator="equal" aboveAverage="0" equalAverage="0" bottom="0" percent="0" rank="0" text="" dxfId="0">
      <formula>"KAYBETTİ"</formula>
    </cfRule>
  </conditionalFormatting>
  <conditionalFormatting sqref="G252">
    <cfRule type="cellIs" priority="742" operator="equal" aboveAverage="0" equalAverage="0" bottom="0" percent="0" rank="0" text="" dxfId="1">
      <formula>"EVET"</formula>
    </cfRule>
  </conditionalFormatting>
  <conditionalFormatting sqref="H253">
    <cfRule type="cellIs" priority="743" operator="equal" aboveAverage="0" equalAverage="0" bottom="0" percent="0" rank="0" text="" dxfId="2">
      <formula>"KAZANDI"</formula>
    </cfRule>
    <cfRule type="cellIs" priority="744" operator="equal" aboveAverage="0" equalAverage="0" bottom="0" percent="0" rank="0" text="" dxfId="0">
      <formula>"KAYBETTİ"</formula>
    </cfRule>
  </conditionalFormatting>
  <conditionalFormatting sqref="G253">
    <cfRule type="cellIs" priority="745" operator="equal" aboveAverage="0" equalAverage="0" bottom="0" percent="0" rank="0" text="" dxfId="1">
      <formula>"EVET"</formula>
    </cfRule>
  </conditionalFormatting>
  <conditionalFormatting sqref="H254">
    <cfRule type="cellIs" priority="746" operator="equal" aboveAverage="0" equalAverage="0" bottom="0" percent="0" rank="0" text="" dxfId="2">
      <formula>"KAZANDI"</formula>
    </cfRule>
    <cfRule type="cellIs" priority="747" operator="equal" aboveAverage="0" equalAverage="0" bottom="0" percent="0" rank="0" text="" dxfId="0">
      <formula>"KAYBETTİ"</formula>
    </cfRule>
  </conditionalFormatting>
  <conditionalFormatting sqref="G254">
    <cfRule type="cellIs" priority="748" operator="equal" aboveAverage="0" equalAverage="0" bottom="0" percent="0" rank="0" text="" dxfId="1">
      <formula>"EVET"</formula>
    </cfRule>
  </conditionalFormatting>
  <conditionalFormatting sqref="H255">
    <cfRule type="cellIs" priority="749" operator="equal" aboveAverage="0" equalAverage="0" bottom="0" percent="0" rank="0" text="" dxfId="2">
      <formula>"KAZANDI"</formula>
    </cfRule>
    <cfRule type="cellIs" priority="750" operator="equal" aboveAverage="0" equalAverage="0" bottom="0" percent="0" rank="0" text="" dxfId="0">
      <formula>"KAYBETTİ"</formula>
    </cfRule>
  </conditionalFormatting>
  <conditionalFormatting sqref="G255">
    <cfRule type="cellIs" priority="751" operator="equal" aboveAverage="0" equalAverage="0" bottom="0" percent="0" rank="0" text="" dxfId="1">
      <formula>"EVET"</formula>
    </cfRule>
  </conditionalFormatting>
  <conditionalFormatting sqref="H256">
    <cfRule type="cellIs" priority="752" operator="equal" aboveAverage="0" equalAverage="0" bottom="0" percent="0" rank="0" text="" dxfId="2">
      <formula>"KAZANDI"</formula>
    </cfRule>
    <cfRule type="cellIs" priority="753" operator="equal" aboveAverage="0" equalAverage="0" bottom="0" percent="0" rank="0" text="" dxfId="0">
      <formula>"KAYBETTİ"</formula>
    </cfRule>
  </conditionalFormatting>
  <conditionalFormatting sqref="G256">
    <cfRule type="cellIs" priority="754" operator="equal" aboveAverage="0" equalAverage="0" bottom="0" percent="0" rank="0" text="" dxfId="1">
      <formula>"EVET"</formula>
    </cfRule>
  </conditionalFormatting>
  <conditionalFormatting sqref="H257">
    <cfRule type="cellIs" priority="755" operator="equal" aboveAverage="0" equalAverage="0" bottom="0" percent="0" rank="0" text="" dxfId="2">
      <formula>"KAZANDI"</formula>
    </cfRule>
    <cfRule type="cellIs" priority="756" operator="equal" aboveAverage="0" equalAverage="0" bottom="0" percent="0" rank="0" text="" dxfId="0">
      <formula>"KAYBETTİ"</formula>
    </cfRule>
  </conditionalFormatting>
  <conditionalFormatting sqref="G257">
    <cfRule type="cellIs" priority="757" operator="equal" aboveAverage="0" equalAverage="0" bottom="0" percent="0" rank="0" text="" dxfId="1">
      <formula>"EVET"</formula>
    </cfRule>
  </conditionalFormatting>
  <conditionalFormatting sqref="H258">
    <cfRule type="cellIs" priority="758" operator="equal" aboveAverage="0" equalAverage="0" bottom="0" percent="0" rank="0" text="" dxfId="2">
      <formula>"KAZANDI"</formula>
    </cfRule>
    <cfRule type="cellIs" priority="759" operator="equal" aboveAverage="0" equalAverage="0" bottom="0" percent="0" rank="0" text="" dxfId="0">
      <formula>"KAYBETTİ"</formula>
    </cfRule>
  </conditionalFormatting>
  <conditionalFormatting sqref="G258">
    <cfRule type="cellIs" priority="760" operator="equal" aboveAverage="0" equalAverage="0" bottom="0" percent="0" rank="0" text="" dxfId="1">
      <formula>"EVET"</formula>
    </cfRule>
  </conditionalFormatting>
  <conditionalFormatting sqref="H259">
    <cfRule type="cellIs" priority="761" operator="equal" aboveAverage="0" equalAverage="0" bottom="0" percent="0" rank="0" text="" dxfId="2">
      <formula>"KAZANDI"</formula>
    </cfRule>
    <cfRule type="cellIs" priority="762" operator="equal" aboveAverage="0" equalAverage="0" bottom="0" percent="0" rank="0" text="" dxfId="0">
      <formula>"KAYBETTİ"</formula>
    </cfRule>
  </conditionalFormatting>
  <conditionalFormatting sqref="G259">
    <cfRule type="cellIs" priority="763" operator="equal" aboveAverage="0" equalAverage="0" bottom="0" percent="0" rank="0" text="" dxfId="1">
      <formula>"EVET"</formula>
    </cfRule>
  </conditionalFormatting>
  <conditionalFormatting sqref="H260">
    <cfRule type="cellIs" priority="764" operator="equal" aboveAverage="0" equalAverage="0" bottom="0" percent="0" rank="0" text="" dxfId="2">
      <formula>"KAZANDI"</formula>
    </cfRule>
    <cfRule type="cellIs" priority="765" operator="equal" aboveAverage="0" equalAverage="0" bottom="0" percent="0" rank="0" text="" dxfId="0">
      <formula>"KAYBETTİ"</formula>
    </cfRule>
  </conditionalFormatting>
  <conditionalFormatting sqref="G260">
    <cfRule type="cellIs" priority="766" operator="equal" aboveAverage="0" equalAverage="0" bottom="0" percent="0" rank="0" text="" dxfId="1">
      <formula>"EVET"</formula>
    </cfRule>
  </conditionalFormatting>
  <conditionalFormatting sqref="H261">
    <cfRule type="cellIs" priority="767" operator="equal" aboveAverage="0" equalAverage="0" bottom="0" percent="0" rank="0" text="" dxfId="2">
      <formula>"KAZANDI"</formula>
    </cfRule>
    <cfRule type="cellIs" priority="768" operator="equal" aboveAverage="0" equalAverage="0" bottom="0" percent="0" rank="0" text="" dxfId="0">
      <formula>"KAYBETTİ"</formula>
    </cfRule>
  </conditionalFormatting>
  <conditionalFormatting sqref="G261">
    <cfRule type="cellIs" priority="769" operator="equal" aboveAverage="0" equalAverage="0" bottom="0" percent="0" rank="0" text="" dxfId="1">
      <formula>"EVET"</formula>
    </cfRule>
  </conditionalFormatting>
  <conditionalFormatting sqref="H262">
    <cfRule type="cellIs" priority="770" operator="equal" aboveAverage="0" equalAverage="0" bottom="0" percent="0" rank="0" text="" dxfId="2">
      <formula>"KAZANDI"</formula>
    </cfRule>
    <cfRule type="cellIs" priority="771" operator="equal" aboveAverage="0" equalAverage="0" bottom="0" percent="0" rank="0" text="" dxfId="0">
      <formula>"KAYBETTİ"</formula>
    </cfRule>
  </conditionalFormatting>
  <conditionalFormatting sqref="G262">
    <cfRule type="cellIs" priority="772" operator="equal" aboveAverage="0" equalAverage="0" bottom="0" percent="0" rank="0" text="" dxfId="1">
      <formula>"EVET"</formula>
    </cfRule>
  </conditionalFormatting>
  <conditionalFormatting sqref="H263">
    <cfRule type="cellIs" priority="773" operator="equal" aboveAverage="0" equalAverage="0" bottom="0" percent="0" rank="0" text="" dxfId="2">
      <formula>"KAZANDI"</formula>
    </cfRule>
    <cfRule type="cellIs" priority="774" operator="equal" aboveAverage="0" equalAverage="0" bottom="0" percent="0" rank="0" text="" dxfId="0">
      <formula>"KAYBETTİ"</formula>
    </cfRule>
  </conditionalFormatting>
  <conditionalFormatting sqref="G263">
    <cfRule type="cellIs" priority="775" operator="equal" aboveAverage="0" equalAverage="0" bottom="0" percent="0" rank="0" text="" dxfId="1">
      <formula>"EVET"</formula>
    </cfRule>
  </conditionalFormatting>
  <conditionalFormatting sqref="H264">
    <cfRule type="cellIs" priority="776" operator="equal" aboveAverage="0" equalAverage="0" bottom="0" percent="0" rank="0" text="" dxfId="2">
      <formula>"KAZANDI"</formula>
    </cfRule>
    <cfRule type="cellIs" priority="777" operator="equal" aboveAverage="0" equalAverage="0" bottom="0" percent="0" rank="0" text="" dxfId="0">
      <formula>"KAYBETTİ"</formula>
    </cfRule>
  </conditionalFormatting>
  <conditionalFormatting sqref="G264">
    <cfRule type="cellIs" priority="778" operator="equal" aboveAverage="0" equalAverage="0" bottom="0" percent="0" rank="0" text="" dxfId="1">
      <formula>"EVET"</formula>
    </cfRule>
  </conditionalFormatting>
  <conditionalFormatting sqref="H265">
    <cfRule type="cellIs" priority="779" operator="equal" aboveAverage="0" equalAverage="0" bottom="0" percent="0" rank="0" text="" dxfId="2">
      <formula>"KAZANDI"</formula>
    </cfRule>
    <cfRule type="cellIs" priority="780" operator="equal" aboveAverage="0" equalAverage="0" bottom="0" percent="0" rank="0" text="" dxfId="0">
      <formula>"KAYBETTİ"</formula>
    </cfRule>
  </conditionalFormatting>
  <conditionalFormatting sqref="G265">
    <cfRule type="cellIs" priority="781" operator="equal" aboveAverage="0" equalAverage="0" bottom="0" percent="0" rank="0" text="" dxfId="1">
      <formula>"EVET"</formula>
    </cfRule>
  </conditionalFormatting>
  <conditionalFormatting sqref="H266">
    <cfRule type="cellIs" priority="782" operator="equal" aboveAverage="0" equalAverage="0" bottom="0" percent="0" rank="0" text="" dxfId="2">
      <formula>"KAZANDI"</formula>
    </cfRule>
    <cfRule type="cellIs" priority="783" operator="equal" aboveAverage="0" equalAverage="0" bottom="0" percent="0" rank="0" text="" dxfId="0">
      <formula>"KAYBETTİ"</formula>
    </cfRule>
  </conditionalFormatting>
  <conditionalFormatting sqref="G266">
    <cfRule type="cellIs" priority="784" operator="equal" aboveAverage="0" equalAverage="0" bottom="0" percent="0" rank="0" text="" dxfId="1">
      <formula>"EVET"</formula>
    </cfRule>
  </conditionalFormatting>
  <conditionalFormatting sqref="H267">
    <cfRule type="cellIs" priority="785" operator="equal" aboveAverage="0" equalAverage="0" bottom="0" percent="0" rank="0" text="" dxfId="2">
      <formula>"KAZANDI"</formula>
    </cfRule>
    <cfRule type="cellIs" priority="786" operator="equal" aboveAverage="0" equalAverage="0" bottom="0" percent="0" rank="0" text="" dxfId="0">
      <formula>"KAYBETTİ"</formula>
    </cfRule>
  </conditionalFormatting>
  <conditionalFormatting sqref="G267">
    <cfRule type="cellIs" priority="787" operator="equal" aboveAverage="0" equalAverage="0" bottom="0" percent="0" rank="0" text="" dxfId="1">
      <formula>"EVET"</formula>
    </cfRule>
  </conditionalFormatting>
  <conditionalFormatting sqref="H268">
    <cfRule type="cellIs" priority="788" operator="equal" aboveAverage="0" equalAverage="0" bottom="0" percent="0" rank="0" text="" dxfId="2">
      <formula>"KAZANDI"</formula>
    </cfRule>
    <cfRule type="cellIs" priority="789" operator="equal" aboveAverage="0" equalAverage="0" bottom="0" percent="0" rank="0" text="" dxfId="0">
      <formula>"KAYBETTİ"</formula>
    </cfRule>
  </conditionalFormatting>
  <conditionalFormatting sqref="G268">
    <cfRule type="cellIs" priority="790" operator="equal" aboveAverage="0" equalAverage="0" bottom="0" percent="0" rank="0" text="" dxfId="1">
      <formula>"EVET"</formula>
    </cfRule>
  </conditionalFormatting>
  <conditionalFormatting sqref="H269">
    <cfRule type="cellIs" priority="791" operator="equal" aboveAverage="0" equalAverage="0" bottom="0" percent="0" rank="0" text="" dxfId="2">
      <formula>"KAZANDI"</formula>
    </cfRule>
    <cfRule type="cellIs" priority="792" operator="equal" aboveAverage="0" equalAverage="0" bottom="0" percent="0" rank="0" text="" dxfId="0">
      <formula>"KAYBETTİ"</formula>
    </cfRule>
  </conditionalFormatting>
  <conditionalFormatting sqref="G269">
    <cfRule type="cellIs" priority="793" operator="equal" aboveAverage="0" equalAverage="0" bottom="0" percent="0" rank="0" text="" dxfId="1">
      <formula>"EVET"</formula>
    </cfRule>
  </conditionalFormatting>
  <conditionalFormatting sqref="H270">
    <cfRule type="cellIs" priority="794" operator="equal" aboveAverage="0" equalAverage="0" bottom="0" percent="0" rank="0" text="" dxfId="2">
      <formula>"KAZANDI"</formula>
    </cfRule>
    <cfRule type="cellIs" priority="795" operator="equal" aboveAverage="0" equalAverage="0" bottom="0" percent="0" rank="0" text="" dxfId="0">
      <formula>"KAYBETTİ"</formula>
    </cfRule>
  </conditionalFormatting>
  <conditionalFormatting sqref="G270">
    <cfRule type="cellIs" priority="796" operator="equal" aboveAverage="0" equalAverage="0" bottom="0" percent="0" rank="0" text="" dxfId="1">
      <formula>"EVET"</formula>
    </cfRule>
  </conditionalFormatting>
  <conditionalFormatting sqref="H271">
    <cfRule type="cellIs" priority="797" operator="equal" aboveAverage="0" equalAverage="0" bottom="0" percent="0" rank="0" text="" dxfId="2">
      <formula>"KAZANDI"</formula>
    </cfRule>
    <cfRule type="cellIs" priority="798" operator="equal" aboveAverage="0" equalAverage="0" bottom="0" percent="0" rank="0" text="" dxfId="0">
      <formula>"KAYBETTİ"</formula>
    </cfRule>
  </conditionalFormatting>
  <conditionalFormatting sqref="G271">
    <cfRule type="cellIs" priority="799" operator="equal" aboveAverage="0" equalAverage="0" bottom="0" percent="0" rank="0" text="" dxfId="1">
      <formula>"EVET"</formula>
    </cfRule>
  </conditionalFormatting>
  <conditionalFormatting sqref="H272">
    <cfRule type="cellIs" priority="800" operator="equal" aboveAverage="0" equalAverage="0" bottom="0" percent="0" rank="0" text="" dxfId="2">
      <formula>"KAZANDI"</formula>
    </cfRule>
    <cfRule type="cellIs" priority="801" operator="equal" aboveAverage="0" equalAverage="0" bottom="0" percent="0" rank="0" text="" dxfId="0">
      <formula>"KAYBETTİ"</formula>
    </cfRule>
  </conditionalFormatting>
  <conditionalFormatting sqref="G272">
    <cfRule type="cellIs" priority="802" operator="equal" aboveAverage="0" equalAverage="0" bottom="0" percent="0" rank="0" text="" dxfId="1">
      <formula>"EVET"</formula>
    </cfRule>
  </conditionalFormatting>
  <conditionalFormatting sqref="H273">
    <cfRule type="cellIs" priority="803" operator="equal" aboveAverage="0" equalAverage="0" bottom="0" percent="0" rank="0" text="" dxfId="2">
      <formula>"KAZANDI"</formula>
    </cfRule>
    <cfRule type="cellIs" priority="804" operator="equal" aboveAverage="0" equalAverage="0" bottom="0" percent="0" rank="0" text="" dxfId="0">
      <formula>"KAYBETTİ"</formula>
    </cfRule>
  </conditionalFormatting>
  <conditionalFormatting sqref="G273">
    <cfRule type="cellIs" priority="805" operator="equal" aboveAverage="0" equalAverage="0" bottom="0" percent="0" rank="0" text="" dxfId="1">
      <formula>"EVET"</formula>
    </cfRule>
  </conditionalFormatting>
  <conditionalFormatting sqref="H274">
    <cfRule type="cellIs" priority="806" operator="equal" aboveAverage="0" equalAverage="0" bottom="0" percent="0" rank="0" text="" dxfId="2">
      <formula>"KAZANDI"</formula>
    </cfRule>
    <cfRule type="cellIs" priority="807" operator="equal" aboveAverage="0" equalAverage="0" bottom="0" percent="0" rank="0" text="" dxfId="0">
      <formula>"KAYBETTİ"</formula>
    </cfRule>
  </conditionalFormatting>
  <conditionalFormatting sqref="G274">
    <cfRule type="cellIs" priority="808" operator="equal" aboveAverage="0" equalAverage="0" bottom="0" percent="0" rank="0" text="" dxfId="1">
      <formula>"EVET"</formula>
    </cfRule>
  </conditionalFormatting>
  <conditionalFormatting sqref="H275">
    <cfRule type="cellIs" priority="809" operator="equal" aboveAverage="0" equalAverage="0" bottom="0" percent="0" rank="0" text="" dxfId="2">
      <formula>"KAZANDI"</formula>
    </cfRule>
    <cfRule type="cellIs" priority="810" operator="equal" aboveAverage="0" equalAverage="0" bottom="0" percent="0" rank="0" text="" dxfId="0">
      <formula>"KAYBETTİ"</formula>
    </cfRule>
  </conditionalFormatting>
  <conditionalFormatting sqref="G275">
    <cfRule type="cellIs" priority="811" operator="equal" aboveAverage="0" equalAverage="0" bottom="0" percent="0" rank="0" text="" dxfId="1">
      <formula>"EVET"</formula>
    </cfRule>
  </conditionalFormatting>
  <conditionalFormatting sqref="H276">
    <cfRule type="cellIs" priority="812" operator="equal" aboveAverage="0" equalAverage="0" bottom="0" percent="0" rank="0" text="" dxfId="2">
      <formula>"KAZANDI"</formula>
    </cfRule>
    <cfRule type="cellIs" priority="813" operator="equal" aboveAverage="0" equalAverage="0" bottom="0" percent="0" rank="0" text="" dxfId="0">
      <formula>"KAYBETTİ"</formula>
    </cfRule>
  </conditionalFormatting>
  <conditionalFormatting sqref="G276">
    <cfRule type="cellIs" priority="814" operator="equal" aboveAverage="0" equalAverage="0" bottom="0" percent="0" rank="0" text="" dxfId="1">
      <formula>"EVET"</formula>
    </cfRule>
  </conditionalFormatting>
  <conditionalFormatting sqref="H277">
    <cfRule type="cellIs" priority="815" operator="equal" aboveAverage="0" equalAverage="0" bottom="0" percent="0" rank="0" text="" dxfId="2">
      <formula>"KAZANDI"</formula>
    </cfRule>
    <cfRule type="cellIs" priority="816" operator="equal" aboveAverage="0" equalAverage="0" bottom="0" percent="0" rank="0" text="" dxfId="0">
      <formula>"KAYBETTİ"</formula>
    </cfRule>
  </conditionalFormatting>
  <conditionalFormatting sqref="G277">
    <cfRule type="cellIs" priority="817" operator="equal" aboveAverage="0" equalAverage="0" bottom="0" percent="0" rank="0" text="" dxfId="1">
      <formula>"EVET"</formula>
    </cfRule>
  </conditionalFormatting>
  <conditionalFormatting sqref="H278">
    <cfRule type="cellIs" priority="818" operator="equal" aboveAverage="0" equalAverage="0" bottom="0" percent="0" rank="0" text="" dxfId="2">
      <formula>"KAZANDI"</formula>
    </cfRule>
    <cfRule type="cellIs" priority="819" operator="equal" aboveAverage="0" equalAverage="0" bottom="0" percent="0" rank="0" text="" dxfId="0">
      <formula>"KAYBETTİ"</formula>
    </cfRule>
  </conditionalFormatting>
  <conditionalFormatting sqref="G278">
    <cfRule type="cellIs" priority="820" operator="equal" aboveAverage="0" equalAverage="0" bottom="0" percent="0" rank="0" text="" dxfId="1">
      <formula>"EVET"</formula>
    </cfRule>
  </conditionalFormatting>
  <conditionalFormatting sqref="H279">
    <cfRule type="cellIs" priority="821" operator="equal" aboveAverage="0" equalAverage="0" bottom="0" percent="0" rank="0" text="" dxfId="2">
      <formula>"KAZANDI"</formula>
    </cfRule>
    <cfRule type="cellIs" priority="822" operator="equal" aboveAverage="0" equalAverage="0" bottom="0" percent="0" rank="0" text="" dxfId="0">
      <formula>"KAYBETTİ"</formula>
    </cfRule>
  </conditionalFormatting>
  <conditionalFormatting sqref="G279">
    <cfRule type="cellIs" priority="823" operator="equal" aboveAverage="0" equalAverage="0" bottom="0" percent="0" rank="0" text="" dxfId="1">
      <formula>"EVET"</formula>
    </cfRule>
  </conditionalFormatting>
  <conditionalFormatting sqref="H280">
    <cfRule type="cellIs" priority="824" operator="equal" aboveAverage="0" equalAverage="0" bottom="0" percent="0" rank="0" text="" dxfId="2">
      <formula>"KAZANDI"</formula>
    </cfRule>
    <cfRule type="cellIs" priority="825" operator="equal" aboveAverage="0" equalAverage="0" bottom="0" percent="0" rank="0" text="" dxfId="0">
      <formula>"KAYBETTİ"</formula>
    </cfRule>
  </conditionalFormatting>
  <conditionalFormatting sqref="G280">
    <cfRule type="cellIs" priority="826" operator="equal" aboveAverage="0" equalAverage="0" bottom="0" percent="0" rank="0" text="" dxfId="1">
      <formula>"EVET"</formula>
    </cfRule>
  </conditionalFormatting>
  <conditionalFormatting sqref="H281">
    <cfRule type="cellIs" priority="827" operator="equal" aboveAverage="0" equalAverage="0" bottom="0" percent="0" rank="0" text="" dxfId="2">
      <formula>"KAZANDI"</formula>
    </cfRule>
    <cfRule type="cellIs" priority="828" operator="equal" aboveAverage="0" equalAverage="0" bottom="0" percent="0" rank="0" text="" dxfId="0">
      <formula>"KAYBETTİ"</formula>
    </cfRule>
  </conditionalFormatting>
  <conditionalFormatting sqref="G281">
    <cfRule type="cellIs" priority="829" operator="equal" aboveAverage="0" equalAverage="0" bottom="0" percent="0" rank="0" text="" dxfId="1">
      <formula>"EVET"</formula>
    </cfRule>
  </conditionalFormatting>
  <conditionalFormatting sqref="H282">
    <cfRule type="cellIs" priority="830" operator="equal" aboveAverage="0" equalAverage="0" bottom="0" percent="0" rank="0" text="" dxfId="2">
      <formula>"KAZANDI"</formula>
    </cfRule>
    <cfRule type="cellIs" priority="831" operator="equal" aboveAverage="0" equalAverage="0" bottom="0" percent="0" rank="0" text="" dxfId="0">
      <formula>"KAYBETTİ"</formula>
    </cfRule>
  </conditionalFormatting>
  <conditionalFormatting sqref="G282">
    <cfRule type="cellIs" priority="832" operator="equal" aboveAverage="0" equalAverage="0" bottom="0" percent="0" rank="0" text="" dxfId="1">
      <formula>"EVET"</formula>
    </cfRule>
  </conditionalFormatting>
  <conditionalFormatting sqref="H283">
    <cfRule type="cellIs" priority="833" operator="equal" aboveAverage="0" equalAverage="0" bottom="0" percent="0" rank="0" text="" dxfId="2">
      <formula>"KAZANDI"</formula>
    </cfRule>
    <cfRule type="cellIs" priority="834" operator="equal" aboveAverage="0" equalAverage="0" bottom="0" percent="0" rank="0" text="" dxfId="0">
      <formula>"KAYBETTİ"</formula>
    </cfRule>
  </conditionalFormatting>
  <conditionalFormatting sqref="G283">
    <cfRule type="cellIs" priority="835" operator="equal" aboveAverage="0" equalAverage="0" bottom="0" percent="0" rank="0" text="" dxfId="1">
      <formula>"EVET"</formula>
    </cfRule>
  </conditionalFormatting>
  <conditionalFormatting sqref="H284">
    <cfRule type="cellIs" priority="836" operator="equal" aboveAverage="0" equalAverage="0" bottom="0" percent="0" rank="0" text="" dxfId="2">
      <formula>"KAZANDI"</formula>
    </cfRule>
    <cfRule type="cellIs" priority="837" operator="equal" aboveAverage="0" equalAverage="0" bottom="0" percent="0" rank="0" text="" dxfId="0">
      <formula>"KAYBETTİ"</formula>
    </cfRule>
  </conditionalFormatting>
  <conditionalFormatting sqref="G284">
    <cfRule type="cellIs" priority="838" operator="equal" aboveAverage="0" equalAverage="0" bottom="0" percent="0" rank="0" text="" dxfId="1">
      <formula>"EVET"</formula>
    </cfRule>
  </conditionalFormatting>
  <conditionalFormatting sqref="H285">
    <cfRule type="cellIs" priority="839" operator="equal" aboveAverage="0" equalAverage="0" bottom="0" percent="0" rank="0" text="" dxfId="2">
      <formula>"KAZANDI"</formula>
    </cfRule>
    <cfRule type="cellIs" priority="840" operator="equal" aboveAverage="0" equalAverage="0" bottom="0" percent="0" rank="0" text="" dxfId="0">
      <formula>"KAYBETTİ"</formula>
    </cfRule>
  </conditionalFormatting>
  <conditionalFormatting sqref="G285">
    <cfRule type="cellIs" priority="841" operator="equal" aboveAverage="0" equalAverage="0" bottom="0" percent="0" rank="0" text="" dxfId="1">
      <formula>"EVET"</formula>
    </cfRule>
  </conditionalFormatting>
  <conditionalFormatting sqref="H286">
    <cfRule type="cellIs" priority="842" operator="equal" aboveAverage="0" equalAverage="0" bottom="0" percent="0" rank="0" text="" dxfId="2">
      <formula>"KAZANDI"</formula>
    </cfRule>
    <cfRule type="cellIs" priority="843" operator="equal" aboveAverage="0" equalAverage="0" bottom="0" percent="0" rank="0" text="" dxfId="0">
      <formula>"KAYBETTİ"</formula>
    </cfRule>
  </conditionalFormatting>
  <conditionalFormatting sqref="G286">
    <cfRule type="cellIs" priority="844" operator="equal" aboveAverage="0" equalAverage="0" bottom="0" percent="0" rank="0" text="" dxfId="1">
      <formula>"EVET"</formula>
    </cfRule>
  </conditionalFormatting>
  <conditionalFormatting sqref="H287">
    <cfRule type="cellIs" priority="845" operator="equal" aboveAverage="0" equalAverage="0" bottom="0" percent="0" rank="0" text="" dxfId="2">
      <formula>"KAZANDI"</formula>
    </cfRule>
    <cfRule type="cellIs" priority="846" operator="equal" aboveAverage="0" equalAverage="0" bottom="0" percent="0" rank="0" text="" dxfId="0">
      <formula>"KAYBETTİ"</formula>
    </cfRule>
  </conditionalFormatting>
  <conditionalFormatting sqref="G287">
    <cfRule type="cellIs" priority="847" operator="equal" aboveAverage="0" equalAverage="0" bottom="0" percent="0" rank="0" text="" dxfId="1">
      <formula>"EVET"</formula>
    </cfRule>
  </conditionalFormatting>
  <conditionalFormatting sqref="H288">
    <cfRule type="cellIs" priority="848" operator="equal" aboveAverage="0" equalAverage="0" bottom="0" percent="0" rank="0" text="" dxfId="2">
      <formula>"KAZANDI"</formula>
    </cfRule>
    <cfRule type="cellIs" priority="849" operator="equal" aboveAverage="0" equalAverage="0" bottom="0" percent="0" rank="0" text="" dxfId="0">
      <formula>"KAYBETTİ"</formula>
    </cfRule>
  </conditionalFormatting>
  <conditionalFormatting sqref="G288">
    <cfRule type="cellIs" priority="850" operator="equal" aboveAverage="0" equalAverage="0" bottom="0" percent="0" rank="0" text="" dxfId="1">
      <formula>"EVET"</formula>
    </cfRule>
  </conditionalFormatting>
  <conditionalFormatting sqref="H289">
    <cfRule type="cellIs" priority="851" operator="equal" aboveAverage="0" equalAverage="0" bottom="0" percent="0" rank="0" text="" dxfId="2">
      <formula>"KAZANDI"</formula>
    </cfRule>
    <cfRule type="cellIs" priority="852" operator="equal" aboveAverage="0" equalAverage="0" bottom="0" percent="0" rank="0" text="" dxfId="0">
      <formula>"KAYBETTİ"</formula>
    </cfRule>
  </conditionalFormatting>
  <conditionalFormatting sqref="G289">
    <cfRule type="cellIs" priority="853" operator="equal" aboveAverage="0" equalAverage="0" bottom="0" percent="0" rank="0" text="" dxfId="1">
      <formula>"EVET"</formula>
    </cfRule>
  </conditionalFormatting>
  <conditionalFormatting sqref="H290">
    <cfRule type="cellIs" priority="854" operator="equal" aboveAverage="0" equalAverage="0" bottom="0" percent="0" rank="0" text="" dxfId="2">
      <formula>"KAZANDI"</formula>
    </cfRule>
    <cfRule type="cellIs" priority="855" operator="equal" aboveAverage="0" equalAverage="0" bottom="0" percent="0" rank="0" text="" dxfId="0">
      <formula>"KAYBETTİ"</formula>
    </cfRule>
  </conditionalFormatting>
  <conditionalFormatting sqref="G290">
    <cfRule type="cellIs" priority="856" operator="equal" aboveAverage="0" equalAverage="0" bottom="0" percent="0" rank="0" text="" dxfId="1">
      <formula>"EVET"</formula>
    </cfRule>
  </conditionalFormatting>
  <conditionalFormatting sqref="H291">
    <cfRule type="cellIs" priority="857" operator="equal" aboveAverage="0" equalAverage="0" bottom="0" percent="0" rank="0" text="" dxfId="2">
      <formula>"KAZANDI"</formula>
    </cfRule>
    <cfRule type="cellIs" priority="858" operator="equal" aboveAverage="0" equalAverage="0" bottom="0" percent="0" rank="0" text="" dxfId="0">
      <formula>"KAYBETTİ"</formula>
    </cfRule>
  </conditionalFormatting>
  <conditionalFormatting sqref="G291">
    <cfRule type="cellIs" priority="859" operator="equal" aboveAverage="0" equalAverage="0" bottom="0" percent="0" rank="0" text="" dxfId="1">
      <formula>"EVET"</formula>
    </cfRule>
  </conditionalFormatting>
  <conditionalFormatting sqref="H292">
    <cfRule type="cellIs" priority="860" operator="equal" aboveAverage="0" equalAverage="0" bottom="0" percent="0" rank="0" text="" dxfId="2">
      <formula>"KAZANDI"</formula>
    </cfRule>
    <cfRule type="cellIs" priority="861" operator="equal" aboveAverage="0" equalAverage="0" bottom="0" percent="0" rank="0" text="" dxfId="0">
      <formula>"KAYBETTİ"</formula>
    </cfRule>
  </conditionalFormatting>
  <conditionalFormatting sqref="G292">
    <cfRule type="cellIs" priority="862" operator="equal" aboveAverage="0" equalAverage="0" bottom="0" percent="0" rank="0" text="" dxfId="1">
      <formula>"EVET"</formula>
    </cfRule>
  </conditionalFormatting>
  <conditionalFormatting sqref="H293">
    <cfRule type="cellIs" priority="863" operator="equal" aboveAverage="0" equalAverage="0" bottom="0" percent="0" rank="0" text="" dxfId="2">
      <formula>"KAZANDI"</formula>
    </cfRule>
    <cfRule type="cellIs" priority="864" operator="equal" aboveAverage="0" equalAverage="0" bottom="0" percent="0" rank="0" text="" dxfId="0">
      <formula>"KAYBETTİ"</formula>
    </cfRule>
  </conditionalFormatting>
  <conditionalFormatting sqref="G293">
    <cfRule type="cellIs" priority="865" operator="equal" aboveAverage="0" equalAverage="0" bottom="0" percent="0" rank="0" text="" dxfId="1">
      <formula>"EVET"</formula>
    </cfRule>
  </conditionalFormatting>
  <conditionalFormatting sqref="H294">
    <cfRule type="cellIs" priority="866" operator="equal" aboveAverage="0" equalAverage="0" bottom="0" percent="0" rank="0" text="" dxfId="2">
      <formula>"KAZANDI"</formula>
    </cfRule>
    <cfRule type="cellIs" priority="867" operator="equal" aboveAverage="0" equalAverage="0" bottom="0" percent="0" rank="0" text="" dxfId="0">
      <formula>"KAYBETTİ"</formula>
    </cfRule>
  </conditionalFormatting>
  <conditionalFormatting sqref="G294">
    <cfRule type="cellIs" priority="868" operator="equal" aboveAverage="0" equalAverage="0" bottom="0" percent="0" rank="0" text="" dxfId="1">
      <formula>"EVET"</formula>
    </cfRule>
  </conditionalFormatting>
  <conditionalFormatting sqref="H295">
    <cfRule type="cellIs" priority="869" operator="equal" aboveAverage="0" equalAverage="0" bottom="0" percent="0" rank="0" text="" dxfId="2">
      <formula>"KAZANDI"</formula>
    </cfRule>
    <cfRule type="cellIs" priority="870" operator="equal" aboveAverage="0" equalAverage="0" bottom="0" percent="0" rank="0" text="" dxfId="0">
      <formula>"KAYBETTİ"</formula>
    </cfRule>
  </conditionalFormatting>
  <conditionalFormatting sqref="G295">
    <cfRule type="cellIs" priority="871" operator="equal" aboveAverage="0" equalAverage="0" bottom="0" percent="0" rank="0" text="" dxfId="1">
      <formula>"EVET"</formula>
    </cfRule>
  </conditionalFormatting>
  <conditionalFormatting sqref="H296">
    <cfRule type="cellIs" priority="872" operator="equal" aboveAverage="0" equalAverage="0" bottom="0" percent="0" rank="0" text="" dxfId="2">
      <formula>"KAZANDI"</formula>
    </cfRule>
    <cfRule type="cellIs" priority="873" operator="equal" aboveAverage="0" equalAverage="0" bottom="0" percent="0" rank="0" text="" dxfId="0">
      <formula>"KAYBETTİ"</formula>
    </cfRule>
  </conditionalFormatting>
  <conditionalFormatting sqref="G296">
    <cfRule type="cellIs" priority="874" operator="equal" aboveAverage="0" equalAverage="0" bottom="0" percent="0" rank="0" text="" dxfId="1">
      <formula>"EVET"</formula>
    </cfRule>
  </conditionalFormatting>
  <conditionalFormatting sqref="H297">
    <cfRule type="cellIs" priority="875" operator="equal" aboveAverage="0" equalAverage="0" bottom="0" percent="0" rank="0" text="" dxfId="2">
      <formula>"KAZANDI"</formula>
    </cfRule>
    <cfRule type="cellIs" priority="876" operator="equal" aboveAverage="0" equalAverage="0" bottom="0" percent="0" rank="0" text="" dxfId="0">
      <formula>"KAYBETTİ"</formula>
    </cfRule>
  </conditionalFormatting>
  <conditionalFormatting sqref="G297">
    <cfRule type="cellIs" priority="877" operator="equal" aboveAverage="0" equalAverage="0" bottom="0" percent="0" rank="0" text="" dxfId="1">
      <formula>"EVET"</formula>
    </cfRule>
  </conditionalFormatting>
  <conditionalFormatting sqref="H298">
    <cfRule type="cellIs" priority="878" operator="equal" aboveAverage="0" equalAverage="0" bottom="0" percent="0" rank="0" text="" dxfId="2">
      <formula>"KAZANDI"</formula>
    </cfRule>
    <cfRule type="cellIs" priority="879" operator="equal" aboveAverage="0" equalAverage="0" bottom="0" percent="0" rank="0" text="" dxfId="0">
      <formula>"KAYBETTİ"</formula>
    </cfRule>
  </conditionalFormatting>
  <conditionalFormatting sqref="G298">
    <cfRule type="cellIs" priority="880" operator="equal" aboveAverage="0" equalAverage="0" bottom="0" percent="0" rank="0" text="" dxfId="1">
      <formula>"EVET"</formula>
    </cfRule>
  </conditionalFormatting>
  <conditionalFormatting sqref="H299">
    <cfRule type="cellIs" priority="881" operator="equal" aboveAverage="0" equalAverage="0" bottom="0" percent="0" rank="0" text="" dxfId="2">
      <formula>"KAZANDI"</formula>
    </cfRule>
    <cfRule type="cellIs" priority="882" operator="equal" aboveAverage="0" equalAverage="0" bottom="0" percent="0" rank="0" text="" dxfId="0">
      <formula>"KAYBETTİ"</formula>
    </cfRule>
  </conditionalFormatting>
  <conditionalFormatting sqref="G299">
    <cfRule type="cellIs" priority="883" operator="equal" aboveAverage="0" equalAverage="0" bottom="0" percent="0" rank="0" text="" dxfId="1">
      <formula>"EVET"</formula>
    </cfRule>
  </conditionalFormatting>
  <conditionalFormatting sqref="H300">
    <cfRule type="cellIs" priority="884" operator="equal" aboveAverage="0" equalAverage="0" bottom="0" percent="0" rank="0" text="" dxfId="2">
      <formula>"KAZANDI"</formula>
    </cfRule>
    <cfRule type="cellIs" priority="885" operator="equal" aboveAverage="0" equalAverage="0" bottom="0" percent="0" rank="0" text="" dxfId="0">
      <formula>"KAYBETTİ"</formula>
    </cfRule>
  </conditionalFormatting>
  <conditionalFormatting sqref="G300">
    <cfRule type="cellIs" priority="886" operator="equal" aboveAverage="0" equalAverage="0" bottom="0" percent="0" rank="0" text="" dxfId="1">
      <formula>"EVET"</formula>
    </cfRule>
  </conditionalFormatting>
  <conditionalFormatting sqref="H301">
    <cfRule type="cellIs" priority="887" operator="equal" aboveAverage="0" equalAverage="0" bottom="0" percent="0" rank="0" text="" dxfId="2">
      <formula>"KAZANDI"</formula>
    </cfRule>
    <cfRule type="cellIs" priority="888" operator="equal" aboveAverage="0" equalAverage="0" bottom="0" percent="0" rank="0" text="" dxfId="0">
      <formula>"KAYBETTİ"</formula>
    </cfRule>
  </conditionalFormatting>
  <conditionalFormatting sqref="G301">
    <cfRule type="cellIs" priority="889" operator="equal" aboveAverage="0" equalAverage="0" bottom="0" percent="0" rank="0" text="" dxfId="1">
      <formula>"EVET"</formula>
    </cfRule>
  </conditionalFormatting>
  <conditionalFormatting sqref="H302">
    <cfRule type="cellIs" priority="890" operator="equal" aboveAverage="0" equalAverage="0" bottom="0" percent="0" rank="0" text="" dxfId="2">
      <formula>"KAZANDI"</formula>
    </cfRule>
    <cfRule type="cellIs" priority="891" operator="equal" aboveAverage="0" equalAverage="0" bottom="0" percent="0" rank="0" text="" dxfId="0">
      <formula>"KAYBETTİ"</formula>
    </cfRule>
  </conditionalFormatting>
  <conditionalFormatting sqref="G302">
    <cfRule type="cellIs" priority="892" operator="equal" aboveAverage="0" equalAverage="0" bottom="0" percent="0" rank="0" text="" dxfId="1">
      <formula>"EVET"</formula>
    </cfRule>
  </conditionalFormatting>
  <conditionalFormatting sqref="H303">
    <cfRule type="cellIs" priority="893" operator="equal" aboveAverage="0" equalAverage="0" bottom="0" percent="0" rank="0" text="" dxfId="2">
      <formula>"KAZANDI"</formula>
    </cfRule>
    <cfRule type="cellIs" priority="894" operator="equal" aboveAverage="0" equalAverage="0" bottom="0" percent="0" rank="0" text="" dxfId="0">
      <formula>"KAYBETTİ"</formula>
    </cfRule>
  </conditionalFormatting>
  <conditionalFormatting sqref="G303">
    <cfRule type="cellIs" priority="895" operator="equal" aboveAverage="0" equalAverage="0" bottom="0" percent="0" rank="0" text="" dxfId="1">
      <formula>"EVET"</formula>
    </cfRule>
  </conditionalFormatting>
  <conditionalFormatting sqref="H304">
    <cfRule type="cellIs" priority="896" operator="equal" aboveAverage="0" equalAverage="0" bottom="0" percent="0" rank="0" text="" dxfId="2">
      <formula>"KAZANDI"</formula>
    </cfRule>
    <cfRule type="cellIs" priority="897" operator="equal" aboveAverage="0" equalAverage="0" bottom="0" percent="0" rank="0" text="" dxfId="0">
      <formula>"KAYBETTİ"</formula>
    </cfRule>
  </conditionalFormatting>
  <conditionalFormatting sqref="G304">
    <cfRule type="cellIs" priority="898" operator="equal" aboveAverage="0" equalAverage="0" bottom="0" percent="0" rank="0" text="" dxfId="1">
      <formula>"EVET"</formula>
    </cfRule>
  </conditionalFormatting>
  <conditionalFormatting sqref="H305">
    <cfRule type="cellIs" priority="899" operator="equal" aboveAverage="0" equalAverage="0" bottom="0" percent="0" rank="0" text="" dxfId="2">
      <formula>"KAZANDI"</formula>
    </cfRule>
    <cfRule type="cellIs" priority="900" operator="equal" aboveAverage="0" equalAverage="0" bottom="0" percent="0" rank="0" text="" dxfId="0">
      <formula>"KAYBETTİ"</formula>
    </cfRule>
  </conditionalFormatting>
  <conditionalFormatting sqref="G305">
    <cfRule type="cellIs" priority="901" operator="equal" aboveAverage="0" equalAverage="0" bottom="0" percent="0" rank="0" text="" dxfId="1">
      <formula>"EVET"</formula>
    </cfRule>
  </conditionalFormatting>
  <conditionalFormatting sqref="H306">
    <cfRule type="cellIs" priority="902" operator="equal" aboveAverage="0" equalAverage="0" bottom="0" percent="0" rank="0" text="" dxfId="2">
      <formula>"KAZANDI"</formula>
    </cfRule>
    <cfRule type="cellIs" priority="903" operator="equal" aboveAverage="0" equalAverage="0" bottom="0" percent="0" rank="0" text="" dxfId="0">
      <formula>"KAYBETTİ"</formula>
    </cfRule>
  </conditionalFormatting>
  <conditionalFormatting sqref="G306">
    <cfRule type="cellIs" priority="904" operator="equal" aboveAverage="0" equalAverage="0" bottom="0" percent="0" rank="0" text="" dxfId="1">
      <formula>"EVET"</formula>
    </cfRule>
  </conditionalFormatting>
  <conditionalFormatting sqref="H307">
    <cfRule type="cellIs" priority="905" operator="equal" aboveAverage="0" equalAverage="0" bottom="0" percent="0" rank="0" text="" dxfId="2">
      <formula>"KAZANDI"</formula>
    </cfRule>
    <cfRule type="cellIs" priority="906" operator="equal" aboveAverage="0" equalAverage="0" bottom="0" percent="0" rank="0" text="" dxfId="0">
      <formula>"KAYBETTİ"</formula>
    </cfRule>
  </conditionalFormatting>
  <conditionalFormatting sqref="G307">
    <cfRule type="cellIs" priority="907" operator="equal" aboveAverage="0" equalAverage="0" bottom="0" percent="0" rank="0" text="" dxfId="1">
      <formula>"EVET"</formula>
    </cfRule>
  </conditionalFormatting>
  <conditionalFormatting sqref="H308">
    <cfRule type="cellIs" priority="908" operator="equal" aboveAverage="0" equalAverage="0" bottom="0" percent="0" rank="0" text="" dxfId="2">
      <formula>"KAZANDI"</formula>
    </cfRule>
    <cfRule type="cellIs" priority="909" operator="equal" aboveAverage="0" equalAverage="0" bottom="0" percent="0" rank="0" text="" dxfId="0">
      <formula>"KAYBETTİ"</formula>
    </cfRule>
  </conditionalFormatting>
  <conditionalFormatting sqref="G308">
    <cfRule type="cellIs" priority="910" operator="equal" aboveAverage="0" equalAverage="0" bottom="0" percent="0" rank="0" text="" dxfId="1">
      <formula>"EVET"</formula>
    </cfRule>
  </conditionalFormatting>
  <conditionalFormatting sqref="H309">
    <cfRule type="cellIs" priority="911" operator="equal" aboveAverage="0" equalAverage="0" bottom="0" percent="0" rank="0" text="" dxfId="2">
      <formula>"KAZANDI"</formula>
    </cfRule>
    <cfRule type="cellIs" priority="912" operator="equal" aboveAverage="0" equalAverage="0" bottom="0" percent="0" rank="0" text="" dxfId="0">
      <formula>"KAYBETTİ"</formula>
    </cfRule>
  </conditionalFormatting>
  <conditionalFormatting sqref="G309">
    <cfRule type="cellIs" priority="913" operator="equal" aboveAverage="0" equalAverage="0" bottom="0" percent="0" rank="0" text="" dxfId="1">
      <formula>"EVET"</formula>
    </cfRule>
  </conditionalFormatting>
  <conditionalFormatting sqref="H310">
    <cfRule type="cellIs" priority="914" operator="equal" aboveAverage="0" equalAverage="0" bottom="0" percent="0" rank="0" text="" dxfId="2">
      <formula>"KAZANDI"</formula>
    </cfRule>
    <cfRule type="cellIs" priority="915" operator="equal" aboveAverage="0" equalAverage="0" bottom="0" percent="0" rank="0" text="" dxfId="0">
      <formula>"KAYBETTİ"</formula>
    </cfRule>
  </conditionalFormatting>
  <conditionalFormatting sqref="G310">
    <cfRule type="cellIs" priority="916" operator="equal" aboveAverage="0" equalAverage="0" bottom="0" percent="0" rank="0" text="" dxfId="1">
      <formula>"EVET"</formula>
    </cfRule>
  </conditionalFormatting>
  <conditionalFormatting sqref="H311">
    <cfRule type="cellIs" priority="917" operator="equal" aboveAverage="0" equalAverage="0" bottom="0" percent="0" rank="0" text="" dxfId="2">
      <formula>"KAZANDI"</formula>
    </cfRule>
    <cfRule type="cellIs" priority="918" operator="equal" aboveAverage="0" equalAverage="0" bottom="0" percent="0" rank="0" text="" dxfId="0">
      <formula>"KAYBETTİ"</formula>
    </cfRule>
  </conditionalFormatting>
  <conditionalFormatting sqref="G311">
    <cfRule type="cellIs" priority="919" operator="equal" aboveAverage="0" equalAverage="0" bottom="0" percent="0" rank="0" text="" dxfId="1">
      <formula>"EVET"</formula>
    </cfRule>
  </conditionalFormatting>
  <conditionalFormatting sqref="H312">
    <cfRule type="cellIs" priority="920" operator="equal" aboveAverage="0" equalAverage="0" bottom="0" percent="0" rank="0" text="" dxfId="2">
      <formula>"KAZANDI"</formula>
    </cfRule>
    <cfRule type="cellIs" priority="921" operator="equal" aboveAverage="0" equalAverage="0" bottom="0" percent="0" rank="0" text="" dxfId="0">
      <formula>"KAYBETTİ"</formula>
    </cfRule>
  </conditionalFormatting>
  <conditionalFormatting sqref="G312">
    <cfRule type="cellIs" priority="922" operator="equal" aboveAverage="0" equalAverage="0" bottom="0" percent="0" rank="0" text="" dxfId="1">
      <formula>"EVET"</formula>
    </cfRule>
  </conditionalFormatting>
  <conditionalFormatting sqref="H313">
    <cfRule type="cellIs" priority="923" operator="equal" aboveAverage="0" equalAverage="0" bottom="0" percent="0" rank="0" text="" dxfId="2">
      <formula>"KAZANDI"</formula>
    </cfRule>
    <cfRule type="cellIs" priority="924" operator="equal" aboveAverage="0" equalAverage="0" bottom="0" percent="0" rank="0" text="" dxfId="0">
      <formula>"KAYBETTİ"</formula>
    </cfRule>
  </conditionalFormatting>
  <conditionalFormatting sqref="G313">
    <cfRule type="cellIs" priority="925" operator="equal" aboveAverage="0" equalAverage="0" bottom="0" percent="0" rank="0" text="" dxfId="1">
      <formula>"EVET"</formula>
    </cfRule>
  </conditionalFormatting>
  <conditionalFormatting sqref="H314">
    <cfRule type="cellIs" priority="926" operator="equal" aboveAverage="0" equalAverage="0" bottom="0" percent="0" rank="0" text="" dxfId="2">
      <formula>"KAZANDI"</formula>
    </cfRule>
    <cfRule type="cellIs" priority="927" operator="equal" aboveAverage="0" equalAverage="0" bottom="0" percent="0" rank="0" text="" dxfId="0">
      <formula>"KAYBETTİ"</formula>
    </cfRule>
  </conditionalFormatting>
  <conditionalFormatting sqref="G314">
    <cfRule type="cellIs" priority="928" operator="equal" aboveAverage="0" equalAverage="0" bottom="0" percent="0" rank="0" text="" dxfId="1">
      <formula>"EVET"</formula>
    </cfRule>
  </conditionalFormatting>
  <conditionalFormatting sqref="H315">
    <cfRule type="cellIs" priority="929" operator="equal" aboveAverage="0" equalAverage="0" bottom="0" percent="0" rank="0" text="" dxfId="2">
      <formula>"KAZANDI"</formula>
    </cfRule>
    <cfRule type="cellIs" priority="930" operator="equal" aboveAverage="0" equalAverage="0" bottom="0" percent="0" rank="0" text="" dxfId="0">
      <formula>"KAYBETTİ"</formula>
    </cfRule>
  </conditionalFormatting>
  <conditionalFormatting sqref="G315">
    <cfRule type="cellIs" priority="931" operator="equal" aboveAverage="0" equalAverage="0" bottom="0" percent="0" rank="0" text="" dxfId="1">
      <formula>"EVET"</formula>
    </cfRule>
  </conditionalFormatting>
  <conditionalFormatting sqref="H316">
    <cfRule type="cellIs" priority="932" operator="equal" aboveAverage="0" equalAverage="0" bottom="0" percent="0" rank="0" text="" dxfId="2">
      <formula>"KAZANDI"</formula>
    </cfRule>
    <cfRule type="cellIs" priority="933" operator="equal" aboveAverage="0" equalAverage="0" bottom="0" percent="0" rank="0" text="" dxfId="0">
      <formula>"KAYBETTİ"</formula>
    </cfRule>
  </conditionalFormatting>
  <conditionalFormatting sqref="G316">
    <cfRule type="cellIs" priority="934" operator="equal" aboveAverage="0" equalAverage="0" bottom="0" percent="0" rank="0" text="" dxfId="1">
      <formula>"EVET"</formula>
    </cfRule>
  </conditionalFormatting>
  <conditionalFormatting sqref="H317">
    <cfRule type="cellIs" priority="935" operator="equal" aboveAverage="0" equalAverage="0" bottom="0" percent="0" rank="0" text="" dxfId="2">
      <formula>"KAZANDI"</formula>
    </cfRule>
    <cfRule type="cellIs" priority="936" operator="equal" aboveAverage="0" equalAverage="0" bottom="0" percent="0" rank="0" text="" dxfId="0">
      <formula>"KAYBETTİ"</formula>
    </cfRule>
  </conditionalFormatting>
  <conditionalFormatting sqref="G317">
    <cfRule type="cellIs" priority="937" operator="equal" aboveAverage="0" equalAverage="0" bottom="0" percent="0" rank="0" text="" dxfId="1">
      <formula>"EVET"</formula>
    </cfRule>
  </conditionalFormatting>
  <conditionalFormatting sqref="H318">
    <cfRule type="cellIs" priority="938" operator="equal" aboveAverage="0" equalAverage="0" bottom="0" percent="0" rank="0" text="" dxfId="2">
      <formula>"KAZANDI"</formula>
    </cfRule>
    <cfRule type="cellIs" priority="939" operator="equal" aboveAverage="0" equalAverage="0" bottom="0" percent="0" rank="0" text="" dxfId="0">
      <formula>"KAYBETTİ"</formula>
    </cfRule>
  </conditionalFormatting>
  <conditionalFormatting sqref="G318">
    <cfRule type="cellIs" priority="940" operator="equal" aboveAverage="0" equalAverage="0" bottom="0" percent="0" rank="0" text="" dxfId="1">
      <formula>"EVET"</formula>
    </cfRule>
  </conditionalFormatting>
  <conditionalFormatting sqref="H319">
    <cfRule type="cellIs" priority="941" operator="equal" aboveAverage="0" equalAverage="0" bottom="0" percent="0" rank="0" text="" dxfId="2">
      <formula>"KAZANDI"</formula>
    </cfRule>
    <cfRule type="cellIs" priority="942" operator="equal" aboveAverage="0" equalAverage="0" bottom="0" percent="0" rank="0" text="" dxfId="0">
      <formula>"KAYBETTİ"</formula>
    </cfRule>
  </conditionalFormatting>
  <conditionalFormatting sqref="G319">
    <cfRule type="cellIs" priority="943" operator="equal" aboveAverage="0" equalAverage="0" bottom="0" percent="0" rank="0" text="" dxfId="1">
      <formula>"EVET"</formula>
    </cfRule>
  </conditionalFormatting>
  <conditionalFormatting sqref="H320">
    <cfRule type="cellIs" priority="944" operator="equal" aboveAverage="0" equalAverage="0" bottom="0" percent="0" rank="0" text="" dxfId="2">
      <formula>"KAZANDI"</formula>
    </cfRule>
    <cfRule type="cellIs" priority="945" operator="equal" aboveAverage="0" equalAverage="0" bottom="0" percent="0" rank="0" text="" dxfId="0">
      <formula>"KAYBETTİ"</formula>
    </cfRule>
  </conditionalFormatting>
  <conditionalFormatting sqref="G320">
    <cfRule type="cellIs" priority="946" operator="equal" aboveAverage="0" equalAverage="0" bottom="0" percent="0" rank="0" text="" dxfId="1">
      <formula>"EVET"</formula>
    </cfRule>
  </conditionalFormatting>
  <conditionalFormatting sqref="H321">
    <cfRule type="cellIs" priority="947" operator="equal" aboveAverage="0" equalAverage="0" bottom="0" percent="0" rank="0" text="" dxfId="2">
      <formula>"KAZANDI"</formula>
    </cfRule>
    <cfRule type="cellIs" priority="948" operator="equal" aboveAverage="0" equalAverage="0" bottom="0" percent="0" rank="0" text="" dxfId="0">
      <formula>"KAYBETTİ"</formula>
    </cfRule>
  </conditionalFormatting>
  <conditionalFormatting sqref="G321">
    <cfRule type="cellIs" priority="949" operator="equal" aboveAverage="0" equalAverage="0" bottom="0" percent="0" rank="0" text="" dxfId="1">
      <formula>"EVET"</formula>
    </cfRule>
  </conditionalFormatting>
  <conditionalFormatting sqref="H322">
    <cfRule type="cellIs" priority="950" operator="equal" aboveAverage="0" equalAverage="0" bottom="0" percent="0" rank="0" text="" dxfId="2">
      <formula>"KAZANDI"</formula>
    </cfRule>
    <cfRule type="cellIs" priority="951" operator="equal" aboveAverage="0" equalAverage="0" bottom="0" percent="0" rank="0" text="" dxfId="0">
      <formula>"KAYBETTİ"</formula>
    </cfRule>
  </conditionalFormatting>
  <conditionalFormatting sqref="G322">
    <cfRule type="cellIs" priority="952" operator="equal" aboveAverage="0" equalAverage="0" bottom="0" percent="0" rank="0" text="" dxfId="1">
      <formula>"EVET"</formula>
    </cfRule>
  </conditionalFormatting>
  <conditionalFormatting sqref="H323">
    <cfRule type="cellIs" priority="953" operator="equal" aboveAverage="0" equalAverage="0" bottom="0" percent="0" rank="0" text="" dxfId="2">
      <formula>"KAZANDI"</formula>
    </cfRule>
    <cfRule type="cellIs" priority="954" operator="equal" aboveAverage="0" equalAverage="0" bottom="0" percent="0" rank="0" text="" dxfId="0">
      <formula>"KAYBETTİ"</formula>
    </cfRule>
  </conditionalFormatting>
  <conditionalFormatting sqref="G323">
    <cfRule type="cellIs" priority="955" operator="equal" aboveAverage="0" equalAverage="0" bottom="0" percent="0" rank="0" text="" dxfId="1">
      <formula>"EVET"</formula>
    </cfRule>
  </conditionalFormatting>
  <conditionalFormatting sqref="H324">
    <cfRule type="cellIs" priority="956" operator="equal" aboveAverage="0" equalAverage="0" bottom="0" percent="0" rank="0" text="" dxfId="2">
      <formula>"KAZANDI"</formula>
    </cfRule>
    <cfRule type="cellIs" priority="957" operator="equal" aboveAverage="0" equalAverage="0" bottom="0" percent="0" rank="0" text="" dxfId="0">
      <formula>"KAYBETTİ"</formula>
    </cfRule>
  </conditionalFormatting>
  <conditionalFormatting sqref="G324">
    <cfRule type="cellIs" priority="958" operator="equal" aboveAverage="0" equalAverage="0" bottom="0" percent="0" rank="0" text="" dxfId="1">
      <formula>"EVET"</formula>
    </cfRule>
  </conditionalFormatting>
  <conditionalFormatting sqref="H325">
    <cfRule type="cellIs" priority="959" operator="equal" aboveAverage="0" equalAverage="0" bottom="0" percent="0" rank="0" text="" dxfId="2">
      <formula>"KAZANDI"</formula>
    </cfRule>
    <cfRule type="cellIs" priority="960" operator="equal" aboveAverage="0" equalAverage="0" bottom="0" percent="0" rank="0" text="" dxfId="0">
      <formula>"KAYBETTİ"</formula>
    </cfRule>
  </conditionalFormatting>
  <conditionalFormatting sqref="G325">
    <cfRule type="cellIs" priority="961" operator="equal" aboveAverage="0" equalAverage="0" bottom="0" percent="0" rank="0" text="" dxfId="1">
      <formula>"EVET"</formula>
    </cfRule>
  </conditionalFormatting>
  <conditionalFormatting sqref="H326">
    <cfRule type="cellIs" priority="962" operator="equal" aboveAverage="0" equalAverage="0" bottom="0" percent="0" rank="0" text="" dxfId="2">
      <formula>"KAZANDI"</formula>
    </cfRule>
    <cfRule type="cellIs" priority="963" operator="equal" aboveAverage="0" equalAverage="0" bottom="0" percent="0" rank="0" text="" dxfId="0">
      <formula>"KAYBETTİ"</formula>
    </cfRule>
  </conditionalFormatting>
  <conditionalFormatting sqref="G326">
    <cfRule type="cellIs" priority="964" operator="equal" aboveAverage="0" equalAverage="0" bottom="0" percent="0" rank="0" text="" dxfId="1">
      <formula>"EVET"</formula>
    </cfRule>
  </conditionalFormatting>
  <conditionalFormatting sqref="H327">
    <cfRule type="cellIs" priority="965" operator="equal" aboveAverage="0" equalAverage="0" bottom="0" percent="0" rank="0" text="" dxfId="2">
      <formula>"KAZANDI"</formula>
    </cfRule>
    <cfRule type="cellIs" priority="966" operator="equal" aboveAverage="0" equalAverage="0" bottom="0" percent="0" rank="0" text="" dxfId="0">
      <formula>"KAYBETTİ"</formula>
    </cfRule>
  </conditionalFormatting>
  <conditionalFormatting sqref="G327">
    <cfRule type="cellIs" priority="967" operator="equal" aboveAverage="0" equalAverage="0" bottom="0" percent="0" rank="0" text="" dxfId="1">
      <formula>"EVET"</formula>
    </cfRule>
  </conditionalFormatting>
  <conditionalFormatting sqref="H328">
    <cfRule type="cellIs" priority="968" operator="equal" aboveAverage="0" equalAverage="0" bottom="0" percent="0" rank="0" text="" dxfId="2">
      <formula>"KAZANDI"</formula>
    </cfRule>
    <cfRule type="cellIs" priority="969" operator="equal" aboveAverage="0" equalAverage="0" bottom="0" percent="0" rank="0" text="" dxfId="0">
      <formula>"KAYBETTİ"</formula>
    </cfRule>
  </conditionalFormatting>
  <conditionalFormatting sqref="G328">
    <cfRule type="cellIs" priority="970" operator="equal" aboveAverage="0" equalAverage="0" bottom="0" percent="0" rank="0" text="" dxfId="1">
      <formula>"EVET"</formula>
    </cfRule>
  </conditionalFormatting>
  <conditionalFormatting sqref="H329">
    <cfRule type="cellIs" priority="971" operator="equal" aboveAverage="0" equalAverage="0" bottom="0" percent="0" rank="0" text="" dxfId="2">
      <formula>"KAZANDI"</formula>
    </cfRule>
    <cfRule type="cellIs" priority="972" operator="equal" aboveAverage="0" equalAverage="0" bottom="0" percent="0" rank="0" text="" dxfId="0">
      <formula>"KAYBETTİ"</formula>
    </cfRule>
  </conditionalFormatting>
  <conditionalFormatting sqref="G329">
    <cfRule type="cellIs" priority="973" operator="equal" aboveAverage="0" equalAverage="0" bottom="0" percent="0" rank="0" text="" dxfId="1">
      <formula>"EVET"</formula>
    </cfRule>
  </conditionalFormatting>
  <conditionalFormatting sqref="H330">
    <cfRule type="cellIs" priority="974" operator="equal" aboveAverage="0" equalAverage="0" bottom="0" percent="0" rank="0" text="" dxfId="2">
      <formula>"KAZANDI"</formula>
    </cfRule>
    <cfRule type="cellIs" priority="975" operator="equal" aboveAverage="0" equalAverage="0" bottom="0" percent="0" rank="0" text="" dxfId="0">
      <formula>"KAYBETTİ"</formula>
    </cfRule>
  </conditionalFormatting>
  <conditionalFormatting sqref="G330">
    <cfRule type="cellIs" priority="976" operator="equal" aboveAverage="0" equalAverage="0" bottom="0" percent="0" rank="0" text="" dxfId="1">
      <formula>"EVET"</formula>
    </cfRule>
  </conditionalFormatting>
  <conditionalFormatting sqref="H331">
    <cfRule type="cellIs" priority="977" operator="equal" aboveAverage="0" equalAverage="0" bottom="0" percent="0" rank="0" text="" dxfId="2">
      <formula>"KAZANDI"</formula>
    </cfRule>
    <cfRule type="cellIs" priority="978" operator="equal" aboveAverage="0" equalAverage="0" bottom="0" percent="0" rank="0" text="" dxfId="0">
      <formula>"KAYBETTİ"</formula>
    </cfRule>
  </conditionalFormatting>
  <conditionalFormatting sqref="G331">
    <cfRule type="cellIs" priority="979" operator="equal" aboveAverage="0" equalAverage="0" bottom="0" percent="0" rank="0" text="" dxfId="1">
      <formula>"EVET"</formula>
    </cfRule>
  </conditionalFormatting>
  <conditionalFormatting sqref="H332">
    <cfRule type="cellIs" priority="980" operator="equal" aboveAverage="0" equalAverage="0" bottom="0" percent="0" rank="0" text="" dxfId="2">
      <formula>"KAZANDI"</formula>
    </cfRule>
    <cfRule type="cellIs" priority="981" operator="equal" aboveAverage="0" equalAverage="0" bottom="0" percent="0" rank="0" text="" dxfId="0">
      <formula>"KAYBETTİ"</formula>
    </cfRule>
  </conditionalFormatting>
  <conditionalFormatting sqref="G332">
    <cfRule type="cellIs" priority="982" operator="equal" aboveAverage="0" equalAverage="0" bottom="0" percent="0" rank="0" text="" dxfId="1">
      <formula>"EVET"</formula>
    </cfRule>
  </conditionalFormatting>
  <conditionalFormatting sqref="H333">
    <cfRule type="cellIs" priority="983" operator="equal" aboveAverage="0" equalAverage="0" bottom="0" percent="0" rank="0" text="" dxfId="2">
      <formula>"KAZANDI"</formula>
    </cfRule>
    <cfRule type="cellIs" priority="984" operator="equal" aboveAverage="0" equalAverage="0" bottom="0" percent="0" rank="0" text="" dxfId="0">
      <formula>"KAYBETTİ"</formula>
    </cfRule>
  </conditionalFormatting>
  <conditionalFormatting sqref="G333">
    <cfRule type="cellIs" priority="985" operator="equal" aboveAverage="0" equalAverage="0" bottom="0" percent="0" rank="0" text="" dxfId="1">
      <formula>"EVET"</formula>
    </cfRule>
  </conditionalFormatting>
  <conditionalFormatting sqref="H334">
    <cfRule type="cellIs" priority="986" operator="equal" aboveAverage="0" equalAverage="0" bottom="0" percent="0" rank="0" text="" dxfId="2">
      <formula>"KAZANDI"</formula>
    </cfRule>
    <cfRule type="cellIs" priority="987" operator="equal" aboveAverage="0" equalAverage="0" bottom="0" percent="0" rank="0" text="" dxfId="0">
      <formula>"KAYBETTİ"</formula>
    </cfRule>
  </conditionalFormatting>
  <conditionalFormatting sqref="G334">
    <cfRule type="cellIs" priority="988" operator="equal" aboveAverage="0" equalAverage="0" bottom="0" percent="0" rank="0" text="" dxfId="1">
      <formula>"EVET"</formula>
    </cfRule>
  </conditionalFormatting>
  <conditionalFormatting sqref="H335">
    <cfRule type="cellIs" priority="989" operator="equal" aboveAverage="0" equalAverage="0" bottom="0" percent="0" rank="0" text="" dxfId="2">
      <formula>"KAZANDI"</formula>
    </cfRule>
    <cfRule type="cellIs" priority="990" operator="equal" aboveAverage="0" equalAverage="0" bottom="0" percent="0" rank="0" text="" dxfId="0">
      <formula>"KAYBETTİ"</formula>
    </cfRule>
  </conditionalFormatting>
  <conditionalFormatting sqref="G335">
    <cfRule type="cellIs" priority="991" operator="equal" aboveAverage="0" equalAverage="0" bottom="0" percent="0" rank="0" text="" dxfId="1">
      <formula>"EVET"</formula>
    </cfRule>
  </conditionalFormatting>
  <conditionalFormatting sqref="H336">
    <cfRule type="cellIs" priority="992" operator="equal" aboveAverage="0" equalAverage="0" bottom="0" percent="0" rank="0" text="" dxfId="2">
      <formula>"KAZANDI"</formula>
    </cfRule>
    <cfRule type="cellIs" priority="993" operator="equal" aboveAverage="0" equalAverage="0" bottom="0" percent="0" rank="0" text="" dxfId="0">
      <formula>"KAYBETTİ"</formula>
    </cfRule>
  </conditionalFormatting>
  <conditionalFormatting sqref="G336">
    <cfRule type="cellIs" priority="994" operator="equal" aboveAverage="0" equalAverage="0" bottom="0" percent="0" rank="0" text="" dxfId="1">
      <formula>"EVET"</formula>
    </cfRule>
  </conditionalFormatting>
  <conditionalFormatting sqref="H337">
    <cfRule type="cellIs" priority="995" operator="equal" aboveAverage="0" equalAverage="0" bottom="0" percent="0" rank="0" text="" dxfId="2">
      <formula>"KAZANDI"</formula>
    </cfRule>
    <cfRule type="cellIs" priority="996" operator="equal" aboveAverage="0" equalAverage="0" bottom="0" percent="0" rank="0" text="" dxfId="0">
      <formula>"KAYBETTİ"</formula>
    </cfRule>
  </conditionalFormatting>
  <conditionalFormatting sqref="G337">
    <cfRule type="cellIs" priority="997" operator="equal" aboveAverage="0" equalAverage="0" bottom="0" percent="0" rank="0" text="" dxfId="1">
      <formula>"EVET"</formula>
    </cfRule>
  </conditionalFormatting>
  <conditionalFormatting sqref="H338">
    <cfRule type="cellIs" priority="998" operator="equal" aboveAverage="0" equalAverage="0" bottom="0" percent="0" rank="0" text="" dxfId="2">
      <formula>"KAZANDI"</formula>
    </cfRule>
    <cfRule type="cellIs" priority="999" operator="equal" aboveAverage="0" equalAverage="0" bottom="0" percent="0" rank="0" text="" dxfId="0">
      <formula>"KAYBETTİ"</formula>
    </cfRule>
  </conditionalFormatting>
  <conditionalFormatting sqref="G338">
    <cfRule type="cellIs" priority="1000" operator="equal" aboveAverage="0" equalAverage="0" bottom="0" percent="0" rank="0" text="" dxfId="1">
      <formula>"EVET"</formula>
    </cfRule>
  </conditionalFormatting>
  <conditionalFormatting sqref="H339">
    <cfRule type="cellIs" priority="1001" operator="equal" aboveAverage="0" equalAverage="0" bottom="0" percent="0" rank="0" text="" dxfId="2">
      <formula>"KAZANDI"</formula>
    </cfRule>
    <cfRule type="cellIs" priority="1002" operator="equal" aboveAverage="0" equalAverage="0" bottom="0" percent="0" rank="0" text="" dxfId="0">
      <formula>"KAYBETTİ"</formula>
    </cfRule>
  </conditionalFormatting>
  <conditionalFormatting sqref="G339">
    <cfRule type="cellIs" priority="1003" operator="equal" aboveAverage="0" equalAverage="0" bottom="0" percent="0" rank="0" text="" dxfId="1">
      <formula>"EVET"</formula>
    </cfRule>
  </conditionalFormatting>
  <conditionalFormatting sqref="H340">
    <cfRule type="cellIs" priority="1004" operator="equal" aboveAverage="0" equalAverage="0" bottom="0" percent="0" rank="0" text="" dxfId="2">
      <formula>"KAZANDI"</formula>
    </cfRule>
    <cfRule type="cellIs" priority="1005" operator="equal" aboveAverage="0" equalAverage="0" bottom="0" percent="0" rank="0" text="" dxfId="0">
      <formula>"KAYBETTİ"</formula>
    </cfRule>
  </conditionalFormatting>
  <conditionalFormatting sqref="G340">
    <cfRule type="cellIs" priority="1006" operator="equal" aboveAverage="0" equalAverage="0" bottom="0" percent="0" rank="0" text="" dxfId="1">
      <formula>"EVET"</formula>
    </cfRule>
  </conditionalFormatting>
  <conditionalFormatting sqref="H341">
    <cfRule type="cellIs" priority="1007" operator="equal" aboveAverage="0" equalAverage="0" bottom="0" percent="0" rank="0" text="" dxfId="2">
      <formula>"KAZANDI"</formula>
    </cfRule>
    <cfRule type="cellIs" priority="1008" operator="equal" aboveAverage="0" equalAverage="0" bottom="0" percent="0" rank="0" text="" dxfId="0">
      <formula>"KAYBETTİ"</formula>
    </cfRule>
  </conditionalFormatting>
  <conditionalFormatting sqref="G341">
    <cfRule type="cellIs" priority="1009" operator="equal" aboveAverage="0" equalAverage="0" bottom="0" percent="0" rank="0" text="" dxfId="1">
      <formula>"EVET"</formula>
    </cfRule>
  </conditionalFormatting>
  <conditionalFormatting sqref="H342">
    <cfRule type="cellIs" priority="1010" operator="equal" aboveAverage="0" equalAverage="0" bottom="0" percent="0" rank="0" text="" dxfId="2">
      <formula>"KAZANDI"</formula>
    </cfRule>
    <cfRule type="cellIs" priority="1011" operator="equal" aboveAverage="0" equalAverage="0" bottom="0" percent="0" rank="0" text="" dxfId="0">
      <formula>"KAYBETTİ"</formula>
    </cfRule>
  </conditionalFormatting>
  <conditionalFormatting sqref="G342">
    <cfRule type="cellIs" priority="1012" operator="equal" aboveAverage="0" equalAverage="0" bottom="0" percent="0" rank="0" text="" dxfId="1">
      <formula>"EVET"</formula>
    </cfRule>
  </conditionalFormatting>
  <conditionalFormatting sqref="H343">
    <cfRule type="cellIs" priority="1013" operator="equal" aboveAverage="0" equalAverage="0" bottom="0" percent="0" rank="0" text="" dxfId="2">
      <formula>"KAZANDI"</formula>
    </cfRule>
    <cfRule type="cellIs" priority="1014" operator="equal" aboveAverage="0" equalAverage="0" bottom="0" percent="0" rank="0" text="" dxfId="0">
      <formula>"KAYBETTİ"</formula>
    </cfRule>
  </conditionalFormatting>
  <conditionalFormatting sqref="G343">
    <cfRule type="cellIs" priority="1015" operator="equal" aboveAverage="0" equalAverage="0" bottom="0" percent="0" rank="0" text="" dxfId="1">
      <formula>"EVET"</formula>
    </cfRule>
  </conditionalFormatting>
  <conditionalFormatting sqref="H344">
    <cfRule type="cellIs" priority="1016" operator="equal" aboveAverage="0" equalAverage="0" bottom="0" percent="0" rank="0" text="" dxfId="2">
      <formula>"KAZANDI"</formula>
    </cfRule>
    <cfRule type="cellIs" priority="1017" operator="equal" aboveAverage="0" equalAverage="0" bottom="0" percent="0" rank="0" text="" dxfId="0">
      <formula>"KAYBETTİ"</formula>
    </cfRule>
  </conditionalFormatting>
  <conditionalFormatting sqref="G344">
    <cfRule type="cellIs" priority="1018" operator="equal" aboveAverage="0" equalAverage="0" bottom="0" percent="0" rank="0" text="" dxfId="1">
      <formula>"EVET"</formula>
    </cfRule>
  </conditionalFormatting>
  <conditionalFormatting sqref="H345">
    <cfRule type="cellIs" priority="1019" operator="equal" aboveAverage="0" equalAverage="0" bottom="0" percent="0" rank="0" text="" dxfId="2">
      <formula>"KAZANDI"</formula>
    </cfRule>
    <cfRule type="cellIs" priority="1020" operator="equal" aboveAverage="0" equalAverage="0" bottom="0" percent="0" rank="0" text="" dxfId="0">
      <formula>"KAYBETTİ"</formula>
    </cfRule>
  </conditionalFormatting>
  <conditionalFormatting sqref="G345">
    <cfRule type="cellIs" priority="1021" operator="equal" aboveAverage="0" equalAverage="0" bottom="0" percent="0" rank="0" text="" dxfId="1">
      <formula>"EVET"</formula>
    </cfRule>
  </conditionalFormatting>
  <conditionalFormatting sqref="H346">
    <cfRule type="cellIs" priority="1022" operator="equal" aboveAverage="0" equalAverage="0" bottom="0" percent="0" rank="0" text="" dxfId="2">
      <formula>"KAZANDI"</formula>
    </cfRule>
    <cfRule type="cellIs" priority="1023" operator="equal" aboveAverage="0" equalAverage="0" bottom="0" percent="0" rank="0" text="" dxfId="0">
      <formula>"KAYBETTİ"</formula>
    </cfRule>
  </conditionalFormatting>
  <conditionalFormatting sqref="G346">
    <cfRule type="cellIs" priority="1024" operator="equal" aboveAverage="0" equalAverage="0" bottom="0" percent="0" rank="0" text="" dxfId="1">
      <formula>"EVET"</formula>
    </cfRule>
  </conditionalFormatting>
  <conditionalFormatting sqref="H347">
    <cfRule type="cellIs" priority="1025" operator="equal" aboveAverage="0" equalAverage="0" bottom="0" percent="0" rank="0" text="" dxfId="2">
      <formula>"KAZANDI"</formula>
    </cfRule>
    <cfRule type="cellIs" priority="1026" operator="equal" aboveAverage="0" equalAverage="0" bottom="0" percent="0" rank="0" text="" dxfId="0">
      <formula>"KAYBETTİ"</formula>
    </cfRule>
  </conditionalFormatting>
  <conditionalFormatting sqref="G347">
    <cfRule type="cellIs" priority="1027" operator="equal" aboveAverage="0" equalAverage="0" bottom="0" percent="0" rank="0" text="" dxfId="1">
      <formula>"EVET"</formula>
    </cfRule>
  </conditionalFormatting>
  <conditionalFormatting sqref="H348">
    <cfRule type="cellIs" priority="1028" operator="equal" aboveAverage="0" equalAverage="0" bottom="0" percent="0" rank="0" text="" dxfId="2">
      <formula>"KAZANDI"</formula>
    </cfRule>
    <cfRule type="cellIs" priority="1029" operator="equal" aboveAverage="0" equalAverage="0" bottom="0" percent="0" rank="0" text="" dxfId="0">
      <formula>"KAYBETTİ"</formula>
    </cfRule>
  </conditionalFormatting>
  <conditionalFormatting sqref="G348">
    <cfRule type="cellIs" priority="1030" operator="equal" aboveAverage="0" equalAverage="0" bottom="0" percent="0" rank="0" text="" dxfId="1">
      <formula>"EVET"</formula>
    </cfRule>
  </conditionalFormatting>
  <conditionalFormatting sqref="H349">
    <cfRule type="cellIs" priority="1031" operator="equal" aboveAverage="0" equalAverage="0" bottom="0" percent="0" rank="0" text="" dxfId="2">
      <formula>"KAZANDI"</formula>
    </cfRule>
    <cfRule type="cellIs" priority="1032" operator="equal" aboveAverage="0" equalAverage="0" bottom="0" percent="0" rank="0" text="" dxfId="0">
      <formula>"KAYBETTİ"</formula>
    </cfRule>
  </conditionalFormatting>
  <conditionalFormatting sqref="G349">
    <cfRule type="cellIs" priority="1033" operator="equal" aboveAverage="0" equalAverage="0" bottom="0" percent="0" rank="0" text="" dxfId="1">
      <formula>"EVET"</formula>
    </cfRule>
  </conditionalFormatting>
  <conditionalFormatting sqref="H350">
    <cfRule type="cellIs" priority="1034" operator="equal" aboveAverage="0" equalAverage="0" bottom="0" percent="0" rank="0" text="" dxfId="2">
      <formula>"KAZANDI"</formula>
    </cfRule>
    <cfRule type="cellIs" priority="1035" operator="equal" aboveAverage="0" equalAverage="0" bottom="0" percent="0" rank="0" text="" dxfId="0">
      <formula>"KAYBETTİ"</formula>
    </cfRule>
  </conditionalFormatting>
  <conditionalFormatting sqref="G350">
    <cfRule type="cellIs" priority="1036" operator="equal" aboveAverage="0" equalAverage="0" bottom="0" percent="0" rank="0" text="" dxfId="1">
      <formula>"EVET"</formula>
    </cfRule>
  </conditionalFormatting>
  <conditionalFormatting sqref="H351">
    <cfRule type="cellIs" priority="1037" operator="equal" aboveAverage="0" equalAverage="0" bottom="0" percent="0" rank="0" text="" dxfId="2">
      <formula>"KAZANDI"</formula>
    </cfRule>
    <cfRule type="cellIs" priority="1038" operator="equal" aboveAverage="0" equalAverage="0" bottom="0" percent="0" rank="0" text="" dxfId="0">
      <formula>"KAYBETTİ"</formula>
    </cfRule>
  </conditionalFormatting>
  <conditionalFormatting sqref="G351">
    <cfRule type="cellIs" priority="1039" operator="equal" aboveAverage="0" equalAverage="0" bottom="0" percent="0" rank="0" text="" dxfId="1">
      <formula>"EVET"</formula>
    </cfRule>
  </conditionalFormatting>
  <conditionalFormatting sqref="H352">
    <cfRule type="cellIs" priority="1040" operator="equal" aboveAverage="0" equalAverage="0" bottom="0" percent="0" rank="0" text="" dxfId="2">
      <formula>"KAZANDI"</formula>
    </cfRule>
    <cfRule type="cellIs" priority="1041" operator="equal" aboveAverage="0" equalAverage="0" bottom="0" percent="0" rank="0" text="" dxfId="0">
      <formula>"KAYBETTİ"</formula>
    </cfRule>
  </conditionalFormatting>
  <conditionalFormatting sqref="G352">
    <cfRule type="cellIs" priority="1042" operator="equal" aboveAverage="0" equalAverage="0" bottom="0" percent="0" rank="0" text="" dxfId="1">
      <formula>"EVET"</formula>
    </cfRule>
  </conditionalFormatting>
  <conditionalFormatting sqref="H353">
    <cfRule type="cellIs" priority="1043" operator="equal" aboveAverage="0" equalAverage="0" bottom="0" percent="0" rank="0" text="" dxfId="2">
      <formula>"KAZANDI"</formula>
    </cfRule>
    <cfRule type="cellIs" priority="1044" operator="equal" aboveAverage="0" equalAverage="0" bottom="0" percent="0" rank="0" text="" dxfId="0">
      <formula>"KAYBETTİ"</formula>
    </cfRule>
  </conditionalFormatting>
  <conditionalFormatting sqref="G353">
    <cfRule type="cellIs" priority="1045" operator="equal" aboveAverage="0" equalAverage="0" bottom="0" percent="0" rank="0" text="" dxfId="1">
      <formula>"EVET"</formula>
    </cfRule>
  </conditionalFormatting>
  <conditionalFormatting sqref="H354">
    <cfRule type="cellIs" priority="1046" operator="equal" aboveAverage="0" equalAverage="0" bottom="0" percent="0" rank="0" text="" dxfId="2">
      <formula>"KAZANDI"</formula>
    </cfRule>
    <cfRule type="cellIs" priority="1047" operator="equal" aboveAverage="0" equalAverage="0" bottom="0" percent="0" rank="0" text="" dxfId="0">
      <formula>"KAYBETTİ"</formula>
    </cfRule>
  </conditionalFormatting>
  <conditionalFormatting sqref="G354">
    <cfRule type="cellIs" priority="1048" operator="equal" aboveAverage="0" equalAverage="0" bottom="0" percent="0" rank="0" text="" dxfId="1">
      <formula>"EVET"</formula>
    </cfRule>
  </conditionalFormatting>
  <conditionalFormatting sqref="H355">
    <cfRule type="cellIs" priority="1049" operator="equal" aboveAverage="0" equalAverage="0" bottom="0" percent="0" rank="0" text="" dxfId="2">
      <formula>"KAZANDI"</formula>
    </cfRule>
    <cfRule type="cellIs" priority="1050" operator="equal" aboveAverage="0" equalAverage="0" bottom="0" percent="0" rank="0" text="" dxfId="0">
      <formula>"KAYBETTİ"</formula>
    </cfRule>
  </conditionalFormatting>
  <conditionalFormatting sqref="G355">
    <cfRule type="cellIs" priority="1051" operator="equal" aboveAverage="0" equalAverage="0" bottom="0" percent="0" rank="0" text="" dxfId="1">
      <formula>"EVET"</formula>
    </cfRule>
  </conditionalFormatting>
  <conditionalFormatting sqref="H356">
    <cfRule type="cellIs" priority="1052" operator="equal" aboveAverage="0" equalAverage="0" bottom="0" percent="0" rank="0" text="" dxfId="2">
      <formula>"KAZANDI"</formula>
    </cfRule>
    <cfRule type="cellIs" priority="1053" operator="equal" aboveAverage="0" equalAverage="0" bottom="0" percent="0" rank="0" text="" dxfId="0">
      <formula>"KAYBETTİ"</formula>
    </cfRule>
  </conditionalFormatting>
  <conditionalFormatting sqref="G356">
    <cfRule type="cellIs" priority="1054" operator="equal" aboveAverage="0" equalAverage="0" bottom="0" percent="0" rank="0" text="" dxfId="1">
      <formula>"EVET"</formula>
    </cfRule>
  </conditionalFormatting>
  <conditionalFormatting sqref="H357">
    <cfRule type="cellIs" priority="1055" operator="equal" aboveAverage="0" equalAverage="0" bottom="0" percent="0" rank="0" text="" dxfId="2">
      <formula>"KAZANDI"</formula>
    </cfRule>
    <cfRule type="cellIs" priority="1056" operator="equal" aboveAverage="0" equalAverage="0" bottom="0" percent="0" rank="0" text="" dxfId="0">
      <formula>"KAYBETTİ"</formula>
    </cfRule>
  </conditionalFormatting>
  <conditionalFormatting sqref="G357">
    <cfRule type="cellIs" priority="1057" operator="equal" aboveAverage="0" equalAverage="0" bottom="0" percent="0" rank="0" text="" dxfId="1">
      <formula>"EVET"</formula>
    </cfRule>
  </conditionalFormatting>
  <conditionalFormatting sqref="H358">
    <cfRule type="cellIs" priority="1058" operator="equal" aboveAverage="0" equalAverage="0" bottom="0" percent="0" rank="0" text="" dxfId="2">
      <formula>"KAZANDI"</formula>
    </cfRule>
    <cfRule type="cellIs" priority="1059" operator="equal" aboveAverage="0" equalAverage="0" bottom="0" percent="0" rank="0" text="" dxfId="0">
      <formula>"KAYBETTİ"</formula>
    </cfRule>
  </conditionalFormatting>
  <conditionalFormatting sqref="G358">
    <cfRule type="cellIs" priority="1060" operator="equal" aboveAverage="0" equalAverage="0" bottom="0" percent="0" rank="0" text="" dxfId="1">
      <formula>"EVET"</formula>
    </cfRule>
  </conditionalFormatting>
  <conditionalFormatting sqref="H359">
    <cfRule type="cellIs" priority="1061" operator="equal" aboveAverage="0" equalAverage="0" bottom="0" percent="0" rank="0" text="" dxfId="2">
      <formula>"KAZANDI"</formula>
    </cfRule>
    <cfRule type="cellIs" priority="1062" operator="equal" aboveAverage="0" equalAverage="0" bottom="0" percent="0" rank="0" text="" dxfId="0">
      <formula>"KAYBETTİ"</formula>
    </cfRule>
  </conditionalFormatting>
  <conditionalFormatting sqref="G359">
    <cfRule type="cellIs" priority="1063" operator="equal" aboveAverage="0" equalAverage="0" bottom="0" percent="0" rank="0" text="" dxfId="1">
      <formula>"EVET"</formula>
    </cfRule>
  </conditionalFormatting>
  <conditionalFormatting sqref="H360">
    <cfRule type="cellIs" priority="1064" operator="equal" aboveAverage="0" equalAverage="0" bottom="0" percent="0" rank="0" text="" dxfId="2">
      <formula>"KAZANDI"</formula>
    </cfRule>
    <cfRule type="cellIs" priority="1065" operator="equal" aboveAverage="0" equalAverage="0" bottom="0" percent="0" rank="0" text="" dxfId="0">
      <formula>"KAYBETTİ"</formula>
    </cfRule>
  </conditionalFormatting>
  <conditionalFormatting sqref="G360">
    <cfRule type="cellIs" priority="1066" operator="equal" aboveAverage="0" equalAverage="0" bottom="0" percent="0" rank="0" text="" dxfId="1">
      <formula>"EVET"</formula>
    </cfRule>
  </conditionalFormatting>
  <conditionalFormatting sqref="H361">
    <cfRule type="cellIs" priority="1067" operator="equal" aboveAverage="0" equalAverage="0" bottom="0" percent="0" rank="0" text="" dxfId="2">
      <formula>"KAZANDI"</formula>
    </cfRule>
    <cfRule type="cellIs" priority="1068" operator="equal" aboveAverage="0" equalAverage="0" bottom="0" percent="0" rank="0" text="" dxfId="0">
      <formula>"KAYBETTİ"</formula>
    </cfRule>
  </conditionalFormatting>
  <conditionalFormatting sqref="G361">
    <cfRule type="cellIs" priority="1069" operator="equal" aboveAverage="0" equalAverage="0" bottom="0" percent="0" rank="0" text="" dxfId="1">
      <formula>"EVET"</formula>
    </cfRule>
  </conditionalFormatting>
  <conditionalFormatting sqref="H362">
    <cfRule type="cellIs" priority="1070" operator="equal" aboveAverage="0" equalAverage="0" bottom="0" percent="0" rank="0" text="" dxfId="2">
      <formula>"KAZANDI"</formula>
    </cfRule>
    <cfRule type="cellIs" priority="1071" operator="equal" aboveAverage="0" equalAverage="0" bottom="0" percent="0" rank="0" text="" dxfId="0">
      <formula>"KAYBETTİ"</formula>
    </cfRule>
  </conditionalFormatting>
  <conditionalFormatting sqref="G362">
    <cfRule type="cellIs" priority="1072" operator="equal" aboveAverage="0" equalAverage="0" bottom="0" percent="0" rank="0" text="" dxfId="1">
      <formula>"EVET"</formula>
    </cfRule>
  </conditionalFormatting>
  <conditionalFormatting sqref="H363">
    <cfRule type="cellIs" priority="1073" operator="equal" aboveAverage="0" equalAverage="0" bottom="0" percent="0" rank="0" text="" dxfId="2">
      <formula>"KAZANDI"</formula>
    </cfRule>
    <cfRule type="cellIs" priority="1074" operator="equal" aboveAverage="0" equalAverage="0" bottom="0" percent="0" rank="0" text="" dxfId="0">
      <formula>"KAYBETTİ"</formula>
    </cfRule>
  </conditionalFormatting>
  <conditionalFormatting sqref="G363">
    <cfRule type="cellIs" priority="1075" operator="equal" aboveAverage="0" equalAverage="0" bottom="0" percent="0" rank="0" text="" dxfId="1">
      <formula>"EVET"</formula>
    </cfRule>
  </conditionalFormatting>
  <conditionalFormatting sqref="H364">
    <cfRule type="cellIs" priority="1076" operator="equal" aboveAverage="0" equalAverage="0" bottom="0" percent="0" rank="0" text="" dxfId="2">
      <formula>"KAZANDI"</formula>
    </cfRule>
    <cfRule type="cellIs" priority="1077" operator="equal" aboveAverage="0" equalAverage="0" bottom="0" percent="0" rank="0" text="" dxfId="0">
      <formula>"KAYBETTİ"</formula>
    </cfRule>
  </conditionalFormatting>
  <conditionalFormatting sqref="G364">
    <cfRule type="cellIs" priority="1078" operator="equal" aboveAverage="0" equalAverage="0" bottom="0" percent="0" rank="0" text="" dxfId="1">
      <formula>"EVET"</formula>
    </cfRule>
  </conditionalFormatting>
  <conditionalFormatting sqref="H365">
    <cfRule type="cellIs" priority="1079" operator="equal" aboveAverage="0" equalAverage="0" bottom="0" percent="0" rank="0" text="" dxfId="2">
      <formula>"KAZANDI"</formula>
    </cfRule>
    <cfRule type="cellIs" priority="1080" operator="equal" aboveAverage="0" equalAverage="0" bottom="0" percent="0" rank="0" text="" dxfId="0">
      <formula>"KAYBETTİ"</formula>
    </cfRule>
  </conditionalFormatting>
  <conditionalFormatting sqref="G365">
    <cfRule type="cellIs" priority="1081" operator="equal" aboveAverage="0" equalAverage="0" bottom="0" percent="0" rank="0" text="" dxfId="1">
      <formula>"EVET"</formula>
    </cfRule>
  </conditionalFormatting>
  <conditionalFormatting sqref="H366">
    <cfRule type="cellIs" priority="1082" operator="equal" aboveAverage="0" equalAverage="0" bottom="0" percent="0" rank="0" text="" dxfId="2">
      <formula>"KAZANDI"</formula>
    </cfRule>
    <cfRule type="cellIs" priority="1083" operator="equal" aboveAverage="0" equalAverage="0" bottom="0" percent="0" rank="0" text="" dxfId="0">
      <formula>"KAYBETTİ"</formula>
    </cfRule>
  </conditionalFormatting>
  <conditionalFormatting sqref="G366">
    <cfRule type="cellIs" priority="1084" operator="equal" aboveAverage="0" equalAverage="0" bottom="0" percent="0" rank="0" text="" dxfId="1">
      <formula>"EVET"</formula>
    </cfRule>
  </conditionalFormatting>
  <conditionalFormatting sqref="H367">
    <cfRule type="cellIs" priority="1085" operator="equal" aboveAverage="0" equalAverage="0" bottom="0" percent="0" rank="0" text="" dxfId="2">
      <formula>"KAZANDI"</formula>
    </cfRule>
    <cfRule type="cellIs" priority="1086" operator="equal" aboveAverage="0" equalAverage="0" bottom="0" percent="0" rank="0" text="" dxfId="0">
      <formula>"KAYBETTİ"</formula>
    </cfRule>
  </conditionalFormatting>
  <conditionalFormatting sqref="G367">
    <cfRule type="cellIs" priority="1087" operator="equal" aboveAverage="0" equalAverage="0" bottom="0" percent="0" rank="0" text="" dxfId="1">
      <formula>"EVET"</formula>
    </cfRule>
  </conditionalFormatting>
  <conditionalFormatting sqref="H368">
    <cfRule type="cellIs" priority="1088" operator="equal" aboveAverage="0" equalAverage="0" bottom="0" percent="0" rank="0" text="" dxfId="2">
      <formula>"KAZANDI"</formula>
    </cfRule>
    <cfRule type="cellIs" priority="1089" operator="equal" aboveAverage="0" equalAverage="0" bottom="0" percent="0" rank="0" text="" dxfId="0">
      <formula>"KAYBETTİ"</formula>
    </cfRule>
  </conditionalFormatting>
  <conditionalFormatting sqref="G368">
    <cfRule type="cellIs" priority="1090" operator="equal" aboveAverage="0" equalAverage="0" bottom="0" percent="0" rank="0" text="" dxfId="1">
      <formula>"EVET"</formula>
    </cfRule>
  </conditionalFormatting>
  <conditionalFormatting sqref="H369">
    <cfRule type="cellIs" priority="1091" operator="equal" aboveAverage="0" equalAverage="0" bottom="0" percent="0" rank="0" text="" dxfId="2">
      <formula>"KAZANDI"</formula>
    </cfRule>
    <cfRule type="cellIs" priority="1092" operator="equal" aboveAverage="0" equalAverage="0" bottom="0" percent="0" rank="0" text="" dxfId="0">
      <formula>"KAYBETTİ"</formula>
    </cfRule>
  </conditionalFormatting>
  <conditionalFormatting sqref="G369">
    <cfRule type="cellIs" priority="1093" operator="equal" aboveAverage="0" equalAverage="0" bottom="0" percent="0" rank="0" text="" dxfId="1">
      <formula>"EVET"</formula>
    </cfRule>
  </conditionalFormatting>
  <conditionalFormatting sqref="H370">
    <cfRule type="cellIs" priority="1094" operator="equal" aboveAverage="0" equalAverage="0" bottom="0" percent="0" rank="0" text="" dxfId="2">
      <formula>"KAZANDI"</formula>
    </cfRule>
    <cfRule type="cellIs" priority="1095" operator="equal" aboveAverage="0" equalAverage="0" bottom="0" percent="0" rank="0" text="" dxfId="0">
      <formula>"KAYBETTİ"</formula>
    </cfRule>
  </conditionalFormatting>
  <conditionalFormatting sqref="G370">
    <cfRule type="cellIs" priority="1096" operator="equal" aboveAverage="0" equalAverage="0" bottom="0" percent="0" rank="0" text="" dxfId="1">
      <formula>"EVET"</formula>
    </cfRule>
  </conditionalFormatting>
  <conditionalFormatting sqref="H371">
    <cfRule type="cellIs" priority="1097" operator="equal" aboveAverage="0" equalAverage="0" bottom="0" percent="0" rank="0" text="" dxfId="2">
      <formula>"KAZANDI"</formula>
    </cfRule>
    <cfRule type="cellIs" priority="1098" operator="equal" aboveAverage="0" equalAverage="0" bottom="0" percent="0" rank="0" text="" dxfId="0">
      <formula>"KAYBETTİ"</formula>
    </cfRule>
  </conditionalFormatting>
  <conditionalFormatting sqref="G371">
    <cfRule type="cellIs" priority="1099" operator="equal" aboveAverage="0" equalAverage="0" bottom="0" percent="0" rank="0" text="" dxfId="1">
      <formula>"EVET"</formula>
    </cfRule>
  </conditionalFormatting>
  <conditionalFormatting sqref="H372">
    <cfRule type="cellIs" priority="1100" operator="equal" aboveAverage="0" equalAverage="0" bottom="0" percent="0" rank="0" text="" dxfId="2">
      <formula>"KAZANDI"</formula>
    </cfRule>
    <cfRule type="cellIs" priority="1101" operator="equal" aboveAverage="0" equalAverage="0" bottom="0" percent="0" rank="0" text="" dxfId="0">
      <formula>"KAYBETTİ"</formula>
    </cfRule>
  </conditionalFormatting>
  <conditionalFormatting sqref="G372">
    <cfRule type="cellIs" priority="1102" operator="equal" aboveAverage="0" equalAverage="0" bottom="0" percent="0" rank="0" text="" dxfId="1">
      <formula>"EVET"</formula>
    </cfRule>
  </conditionalFormatting>
  <conditionalFormatting sqref="H373">
    <cfRule type="cellIs" priority="1103" operator="equal" aboveAverage="0" equalAverage="0" bottom="0" percent="0" rank="0" text="" dxfId="2">
      <formula>"KAZANDI"</formula>
    </cfRule>
    <cfRule type="cellIs" priority="1104" operator="equal" aboveAverage="0" equalAverage="0" bottom="0" percent="0" rank="0" text="" dxfId="0">
      <formula>"KAYBETTİ"</formula>
    </cfRule>
  </conditionalFormatting>
  <conditionalFormatting sqref="G373">
    <cfRule type="cellIs" priority="1105" operator="equal" aboveAverage="0" equalAverage="0" bottom="0" percent="0" rank="0" text="" dxfId="1">
      <formula>"EVET"</formula>
    </cfRule>
  </conditionalFormatting>
  <conditionalFormatting sqref="H374">
    <cfRule type="cellIs" priority="1106" operator="equal" aboveAverage="0" equalAverage="0" bottom="0" percent="0" rank="0" text="" dxfId="2">
      <formula>"KAZANDI"</formula>
    </cfRule>
    <cfRule type="cellIs" priority="1107" operator="equal" aboveAverage="0" equalAverage="0" bottom="0" percent="0" rank="0" text="" dxfId="0">
      <formula>"KAYBETTİ"</formula>
    </cfRule>
  </conditionalFormatting>
  <conditionalFormatting sqref="G374">
    <cfRule type="cellIs" priority="1108" operator="equal" aboveAverage="0" equalAverage="0" bottom="0" percent="0" rank="0" text="" dxfId="1">
      <formula>"EVET"</formula>
    </cfRule>
  </conditionalFormatting>
  <conditionalFormatting sqref="H375">
    <cfRule type="cellIs" priority="1109" operator="equal" aboveAverage="0" equalAverage="0" bottom="0" percent="0" rank="0" text="" dxfId="2">
      <formula>"KAZANDI"</formula>
    </cfRule>
    <cfRule type="cellIs" priority="1110" operator="equal" aboveAverage="0" equalAverage="0" bottom="0" percent="0" rank="0" text="" dxfId="0">
      <formula>"KAYBETTİ"</formula>
    </cfRule>
  </conditionalFormatting>
  <conditionalFormatting sqref="G375">
    <cfRule type="cellIs" priority="1111" operator="equal" aboveAverage="0" equalAverage="0" bottom="0" percent="0" rank="0" text="" dxfId="1">
      <formula>"EVET"</formula>
    </cfRule>
  </conditionalFormatting>
  <conditionalFormatting sqref="H376">
    <cfRule type="cellIs" priority="1112" operator="equal" aboveAverage="0" equalAverage="0" bottom="0" percent="0" rank="0" text="" dxfId="2">
      <formula>"KAZANDI"</formula>
    </cfRule>
    <cfRule type="cellIs" priority="1113" operator="equal" aboveAverage="0" equalAverage="0" bottom="0" percent="0" rank="0" text="" dxfId="0">
      <formula>"KAYBETTİ"</formula>
    </cfRule>
  </conditionalFormatting>
  <conditionalFormatting sqref="G376">
    <cfRule type="cellIs" priority="1114" operator="equal" aboveAverage="0" equalAverage="0" bottom="0" percent="0" rank="0" text="" dxfId="1">
      <formula>"EVET"</formula>
    </cfRule>
  </conditionalFormatting>
  <conditionalFormatting sqref="H377">
    <cfRule type="cellIs" priority="1115" operator="equal" aboveAverage="0" equalAverage="0" bottom="0" percent="0" rank="0" text="" dxfId="2">
      <formula>"KAZANDI"</formula>
    </cfRule>
    <cfRule type="cellIs" priority="1116" operator="equal" aboveAverage="0" equalAverage="0" bottom="0" percent="0" rank="0" text="" dxfId="0">
      <formula>"KAYBETTİ"</formula>
    </cfRule>
  </conditionalFormatting>
  <conditionalFormatting sqref="G377">
    <cfRule type="cellIs" priority="1117" operator="equal" aboveAverage="0" equalAverage="0" bottom="0" percent="0" rank="0" text="" dxfId="1">
      <formula>"EVET"</formula>
    </cfRule>
  </conditionalFormatting>
  <conditionalFormatting sqref="H378">
    <cfRule type="cellIs" priority="1118" operator="equal" aboveAverage="0" equalAverage="0" bottom="0" percent="0" rank="0" text="" dxfId="2">
      <formula>"KAZANDI"</formula>
    </cfRule>
    <cfRule type="cellIs" priority="1119" operator="equal" aboveAverage="0" equalAverage="0" bottom="0" percent="0" rank="0" text="" dxfId="0">
      <formula>"KAYBETTİ"</formula>
    </cfRule>
  </conditionalFormatting>
  <conditionalFormatting sqref="G378">
    <cfRule type="cellIs" priority="1120" operator="equal" aboveAverage="0" equalAverage="0" bottom="0" percent="0" rank="0" text="" dxfId="1">
      <formula>"EVET"</formula>
    </cfRule>
  </conditionalFormatting>
  <conditionalFormatting sqref="H379">
    <cfRule type="cellIs" priority="1121" operator="equal" aboveAverage="0" equalAverage="0" bottom="0" percent="0" rank="0" text="" dxfId="2">
      <formula>"KAZANDI"</formula>
    </cfRule>
    <cfRule type="cellIs" priority="1122" operator="equal" aboveAverage="0" equalAverage="0" bottom="0" percent="0" rank="0" text="" dxfId="0">
      <formula>"KAYBETTİ"</formula>
    </cfRule>
  </conditionalFormatting>
  <conditionalFormatting sqref="G379">
    <cfRule type="cellIs" priority="1123" operator="equal" aboveAverage="0" equalAverage="0" bottom="0" percent="0" rank="0" text="" dxfId="1">
      <formula>"EVET"</formula>
    </cfRule>
  </conditionalFormatting>
  <conditionalFormatting sqref="H380">
    <cfRule type="cellIs" priority="1124" operator="equal" aboveAverage="0" equalAverage="0" bottom="0" percent="0" rank="0" text="" dxfId="2">
      <formula>"KAZANDI"</formula>
    </cfRule>
    <cfRule type="cellIs" priority="1125" operator="equal" aboveAverage="0" equalAverage="0" bottom="0" percent="0" rank="0" text="" dxfId="0">
      <formula>"KAYBETTİ"</formula>
    </cfRule>
  </conditionalFormatting>
  <conditionalFormatting sqref="G380">
    <cfRule type="cellIs" priority="1126" operator="equal" aboveAverage="0" equalAverage="0" bottom="0" percent="0" rank="0" text="" dxfId="1">
      <formula>"EVET"</formula>
    </cfRule>
  </conditionalFormatting>
  <conditionalFormatting sqref="H381">
    <cfRule type="cellIs" priority="1127" operator="equal" aboveAverage="0" equalAverage="0" bottom="0" percent="0" rank="0" text="" dxfId="2">
      <formula>"KAZANDI"</formula>
    </cfRule>
    <cfRule type="cellIs" priority="1128" operator="equal" aboveAverage="0" equalAverage="0" bottom="0" percent="0" rank="0" text="" dxfId="0">
      <formula>"KAYBETTİ"</formula>
    </cfRule>
  </conditionalFormatting>
  <conditionalFormatting sqref="G381">
    <cfRule type="cellIs" priority="1129" operator="equal" aboveAverage="0" equalAverage="0" bottom="0" percent="0" rank="0" text="" dxfId="1">
      <formula>"EVET"</formula>
    </cfRule>
  </conditionalFormatting>
  <conditionalFormatting sqref="H382">
    <cfRule type="cellIs" priority="1130" operator="equal" aboveAverage="0" equalAverage="0" bottom="0" percent="0" rank="0" text="" dxfId="2">
      <formula>"KAZANDI"</formula>
    </cfRule>
    <cfRule type="cellIs" priority="1131" operator="equal" aboveAverage="0" equalAverage="0" bottom="0" percent="0" rank="0" text="" dxfId="0">
      <formula>"KAYBETTİ"</formula>
    </cfRule>
  </conditionalFormatting>
  <conditionalFormatting sqref="G382">
    <cfRule type="cellIs" priority="1132" operator="equal" aboveAverage="0" equalAverage="0" bottom="0" percent="0" rank="0" text="" dxfId="1">
      <formula>"EVET"</formula>
    </cfRule>
  </conditionalFormatting>
  <conditionalFormatting sqref="H383">
    <cfRule type="cellIs" priority="1133" operator="equal" aboveAverage="0" equalAverage="0" bottom="0" percent="0" rank="0" text="" dxfId="2">
      <formula>"KAZANDI"</formula>
    </cfRule>
    <cfRule type="cellIs" priority="1134" operator="equal" aboveAverage="0" equalAverage="0" bottom="0" percent="0" rank="0" text="" dxfId="0">
      <formula>"KAYBETTİ"</formula>
    </cfRule>
  </conditionalFormatting>
  <conditionalFormatting sqref="G383">
    <cfRule type="cellIs" priority="1135" operator="equal" aboveAverage="0" equalAverage="0" bottom="0" percent="0" rank="0" text="" dxfId="1">
      <formula>"EVET"</formula>
    </cfRule>
  </conditionalFormatting>
  <conditionalFormatting sqref="H384">
    <cfRule type="cellIs" priority="1136" operator="equal" aboveAverage="0" equalAverage="0" bottom="0" percent="0" rank="0" text="" dxfId="2">
      <formula>"KAZANDI"</formula>
    </cfRule>
    <cfRule type="cellIs" priority="1137" operator="equal" aboveAverage="0" equalAverage="0" bottom="0" percent="0" rank="0" text="" dxfId="0">
      <formula>"KAYBETTİ"</formula>
    </cfRule>
  </conditionalFormatting>
  <conditionalFormatting sqref="G384">
    <cfRule type="cellIs" priority="1138" operator="equal" aboveAverage="0" equalAverage="0" bottom="0" percent="0" rank="0" text="" dxfId="1">
      <formula>"EVET"</formula>
    </cfRule>
  </conditionalFormatting>
  <conditionalFormatting sqref="H385">
    <cfRule type="cellIs" priority="1139" operator="equal" aboveAverage="0" equalAverage="0" bottom="0" percent="0" rank="0" text="" dxfId="2">
      <formula>"KAZANDI"</formula>
    </cfRule>
    <cfRule type="cellIs" priority="1140" operator="equal" aboveAverage="0" equalAverage="0" bottom="0" percent="0" rank="0" text="" dxfId="0">
      <formula>"KAYBETTİ"</formula>
    </cfRule>
  </conditionalFormatting>
  <conditionalFormatting sqref="G385">
    <cfRule type="cellIs" priority="1141" operator="equal" aboveAverage="0" equalAverage="0" bottom="0" percent="0" rank="0" text="" dxfId="1">
      <formula>"EVET"</formula>
    </cfRule>
  </conditionalFormatting>
  <conditionalFormatting sqref="H386">
    <cfRule type="cellIs" priority="1142" operator="equal" aboveAverage="0" equalAverage="0" bottom="0" percent="0" rank="0" text="" dxfId="2">
      <formula>"KAZANDI"</formula>
    </cfRule>
    <cfRule type="cellIs" priority="1143" operator="equal" aboveAverage="0" equalAverage="0" bottom="0" percent="0" rank="0" text="" dxfId="0">
      <formula>"KAYBETTİ"</formula>
    </cfRule>
  </conditionalFormatting>
  <conditionalFormatting sqref="G386">
    <cfRule type="cellIs" priority="1144" operator="equal" aboveAverage="0" equalAverage="0" bottom="0" percent="0" rank="0" text="" dxfId="1">
      <formula>"EVET"</formula>
    </cfRule>
  </conditionalFormatting>
  <conditionalFormatting sqref="H387">
    <cfRule type="cellIs" priority="1145" operator="equal" aboveAverage="0" equalAverage="0" bottom="0" percent="0" rank="0" text="" dxfId="2">
      <formula>"KAZANDI"</formula>
    </cfRule>
    <cfRule type="cellIs" priority="1146" operator="equal" aboveAverage="0" equalAverage="0" bottom="0" percent="0" rank="0" text="" dxfId="0">
      <formula>"KAYBETTİ"</formula>
    </cfRule>
  </conditionalFormatting>
  <conditionalFormatting sqref="G387">
    <cfRule type="cellIs" priority="1147" operator="equal" aboveAverage="0" equalAverage="0" bottom="0" percent="0" rank="0" text="" dxfId="1">
      <formula>"EVET"</formula>
    </cfRule>
  </conditionalFormatting>
  <conditionalFormatting sqref="H388">
    <cfRule type="cellIs" priority="1148" operator="equal" aboveAverage="0" equalAverage="0" bottom="0" percent="0" rank="0" text="" dxfId="2">
      <formula>"KAZANDI"</formula>
    </cfRule>
    <cfRule type="cellIs" priority="1149" operator="equal" aboveAverage="0" equalAverage="0" bottom="0" percent="0" rank="0" text="" dxfId="0">
      <formula>"KAYBETTİ"</formula>
    </cfRule>
  </conditionalFormatting>
  <conditionalFormatting sqref="G388">
    <cfRule type="cellIs" priority="1150" operator="equal" aboveAverage="0" equalAverage="0" bottom="0" percent="0" rank="0" text="" dxfId="1">
      <formula>"EVET"</formula>
    </cfRule>
  </conditionalFormatting>
  <conditionalFormatting sqref="H389">
    <cfRule type="cellIs" priority="1151" operator="equal" aboveAverage="0" equalAverage="0" bottom="0" percent="0" rank="0" text="" dxfId="2">
      <formula>"KAZANDI"</formula>
    </cfRule>
    <cfRule type="cellIs" priority="1152" operator="equal" aboveAverage="0" equalAverage="0" bottom="0" percent="0" rank="0" text="" dxfId="0">
      <formula>"KAYBETTİ"</formula>
    </cfRule>
  </conditionalFormatting>
  <conditionalFormatting sqref="G389">
    <cfRule type="cellIs" priority="1153" operator="equal" aboveAverage="0" equalAverage="0" bottom="0" percent="0" rank="0" text="" dxfId="1">
      <formula>"EVET"</formula>
    </cfRule>
  </conditionalFormatting>
  <conditionalFormatting sqref="H390">
    <cfRule type="cellIs" priority="1154" operator="equal" aboveAverage="0" equalAverage="0" bottom="0" percent="0" rank="0" text="" dxfId="2">
      <formula>"KAZANDI"</formula>
    </cfRule>
    <cfRule type="cellIs" priority="1155" operator="equal" aboveAverage="0" equalAverage="0" bottom="0" percent="0" rank="0" text="" dxfId="0">
      <formula>"KAYBETTİ"</formula>
    </cfRule>
  </conditionalFormatting>
  <conditionalFormatting sqref="G390">
    <cfRule type="cellIs" priority="1156" operator="equal" aboveAverage="0" equalAverage="0" bottom="0" percent="0" rank="0" text="" dxfId="1">
      <formula>"EVET"</formula>
    </cfRule>
  </conditionalFormatting>
  <conditionalFormatting sqref="H391">
    <cfRule type="cellIs" priority="1157" operator="equal" aboveAverage="0" equalAverage="0" bottom="0" percent="0" rank="0" text="" dxfId="2">
      <formula>"KAZANDI"</formula>
    </cfRule>
    <cfRule type="cellIs" priority="1158" operator="equal" aboveAverage="0" equalAverage="0" bottom="0" percent="0" rank="0" text="" dxfId="0">
      <formula>"KAYBETTİ"</formula>
    </cfRule>
  </conditionalFormatting>
  <conditionalFormatting sqref="G391">
    <cfRule type="cellIs" priority="1159" operator="equal" aboveAverage="0" equalAverage="0" bottom="0" percent="0" rank="0" text="" dxfId="1">
      <formula>"EVET"</formula>
    </cfRule>
  </conditionalFormatting>
  <conditionalFormatting sqref="H392">
    <cfRule type="cellIs" priority="1160" operator="equal" aboveAverage="0" equalAverage="0" bottom="0" percent="0" rank="0" text="" dxfId="2">
      <formula>"KAZANDI"</formula>
    </cfRule>
    <cfRule type="cellIs" priority="1161" operator="equal" aboveAverage="0" equalAverage="0" bottom="0" percent="0" rank="0" text="" dxfId="0">
      <formula>"KAYBETTİ"</formula>
    </cfRule>
  </conditionalFormatting>
  <conditionalFormatting sqref="G392">
    <cfRule type="cellIs" priority="1162" operator="equal" aboveAverage="0" equalAverage="0" bottom="0" percent="0" rank="0" text="" dxfId="1">
      <formula>"EVET"</formula>
    </cfRule>
  </conditionalFormatting>
  <conditionalFormatting sqref="H393">
    <cfRule type="cellIs" priority="1163" operator="equal" aboveAverage="0" equalAverage="0" bottom="0" percent="0" rank="0" text="" dxfId="2">
      <formula>"KAZANDI"</formula>
    </cfRule>
    <cfRule type="cellIs" priority="1164" operator="equal" aboveAverage="0" equalAverage="0" bottom="0" percent="0" rank="0" text="" dxfId="0">
      <formula>"KAYBETTİ"</formula>
    </cfRule>
  </conditionalFormatting>
  <conditionalFormatting sqref="G393">
    <cfRule type="cellIs" priority="1165" operator="equal" aboveAverage="0" equalAverage="0" bottom="0" percent="0" rank="0" text="" dxfId="1">
      <formula>"EVET"</formula>
    </cfRule>
  </conditionalFormatting>
  <conditionalFormatting sqref="H394">
    <cfRule type="cellIs" priority="1166" operator="equal" aboveAverage="0" equalAverage="0" bottom="0" percent="0" rank="0" text="" dxfId="2">
      <formula>"KAZANDI"</formula>
    </cfRule>
    <cfRule type="cellIs" priority="1167" operator="equal" aboveAverage="0" equalAverage="0" bottom="0" percent="0" rank="0" text="" dxfId="0">
      <formula>"KAYBETTİ"</formula>
    </cfRule>
  </conditionalFormatting>
  <conditionalFormatting sqref="G394">
    <cfRule type="cellIs" priority="1168" operator="equal" aboveAverage="0" equalAverage="0" bottom="0" percent="0" rank="0" text="" dxfId="1">
      <formula>"EVET"</formula>
    </cfRule>
  </conditionalFormatting>
  <conditionalFormatting sqref="H395">
    <cfRule type="cellIs" priority="1169" operator="equal" aboveAverage="0" equalAverage="0" bottom="0" percent="0" rank="0" text="" dxfId="2">
      <formula>"KAZANDI"</formula>
    </cfRule>
    <cfRule type="cellIs" priority="1170" operator="equal" aboveAverage="0" equalAverage="0" bottom="0" percent="0" rank="0" text="" dxfId="0">
      <formula>"KAYBETTİ"</formula>
    </cfRule>
  </conditionalFormatting>
  <conditionalFormatting sqref="G395">
    <cfRule type="cellIs" priority="1171" operator="equal" aboveAverage="0" equalAverage="0" bottom="0" percent="0" rank="0" text="" dxfId="1">
      <formula>"EVET"</formula>
    </cfRule>
  </conditionalFormatting>
  <conditionalFormatting sqref="H396">
    <cfRule type="cellIs" priority="1172" operator="equal" aboveAverage="0" equalAverage="0" bottom="0" percent="0" rank="0" text="" dxfId="2">
      <formula>"KAZANDI"</formula>
    </cfRule>
    <cfRule type="cellIs" priority="1173" operator="equal" aboveAverage="0" equalAverage="0" bottom="0" percent="0" rank="0" text="" dxfId="0">
      <formula>"KAYBETTİ"</formula>
    </cfRule>
  </conditionalFormatting>
  <conditionalFormatting sqref="G396">
    <cfRule type="cellIs" priority="1174" operator="equal" aboveAverage="0" equalAverage="0" bottom="0" percent="0" rank="0" text="" dxfId="1">
      <formula>"EVET"</formula>
    </cfRule>
  </conditionalFormatting>
  <conditionalFormatting sqref="H397">
    <cfRule type="cellIs" priority="1175" operator="equal" aboveAverage="0" equalAverage="0" bottom="0" percent="0" rank="0" text="" dxfId="2">
      <formula>"KAZANDI"</formula>
    </cfRule>
    <cfRule type="cellIs" priority="1176" operator="equal" aboveAverage="0" equalAverage="0" bottom="0" percent="0" rank="0" text="" dxfId="0">
      <formula>"KAYBETTİ"</formula>
    </cfRule>
  </conditionalFormatting>
  <conditionalFormatting sqref="G397">
    <cfRule type="cellIs" priority="1177" operator="equal" aboveAverage="0" equalAverage="0" bottom="0" percent="0" rank="0" text="" dxfId="1">
      <formula>"EVET"</formula>
    </cfRule>
  </conditionalFormatting>
  <conditionalFormatting sqref="H398">
    <cfRule type="cellIs" priority="1178" operator="equal" aboveAverage="0" equalAverage="0" bottom="0" percent="0" rank="0" text="" dxfId="2">
      <formula>"KAZANDI"</formula>
    </cfRule>
    <cfRule type="cellIs" priority="1179" operator="equal" aboveAverage="0" equalAverage="0" bottom="0" percent="0" rank="0" text="" dxfId="0">
      <formula>"KAYBETTİ"</formula>
    </cfRule>
  </conditionalFormatting>
  <conditionalFormatting sqref="G398">
    <cfRule type="cellIs" priority="1180" operator="equal" aboveAverage="0" equalAverage="0" bottom="0" percent="0" rank="0" text="" dxfId="1">
      <formula>"EVET"</formula>
    </cfRule>
  </conditionalFormatting>
  <conditionalFormatting sqref="H399">
    <cfRule type="cellIs" priority="1181" operator="equal" aboveAverage="0" equalAverage="0" bottom="0" percent="0" rank="0" text="" dxfId="2">
      <formula>"KAZANDI"</formula>
    </cfRule>
    <cfRule type="cellIs" priority="1182" operator="equal" aboveAverage="0" equalAverage="0" bottom="0" percent="0" rank="0" text="" dxfId="0">
      <formula>"KAYBETTİ"</formula>
    </cfRule>
  </conditionalFormatting>
  <conditionalFormatting sqref="G399">
    <cfRule type="cellIs" priority="1183" operator="equal" aboveAverage="0" equalAverage="0" bottom="0" percent="0" rank="0" text="" dxfId="1">
      <formula>"EVET"</formula>
    </cfRule>
  </conditionalFormatting>
  <conditionalFormatting sqref="H400">
    <cfRule type="cellIs" priority="1184" operator="equal" aboveAverage="0" equalAverage="0" bottom="0" percent="0" rank="0" text="" dxfId="2">
      <formula>"KAZANDI"</formula>
    </cfRule>
    <cfRule type="cellIs" priority="1185" operator="equal" aboveAverage="0" equalAverage="0" bottom="0" percent="0" rank="0" text="" dxfId="0">
      <formula>"KAYBETTİ"</formula>
    </cfRule>
  </conditionalFormatting>
  <conditionalFormatting sqref="G400">
    <cfRule type="cellIs" priority="1186" operator="equal" aboveAverage="0" equalAverage="0" bottom="0" percent="0" rank="0" text="" dxfId="1">
      <formula>"EVET"</formula>
    </cfRule>
  </conditionalFormatting>
  <conditionalFormatting sqref="H401">
    <cfRule type="cellIs" priority="1187" operator="equal" aboveAverage="0" equalAverage="0" bottom="0" percent="0" rank="0" text="" dxfId="2">
      <formula>"KAZANDI"</formula>
    </cfRule>
    <cfRule type="cellIs" priority="1188" operator="equal" aboveAverage="0" equalAverage="0" bottom="0" percent="0" rank="0" text="" dxfId="0">
      <formula>"KAYBETTİ"</formula>
    </cfRule>
  </conditionalFormatting>
  <conditionalFormatting sqref="G401">
    <cfRule type="cellIs" priority="1189" operator="equal" aboveAverage="0" equalAverage="0" bottom="0" percent="0" rank="0" text="" dxfId="1">
      <formula>"EVET"</formula>
    </cfRule>
  </conditionalFormatting>
  <conditionalFormatting sqref="H402">
    <cfRule type="cellIs" priority="1190" operator="equal" aboveAverage="0" equalAverage="0" bottom="0" percent="0" rank="0" text="" dxfId="2">
      <formula>"KAZANDI"</formula>
    </cfRule>
    <cfRule type="cellIs" priority="1191" operator="equal" aboveAverage="0" equalAverage="0" bottom="0" percent="0" rank="0" text="" dxfId="0">
      <formula>"KAYBETTİ"</formula>
    </cfRule>
  </conditionalFormatting>
  <conditionalFormatting sqref="G402">
    <cfRule type="cellIs" priority="1192" operator="equal" aboveAverage="0" equalAverage="0" bottom="0" percent="0" rank="0" text="" dxfId="1">
      <formula>"EVET"</formula>
    </cfRule>
  </conditionalFormatting>
  <conditionalFormatting sqref="H403">
    <cfRule type="cellIs" priority="1193" operator="equal" aboveAverage="0" equalAverage="0" bottom="0" percent="0" rank="0" text="" dxfId="2">
      <formula>"KAZANDI"</formula>
    </cfRule>
    <cfRule type="cellIs" priority="1194" operator="equal" aboveAverage="0" equalAverage="0" bottom="0" percent="0" rank="0" text="" dxfId="0">
      <formula>"KAYBETTİ"</formula>
    </cfRule>
  </conditionalFormatting>
  <conditionalFormatting sqref="G403">
    <cfRule type="cellIs" priority="1195" operator="equal" aboveAverage="0" equalAverage="0" bottom="0" percent="0" rank="0" text="" dxfId="1">
      <formula>"EVET"</formula>
    </cfRule>
  </conditionalFormatting>
  <conditionalFormatting sqref="H404">
    <cfRule type="cellIs" priority="1196" operator="equal" aboveAverage="0" equalAverage="0" bottom="0" percent="0" rank="0" text="" dxfId="2">
      <formula>"KAZANDI"</formula>
    </cfRule>
    <cfRule type="cellIs" priority="1197" operator="equal" aboveAverage="0" equalAverage="0" bottom="0" percent="0" rank="0" text="" dxfId="0">
      <formula>"KAYBETTİ"</formula>
    </cfRule>
  </conditionalFormatting>
  <conditionalFormatting sqref="G404">
    <cfRule type="cellIs" priority="1198" operator="equal" aboveAverage="0" equalAverage="0" bottom="0" percent="0" rank="0" text="" dxfId="1">
      <formula>"EVET"</formula>
    </cfRule>
  </conditionalFormatting>
  <conditionalFormatting sqref="H405">
    <cfRule type="cellIs" priority="1199" operator="equal" aboveAverage="0" equalAverage="0" bottom="0" percent="0" rank="0" text="" dxfId="2">
      <formula>"KAZANDI"</formula>
    </cfRule>
    <cfRule type="cellIs" priority="1200" operator="equal" aboveAverage="0" equalAverage="0" bottom="0" percent="0" rank="0" text="" dxfId="0">
      <formula>"KAYBETTİ"</formula>
    </cfRule>
  </conditionalFormatting>
  <conditionalFormatting sqref="G405">
    <cfRule type="cellIs" priority="1201" operator="equal" aboveAverage="0" equalAverage="0" bottom="0" percent="0" rank="0" text="" dxfId="1">
      <formula>"EVET"</formula>
    </cfRule>
  </conditionalFormatting>
  <conditionalFormatting sqref="H406">
    <cfRule type="cellIs" priority="1202" operator="equal" aboveAverage="0" equalAverage="0" bottom="0" percent="0" rank="0" text="" dxfId="2">
      <formula>"KAZANDI"</formula>
    </cfRule>
    <cfRule type="cellIs" priority="1203" operator="equal" aboveAverage="0" equalAverage="0" bottom="0" percent="0" rank="0" text="" dxfId="0">
      <formula>"KAYBETTİ"</formula>
    </cfRule>
  </conditionalFormatting>
  <conditionalFormatting sqref="G406">
    <cfRule type="cellIs" priority="1204" operator="equal" aboveAverage="0" equalAverage="0" bottom="0" percent="0" rank="0" text="" dxfId="1">
      <formula>"EVET"</formula>
    </cfRule>
  </conditionalFormatting>
  <conditionalFormatting sqref="H407">
    <cfRule type="cellIs" priority="1205" operator="equal" aboveAverage="0" equalAverage="0" bottom="0" percent="0" rank="0" text="" dxfId="2">
      <formula>"KAZANDI"</formula>
    </cfRule>
    <cfRule type="cellIs" priority="1206" operator="equal" aboveAverage="0" equalAverage="0" bottom="0" percent="0" rank="0" text="" dxfId="0">
      <formula>"KAYBETTİ"</formula>
    </cfRule>
  </conditionalFormatting>
  <conditionalFormatting sqref="G407">
    <cfRule type="cellIs" priority="1207" operator="equal" aboveAverage="0" equalAverage="0" bottom="0" percent="0" rank="0" text="" dxfId="1">
      <formula>"EVET"</formula>
    </cfRule>
  </conditionalFormatting>
  <conditionalFormatting sqref="H408">
    <cfRule type="cellIs" priority="1208" operator="equal" aboveAverage="0" equalAverage="0" bottom="0" percent="0" rank="0" text="" dxfId="2">
      <formula>"KAZANDI"</formula>
    </cfRule>
    <cfRule type="cellIs" priority="1209" operator="equal" aboveAverage="0" equalAverage="0" bottom="0" percent="0" rank="0" text="" dxfId="0">
      <formula>"KAYBETTİ"</formula>
    </cfRule>
  </conditionalFormatting>
  <conditionalFormatting sqref="G408">
    <cfRule type="cellIs" priority="1210" operator="equal" aboveAverage="0" equalAverage="0" bottom="0" percent="0" rank="0" text="" dxfId="1">
      <formula>"EVET"</formula>
    </cfRule>
  </conditionalFormatting>
  <conditionalFormatting sqref="H409">
    <cfRule type="cellIs" priority="1211" operator="equal" aboveAverage="0" equalAverage="0" bottom="0" percent="0" rank="0" text="" dxfId="2">
      <formula>"KAZANDI"</formula>
    </cfRule>
    <cfRule type="cellIs" priority="1212" operator="equal" aboveAverage="0" equalAverage="0" bottom="0" percent="0" rank="0" text="" dxfId="0">
      <formula>"KAYBETTİ"</formula>
    </cfRule>
  </conditionalFormatting>
  <conditionalFormatting sqref="G409">
    <cfRule type="cellIs" priority="1213" operator="equal" aboveAverage="0" equalAverage="0" bottom="0" percent="0" rank="0" text="" dxfId="1">
      <formula>"EVET"</formula>
    </cfRule>
  </conditionalFormatting>
  <conditionalFormatting sqref="H410">
    <cfRule type="cellIs" priority="1214" operator="equal" aboveAverage="0" equalAverage="0" bottom="0" percent="0" rank="0" text="" dxfId="2">
      <formula>"KAZANDI"</formula>
    </cfRule>
    <cfRule type="cellIs" priority="1215" operator="equal" aboveAverage="0" equalAverage="0" bottom="0" percent="0" rank="0" text="" dxfId="0">
      <formula>"KAYBETTİ"</formula>
    </cfRule>
  </conditionalFormatting>
  <conditionalFormatting sqref="G410">
    <cfRule type="cellIs" priority="1216" operator="equal" aboveAverage="0" equalAverage="0" bottom="0" percent="0" rank="0" text="" dxfId="1">
      <formula>"EVET"</formula>
    </cfRule>
  </conditionalFormatting>
  <conditionalFormatting sqref="H411">
    <cfRule type="cellIs" priority="1217" operator="equal" aboveAverage="0" equalAverage="0" bottom="0" percent="0" rank="0" text="" dxfId="2">
      <formula>"KAZANDI"</formula>
    </cfRule>
    <cfRule type="cellIs" priority="1218" operator="equal" aboveAverage="0" equalAverage="0" bottom="0" percent="0" rank="0" text="" dxfId="0">
      <formula>"KAYBETTİ"</formula>
    </cfRule>
  </conditionalFormatting>
  <conditionalFormatting sqref="G411">
    <cfRule type="cellIs" priority="1219" operator="equal" aboveAverage="0" equalAverage="0" bottom="0" percent="0" rank="0" text="" dxfId="1">
      <formula>"EVET"</formula>
    </cfRule>
  </conditionalFormatting>
  <conditionalFormatting sqref="H412">
    <cfRule type="cellIs" priority="1220" operator="equal" aboveAverage="0" equalAverage="0" bottom="0" percent="0" rank="0" text="" dxfId="2">
      <formula>"KAZANDI"</formula>
    </cfRule>
    <cfRule type="cellIs" priority="1221" operator="equal" aboveAverage="0" equalAverage="0" bottom="0" percent="0" rank="0" text="" dxfId="0">
      <formula>"KAYBETTİ"</formula>
    </cfRule>
  </conditionalFormatting>
  <conditionalFormatting sqref="G412">
    <cfRule type="cellIs" priority="1222" operator="equal" aboveAverage="0" equalAverage="0" bottom="0" percent="0" rank="0" text="" dxfId="1">
      <formula>"EVET"</formula>
    </cfRule>
  </conditionalFormatting>
  <conditionalFormatting sqref="H413">
    <cfRule type="cellIs" priority="1223" operator="equal" aboveAverage="0" equalAverage="0" bottom="0" percent="0" rank="0" text="" dxfId="2">
      <formula>"KAZANDI"</formula>
    </cfRule>
    <cfRule type="cellIs" priority="1224" operator="equal" aboveAverage="0" equalAverage="0" bottom="0" percent="0" rank="0" text="" dxfId="0">
      <formula>"KAYBETTİ"</formula>
    </cfRule>
  </conditionalFormatting>
  <conditionalFormatting sqref="G413">
    <cfRule type="cellIs" priority="1225" operator="equal" aboveAverage="0" equalAverage="0" bottom="0" percent="0" rank="0" text="" dxfId="1">
      <formula>"EVET"</formula>
    </cfRule>
  </conditionalFormatting>
  <conditionalFormatting sqref="H414">
    <cfRule type="cellIs" priority="1226" operator="equal" aboveAverage="0" equalAverage="0" bottom="0" percent="0" rank="0" text="" dxfId="2">
      <formula>"KAZANDI"</formula>
    </cfRule>
    <cfRule type="cellIs" priority="1227" operator="equal" aboveAverage="0" equalAverage="0" bottom="0" percent="0" rank="0" text="" dxfId="0">
      <formula>"KAYBETTİ"</formula>
    </cfRule>
  </conditionalFormatting>
  <conditionalFormatting sqref="G414">
    <cfRule type="cellIs" priority="1228" operator="equal" aboveAverage="0" equalAverage="0" bottom="0" percent="0" rank="0" text="" dxfId="1">
      <formula>"EVET"</formula>
    </cfRule>
  </conditionalFormatting>
  <conditionalFormatting sqref="H415">
    <cfRule type="cellIs" priority="1229" operator="equal" aboveAverage="0" equalAverage="0" bottom="0" percent="0" rank="0" text="" dxfId="2">
      <formula>"KAZANDI"</formula>
    </cfRule>
    <cfRule type="cellIs" priority="1230" operator="equal" aboveAverage="0" equalAverage="0" bottom="0" percent="0" rank="0" text="" dxfId="0">
      <formula>"KAYBETTİ"</formula>
    </cfRule>
  </conditionalFormatting>
  <conditionalFormatting sqref="G415">
    <cfRule type="cellIs" priority="1231" operator="equal" aboveAverage="0" equalAverage="0" bottom="0" percent="0" rank="0" text="" dxfId="1">
      <formula>"EVET"</formula>
    </cfRule>
  </conditionalFormatting>
  <conditionalFormatting sqref="H416">
    <cfRule type="cellIs" priority="1232" operator="equal" aboveAverage="0" equalAverage="0" bottom="0" percent="0" rank="0" text="" dxfId="2">
      <formula>"KAZANDI"</formula>
    </cfRule>
    <cfRule type="cellIs" priority="1233" operator="equal" aboveAverage="0" equalAverage="0" bottom="0" percent="0" rank="0" text="" dxfId="0">
      <formula>"KAYBETTİ"</formula>
    </cfRule>
  </conditionalFormatting>
  <conditionalFormatting sqref="G416">
    <cfRule type="cellIs" priority="1234" operator="equal" aboveAverage="0" equalAverage="0" bottom="0" percent="0" rank="0" text="" dxfId="1">
      <formula>"EVET"</formula>
    </cfRule>
  </conditionalFormatting>
  <conditionalFormatting sqref="H417">
    <cfRule type="cellIs" priority="1235" operator="equal" aboveAverage="0" equalAverage="0" bottom="0" percent="0" rank="0" text="" dxfId="2">
      <formula>"KAZANDI"</formula>
    </cfRule>
    <cfRule type="cellIs" priority="1236" operator="equal" aboveAverage="0" equalAverage="0" bottom="0" percent="0" rank="0" text="" dxfId="0">
      <formula>"KAYBETTİ"</formula>
    </cfRule>
  </conditionalFormatting>
  <conditionalFormatting sqref="G417">
    <cfRule type="cellIs" priority="1237" operator="equal" aboveAverage="0" equalAverage="0" bottom="0" percent="0" rank="0" text="" dxfId="1">
      <formula>"EVET"</formula>
    </cfRule>
  </conditionalFormatting>
  <conditionalFormatting sqref="H418">
    <cfRule type="cellIs" priority="1238" operator="equal" aboveAverage="0" equalAverage="0" bottom="0" percent="0" rank="0" text="" dxfId="2">
      <formula>"KAZANDI"</formula>
    </cfRule>
    <cfRule type="cellIs" priority="1239" operator="equal" aboveAverage="0" equalAverage="0" bottom="0" percent="0" rank="0" text="" dxfId="0">
      <formula>"KAYBETTİ"</formula>
    </cfRule>
  </conditionalFormatting>
  <conditionalFormatting sqref="G418">
    <cfRule type="cellIs" priority="1240" operator="equal" aboveAverage="0" equalAverage="0" bottom="0" percent="0" rank="0" text="" dxfId="1">
      <formula>"EVET"</formula>
    </cfRule>
  </conditionalFormatting>
  <conditionalFormatting sqref="H419">
    <cfRule type="cellIs" priority="1241" operator="equal" aboveAverage="0" equalAverage="0" bottom="0" percent="0" rank="0" text="" dxfId="2">
      <formula>"KAZANDI"</formula>
    </cfRule>
    <cfRule type="cellIs" priority="1242" operator="equal" aboveAverage="0" equalAverage="0" bottom="0" percent="0" rank="0" text="" dxfId="0">
      <formula>"KAYBETTİ"</formula>
    </cfRule>
  </conditionalFormatting>
  <conditionalFormatting sqref="G419">
    <cfRule type="cellIs" priority="1243" operator="equal" aboveAverage="0" equalAverage="0" bottom="0" percent="0" rank="0" text="" dxfId="1">
      <formula>"EVET"</formula>
    </cfRule>
  </conditionalFormatting>
  <conditionalFormatting sqref="H420">
    <cfRule type="cellIs" priority="1244" operator="equal" aboveAverage="0" equalAverage="0" bottom="0" percent="0" rank="0" text="" dxfId="2">
      <formula>"KAZANDI"</formula>
    </cfRule>
    <cfRule type="cellIs" priority="1245" operator="equal" aboveAverage="0" equalAverage="0" bottom="0" percent="0" rank="0" text="" dxfId="0">
      <formula>"KAYBETTİ"</formula>
    </cfRule>
  </conditionalFormatting>
  <conditionalFormatting sqref="G420">
    <cfRule type="cellIs" priority="1246" operator="equal" aboveAverage="0" equalAverage="0" bottom="0" percent="0" rank="0" text="" dxfId="1">
      <formula>"EVET"</formula>
    </cfRule>
  </conditionalFormatting>
  <conditionalFormatting sqref="H421">
    <cfRule type="cellIs" priority="1247" operator="equal" aboveAverage="0" equalAverage="0" bottom="0" percent="0" rank="0" text="" dxfId="2">
      <formula>"KAZANDI"</formula>
    </cfRule>
    <cfRule type="cellIs" priority="1248" operator="equal" aboveAverage="0" equalAverage="0" bottom="0" percent="0" rank="0" text="" dxfId="0">
      <formula>"KAYBETTİ"</formula>
    </cfRule>
  </conditionalFormatting>
  <conditionalFormatting sqref="G421">
    <cfRule type="cellIs" priority="1249" operator="equal" aboveAverage="0" equalAverage="0" bottom="0" percent="0" rank="0" text="" dxfId="1">
      <formula>"EVET"</formula>
    </cfRule>
  </conditionalFormatting>
  <conditionalFormatting sqref="H422">
    <cfRule type="cellIs" priority="1250" operator="equal" aboveAverage="0" equalAverage="0" bottom="0" percent="0" rank="0" text="" dxfId="2">
      <formula>"KAZANDI"</formula>
    </cfRule>
    <cfRule type="cellIs" priority="1251" operator="equal" aboveAverage="0" equalAverage="0" bottom="0" percent="0" rank="0" text="" dxfId="0">
      <formula>"KAYBETTİ"</formula>
    </cfRule>
  </conditionalFormatting>
  <conditionalFormatting sqref="G422">
    <cfRule type="cellIs" priority="1252" operator="equal" aboveAverage="0" equalAverage="0" bottom="0" percent="0" rank="0" text="" dxfId="1">
      <formula>"EVET"</formula>
    </cfRule>
  </conditionalFormatting>
  <conditionalFormatting sqref="H423">
    <cfRule type="cellIs" priority="1253" operator="equal" aboveAverage="0" equalAverage="0" bottom="0" percent="0" rank="0" text="" dxfId="2">
      <formula>"KAZANDI"</formula>
    </cfRule>
    <cfRule type="cellIs" priority="1254" operator="equal" aboveAverage="0" equalAverage="0" bottom="0" percent="0" rank="0" text="" dxfId="0">
      <formula>"KAYBETTİ"</formula>
    </cfRule>
  </conditionalFormatting>
  <conditionalFormatting sqref="G423">
    <cfRule type="cellIs" priority="1255" operator="equal" aboveAverage="0" equalAverage="0" bottom="0" percent="0" rank="0" text="" dxfId="1">
      <formula>"EVET"</formula>
    </cfRule>
  </conditionalFormatting>
  <conditionalFormatting sqref="H424">
    <cfRule type="cellIs" priority="1256" operator="equal" aboveAverage="0" equalAverage="0" bottom="0" percent="0" rank="0" text="" dxfId="2">
      <formula>"KAZANDI"</formula>
    </cfRule>
    <cfRule type="cellIs" priority="1257" operator="equal" aboveAverage="0" equalAverage="0" bottom="0" percent="0" rank="0" text="" dxfId="0">
      <formula>"KAYBETTİ"</formula>
    </cfRule>
  </conditionalFormatting>
  <conditionalFormatting sqref="G424">
    <cfRule type="cellIs" priority="1258" operator="equal" aboveAverage="0" equalAverage="0" bottom="0" percent="0" rank="0" text="" dxfId="1">
      <formula>"EVET"</formula>
    </cfRule>
  </conditionalFormatting>
  <conditionalFormatting sqref="H425">
    <cfRule type="cellIs" priority="1259" operator="equal" aboveAverage="0" equalAverage="0" bottom="0" percent="0" rank="0" text="" dxfId="2">
      <formula>"KAZANDI"</formula>
    </cfRule>
    <cfRule type="cellIs" priority="1260" operator="equal" aboveAverage="0" equalAverage="0" bottom="0" percent="0" rank="0" text="" dxfId="0">
      <formula>"KAYBETTİ"</formula>
    </cfRule>
  </conditionalFormatting>
  <conditionalFormatting sqref="G425">
    <cfRule type="cellIs" priority="1261" operator="equal" aboveAverage="0" equalAverage="0" bottom="0" percent="0" rank="0" text="" dxfId="1">
      <formula>"EVET"</formula>
    </cfRule>
  </conditionalFormatting>
  <conditionalFormatting sqref="H426">
    <cfRule type="cellIs" priority="1262" operator="equal" aboveAverage="0" equalAverage="0" bottom="0" percent="0" rank="0" text="" dxfId="2">
      <formula>"KAZANDI"</formula>
    </cfRule>
    <cfRule type="cellIs" priority="1263" operator="equal" aboveAverage="0" equalAverage="0" bottom="0" percent="0" rank="0" text="" dxfId="0">
      <formula>"KAYBETTİ"</formula>
    </cfRule>
  </conditionalFormatting>
  <conditionalFormatting sqref="G426">
    <cfRule type="cellIs" priority="1264" operator="equal" aboveAverage="0" equalAverage="0" bottom="0" percent="0" rank="0" text="" dxfId="1">
      <formula>"EVET"</formula>
    </cfRule>
  </conditionalFormatting>
  <conditionalFormatting sqref="H427">
    <cfRule type="cellIs" priority="1265" operator="equal" aboveAverage="0" equalAverage="0" bottom="0" percent="0" rank="0" text="" dxfId="2">
      <formula>"KAZANDI"</formula>
    </cfRule>
    <cfRule type="cellIs" priority="1266" operator="equal" aboveAverage="0" equalAverage="0" bottom="0" percent="0" rank="0" text="" dxfId="0">
      <formula>"KAYBETTİ"</formula>
    </cfRule>
  </conditionalFormatting>
  <conditionalFormatting sqref="G427">
    <cfRule type="cellIs" priority="1267" operator="equal" aboveAverage="0" equalAverage="0" bottom="0" percent="0" rank="0" text="" dxfId="1">
      <formula>"EVET"</formula>
    </cfRule>
  </conditionalFormatting>
  <conditionalFormatting sqref="H428">
    <cfRule type="cellIs" priority="1268" operator="equal" aboveAverage="0" equalAverage="0" bottom="0" percent="0" rank="0" text="" dxfId="2">
      <formula>"KAZANDI"</formula>
    </cfRule>
    <cfRule type="cellIs" priority="1269" operator="equal" aboveAverage="0" equalAverage="0" bottom="0" percent="0" rank="0" text="" dxfId="0">
      <formula>"KAYBETTİ"</formula>
    </cfRule>
  </conditionalFormatting>
  <conditionalFormatting sqref="G428">
    <cfRule type="cellIs" priority="1270" operator="equal" aboveAverage="0" equalAverage="0" bottom="0" percent="0" rank="0" text="" dxfId="1">
      <formula>"EVET"</formula>
    </cfRule>
  </conditionalFormatting>
  <conditionalFormatting sqref="H429">
    <cfRule type="cellIs" priority="1271" operator="equal" aboveAverage="0" equalAverage="0" bottom="0" percent="0" rank="0" text="" dxfId="2">
      <formula>"KAZANDI"</formula>
    </cfRule>
    <cfRule type="cellIs" priority="1272" operator="equal" aboveAverage="0" equalAverage="0" bottom="0" percent="0" rank="0" text="" dxfId="0">
      <formula>"KAYBETTİ"</formula>
    </cfRule>
  </conditionalFormatting>
  <conditionalFormatting sqref="G429">
    <cfRule type="cellIs" priority="1273" operator="equal" aboveAverage="0" equalAverage="0" bottom="0" percent="0" rank="0" text="" dxfId="1">
      <formula>"EVET"</formula>
    </cfRule>
  </conditionalFormatting>
  <conditionalFormatting sqref="H430">
    <cfRule type="cellIs" priority="1274" operator="equal" aboveAverage="0" equalAverage="0" bottom="0" percent="0" rank="0" text="" dxfId="2">
      <formula>"KAZANDI"</formula>
    </cfRule>
    <cfRule type="cellIs" priority="1275" operator="equal" aboveAverage="0" equalAverage="0" bottom="0" percent="0" rank="0" text="" dxfId="0">
      <formula>"KAYBETTİ"</formula>
    </cfRule>
  </conditionalFormatting>
  <conditionalFormatting sqref="G430">
    <cfRule type="cellIs" priority="1276" operator="equal" aboveAverage="0" equalAverage="0" bottom="0" percent="0" rank="0" text="" dxfId="1">
      <formula>"EVET"</formula>
    </cfRule>
  </conditionalFormatting>
  <conditionalFormatting sqref="H431">
    <cfRule type="cellIs" priority="1277" operator="equal" aboveAverage="0" equalAverage="0" bottom="0" percent="0" rank="0" text="" dxfId="2">
      <formula>"KAZANDI"</formula>
    </cfRule>
    <cfRule type="cellIs" priority="1278" operator="equal" aboveAverage="0" equalAverage="0" bottom="0" percent="0" rank="0" text="" dxfId="0">
      <formula>"KAYBETTİ"</formula>
    </cfRule>
  </conditionalFormatting>
  <conditionalFormatting sqref="G431">
    <cfRule type="cellIs" priority="1279" operator="equal" aboveAverage="0" equalAverage="0" bottom="0" percent="0" rank="0" text="" dxfId="1">
      <formula>"EVET"</formula>
    </cfRule>
  </conditionalFormatting>
  <conditionalFormatting sqref="H432">
    <cfRule type="cellIs" priority="1280" operator="equal" aboveAverage="0" equalAverage="0" bottom="0" percent="0" rank="0" text="" dxfId="2">
      <formula>"KAZANDI"</formula>
    </cfRule>
    <cfRule type="cellIs" priority="1281" operator="equal" aboveAverage="0" equalAverage="0" bottom="0" percent="0" rank="0" text="" dxfId="0">
      <formula>"KAYBETTİ"</formula>
    </cfRule>
  </conditionalFormatting>
  <conditionalFormatting sqref="G432">
    <cfRule type="cellIs" priority="1282" operator="equal" aboveAverage="0" equalAverage="0" bottom="0" percent="0" rank="0" text="" dxfId="1">
      <formula>"EVET"</formula>
    </cfRule>
  </conditionalFormatting>
  <conditionalFormatting sqref="H433">
    <cfRule type="cellIs" priority="1283" operator="equal" aboveAverage="0" equalAverage="0" bottom="0" percent="0" rank="0" text="" dxfId="2">
      <formula>"KAZANDI"</formula>
    </cfRule>
    <cfRule type="cellIs" priority="1284" operator="equal" aboveAverage="0" equalAverage="0" bottom="0" percent="0" rank="0" text="" dxfId="0">
      <formula>"KAYBETTİ"</formula>
    </cfRule>
  </conditionalFormatting>
  <conditionalFormatting sqref="G433">
    <cfRule type="cellIs" priority="1285" operator="equal" aboveAverage="0" equalAverage="0" bottom="0" percent="0" rank="0" text="" dxfId="1">
      <formula>"EVET"</formula>
    </cfRule>
  </conditionalFormatting>
  <conditionalFormatting sqref="H434">
    <cfRule type="cellIs" priority="1286" operator="equal" aboveAverage="0" equalAverage="0" bottom="0" percent="0" rank="0" text="" dxfId="2">
      <formula>"KAZANDI"</formula>
    </cfRule>
    <cfRule type="cellIs" priority="1287" operator="equal" aboveAverage="0" equalAverage="0" bottom="0" percent="0" rank="0" text="" dxfId="0">
      <formula>"KAYBETTİ"</formula>
    </cfRule>
  </conditionalFormatting>
  <conditionalFormatting sqref="G434">
    <cfRule type="cellIs" priority="1288" operator="equal" aboveAverage="0" equalAverage="0" bottom="0" percent="0" rank="0" text="" dxfId="1">
      <formula>"EVET"</formula>
    </cfRule>
  </conditionalFormatting>
  <conditionalFormatting sqref="H435">
    <cfRule type="cellIs" priority="1289" operator="equal" aboveAverage="0" equalAverage="0" bottom="0" percent="0" rank="0" text="" dxfId="2">
      <formula>"KAZANDI"</formula>
    </cfRule>
    <cfRule type="cellIs" priority="1290" operator="equal" aboveAverage="0" equalAverage="0" bottom="0" percent="0" rank="0" text="" dxfId="0">
      <formula>"KAYBETTİ"</formula>
    </cfRule>
  </conditionalFormatting>
  <conditionalFormatting sqref="G435">
    <cfRule type="cellIs" priority="1291" operator="equal" aboveAverage="0" equalAverage="0" bottom="0" percent="0" rank="0" text="" dxfId="1">
      <formula>"EVET"</formula>
    </cfRule>
  </conditionalFormatting>
  <conditionalFormatting sqref="H436">
    <cfRule type="cellIs" priority="1292" operator="equal" aboveAverage="0" equalAverage="0" bottom="0" percent="0" rank="0" text="" dxfId="2">
      <formula>"KAZANDI"</formula>
    </cfRule>
    <cfRule type="cellIs" priority="1293" operator="equal" aboveAverage="0" equalAverage="0" bottom="0" percent="0" rank="0" text="" dxfId="0">
      <formula>"KAYBETTİ"</formula>
    </cfRule>
  </conditionalFormatting>
  <conditionalFormatting sqref="G436">
    <cfRule type="cellIs" priority="1294" operator="equal" aboveAverage="0" equalAverage="0" bottom="0" percent="0" rank="0" text="" dxfId="1">
      <formula>"EVET"</formula>
    </cfRule>
  </conditionalFormatting>
  <conditionalFormatting sqref="H437">
    <cfRule type="cellIs" priority="1295" operator="equal" aboveAverage="0" equalAverage="0" bottom="0" percent="0" rank="0" text="" dxfId="2">
      <formula>"KAZANDI"</formula>
    </cfRule>
    <cfRule type="cellIs" priority="1296" operator="equal" aboveAverage="0" equalAverage="0" bottom="0" percent="0" rank="0" text="" dxfId="0">
      <formula>"KAYBETTİ"</formula>
    </cfRule>
  </conditionalFormatting>
  <conditionalFormatting sqref="G437">
    <cfRule type="cellIs" priority="1297" operator="equal" aboveAverage="0" equalAverage="0" bottom="0" percent="0" rank="0" text="" dxfId="1">
      <formula>"EVET"</formula>
    </cfRule>
  </conditionalFormatting>
  <conditionalFormatting sqref="H438">
    <cfRule type="cellIs" priority="1298" operator="equal" aboveAverage="0" equalAverage="0" bottom="0" percent="0" rank="0" text="" dxfId="2">
      <formula>"KAZANDI"</formula>
    </cfRule>
    <cfRule type="cellIs" priority="1299" operator="equal" aboveAverage="0" equalAverage="0" bottom="0" percent="0" rank="0" text="" dxfId="0">
      <formula>"KAYBETTİ"</formula>
    </cfRule>
  </conditionalFormatting>
  <conditionalFormatting sqref="G438">
    <cfRule type="cellIs" priority="1300" operator="equal" aboveAverage="0" equalAverage="0" bottom="0" percent="0" rank="0" text="" dxfId="1">
      <formula>"EVET"</formula>
    </cfRule>
  </conditionalFormatting>
  <conditionalFormatting sqref="H439">
    <cfRule type="cellIs" priority="1301" operator="equal" aboveAverage="0" equalAverage="0" bottom="0" percent="0" rank="0" text="" dxfId="2">
      <formula>"KAZANDI"</formula>
    </cfRule>
    <cfRule type="cellIs" priority="1302" operator="equal" aboveAverage="0" equalAverage="0" bottom="0" percent="0" rank="0" text="" dxfId="0">
      <formula>"KAYBETTİ"</formula>
    </cfRule>
  </conditionalFormatting>
  <conditionalFormatting sqref="G439">
    <cfRule type="cellIs" priority="1303" operator="equal" aboveAverage="0" equalAverage="0" bottom="0" percent="0" rank="0" text="" dxfId="1">
      <formula>"EVET"</formula>
    </cfRule>
  </conditionalFormatting>
  <conditionalFormatting sqref="H440">
    <cfRule type="cellIs" priority="1304" operator="equal" aboveAverage="0" equalAverage="0" bottom="0" percent="0" rank="0" text="" dxfId="2">
      <formula>"KAZANDI"</formula>
    </cfRule>
    <cfRule type="cellIs" priority="1305" operator="equal" aboveAverage="0" equalAverage="0" bottom="0" percent="0" rank="0" text="" dxfId="0">
      <formula>"KAYBETTİ"</formula>
    </cfRule>
  </conditionalFormatting>
  <conditionalFormatting sqref="G440">
    <cfRule type="cellIs" priority="1306" operator="equal" aboveAverage="0" equalAverage="0" bottom="0" percent="0" rank="0" text="" dxfId="1">
      <formula>"EVET"</formula>
    </cfRule>
  </conditionalFormatting>
  <conditionalFormatting sqref="H441">
    <cfRule type="cellIs" priority="1307" operator="equal" aboveAverage="0" equalAverage="0" bottom="0" percent="0" rank="0" text="" dxfId="2">
      <formula>"KAZANDI"</formula>
    </cfRule>
    <cfRule type="cellIs" priority="1308" operator="equal" aboveAverage="0" equalAverage="0" bottom="0" percent="0" rank="0" text="" dxfId="0">
      <formula>"KAYBETTİ"</formula>
    </cfRule>
  </conditionalFormatting>
  <conditionalFormatting sqref="G441">
    <cfRule type="cellIs" priority="1309" operator="equal" aboveAverage="0" equalAverage="0" bottom="0" percent="0" rank="0" text="" dxfId="1">
      <formula>"EVET"</formula>
    </cfRule>
  </conditionalFormatting>
  <conditionalFormatting sqref="H442">
    <cfRule type="cellIs" priority="1310" operator="equal" aboveAverage="0" equalAverage="0" bottom="0" percent="0" rank="0" text="" dxfId="2">
      <formula>"KAZANDI"</formula>
    </cfRule>
    <cfRule type="cellIs" priority="1311" operator="equal" aboveAverage="0" equalAverage="0" bottom="0" percent="0" rank="0" text="" dxfId="0">
      <formula>"KAYBETTİ"</formula>
    </cfRule>
  </conditionalFormatting>
  <conditionalFormatting sqref="G442">
    <cfRule type="cellIs" priority="1312" operator="equal" aboveAverage="0" equalAverage="0" bottom="0" percent="0" rank="0" text="" dxfId="1">
      <formula>"EVET"</formula>
    </cfRule>
  </conditionalFormatting>
  <conditionalFormatting sqref="H443">
    <cfRule type="cellIs" priority="1313" operator="equal" aboveAverage="0" equalAverage="0" bottom="0" percent="0" rank="0" text="" dxfId="2">
      <formula>"KAZANDI"</formula>
    </cfRule>
    <cfRule type="cellIs" priority="1314" operator="equal" aboveAverage="0" equalAverage="0" bottom="0" percent="0" rank="0" text="" dxfId="0">
      <formula>"KAYBETTİ"</formula>
    </cfRule>
  </conditionalFormatting>
  <conditionalFormatting sqref="G443">
    <cfRule type="cellIs" priority="1315" operator="equal" aboveAverage="0" equalAverage="0" bottom="0" percent="0" rank="0" text="" dxfId="1">
      <formula>"EVET"</formula>
    </cfRule>
  </conditionalFormatting>
  <conditionalFormatting sqref="H444">
    <cfRule type="cellIs" priority="1316" operator="equal" aboveAverage="0" equalAverage="0" bottom="0" percent="0" rank="0" text="" dxfId="2">
      <formula>"KAZANDI"</formula>
    </cfRule>
    <cfRule type="cellIs" priority="1317" operator="equal" aboveAverage="0" equalAverage="0" bottom="0" percent="0" rank="0" text="" dxfId="0">
      <formula>"KAYBETTİ"</formula>
    </cfRule>
  </conditionalFormatting>
  <conditionalFormatting sqref="G444">
    <cfRule type="cellIs" priority="1318" operator="equal" aboveAverage="0" equalAverage="0" bottom="0" percent="0" rank="0" text="" dxfId="1">
      <formula>"EVET"</formula>
    </cfRule>
  </conditionalFormatting>
  <conditionalFormatting sqref="H445">
    <cfRule type="cellIs" priority="1319" operator="equal" aboveAverage="0" equalAverage="0" bottom="0" percent="0" rank="0" text="" dxfId="2">
      <formula>"KAZANDI"</formula>
    </cfRule>
    <cfRule type="cellIs" priority="1320" operator="equal" aboveAverage="0" equalAverage="0" bottom="0" percent="0" rank="0" text="" dxfId="0">
      <formula>"KAYBETTİ"</formula>
    </cfRule>
  </conditionalFormatting>
  <conditionalFormatting sqref="G445">
    <cfRule type="cellIs" priority="1321" operator="equal" aboveAverage="0" equalAverage="0" bottom="0" percent="0" rank="0" text="" dxfId="1">
      <formula>"EVET"</formula>
    </cfRule>
  </conditionalFormatting>
  <conditionalFormatting sqref="H446">
    <cfRule type="cellIs" priority="1322" operator="equal" aboveAverage="0" equalAverage="0" bottom="0" percent="0" rank="0" text="" dxfId="2">
      <formula>"KAZANDI"</formula>
    </cfRule>
    <cfRule type="cellIs" priority="1323" operator="equal" aboveAverage="0" equalAverage="0" bottom="0" percent="0" rank="0" text="" dxfId="0">
      <formula>"KAYBETTİ"</formula>
    </cfRule>
  </conditionalFormatting>
  <conditionalFormatting sqref="G446">
    <cfRule type="cellIs" priority="1324" operator="equal" aboveAverage="0" equalAverage="0" bottom="0" percent="0" rank="0" text="" dxfId="1">
      <formula>"EVET"</formula>
    </cfRule>
  </conditionalFormatting>
  <conditionalFormatting sqref="H447">
    <cfRule type="cellIs" priority="1325" operator="equal" aboveAverage="0" equalAverage="0" bottom="0" percent="0" rank="0" text="" dxfId="2">
      <formula>"KAZANDI"</formula>
    </cfRule>
    <cfRule type="cellIs" priority="1326" operator="equal" aboveAverage="0" equalAverage="0" bottom="0" percent="0" rank="0" text="" dxfId="0">
      <formula>"KAYBETTİ"</formula>
    </cfRule>
  </conditionalFormatting>
  <conditionalFormatting sqref="G447">
    <cfRule type="cellIs" priority="1327" operator="equal" aboveAverage="0" equalAverage="0" bottom="0" percent="0" rank="0" text="" dxfId="1">
      <formula>"EVET"</formula>
    </cfRule>
  </conditionalFormatting>
  <conditionalFormatting sqref="H448">
    <cfRule type="cellIs" priority="1328" operator="equal" aboveAverage="0" equalAverage="0" bottom="0" percent="0" rank="0" text="" dxfId="2">
      <formula>"KAZANDI"</formula>
    </cfRule>
    <cfRule type="cellIs" priority="1329" operator="equal" aboveAverage="0" equalAverage="0" bottom="0" percent="0" rank="0" text="" dxfId="0">
      <formula>"KAYBETTİ"</formula>
    </cfRule>
  </conditionalFormatting>
  <conditionalFormatting sqref="G448">
    <cfRule type="cellIs" priority="1330" operator="equal" aboveAverage="0" equalAverage="0" bottom="0" percent="0" rank="0" text="" dxfId="1">
      <formula>"EVET"</formula>
    </cfRule>
  </conditionalFormatting>
  <conditionalFormatting sqref="H449">
    <cfRule type="cellIs" priority="1331" operator="equal" aboveAverage="0" equalAverage="0" bottom="0" percent="0" rank="0" text="" dxfId="2">
      <formula>"KAZANDI"</formula>
    </cfRule>
    <cfRule type="cellIs" priority="1332" operator="equal" aboveAverage="0" equalAverage="0" bottom="0" percent="0" rank="0" text="" dxfId="0">
      <formula>"KAYBETTİ"</formula>
    </cfRule>
  </conditionalFormatting>
  <conditionalFormatting sqref="G449">
    <cfRule type="cellIs" priority="1333" operator="equal" aboveAverage="0" equalAverage="0" bottom="0" percent="0" rank="0" text="" dxfId="1">
      <formula>"EVET"</formula>
    </cfRule>
  </conditionalFormatting>
  <conditionalFormatting sqref="H450">
    <cfRule type="cellIs" priority="1334" operator="equal" aboveAverage="0" equalAverage="0" bottom="0" percent="0" rank="0" text="" dxfId="2">
      <formula>"KAZANDI"</formula>
    </cfRule>
    <cfRule type="cellIs" priority="1335" operator="equal" aboveAverage="0" equalAverage="0" bottom="0" percent="0" rank="0" text="" dxfId="0">
      <formula>"KAYBETTİ"</formula>
    </cfRule>
  </conditionalFormatting>
  <conditionalFormatting sqref="G450">
    <cfRule type="cellIs" priority="1336" operator="equal" aboveAverage="0" equalAverage="0" bottom="0" percent="0" rank="0" text="" dxfId="1">
      <formula>"EVET"</formula>
    </cfRule>
  </conditionalFormatting>
  <conditionalFormatting sqref="H451">
    <cfRule type="cellIs" priority="1337" operator="equal" aboveAverage="0" equalAverage="0" bottom="0" percent="0" rank="0" text="" dxfId="2">
      <formula>"KAZANDI"</formula>
    </cfRule>
    <cfRule type="cellIs" priority="1338" operator="equal" aboveAverage="0" equalAverage="0" bottom="0" percent="0" rank="0" text="" dxfId="0">
      <formula>"KAYBETTİ"</formula>
    </cfRule>
  </conditionalFormatting>
  <conditionalFormatting sqref="G451">
    <cfRule type="cellIs" priority="1339" operator="equal" aboveAverage="0" equalAverage="0" bottom="0" percent="0" rank="0" text="" dxfId="1">
      <formula>"EVET"</formula>
    </cfRule>
  </conditionalFormatting>
  <conditionalFormatting sqref="H452">
    <cfRule type="cellIs" priority="1340" operator="equal" aboveAverage="0" equalAverage="0" bottom="0" percent="0" rank="0" text="" dxfId="2">
      <formula>"KAZANDI"</formula>
    </cfRule>
    <cfRule type="cellIs" priority="1341" operator="equal" aboveAverage="0" equalAverage="0" bottom="0" percent="0" rank="0" text="" dxfId="0">
      <formula>"KAYBETTİ"</formula>
    </cfRule>
  </conditionalFormatting>
  <conditionalFormatting sqref="G452">
    <cfRule type="cellIs" priority="1342" operator="equal" aboveAverage="0" equalAverage="0" bottom="0" percent="0" rank="0" text="" dxfId="1">
      <formula>"EVET"</formula>
    </cfRule>
  </conditionalFormatting>
  <conditionalFormatting sqref="H453">
    <cfRule type="cellIs" priority="1343" operator="equal" aboveAverage="0" equalAverage="0" bottom="0" percent="0" rank="0" text="" dxfId="2">
      <formula>"KAZANDI"</formula>
    </cfRule>
    <cfRule type="cellIs" priority="1344" operator="equal" aboveAverage="0" equalAverage="0" bottom="0" percent="0" rank="0" text="" dxfId="0">
      <formula>"KAYBETTİ"</formula>
    </cfRule>
  </conditionalFormatting>
  <conditionalFormatting sqref="G453">
    <cfRule type="cellIs" priority="1345" operator="equal" aboveAverage="0" equalAverage="0" bottom="0" percent="0" rank="0" text="" dxfId="1">
      <formula>"EVET"</formula>
    </cfRule>
  </conditionalFormatting>
  <conditionalFormatting sqref="H454">
    <cfRule type="cellIs" priority="1346" operator="equal" aboveAverage="0" equalAverage="0" bottom="0" percent="0" rank="0" text="" dxfId="2">
      <formula>"KAZANDI"</formula>
    </cfRule>
    <cfRule type="cellIs" priority="1347" operator="equal" aboveAverage="0" equalAverage="0" bottom="0" percent="0" rank="0" text="" dxfId="0">
      <formula>"KAYBETTİ"</formula>
    </cfRule>
  </conditionalFormatting>
  <conditionalFormatting sqref="G454">
    <cfRule type="cellIs" priority="1348" operator="equal" aboveAverage="0" equalAverage="0" bottom="0" percent="0" rank="0" text="" dxfId="1">
      <formula>"EVET"</formula>
    </cfRule>
  </conditionalFormatting>
  <conditionalFormatting sqref="H455">
    <cfRule type="cellIs" priority="1349" operator="equal" aboveAverage="0" equalAverage="0" bottom="0" percent="0" rank="0" text="" dxfId="2">
      <formula>"KAZANDI"</formula>
    </cfRule>
    <cfRule type="cellIs" priority="1350" operator="equal" aboveAverage="0" equalAverage="0" bottom="0" percent="0" rank="0" text="" dxfId="0">
      <formula>"KAYBETTİ"</formula>
    </cfRule>
  </conditionalFormatting>
  <conditionalFormatting sqref="G455">
    <cfRule type="cellIs" priority="1351" operator="equal" aboveAverage="0" equalAverage="0" bottom="0" percent="0" rank="0" text="" dxfId="1">
      <formula>"EVET"</formula>
    </cfRule>
  </conditionalFormatting>
  <conditionalFormatting sqref="H456">
    <cfRule type="cellIs" priority="1352" operator="equal" aboveAverage="0" equalAverage="0" bottom="0" percent="0" rank="0" text="" dxfId="2">
      <formula>"KAZANDI"</formula>
    </cfRule>
    <cfRule type="cellIs" priority="1353" operator="equal" aboveAverage="0" equalAverage="0" bottom="0" percent="0" rank="0" text="" dxfId="0">
      <formula>"KAYBETTİ"</formula>
    </cfRule>
  </conditionalFormatting>
  <conditionalFormatting sqref="G456">
    <cfRule type="cellIs" priority="1354" operator="equal" aboveAverage="0" equalAverage="0" bottom="0" percent="0" rank="0" text="" dxfId="1">
      <formula>"EVET"</formula>
    </cfRule>
  </conditionalFormatting>
  <conditionalFormatting sqref="H457">
    <cfRule type="cellIs" priority="1355" operator="equal" aboveAverage="0" equalAverage="0" bottom="0" percent="0" rank="0" text="" dxfId="2">
      <formula>"KAZANDI"</formula>
    </cfRule>
    <cfRule type="cellIs" priority="1356" operator="equal" aboveAverage="0" equalAverage="0" bottom="0" percent="0" rank="0" text="" dxfId="0">
      <formula>"KAYBETTİ"</formula>
    </cfRule>
  </conditionalFormatting>
  <conditionalFormatting sqref="G457">
    <cfRule type="cellIs" priority="1357" operator="equal" aboveAverage="0" equalAverage="0" bottom="0" percent="0" rank="0" text="" dxfId="1">
      <formula>"EVET"</formula>
    </cfRule>
  </conditionalFormatting>
  <conditionalFormatting sqref="H458">
    <cfRule type="cellIs" priority="1358" operator="equal" aboveAverage="0" equalAverage="0" bottom="0" percent="0" rank="0" text="" dxfId="2">
      <formula>"KAZANDI"</formula>
    </cfRule>
    <cfRule type="cellIs" priority="1359" operator="equal" aboveAverage="0" equalAverage="0" bottom="0" percent="0" rank="0" text="" dxfId="0">
      <formula>"KAYBETTİ"</formula>
    </cfRule>
  </conditionalFormatting>
  <conditionalFormatting sqref="G458">
    <cfRule type="cellIs" priority="1360" operator="equal" aboveAverage="0" equalAverage="0" bottom="0" percent="0" rank="0" text="" dxfId="1">
      <formula>"EVET"</formula>
    </cfRule>
  </conditionalFormatting>
  <conditionalFormatting sqref="H459">
    <cfRule type="cellIs" priority="1361" operator="equal" aboveAverage="0" equalAverage="0" bottom="0" percent="0" rank="0" text="" dxfId="2">
      <formula>"KAZANDI"</formula>
    </cfRule>
    <cfRule type="cellIs" priority="1362" operator="equal" aboveAverage="0" equalAverage="0" bottom="0" percent="0" rank="0" text="" dxfId="0">
      <formula>"KAYBETTİ"</formula>
    </cfRule>
  </conditionalFormatting>
  <conditionalFormatting sqref="G459">
    <cfRule type="cellIs" priority="1363" operator="equal" aboveAverage="0" equalAverage="0" bottom="0" percent="0" rank="0" text="" dxfId="1">
      <formula>"EVET"</formula>
    </cfRule>
  </conditionalFormatting>
  <conditionalFormatting sqref="H460">
    <cfRule type="cellIs" priority="1364" operator="equal" aboveAverage="0" equalAverage="0" bottom="0" percent="0" rank="0" text="" dxfId="2">
      <formula>"KAZANDI"</formula>
    </cfRule>
    <cfRule type="cellIs" priority="1365" operator="equal" aboveAverage="0" equalAverage="0" bottom="0" percent="0" rank="0" text="" dxfId="0">
      <formula>"KAYBETTİ"</formula>
    </cfRule>
  </conditionalFormatting>
  <conditionalFormatting sqref="G460">
    <cfRule type="cellIs" priority="1366" operator="equal" aboveAverage="0" equalAverage="0" bottom="0" percent="0" rank="0" text="" dxfId="1">
      <formula>"EVET"</formula>
    </cfRule>
  </conditionalFormatting>
  <conditionalFormatting sqref="H461">
    <cfRule type="cellIs" priority="1367" operator="equal" aboveAverage="0" equalAverage="0" bottom="0" percent="0" rank="0" text="" dxfId="2">
      <formula>"KAZANDI"</formula>
    </cfRule>
    <cfRule type="cellIs" priority="1368" operator="equal" aboveAverage="0" equalAverage="0" bottom="0" percent="0" rank="0" text="" dxfId="0">
      <formula>"KAYBETTİ"</formula>
    </cfRule>
  </conditionalFormatting>
  <conditionalFormatting sqref="G461">
    <cfRule type="cellIs" priority="1369" operator="equal" aboveAverage="0" equalAverage="0" bottom="0" percent="0" rank="0" text="" dxfId="1">
      <formula>"EVET"</formula>
    </cfRule>
  </conditionalFormatting>
  <conditionalFormatting sqref="H462">
    <cfRule type="cellIs" priority="1370" operator="equal" aboveAverage="0" equalAverage="0" bottom="0" percent="0" rank="0" text="" dxfId="2">
      <formula>"KAZANDI"</formula>
    </cfRule>
    <cfRule type="cellIs" priority="1371" operator="equal" aboveAverage="0" equalAverage="0" bottom="0" percent="0" rank="0" text="" dxfId="0">
      <formula>"KAYBETTİ"</formula>
    </cfRule>
  </conditionalFormatting>
  <conditionalFormatting sqref="G462">
    <cfRule type="cellIs" priority="1372" operator="equal" aboveAverage="0" equalAverage="0" bottom="0" percent="0" rank="0" text="" dxfId="1">
      <formula>"EVET"</formula>
    </cfRule>
  </conditionalFormatting>
  <conditionalFormatting sqref="H463">
    <cfRule type="cellIs" priority="1373" operator="equal" aboveAverage="0" equalAverage="0" bottom="0" percent="0" rank="0" text="" dxfId="2">
      <formula>"KAZANDI"</formula>
    </cfRule>
    <cfRule type="cellIs" priority="1374" operator="equal" aboveAverage="0" equalAverage="0" bottom="0" percent="0" rank="0" text="" dxfId="0">
      <formula>"KAYBETTİ"</formula>
    </cfRule>
  </conditionalFormatting>
  <conditionalFormatting sqref="G463">
    <cfRule type="cellIs" priority="1375" operator="equal" aboveAverage="0" equalAverage="0" bottom="0" percent="0" rank="0" text="" dxfId="1">
      <formula>"EVET"</formula>
    </cfRule>
  </conditionalFormatting>
  <conditionalFormatting sqref="H464">
    <cfRule type="cellIs" priority="1376" operator="equal" aboveAverage="0" equalAverage="0" bottom="0" percent="0" rank="0" text="" dxfId="2">
      <formula>"KAZANDI"</formula>
    </cfRule>
    <cfRule type="cellIs" priority="1377" operator="equal" aboveAverage="0" equalAverage="0" bottom="0" percent="0" rank="0" text="" dxfId="0">
      <formula>"KAYBETTİ"</formula>
    </cfRule>
  </conditionalFormatting>
  <conditionalFormatting sqref="G464">
    <cfRule type="cellIs" priority="1378" operator="equal" aboveAverage="0" equalAverage="0" bottom="0" percent="0" rank="0" text="" dxfId="1">
      <formula>"EVET"</formula>
    </cfRule>
  </conditionalFormatting>
  <conditionalFormatting sqref="H465">
    <cfRule type="cellIs" priority="1379" operator="equal" aboveAverage="0" equalAverage="0" bottom="0" percent="0" rank="0" text="" dxfId="2">
      <formula>"KAZANDI"</formula>
    </cfRule>
    <cfRule type="cellIs" priority="1380" operator="equal" aboveAverage="0" equalAverage="0" bottom="0" percent="0" rank="0" text="" dxfId="0">
      <formula>"KAYBETTİ"</formula>
    </cfRule>
  </conditionalFormatting>
  <conditionalFormatting sqref="G465">
    <cfRule type="cellIs" priority="1381" operator="equal" aboveAverage="0" equalAverage="0" bottom="0" percent="0" rank="0" text="" dxfId="1">
      <formula>"EVET"</formula>
    </cfRule>
  </conditionalFormatting>
  <conditionalFormatting sqref="H466">
    <cfRule type="cellIs" priority="1382" operator="equal" aboveAverage="0" equalAverage="0" bottom="0" percent="0" rank="0" text="" dxfId="2">
      <formula>"KAZANDI"</formula>
    </cfRule>
    <cfRule type="cellIs" priority="1383" operator="equal" aboveAverage="0" equalAverage="0" bottom="0" percent="0" rank="0" text="" dxfId="0">
      <formula>"KAYBETTİ"</formula>
    </cfRule>
  </conditionalFormatting>
  <conditionalFormatting sqref="G466">
    <cfRule type="cellIs" priority="1384" operator="equal" aboveAverage="0" equalAverage="0" bottom="0" percent="0" rank="0" text="" dxfId="1">
      <formula>"EVET"</formula>
    </cfRule>
  </conditionalFormatting>
  <conditionalFormatting sqref="H467">
    <cfRule type="cellIs" priority="1385" operator="equal" aboveAverage="0" equalAverage="0" bottom="0" percent="0" rank="0" text="" dxfId="2">
      <formula>"KAZANDI"</formula>
    </cfRule>
    <cfRule type="cellIs" priority="1386" operator="equal" aboveAverage="0" equalAverage="0" bottom="0" percent="0" rank="0" text="" dxfId="0">
      <formula>"KAYBETTİ"</formula>
    </cfRule>
  </conditionalFormatting>
  <conditionalFormatting sqref="G467">
    <cfRule type="cellIs" priority="1387" operator="equal" aboveAverage="0" equalAverage="0" bottom="0" percent="0" rank="0" text="" dxfId="1">
      <formula>"EVET"</formula>
    </cfRule>
  </conditionalFormatting>
  <conditionalFormatting sqref="H468">
    <cfRule type="cellIs" priority="1388" operator="equal" aboveAverage="0" equalAverage="0" bottom="0" percent="0" rank="0" text="" dxfId="2">
      <formula>"KAZANDI"</formula>
    </cfRule>
    <cfRule type="cellIs" priority="1389" operator="equal" aboveAverage="0" equalAverage="0" bottom="0" percent="0" rank="0" text="" dxfId="0">
      <formula>"KAYBETTİ"</formula>
    </cfRule>
  </conditionalFormatting>
  <conditionalFormatting sqref="G468">
    <cfRule type="cellIs" priority="1390" operator="equal" aboveAverage="0" equalAverage="0" bottom="0" percent="0" rank="0" text="" dxfId="1">
      <formula>"EVET"</formula>
    </cfRule>
  </conditionalFormatting>
  <conditionalFormatting sqref="H469">
    <cfRule type="cellIs" priority="1391" operator="equal" aboveAverage="0" equalAverage="0" bottom="0" percent="0" rank="0" text="" dxfId="2">
      <formula>"KAZANDI"</formula>
    </cfRule>
    <cfRule type="cellIs" priority="1392" operator="equal" aboveAverage="0" equalAverage="0" bottom="0" percent="0" rank="0" text="" dxfId="0">
      <formula>"KAYBETTİ"</formula>
    </cfRule>
  </conditionalFormatting>
  <conditionalFormatting sqref="G469">
    <cfRule type="cellIs" priority="1393" operator="equal" aboveAverage="0" equalAverage="0" bottom="0" percent="0" rank="0" text="" dxfId="1">
      <formula>"EVET"</formula>
    </cfRule>
  </conditionalFormatting>
  <conditionalFormatting sqref="H470">
    <cfRule type="cellIs" priority="1394" operator="equal" aboveAverage="0" equalAverage="0" bottom="0" percent="0" rank="0" text="" dxfId="2">
      <formula>"KAZANDI"</formula>
    </cfRule>
    <cfRule type="cellIs" priority="1395" operator="equal" aboveAverage="0" equalAverage="0" bottom="0" percent="0" rank="0" text="" dxfId="0">
      <formula>"KAYBETTİ"</formula>
    </cfRule>
  </conditionalFormatting>
  <conditionalFormatting sqref="G470">
    <cfRule type="cellIs" priority="1396" operator="equal" aboveAverage="0" equalAverage="0" bottom="0" percent="0" rank="0" text="" dxfId="1">
      <formula>"EVET"</formula>
    </cfRule>
  </conditionalFormatting>
  <conditionalFormatting sqref="H471">
    <cfRule type="cellIs" priority="1397" operator="equal" aboveAverage="0" equalAverage="0" bottom="0" percent="0" rank="0" text="" dxfId="2">
      <formula>"KAZANDI"</formula>
    </cfRule>
    <cfRule type="cellIs" priority="1398" operator="equal" aboveAverage="0" equalAverage="0" bottom="0" percent="0" rank="0" text="" dxfId="0">
      <formula>"KAYBETTİ"</formula>
    </cfRule>
  </conditionalFormatting>
  <conditionalFormatting sqref="G471">
    <cfRule type="cellIs" priority="1399" operator="equal" aboveAverage="0" equalAverage="0" bottom="0" percent="0" rank="0" text="" dxfId="1">
      <formula>"EVET"</formula>
    </cfRule>
  </conditionalFormatting>
  <conditionalFormatting sqref="H472">
    <cfRule type="cellIs" priority="1400" operator="equal" aboveAverage="0" equalAverage="0" bottom="0" percent="0" rank="0" text="" dxfId="2">
      <formula>"KAZANDI"</formula>
    </cfRule>
    <cfRule type="cellIs" priority="1401" operator="equal" aboveAverage="0" equalAverage="0" bottom="0" percent="0" rank="0" text="" dxfId="0">
      <formula>"KAYBETTİ"</formula>
    </cfRule>
  </conditionalFormatting>
  <conditionalFormatting sqref="G472">
    <cfRule type="cellIs" priority="1402" operator="equal" aboveAverage="0" equalAverage="0" bottom="0" percent="0" rank="0" text="" dxfId="1">
      <formula>"EVET"</formula>
    </cfRule>
  </conditionalFormatting>
  <conditionalFormatting sqref="H473">
    <cfRule type="cellIs" priority="1403" operator="equal" aboveAverage="0" equalAverage="0" bottom="0" percent="0" rank="0" text="" dxfId="2">
      <formula>"KAZANDI"</formula>
    </cfRule>
    <cfRule type="cellIs" priority="1404" operator="equal" aboveAverage="0" equalAverage="0" bottom="0" percent="0" rank="0" text="" dxfId="0">
      <formula>"KAYBETTİ"</formula>
    </cfRule>
  </conditionalFormatting>
  <conditionalFormatting sqref="G473">
    <cfRule type="cellIs" priority="1405" operator="equal" aboveAverage="0" equalAverage="0" bottom="0" percent="0" rank="0" text="" dxfId="1">
      <formula>"EVET"</formula>
    </cfRule>
  </conditionalFormatting>
  <conditionalFormatting sqref="H474">
    <cfRule type="cellIs" priority="1406" operator="equal" aboveAverage="0" equalAverage="0" bottom="0" percent="0" rank="0" text="" dxfId="2">
      <formula>"KAZANDI"</formula>
    </cfRule>
    <cfRule type="cellIs" priority="1407" operator="equal" aboveAverage="0" equalAverage="0" bottom="0" percent="0" rank="0" text="" dxfId="0">
      <formula>"KAYBETTİ"</formula>
    </cfRule>
  </conditionalFormatting>
  <conditionalFormatting sqref="G474">
    <cfRule type="cellIs" priority="1408" operator="equal" aboveAverage="0" equalAverage="0" bottom="0" percent="0" rank="0" text="" dxfId="1">
      <formula>"EVET"</formula>
    </cfRule>
  </conditionalFormatting>
  <conditionalFormatting sqref="H475">
    <cfRule type="cellIs" priority="1409" operator="equal" aboveAverage="0" equalAverage="0" bottom="0" percent="0" rank="0" text="" dxfId="2">
      <formula>"KAZANDI"</formula>
    </cfRule>
    <cfRule type="cellIs" priority="1410" operator="equal" aboveAverage="0" equalAverage="0" bottom="0" percent="0" rank="0" text="" dxfId="0">
      <formula>"KAYBETTİ"</formula>
    </cfRule>
  </conditionalFormatting>
  <conditionalFormatting sqref="G475">
    <cfRule type="cellIs" priority="1411" operator="equal" aboveAverage="0" equalAverage="0" bottom="0" percent="0" rank="0" text="" dxfId="1">
      <formula>"EVET"</formula>
    </cfRule>
  </conditionalFormatting>
  <conditionalFormatting sqref="H476">
    <cfRule type="cellIs" priority="1412" operator="equal" aboveAverage="0" equalAverage="0" bottom="0" percent="0" rank="0" text="" dxfId="2">
      <formula>"KAZANDI"</formula>
    </cfRule>
    <cfRule type="cellIs" priority="1413" operator="equal" aboveAverage="0" equalAverage="0" bottom="0" percent="0" rank="0" text="" dxfId="0">
      <formula>"KAYBETTİ"</formula>
    </cfRule>
  </conditionalFormatting>
  <conditionalFormatting sqref="G476">
    <cfRule type="cellIs" priority="1414" operator="equal" aboveAverage="0" equalAverage="0" bottom="0" percent="0" rank="0" text="" dxfId="1">
      <formula>"EVET"</formula>
    </cfRule>
  </conditionalFormatting>
  <conditionalFormatting sqref="H477">
    <cfRule type="cellIs" priority="1415" operator="equal" aboveAverage="0" equalAverage="0" bottom="0" percent="0" rank="0" text="" dxfId="2">
      <formula>"KAZANDI"</formula>
    </cfRule>
    <cfRule type="cellIs" priority="1416" operator="equal" aboveAverage="0" equalAverage="0" bottom="0" percent="0" rank="0" text="" dxfId="0">
      <formula>"KAYBETTİ"</formula>
    </cfRule>
  </conditionalFormatting>
  <conditionalFormatting sqref="G477">
    <cfRule type="cellIs" priority="1417" operator="equal" aboveAverage="0" equalAverage="0" bottom="0" percent="0" rank="0" text="" dxfId="1">
      <formula>"EVET"</formula>
    </cfRule>
  </conditionalFormatting>
  <conditionalFormatting sqref="H478">
    <cfRule type="cellIs" priority="1418" operator="equal" aboveAverage="0" equalAverage="0" bottom="0" percent="0" rank="0" text="" dxfId="2">
      <formula>"KAZANDI"</formula>
    </cfRule>
    <cfRule type="cellIs" priority="1419" operator="equal" aboveAverage="0" equalAverage="0" bottom="0" percent="0" rank="0" text="" dxfId="0">
      <formula>"KAYBETTİ"</formula>
    </cfRule>
  </conditionalFormatting>
  <conditionalFormatting sqref="G478">
    <cfRule type="cellIs" priority="1420" operator="equal" aboveAverage="0" equalAverage="0" bottom="0" percent="0" rank="0" text="" dxfId="1">
      <formula>"EVET"</formula>
    </cfRule>
  </conditionalFormatting>
  <conditionalFormatting sqref="H479">
    <cfRule type="cellIs" priority="1421" operator="equal" aboveAverage="0" equalAverage="0" bottom="0" percent="0" rank="0" text="" dxfId="2">
      <formula>"KAZANDI"</formula>
    </cfRule>
    <cfRule type="cellIs" priority="1422" operator="equal" aboveAverage="0" equalAverage="0" bottom="0" percent="0" rank="0" text="" dxfId="0">
      <formula>"KAYBETTİ"</formula>
    </cfRule>
  </conditionalFormatting>
  <conditionalFormatting sqref="G479">
    <cfRule type="cellIs" priority="1423" operator="equal" aboveAverage="0" equalAverage="0" bottom="0" percent="0" rank="0" text="" dxfId="1">
      <formula>"EVET"</formula>
    </cfRule>
  </conditionalFormatting>
  <conditionalFormatting sqref="H480">
    <cfRule type="cellIs" priority="1424" operator="equal" aboveAverage="0" equalAverage="0" bottom="0" percent="0" rank="0" text="" dxfId="2">
      <formula>"KAZANDI"</formula>
    </cfRule>
    <cfRule type="cellIs" priority="1425" operator="equal" aboveAverage="0" equalAverage="0" bottom="0" percent="0" rank="0" text="" dxfId="0">
      <formula>"KAYBETTİ"</formula>
    </cfRule>
  </conditionalFormatting>
  <conditionalFormatting sqref="G480">
    <cfRule type="cellIs" priority="1426" operator="equal" aboveAverage="0" equalAverage="0" bottom="0" percent="0" rank="0" text="" dxfId="1">
      <formula>"EVET"</formula>
    </cfRule>
  </conditionalFormatting>
  <conditionalFormatting sqref="H481">
    <cfRule type="cellIs" priority="1427" operator="equal" aboveAverage="0" equalAverage="0" bottom="0" percent="0" rank="0" text="" dxfId="2">
      <formula>"KAZANDI"</formula>
    </cfRule>
    <cfRule type="cellIs" priority="1428" operator="equal" aboveAverage="0" equalAverage="0" bottom="0" percent="0" rank="0" text="" dxfId="0">
      <formula>"KAYBETTİ"</formula>
    </cfRule>
  </conditionalFormatting>
  <conditionalFormatting sqref="G481">
    <cfRule type="cellIs" priority="1429" operator="equal" aboveAverage="0" equalAverage="0" bottom="0" percent="0" rank="0" text="" dxfId="1">
      <formula>"EVET"</formula>
    </cfRule>
  </conditionalFormatting>
  <conditionalFormatting sqref="H482">
    <cfRule type="cellIs" priority="1430" operator="equal" aboveAverage="0" equalAverage="0" bottom="0" percent="0" rank="0" text="" dxfId="2">
      <formula>"KAZANDI"</formula>
    </cfRule>
    <cfRule type="cellIs" priority="1431" operator="equal" aboveAverage="0" equalAverage="0" bottom="0" percent="0" rank="0" text="" dxfId="0">
      <formula>"KAYBETTİ"</formula>
    </cfRule>
  </conditionalFormatting>
  <conditionalFormatting sqref="G482">
    <cfRule type="cellIs" priority="1432" operator="equal" aboveAverage="0" equalAverage="0" bottom="0" percent="0" rank="0" text="" dxfId="1">
      <formula>"EVET"</formula>
    </cfRule>
  </conditionalFormatting>
  <conditionalFormatting sqref="H483">
    <cfRule type="cellIs" priority="1433" operator="equal" aboveAverage="0" equalAverage="0" bottom="0" percent="0" rank="0" text="" dxfId="2">
      <formula>"KAZANDI"</formula>
    </cfRule>
    <cfRule type="cellIs" priority="1434" operator="equal" aboveAverage="0" equalAverage="0" bottom="0" percent="0" rank="0" text="" dxfId="0">
      <formula>"KAYBETTİ"</formula>
    </cfRule>
  </conditionalFormatting>
  <conditionalFormatting sqref="G483">
    <cfRule type="cellIs" priority="1435" operator="equal" aboveAverage="0" equalAverage="0" bottom="0" percent="0" rank="0" text="" dxfId="1">
      <formula>"EVET"</formula>
    </cfRule>
  </conditionalFormatting>
  <conditionalFormatting sqref="H484">
    <cfRule type="cellIs" priority="1436" operator="equal" aboveAverage="0" equalAverage="0" bottom="0" percent="0" rank="0" text="" dxfId="2">
      <formula>"KAZANDI"</formula>
    </cfRule>
    <cfRule type="cellIs" priority="1437" operator="equal" aboveAverage="0" equalAverage="0" bottom="0" percent="0" rank="0" text="" dxfId="0">
      <formula>"KAYBETTİ"</formula>
    </cfRule>
  </conditionalFormatting>
  <conditionalFormatting sqref="G484">
    <cfRule type="cellIs" priority="1438" operator="equal" aboveAverage="0" equalAverage="0" bottom="0" percent="0" rank="0" text="" dxfId="1">
      <formula>"EVET"</formula>
    </cfRule>
  </conditionalFormatting>
  <conditionalFormatting sqref="H485">
    <cfRule type="cellIs" priority="1439" operator="equal" aboveAverage="0" equalAverage="0" bottom="0" percent="0" rank="0" text="" dxfId="2">
      <formula>"KAZANDI"</formula>
    </cfRule>
    <cfRule type="cellIs" priority="1440" operator="equal" aboveAverage="0" equalAverage="0" bottom="0" percent="0" rank="0" text="" dxfId="0">
      <formula>"KAYBETTİ"</formula>
    </cfRule>
  </conditionalFormatting>
  <conditionalFormatting sqref="G485">
    <cfRule type="cellIs" priority="1441" operator="equal" aboveAverage="0" equalAverage="0" bottom="0" percent="0" rank="0" text="" dxfId="1">
      <formula>"EVET"</formula>
    </cfRule>
  </conditionalFormatting>
  <conditionalFormatting sqref="H486">
    <cfRule type="cellIs" priority="1442" operator="equal" aboveAverage="0" equalAverage="0" bottom="0" percent="0" rank="0" text="" dxfId="2">
      <formula>"KAZANDI"</formula>
    </cfRule>
    <cfRule type="cellIs" priority="1443" operator="equal" aboveAverage="0" equalAverage="0" bottom="0" percent="0" rank="0" text="" dxfId="0">
      <formula>"KAYBETTİ"</formula>
    </cfRule>
  </conditionalFormatting>
  <conditionalFormatting sqref="G486">
    <cfRule type="cellIs" priority="1444" operator="equal" aboveAverage="0" equalAverage="0" bottom="0" percent="0" rank="0" text="" dxfId="1">
      <formula>"EVET"</formula>
    </cfRule>
  </conditionalFormatting>
  <conditionalFormatting sqref="H487">
    <cfRule type="cellIs" priority="1445" operator="equal" aboveAverage="0" equalAverage="0" bottom="0" percent="0" rank="0" text="" dxfId="2">
      <formula>"KAZANDI"</formula>
    </cfRule>
    <cfRule type="cellIs" priority="1446" operator="equal" aboveAverage="0" equalAverage="0" bottom="0" percent="0" rank="0" text="" dxfId="0">
      <formula>"KAYBETTİ"</formula>
    </cfRule>
  </conditionalFormatting>
  <conditionalFormatting sqref="G487">
    <cfRule type="cellIs" priority="1447" operator="equal" aboveAverage="0" equalAverage="0" bottom="0" percent="0" rank="0" text="" dxfId="1">
      <formula>"EVET"</formula>
    </cfRule>
  </conditionalFormatting>
  <conditionalFormatting sqref="H488">
    <cfRule type="cellIs" priority="1448" operator="equal" aboveAverage="0" equalAverage="0" bottom="0" percent="0" rank="0" text="" dxfId="2">
      <formula>"KAZANDI"</formula>
    </cfRule>
    <cfRule type="cellIs" priority="1449" operator="equal" aboveAverage="0" equalAverage="0" bottom="0" percent="0" rank="0" text="" dxfId="0">
      <formula>"KAYBETTİ"</formula>
    </cfRule>
  </conditionalFormatting>
  <conditionalFormatting sqref="G488">
    <cfRule type="cellIs" priority="1450" operator="equal" aboveAverage="0" equalAverage="0" bottom="0" percent="0" rank="0" text="" dxfId="1">
      <formula>"EVET"</formula>
    </cfRule>
  </conditionalFormatting>
  <conditionalFormatting sqref="H489">
    <cfRule type="cellIs" priority="1451" operator="equal" aboveAverage="0" equalAverage="0" bottom="0" percent="0" rank="0" text="" dxfId="2">
      <formula>"KAZANDI"</formula>
    </cfRule>
    <cfRule type="cellIs" priority="1452" operator="equal" aboveAverage="0" equalAverage="0" bottom="0" percent="0" rank="0" text="" dxfId="0">
      <formula>"KAYBETTİ"</formula>
    </cfRule>
  </conditionalFormatting>
  <conditionalFormatting sqref="G489">
    <cfRule type="cellIs" priority="1453" operator="equal" aboveAverage="0" equalAverage="0" bottom="0" percent="0" rank="0" text="" dxfId="1">
      <formula>"EVET"</formula>
    </cfRule>
  </conditionalFormatting>
  <conditionalFormatting sqref="H490">
    <cfRule type="cellIs" priority="1454" operator="equal" aboveAverage="0" equalAverage="0" bottom="0" percent="0" rank="0" text="" dxfId="2">
      <formula>"KAZANDI"</formula>
    </cfRule>
    <cfRule type="cellIs" priority="1455" operator="equal" aboveAverage="0" equalAverage="0" bottom="0" percent="0" rank="0" text="" dxfId="0">
      <formula>"KAYBETTİ"</formula>
    </cfRule>
  </conditionalFormatting>
  <conditionalFormatting sqref="G490">
    <cfRule type="cellIs" priority="1456" operator="equal" aboveAverage="0" equalAverage="0" bottom="0" percent="0" rank="0" text="" dxfId="1">
      <formula>"EVET"</formula>
    </cfRule>
  </conditionalFormatting>
  <conditionalFormatting sqref="H491">
    <cfRule type="cellIs" priority="1457" operator="equal" aboveAverage="0" equalAverage="0" bottom="0" percent="0" rank="0" text="" dxfId="2">
      <formula>"KAZANDI"</formula>
    </cfRule>
    <cfRule type="cellIs" priority="1458" operator="equal" aboveAverage="0" equalAverage="0" bottom="0" percent="0" rank="0" text="" dxfId="0">
      <formula>"KAYBETTİ"</formula>
    </cfRule>
  </conditionalFormatting>
  <conditionalFormatting sqref="G491">
    <cfRule type="cellIs" priority="1459" operator="equal" aboveAverage="0" equalAverage="0" bottom="0" percent="0" rank="0" text="" dxfId="1">
      <formula>"EVET"</formula>
    </cfRule>
  </conditionalFormatting>
  <conditionalFormatting sqref="H492">
    <cfRule type="cellIs" priority="1460" operator="equal" aboveAverage="0" equalAverage="0" bottom="0" percent="0" rank="0" text="" dxfId="2">
      <formula>"KAZANDI"</formula>
    </cfRule>
    <cfRule type="cellIs" priority="1461" operator="equal" aboveAverage="0" equalAverage="0" bottom="0" percent="0" rank="0" text="" dxfId="0">
      <formula>"KAYBETTİ"</formula>
    </cfRule>
  </conditionalFormatting>
  <conditionalFormatting sqref="G492">
    <cfRule type="cellIs" priority="1462" operator="equal" aboveAverage="0" equalAverage="0" bottom="0" percent="0" rank="0" text="" dxfId="1">
      <formula>"EVET"</formula>
    </cfRule>
  </conditionalFormatting>
  <conditionalFormatting sqref="H493">
    <cfRule type="cellIs" priority="1463" operator="equal" aboveAverage="0" equalAverage="0" bottom="0" percent="0" rank="0" text="" dxfId="2">
      <formula>"KAZANDI"</formula>
    </cfRule>
    <cfRule type="cellIs" priority="1464" operator="equal" aboveAverage="0" equalAverage="0" bottom="0" percent="0" rank="0" text="" dxfId="0">
      <formula>"KAYBETTİ"</formula>
    </cfRule>
  </conditionalFormatting>
  <conditionalFormatting sqref="G493">
    <cfRule type="cellIs" priority="1465" operator="equal" aboveAverage="0" equalAverage="0" bottom="0" percent="0" rank="0" text="" dxfId="1">
      <formula>"EVET"</formula>
    </cfRule>
  </conditionalFormatting>
  <conditionalFormatting sqref="H494">
    <cfRule type="cellIs" priority="1466" operator="equal" aboveAverage="0" equalAverage="0" bottom="0" percent="0" rank="0" text="" dxfId="2">
      <formula>"KAZANDI"</formula>
    </cfRule>
    <cfRule type="cellIs" priority="1467" operator="equal" aboveAverage="0" equalAverage="0" bottom="0" percent="0" rank="0" text="" dxfId="0">
      <formula>"KAYBETTİ"</formula>
    </cfRule>
  </conditionalFormatting>
  <conditionalFormatting sqref="G494">
    <cfRule type="cellIs" priority="1468" operator="equal" aboveAverage="0" equalAverage="0" bottom="0" percent="0" rank="0" text="" dxfId="1">
      <formula>"EVET"</formula>
    </cfRule>
  </conditionalFormatting>
  <conditionalFormatting sqref="H495">
    <cfRule type="cellIs" priority="1469" operator="equal" aboveAverage="0" equalAverage="0" bottom="0" percent="0" rank="0" text="" dxfId="2">
      <formula>"KAZANDI"</formula>
    </cfRule>
    <cfRule type="cellIs" priority="1470" operator="equal" aboveAverage="0" equalAverage="0" bottom="0" percent="0" rank="0" text="" dxfId="0">
      <formula>"KAYBETTİ"</formula>
    </cfRule>
  </conditionalFormatting>
  <conditionalFormatting sqref="G495">
    <cfRule type="cellIs" priority="1471" operator="equal" aboveAverage="0" equalAverage="0" bottom="0" percent="0" rank="0" text="" dxfId="1">
      <formula>"EVET"</formula>
    </cfRule>
  </conditionalFormatting>
  <conditionalFormatting sqref="H496">
    <cfRule type="cellIs" priority="1472" operator="equal" aboveAverage="0" equalAverage="0" bottom="0" percent="0" rank="0" text="" dxfId="2">
      <formula>"KAZANDI"</formula>
    </cfRule>
    <cfRule type="cellIs" priority="1473" operator="equal" aboveAverage="0" equalAverage="0" bottom="0" percent="0" rank="0" text="" dxfId="0">
      <formula>"KAYBETTİ"</formula>
    </cfRule>
  </conditionalFormatting>
  <conditionalFormatting sqref="G496">
    <cfRule type="cellIs" priority="1474" operator="equal" aboveAverage="0" equalAverage="0" bottom="0" percent="0" rank="0" text="" dxfId="1">
      <formula>"EVET"</formula>
    </cfRule>
  </conditionalFormatting>
  <conditionalFormatting sqref="H497">
    <cfRule type="cellIs" priority="1475" operator="equal" aboveAverage="0" equalAverage="0" bottom="0" percent="0" rank="0" text="" dxfId="2">
      <formula>"KAZANDI"</formula>
    </cfRule>
    <cfRule type="cellIs" priority="1476" operator="equal" aboveAverage="0" equalAverage="0" bottom="0" percent="0" rank="0" text="" dxfId="0">
      <formula>"KAYBETTİ"</formula>
    </cfRule>
  </conditionalFormatting>
  <conditionalFormatting sqref="G497">
    <cfRule type="cellIs" priority="1477" operator="equal" aboveAverage="0" equalAverage="0" bottom="0" percent="0" rank="0" text="" dxfId="1">
      <formula>"EVET"</formula>
    </cfRule>
  </conditionalFormatting>
  <conditionalFormatting sqref="H498">
    <cfRule type="cellIs" priority="1478" operator="equal" aboveAverage="0" equalAverage="0" bottom="0" percent="0" rank="0" text="" dxfId="2">
      <formula>"KAZANDI"</formula>
    </cfRule>
    <cfRule type="cellIs" priority="1479" operator="equal" aboveAverage="0" equalAverage="0" bottom="0" percent="0" rank="0" text="" dxfId="0">
      <formula>"KAYBETTİ"</formula>
    </cfRule>
  </conditionalFormatting>
  <conditionalFormatting sqref="G498">
    <cfRule type="cellIs" priority="1480" operator="equal" aboveAverage="0" equalAverage="0" bottom="0" percent="0" rank="0" text="" dxfId="1">
      <formula>"EVET"</formula>
    </cfRule>
  </conditionalFormatting>
  <conditionalFormatting sqref="H499">
    <cfRule type="cellIs" priority="1481" operator="equal" aboveAverage="0" equalAverage="0" bottom="0" percent="0" rank="0" text="" dxfId="2">
      <formula>"KAZANDI"</formula>
    </cfRule>
    <cfRule type="cellIs" priority="1482" operator="equal" aboveAverage="0" equalAverage="0" bottom="0" percent="0" rank="0" text="" dxfId="0">
      <formula>"KAYBETTİ"</formula>
    </cfRule>
  </conditionalFormatting>
  <conditionalFormatting sqref="G499">
    <cfRule type="cellIs" priority="1483" operator="equal" aboveAverage="0" equalAverage="0" bottom="0" percent="0" rank="0" text="" dxfId="1">
      <formula>"EVET"</formula>
    </cfRule>
  </conditionalFormatting>
  <conditionalFormatting sqref="H500">
    <cfRule type="cellIs" priority="1484" operator="equal" aboveAverage="0" equalAverage="0" bottom="0" percent="0" rank="0" text="" dxfId="2">
      <formula>"KAZANDI"</formula>
    </cfRule>
    <cfRule type="cellIs" priority="1485" operator="equal" aboveAverage="0" equalAverage="0" bottom="0" percent="0" rank="0" text="" dxfId="0">
      <formula>"KAYBETTİ"</formula>
    </cfRule>
  </conditionalFormatting>
  <conditionalFormatting sqref="G500">
    <cfRule type="cellIs" priority="1486" operator="equal" aboveAverage="0" equalAverage="0" bottom="0" percent="0" rank="0" text="" dxfId="1">
      <formula>"EVET"</formula>
    </cfRule>
  </conditionalFormatting>
  <conditionalFormatting sqref="H501">
    <cfRule type="cellIs" priority="1487" operator="equal" aboveAverage="0" equalAverage="0" bottom="0" percent="0" rank="0" text="" dxfId="2">
      <formula>"KAZANDI"</formula>
    </cfRule>
    <cfRule type="cellIs" priority="1488" operator="equal" aboveAverage="0" equalAverage="0" bottom="0" percent="0" rank="0" text="" dxfId="0">
      <formula>"KAYBETTİ"</formula>
    </cfRule>
  </conditionalFormatting>
  <conditionalFormatting sqref="G501">
    <cfRule type="cellIs" priority="1489" operator="equal" aboveAverage="0" equalAverage="0" bottom="0" percent="0" rank="0" text="" dxfId="1">
      <formula>"EVET"</formula>
    </cfRule>
  </conditionalFormatting>
  <conditionalFormatting sqref="H502">
    <cfRule type="cellIs" priority="1490" operator="equal" aboveAverage="0" equalAverage="0" bottom="0" percent="0" rank="0" text="" dxfId="2">
      <formula>"KAZANDI"</formula>
    </cfRule>
    <cfRule type="cellIs" priority="1491" operator="equal" aboveAverage="0" equalAverage="0" bottom="0" percent="0" rank="0" text="" dxfId="0">
      <formula>"KAYBETTİ"</formula>
    </cfRule>
  </conditionalFormatting>
  <conditionalFormatting sqref="G502">
    <cfRule type="cellIs" priority="1492" operator="equal" aboveAverage="0" equalAverage="0" bottom="0" percent="0" rank="0" text="" dxfId="1">
      <formula>"EVET"</formula>
    </cfRule>
  </conditionalFormatting>
  <conditionalFormatting sqref="H503">
    <cfRule type="cellIs" priority="1493" operator="equal" aboveAverage="0" equalAverage="0" bottom="0" percent="0" rank="0" text="" dxfId="2">
      <formula>"KAZANDI"</formula>
    </cfRule>
    <cfRule type="cellIs" priority="1494" operator="equal" aboveAverage="0" equalAverage="0" bottom="0" percent="0" rank="0" text="" dxfId="0">
      <formula>"KAYBETTİ"</formula>
    </cfRule>
  </conditionalFormatting>
  <conditionalFormatting sqref="G503">
    <cfRule type="cellIs" priority="1495" operator="equal" aboveAverage="0" equalAverage="0" bottom="0" percent="0" rank="0" text="" dxfId="1">
      <formula>"EVET"</formula>
    </cfRule>
  </conditionalFormatting>
  <conditionalFormatting sqref="H504">
    <cfRule type="cellIs" priority="1496" operator="equal" aboveAverage="0" equalAverage="0" bottom="0" percent="0" rank="0" text="" dxfId="2">
      <formula>"KAZANDI"</formula>
    </cfRule>
    <cfRule type="cellIs" priority="1497" operator="equal" aboveAverage="0" equalAverage="0" bottom="0" percent="0" rank="0" text="" dxfId="0">
      <formula>"KAYBETTİ"</formula>
    </cfRule>
  </conditionalFormatting>
  <conditionalFormatting sqref="G504">
    <cfRule type="cellIs" priority="1498" operator="equal" aboveAverage="0" equalAverage="0" bottom="0" percent="0" rank="0" text="" dxfId="1">
      <formula>"EVET"</formula>
    </cfRule>
  </conditionalFormatting>
  <conditionalFormatting sqref="H505">
    <cfRule type="cellIs" priority="1499" operator="equal" aboveAverage="0" equalAverage="0" bottom="0" percent="0" rank="0" text="" dxfId="2">
      <formula>"KAZANDI"</formula>
    </cfRule>
    <cfRule type="cellIs" priority="1500" operator="equal" aboveAverage="0" equalAverage="0" bottom="0" percent="0" rank="0" text="" dxfId="0">
      <formula>"KAYBETTİ"</formula>
    </cfRule>
  </conditionalFormatting>
  <conditionalFormatting sqref="G505">
    <cfRule type="cellIs" priority="1501" operator="equal" aboveAverage="0" equalAverage="0" bottom="0" percent="0" rank="0" text="" dxfId="1">
      <formula>"EVET"</formula>
    </cfRule>
  </conditionalFormatting>
  <conditionalFormatting sqref="H506">
    <cfRule type="cellIs" priority="1502" operator="equal" aboveAverage="0" equalAverage="0" bottom="0" percent="0" rank="0" text="" dxfId="2">
      <formula>"KAZANDI"</formula>
    </cfRule>
    <cfRule type="cellIs" priority="1503" operator="equal" aboveAverage="0" equalAverage="0" bottom="0" percent="0" rank="0" text="" dxfId="0">
      <formula>"KAYBETTİ"</formula>
    </cfRule>
  </conditionalFormatting>
  <conditionalFormatting sqref="G506">
    <cfRule type="cellIs" priority="1504" operator="equal" aboveAverage="0" equalAverage="0" bottom="0" percent="0" rank="0" text="" dxfId="1">
      <formula>"EVET"</formula>
    </cfRule>
  </conditionalFormatting>
  <conditionalFormatting sqref="H507">
    <cfRule type="cellIs" priority="1505" operator="equal" aboveAverage="0" equalAverage="0" bottom="0" percent="0" rank="0" text="" dxfId="2">
      <formula>"KAZANDI"</formula>
    </cfRule>
    <cfRule type="cellIs" priority="1506" operator="equal" aboveAverage="0" equalAverage="0" bottom="0" percent="0" rank="0" text="" dxfId="0">
      <formula>"KAYBETTİ"</formula>
    </cfRule>
  </conditionalFormatting>
  <conditionalFormatting sqref="G507">
    <cfRule type="cellIs" priority="1507" operator="equal" aboveAverage="0" equalAverage="0" bottom="0" percent="0" rank="0" text="" dxfId="1">
      <formula>"EVET"</formula>
    </cfRule>
  </conditionalFormatting>
  <conditionalFormatting sqref="H508">
    <cfRule type="cellIs" priority="1508" operator="equal" aboveAverage="0" equalAverage="0" bottom="0" percent="0" rank="0" text="" dxfId="2">
      <formula>"KAZANDI"</formula>
    </cfRule>
    <cfRule type="cellIs" priority="1509" operator="equal" aboveAverage="0" equalAverage="0" bottom="0" percent="0" rank="0" text="" dxfId="0">
      <formula>"KAYBETTİ"</formula>
    </cfRule>
  </conditionalFormatting>
  <conditionalFormatting sqref="G508">
    <cfRule type="cellIs" priority="1510" operator="equal" aboveAverage="0" equalAverage="0" bottom="0" percent="0" rank="0" text="" dxfId="1">
      <formula>"EVET"</formula>
    </cfRule>
  </conditionalFormatting>
  <conditionalFormatting sqref="H509">
    <cfRule type="cellIs" priority="1511" operator="equal" aboveAverage="0" equalAverage="0" bottom="0" percent="0" rank="0" text="" dxfId="2">
      <formula>"KAZANDI"</formula>
    </cfRule>
    <cfRule type="cellIs" priority="1512" operator="equal" aboveAverage="0" equalAverage="0" bottom="0" percent="0" rank="0" text="" dxfId="0">
      <formula>"KAYBETTİ"</formula>
    </cfRule>
  </conditionalFormatting>
  <conditionalFormatting sqref="G509">
    <cfRule type="cellIs" priority="1513" operator="equal" aboveAverage="0" equalAverage="0" bottom="0" percent="0" rank="0" text="" dxfId="1">
      <formula>"EVET"</formula>
    </cfRule>
  </conditionalFormatting>
  <conditionalFormatting sqref="H510">
    <cfRule type="cellIs" priority="1514" operator="equal" aboveAverage="0" equalAverage="0" bottom="0" percent="0" rank="0" text="" dxfId="2">
      <formula>"KAZANDI"</formula>
    </cfRule>
    <cfRule type="cellIs" priority="1515" operator="equal" aboveAverage="0" equalAverage="0" bottom="0" percent="0" rank="0" text="" dxfId="0">
      <formula>"KAYBETTİ"</formula>
    </cfRule>
  </conditionalFormatting>
  <conditionalFormatting sqref="G510">
    <cfRule type="cellIs" priority="1516" operator="equal" aboveAverage="0" equalAverage="0" bottom="0" percent="0" rank="0" text="" dxfId="1">
      <formula>"EVET"</formula>
    </cfRule>
  </conditionalFormatting>
  <conditionalFormatting sqref="H511">
    <cfRule type="cellIs" priority="1517" operator="equal" aboveAverage="0" equalAverage="0" bottom="0" percent="0" rank="0" text="" dxfId="2">
      <formula>"KAZANDI"</formula>
    </cfRule>
    <cfRule type="cellIs" priority="1518" operator="equal" aboveAverage="0" equalAverage="0" bottom="0" percent="0" rank="0" text="" dxfId="0">
      <formula>"KAYBETTİ"</formula>
    </cfRule>
  </conditionalFormatting>
  <conditionalFormatting sqref="G511">
    <cfRule type="cellIs" priority="1519" operator="equal" aboveAverage="0" equalAverage="0" bottom="0" percent="0" rank="0" text="" dxfId="1">
      <formula>"EVET"</formula>
    </cfRule>
  </conditionalFormatting>
  <conditionalFormatting sqref="H512">
    <cfRule type="cellIs" priority="1520" operator="equal" aboveAverage="0" equalAverage="0" bottom="0" percent="0" rank="0" text="" dxfId="2">
      <formula>"KAZANDI"</formula>
    </cfRule>
    <cfRule type="cellIs" priority="1521" operator="equal" aboveAverage="0" equalAverage="0" bottom="0" percent="0" rank="0" text="" dxfId="0">
      <formula>"KAYBETTİ"</formula>
    </cfRule>
  </conditionalFormatting>
  <conditionalFormatting sqref="G512">
    <cfRule type="cellIs" priority="1522" operator="equal" aboveAverage="0" equalAverage="0" bottom="0" percent="0" rank="0" text="" dxfId="1">
      <formula>"EVET"</formula>
    </cfRule>
  </conditionalFormatting>
  <conditionalFormatting sqref="H513">
    <cfRule type="cellIs" priority="1523" operator="equal" aboveAverage="0" equalAverage="0" bottom="0" percent="0" rank="0" text="" dxfId="2">
      <formula>"KAZANDI"</formula>
    </cfRule>
    <cfRule type="cellIs" priority="1524" operator="equal" aboveAverage="0" equalAverage="0" bottom="0" percent="0" rank="0" text="" dxfId="0">
      <formula>"KAYBETTİ"</formula>
    </cfRule>
  </conditionalFormatting>
  <conditionalFormatting sqref="G513">
    <cfRule type="cellIs" priority="1525" operator="equal" aboveAverage="0" equalAverage="0" bottom="0" percent="0" rank="0" text="" dxfId="1">
      <formula>"EVET"</formula>
    </cfRule>
  </conditionalFormatting>
  <conditionalFormatting sqref="H514">
    <cfRule type="cellIs" priority="1526" operator="equal" aboveAverage="0" equalAverage="0" bottom="0" percent="0" rank="0" text="" dxfId="2">
      <formula>"KAZANDI"</formula>
    </cfRule>
    <cfRule type="cellIs" priority="1527" operator="equal" aboveAverage="0" equalAverage="0" bottom="0" percent="0" rank="0" text="" dxfId="0">
      <formula>"KAYBETTİ"</formula>
    </cfRule>
  </conditionalFormatting>
  <conditionalFormatting sqref="G514">
    <cfRule type="cellIs" priority="1528" operator="equal" aboveAverage="0" equalAverage="0" bottom="0" percent="0" rank="0" text="" dxfId="1">
      <formula>"EVET"</formula>
    </cfRule>
  </conditionalFormatting>
  <conditionalFormatting sqref="H515">
    <cfRule type="cellIs" priority="1529" operator="equal" aboveAverage="0" equalAverage="0" bottom="0" percent="0" rank="0" text="" dxfId="2">
      <formula>"KAZANDI"</formula>
    </cfRule>
    <cfRule type="cellIs" priority="1530" operator="equal" aboveAverage="0" equalAverage="0" bottom="0" percent="0" rank="0" text="" dxfId="0">
      <formula>"KAYBETTİ"</formula>
    </cfRule>
  </conditionalFormatting>
  <conditionalFormatting sqref="G515">
    <cfRule type="cellIs" priority="1531" operator="equal" aboveAverage="0" equalAverage="0" bottom="0" percent="0" rank="0" text="" dxfId="1">
      <formula>"EVET"</formula>
    </cfRule>
  </conditionalFormatting>
  <conditionalFormatting sqref="H516">
    <cfRule type="cellIs" priority="1532" operator="equal" aboveAverage="0" equalAverage="0" bottom="0" percent="0" rank="0" text="" dxfId="2">
      <formula>"KAZANDI"</formula>
    </cfRule>
    <cfRule type="cellIs" priority="1533" operator="equal" aboveAverage="0" equalAverage="0" bottom="0" percent="0" rank="0" text="" dxfId="0">
      <formula>"KAYBETTİ"</formula>
    </cfRule>
  </conditionalFormatting>
  <conditionalFormatting sqref="G516">
    <cfRule type="cellIs" priority="1534" operator="equal" aboveAverage="0" equalAverage="0" bottom="0" percent="0" rank="0" text="" dxfId="1">
      <formula>"EVET"</formula>
    </cfRule>
  </conditionalFormatting>
  <conditionalFormatting sqref="H517">
    <cfRule type="cellIs" priority="1535" operator="equal" aboveAverage="0" equalAverage="0" bottom="0" percent="0" rank="0" text="" dxfId="2">
      <formula>"KAZANDI"</formula>
    </cfRule>
    <cfRule type="cellIs" priority="1536" operator="equal" aboveAverage="0" equalAverage="0" bottom="0" percent="0" rank="0" text="" dxfId="0">
      <formula>"KAYBETTİ"</formula>
    </cfRule>
  </conditionalFormatting>
  <conditionalFormatting sqref="G517">
    <cfRule type="cellIs" priority="1537" operator="equal" aboveAverage="0" equalAverage="0" bottom="0" percent="0" rank="0" text="" dxfId="1">
      <formula>"EVET"</formula>
    </cfRule>
  </conditionalFormatting>
  <conditionalFormatting sqref="H518">
    <cfRule type="cellIs" priority="1538" operator="equal" aboveAverage="0" equalAverage="0" bottom="0" percent="0" rank="0" text="" dxfId="2">
      <formula>"KAZANDI"</formula>
    </cfRule>
    <cfRule type="cellIs" priority="1539" operator="equal" aboveAverage="0" equalAverage="0" bottom="0" percent="0" rank="0" text="" dxfId="0">
      <formula>"KAYBETTİ"</formula>
    </cfRule>
  </conditionalFormatting>
  <conditionalFormatting sqref="G518">
    <cfRule type="cellIs" priority="1540" operator="equal" aboveAverage="0" equalAverage="0" bottom="0" percent="0" rank="0" text="" dxfId="1">
      <formula>"EVET"</formula>
    </cfRule>
  </conditionalFormatting>
  <conditionalFormatting sqref="H519">
    <cfRule type="cellIs" priority="1541" operator="equal" aboveAverage="0" equalAverage="0" bottom="0" percent="0" rank="0" text="" dxfId="2">
      <formula>"KAZANDI"</formula>
    </cfRule>
    <cfRule type="cellIs" priority="1542" operator="equal" aboveAverage="0" equalAverage="0" bottom="0" percent="0" rank="0" text="" dxfId="0">
      <formula>"KAYBETTİ"</formula>
    </cfRule>
  </conditionalFormatting>
  <conditionalFormatting sqref="G519">
    <cfRule type="cellIs" priority="1543" operator="equal" aboveAverage="0" equalAverage="0" bottom="0" percent="0" rank="0" text="" dxfId="1">
      <formula>"EVET"</formula>
    </cfRule>
  </conditionalFormatting>
  <conditionalFormatting sqref="H520">
    <cfRule type="cellIs" priority="1544" operator="equal" aboveAverage="0" equalAverage="0" bottom="0" percent="0" rank="0" text="" dxfId="2">
      <formula>"KAZANDI"</formula>
    </cfRule>
    <cfRule type="cellIs" priority="1545" operator="equal" aboveAverage="0" equalAverage="0" bottom="0" percent="0" rank="0" text="" dxfId="0">
      <formula>"KAYBETTİ"</formula>
    </cfRule>
  </conditionalFormatting>
  <conditionalFormatting sqref="G520">
    <cfRule type="cellIs" priority="1546" operator="equal" aboveAverage="0" equalAverage="0" bottom="0" percent="0" rank="0" text="" dxfId="1">
      <formula>"EVET"</formula>
    </cfRule>
  </conditionalFormatting>
  <conditionalFormatting sqref="H521">
    <cfRule type="cellIs" priority="1547" operator="equal" aboveAverage="0" equalAverage="0" bottom="0" percent="0" rank="0" text="" dxfId="2">
      <formula>"KAZANDI"</formula>
    </cfRule>
    <cfRule type="cellIs" priority="1548" operator="equal" aboveAverage="0" equalAverage="0" bottom="0" percent="0" rank="0" text="" dxfId="0">
      <formula>"KAYBETTİ"</formula>
    </cfRule>
  </conditionalFormatting>
  <conditionalFormatting sqref="G521">
    <cfRule type="cellIs" priority="1549" operator="equal" aboveAverage="0" equalAverage="0" bottom="0" percent="0" rank="0" text="" dxfId="1">
      <formula>"EVET"</formula>
    </cfRule>
  </conditionalFormatting>
  <conditionalFormatting sqref="H522">
    <cfRule type="cellIs" priority="1550" operator="equal" aboveAverage="0" equalAverage="0" bottom="0" percent="0" rank="0" text="" dxfId="2">
      <formula>"KAZANDI"</formula>
    </cfRule>
    <cfRule type="cellIs" priority="1551" operator="equal" aboveAverage="0" equalAverage="0" bottom="0" percent="0" rank="0" text="" dxfId="0">
      <formula>"KAYBETTİ"</formula>
    </cfRule>
  </conditionalFormatting>
  <conditionalFormatting sqref="G522">
    <cfRule type="cellIs" priority="1552" operator="equal" aboveAverage="0" equalAverage="0" bottom="0" percent="0" rank="0" text="" dxfId="1">
      <formula>"EVET"</formula>
    </cfRule>
  </conditionalFormatting>
  <conditionalFormatting sqref="H523">
    <cfRule type="cellIs" priority="1553" operator="equal" aboveAverage="0" equalAverage="0" bottom="0" percent="0" rank="0" text="" dxfId="2">
      <formula>"KAZANDI"</formula>
    </cfRule>
    <cfRule type="cellIs" priority="1554" operator="equal" aboveAverage="0" equalAverage="0" bottom="0" percent="0" rank="0" text="" dxfId="0">
      <formula>"KAYBETTİ"</formula>
    </cfRule>
  </conditionalFormatting>
  <conditionalFormatting sqref="G523">
    <cfRule type="cellIs" priority="1555" operator="equal" aboveAverage="0" equalAverage="0" bottom="0" percent="0" rank="0" text="" dxfId="1">
      <formula>"EVET"</formula>
    </cfRule>
  </conditionalFormatting>
  <conditionalFormatting sqref="H524">
    <cfRule type="cellIs" priority="1556" operator="equal" aboveAverage="0" equalAverage="0" bottom="0" percent="0" rank="0" text="" dxfId="2">
      <formula>"KAZANDI"</formula>
    </cfRule>
    <cfRule type="cellIs" priority="1557" operator="equal" aboveAverage="0" equalAverage="0" bottom="0" percent="0" rank="0" text="" dxfId="0">
      <formula>"KAYBETTİ"</formula>
    </cfRule>
  </conditionalFormatting>
  <conditionalFormatting sqref="G524">
    <cfRule type="cellIs" priority="1558" operator="equal" aboveAverage="0" equalAverage="0" bottom="0" percent="0" rank="0" text="" dxfId="1">
      <formula>"EVET"</formula>
    </cfRule>
  </conditionalFormatting>
  <conditionalFormatting sqref="H525">
    <cfRule type="cellIs" priority="1559" operator="equal" aboveAverage="0" equalAverage="0" bottom="0" percent="0" rank="0" text="" dxfId="2">
      <formula>"KAZANDI"</formula>
    </cfRule>
    <cfRule type="cellIs" priority="1560" operator="equal" aboveAverage="0" equalAverage="0" bottom="0" percent="0" rank="0" text="" dxfId="0">
      <formula>"KAYBETTİ"</formula>
    </cfRule>
  </conditionalFormatting>
  <conditionalFormatting sqref="G525">
    <cfRule type="cellIs" priority="1561" operator="equal" aboveAverage="0" equalAverage="0" bottom="0" percent="0" rank="0" text="" dxfId="1">
      <formula>"EVET"</formula>
    </cfRule>
  </conditionalFormatting>
  <conditionalFormatting sqref="H526">
    <cfRule type="cellIs" priority="1562" operator="equal" aboveAverage="0" equalAverage="0" bottom="0" percent="0" rank="0" text="" dxfId="2">
      <formula>"KAZANDI"</formula>
    </cfRule>
    <cfRule type="cellIs" priority="1563" operator="equal" aboveAverage="0" equalAverage="0" bottom="0" percent="0" rank="0" text="" dxfId="0">
      <formula>"KAYBETTİ"</formula>
    </cfRule>
  </conditionalFormatting>
  <conditionalFormatting sqref="G526">
    <cfRule type="cellIs" priority="1564" operator="equal" aboveAverage="0" equalAverage="0" bottom="0" percent="0" rank="0" text="" dxfId="1">
      <formula>"EVET"</formula>
    </cfRule>
  </conditionalFormatting>
  <conditionalFormatting sqref="H527">
    <cfRule type="cellIs" priority="1565" operator="equal" aboveAverage="0" equalAverage="0" bottom="0" percent="0" rank="0" text="" dxfId="2">
      <formula>"KAZANDI"</formula>
    </cfRule>
    <cfRule type="cellIs" priority="1566" operator="equal" aboveAverage="0" equalAverage="0" bottom="0" percent="0" rank="0" text="" dxfId="0">
      <formula>"KAYBETTİ"</formula>
    </cfRule>
  </conditionalFormatting>
  <conditionalFormatting sqref="G527">
    <cfRule type="cellIs" priority="1567" operator="equal" aboveAverage="0" equalAverage="0" bottom="0" percent="0" rank="0" text="" dxfId="1">
      <formula>"EVET"</formula>
    </cfRule>
  </conditionalFormatting>
  <conditionalFormatting sqref="H528">
    <cfRule type="cellIs" priority="1568" operator="equal" aboveAverage="0" equalAverage="0" bottom="0" percent="0" rank="0" text="" dxfId="2">
      <formula>"KAZANDI"</formula>
    </cfRule>
    <cfRule type="cellIs" priority="1569" operator="equal" aboveAverage="0" equalAverage="0" bottom="0" percent="0" rank="0" text="" dxfId="0">
      <formula>"KAYBETTİ"</formula>
    </cfRule>
  </conditionalFormatting>
  <conditionalFormatting sqref="G528">
    <cfRule type="cellIs" priority="1570" operator="equal" aboveAverage="0" equalAverage="0" bottom="0" percent="0" rank="0" text="" dxfId="1">
      <formula>"EVET"</formula>
    </cfRule>
  </conditionalFormatting>
  <conditionalFormatting sqref="H529">
    <cfRule type="cellIs" priority="1571" operator="equal" aboveAverage="0" equalAverage="0" bottom="0" percent="0" rank="0" text="" dxfId="2">
      <formula>"KAZANDI"</formula>
    </cfRule>
    <cfRule type="cellIs" priority="1572" operator="equal" aboveAverage="0" equalAverage="0" bottom="0" percent="0" rank="0" text="" dxfId="0">
      <formula>"KAYBETTİ"</formula>
    </cfRule>
  </conditionalFormatting>
  <conditionalFormatting sqref="G529">
    <cfRule type="cellIs" priority="1573" operator="equal" aboveAverage="0" equalAverage="0" bottom="0" percent="0" rank="0" text="" dxfId="1">
      <formula>"EVET"</formula>
    </cfRule>
  </conditionalFormatting>
  <conditionalFormatting sqref="H530">
    <cfRule type="cellIs" priority="1574" operator="equal" aboveAverage="0" equalAverage="0" bottom="0" percent="0" rank="0" text="" dxfId="2">
      <formula>"KAZANDI"</formula>
    </cfRule>
    <cfRule type="cellIs" priority="1575" operator="equal" aboveAverage="0" equalAverage="0" bottom="0" percent="0" rank="0" text="" dxfId="0">
      <formula>"KAYBETTİ"</formula>
    </cfRule>
  </conditionalFormatting>
  <conditionalFormatting sqref="G530">
    <cfRule type="cellIs" priority="1576" operator="equal" aboveAverage="0" equalAverage="0" bottom="0" percent="0" rank="0" text="" dxfId="1">
      <formula>"EVET"</formula>
    </cfRule>
  </conditionalFormatting>
  <conditionalFormatting sqref="H531">
    <cfRule type="cellIs" priority="1577" operator="equal" aboveAverage="0" equalAverage="0" bottom="0" percent="0" rank="0" text="" dxfId="2">
      <formula>"KAZANDI"</formula>
    </cfRule>
    <cfRule type="cellIs" priority="1578" operator="equal" aboveAverage="0" equalAverage="0" bottom="0" percent="0" rank="0" text="" dxfId="0">
      <formula>"KAYBETTİ"</formula>
    </cfRule>
  </conditionalFormatting>
  <conditionalFormatting sqref="G531">
    <cfRule type="cellIs" priority="1579" operator="equal" aboveAverage="0" equalAverage="0" bottom="0" percent="0" rank="0" text="" dxfId="1">
      <formula>"EVET"</formula>
    </cfRule>
  </conditionalFormatting>
  <conditionalFormatting sqref="H532">
    <cfRule type="cellIs" priority="1580" operator="equal" aboveAverage="0" equalAverage="0" bottom="0" percent="0" rank="0" text="" dxfId="2">
      <formula>"KAZANDI"</formula>
    </cfRule>
    <cfRule type="cellIs" priority="1581" operator="equal" aboveAverage="0" equalAverage="0" bottom="0" percent="0" rank="0" text="" dxfId="0">
      <formula>"KAYBETTİ"</formula>
    </cfRule>
  </conditionalFormatting>
  <conditionalFormatting sqref="G532">
    <cfRule type="cellIs" priority="1582" operator="equal" aboveAverage="0" equalAverage="0" bottom="0" percent="0" rank="0" text="" dxfId="1">
      <formula>"EVET"</formula>
    </cfRule>
  </conditionalFormatting>
  <conditionalFormatting sqref="H533">
    <cfRule type="cellIs" priority="1583" operator="equal" aboveAverage="0" equalAverage="0" bottom="0" percent="0" rank="0" text="" dxfId="2">
      <formula>"KAZANDI"</formula>
    </cfRule>
    <cfRule type="cellIs" priority="1584" operator="equal" aboveAverage="0" equalAverage="0" bottom="0" percent="0" rank="0" text="" dxfId="0">
      <formula>"KAYBETTİ"</formula>
    </cfRule>
  </conditionalFormatting>
  <conditionalFormatting sqref="G533">
    <cfRule type="cellIs" priority="1585" operator="equal" aboveAverage="0" equalAverage="0" bottom="0" percent="0" rank="0" text="" dxfId="1">
      <formula>"EVET"</formula>
    </cfRule>
  </conditionalFormatting>
  <conditionalFormatting sqref="H534">
    <cfRule type="cellIs" priority="1586" operator="equal" aboveAverage="0" equalAverage="0" bottom="0" percent="0" rank="0" text="" dxfId="2">
      <formula>"KAZANDI"</formula>
    </cfRule>
    <cfRule type="cellIs" priority="1587" operator="equal" aboveAverage="0" equalAverage="0" bottom="0" percent="0" rank="0" text="" dxfId="0">
      <formula>"KAYBETTİ"</formula>
    </cfRule>
  </conditionalFormatting>
  <conditionalFormatting sqref="G534">
    <cfRule type="cellIs" priority="1588" operator="equal" aboveAverage="0" equalAverage="0" bottom="0" percent="0" rank="0" text="" dxfId="1">
      <formula>"EVET"</formula>
    </cfRule>
  </conditionalFormatting>
  <conditionalFormatting sqref="H535">
    <cfRule type="cellIs" priority="1589" operator="equal" aboveAverage="0" equalAverage="0" bottom="0" percent="0" rank="0" text="" dxfId="2">
      <formula>"KAZANDI"</formula>
    </cfRule>
    <cfRule type="cellIs" priority="1590" operator="equal" aboveAverage="0" equalAverage="0" bottom="0" percent="0" rank="0" text="" dxfId="0">
      <formula>"KAYBETTİ"</formula>
    </cfRule>
  </conditionalFormatting>
  <conditionalFormatting sqref="G535">
    <cfRule type="cellIs" priority="1591" operator="equal" aboveAverage="0" equalAverage="0" bottom="0" percent="0" rank="0" text="" dxfId="1">
      <formula>"EVET"</formula>
    </cfRule>
  </conditionalFormatting>
  <conditionalFormatting sqref="H536">
    <cfRule type="cellIs" priority="1592" operator="equal" aboveAverage="0" equalAverage="0" bottom="0" percent="0" rank="0" text="" dxfId="2">
      <formula>"KAZANDI"</formula>
    </cfRule>
    <cfRule type="cellIs" priority="1593" operator="equal" aboveAverage="0" equalAverage="0" bottom="0" percent="0" rank="0" text="" dxfId="0">
      <formula>"KAYBETTİ"</formula>
    </cfRule>
  </conditionalFormatting>
  <conditionalFormatting sqref="G536">
    <cfRule type="cellIs" priority="1594" operator="equal" aboveAverage="0" equalAverage="0" bottom="0" percent="0" rank="0" text="" dxfId="1">
      <formula>"EVET"</formula>
    </cfRule>
  </conditionalFormatting>
  <conditionalFormatting sqref="H537">
    <cfRule type="cellIs" priority="1595" operator="equal" aboveAverage="0" equalAverage="0" bottom="0" percent="0" rank="0" text="" dxfId="2">
      <formula>"KAZANDI"</formula>
    </cfRule>
    <cfRule type="cellIs" priority="1596" operator="equal" aboveAverage="0" equalAverage="0" bottom="0" percent="0" rank="0" text="" dxfId="0">
      <formula>"KAYBETTİ"</formula>
    </cfRule>
  </conditionalFormatting>
  <conditionalFormatting sqref="G537">
    <cfRule type="cellIs" priority="1597" operator="equal" aboveAverage="0" equalAverage="0" bottom="0" percent="0" rank="0" text="" dxfId="1">
      <formula>"EVET"</formula>
    </cfRule>
  </conditionalFormatting>
  <conditionalFormatting sqref="H538">
    <cfRule type="cellIs" priority="1598" operator="equal" aboveAverage="0" equalAverage="0" bottom="0" percent="0" rank="0" text="" dxfId="2">
      <formula>"KAZANDI"</formula>
    </cfRule>
    <cfRule type="cellIs" priority="1599" operator="equal" aboveAverage="0" equalAverage="0" bottom="0" percent="0" rank="0" text="" dxfId="0">
      <formula>"KAYBETTİ"</formula>
    </cfRule>
  </conditionalFormatting>
  <conditionalFormatting sqref="G538">
    <cfRule type="cellIs" priority="1600" operator="equal" aboveAverage="0" equalAverage="0" bottom="0" percent="0" rank="0" text="" dxfId="1">
      <formula>"EVET"</formula>
    </cfRule>
  </conditionalFormatting>
  <conditionalFormatting sqref="H539">
    <cfRule type="cellIs" priority="1601" operator="equal" aboveAverage="0" equalAverage="0" bottom="0" percent="0" rank="0" text="" dxfId="2">
      <formula>"KAZANDI"</formula>
    </cfRule>
    <cfRule type="cellIs" priority="1602" operator="equal" aboveAverage="0" equalAverage="0" bottom="0" percent="0" rank="0" text="" dxfId="0">
      <formula>"KAYBETTİ"</formula>
    </cfRule>
  </conditionalFormatting>
  <conditionalFormatting sqref="G539">
    <cfRule type="cellIs" priority="1603" operator="equal" aboveAverage="0" equalAverage="0" bottom="0" percent="0" rank="0" text="" dxfId="1">
      <formula>"EVET"</formula>
    </cfRule>
  </conditionalFormatting>
  <conditionalFormatting sqref="H540">
    <cfRule type="cellIs" priority="1604" operator="equal" aboveAverage="0" equalAverage="0" bottom="0" percent="0" rank="0" text="" dxfId="2">
      <formula>"KAZANDI"</formula>
    </cfRule>
    <cfRule type="cellIs" priority="1605" operator="equal" aboveAverage="0" equalAverage="0" bottom="0" percent="0" rank="0" text="" dxfId="0">
      <formula>"KAYBETTİ"</formula>
    </cfRule>
  </conditionalFormatting>
  <conditionalFormatting sqref="G540">
    <cfRule type="cellIs" priority="1606" operator="equal" aboveAverage="0" equalAverage="0" bottom="0" percent="0" rank="0" text="" dxfId="1">
      <formula>"EVET"</formula>
    </cfRule>
  </conditionalFormatting>
  <conditionalFormatting sqref="H541">
    <cfRule type="cellIs" priority="1607" operator="equal" aboveAverage="0" equalAverage="0" bottom="0" percent="0" rank="0" text="" dxfId="2">
      <formula>"KAZANDI"</formula>
    </cfRule>
    <cfRule type="cellIs" priority="1608" operator="equal" aboveAverage="0" equalAverage="0" bottom="0" percent="0" rank="0" text="" dxfId="0">
      <formula>"KAYBETTİ"</formula>
    </cfRule>
  </conditionalFormatting>
  <conditionalFormatting sqref="G541">
    <cfRule type="cellIs" priority="1609" operator="equal" aboveAverage="0" equalAverage="0" bottom="0" percent="0" rank="0" text="" dxfId="1">
      <formula>"EVET"</formula>
    </cfRule>
  </conditionalFormatting>
  <conditionalFormatting sqref="H542">
    <cfRule type="cellIs" priority="1610" operator="equal" aboveAverage="0" equalAverage="0" bottom="0" percent="0" rank="0" text="" dxfId="2">
      <formula>"KAZANDI"</formula>
    </cfRule>
    <cfRule type="cellIs" priority="1611" operator="equal" aboveAverage="0" equalAverage="0" bottom="0" percent="0" rank="0" text="" dxfId="0">
      <formula>"KAYBETTİ"</formula>
    </cfRule>
  </conditionalFormatting>
  <conditionalFormatting sqref="G542">
    <cfRule type="cellIs" priority="1612" operator="equal" aboveAverage="0" equalAverage="0" bottom="0" percent="0" rank="0" text="" dxfId="1">
      <formula>"EVET"</formula>
    </cfRule>
  </conditionalFormatting>
  <conditionalFormatting sqref="H543">
    <cfRule type="cellIs" priority="1613" operator="equal" aboveAverage="0" equalAverage="0" bottom="0" percent="0" rank="0" text="" dxfId="2">
      <formula>"KAZANDI"</formula>
    </cfRule>
    <cfRule type="cellIs" priority="1614" operator="equal" aboveAverage="0" equalAverage="0" bottom="0" percent="0" rank="0" text="" dxfId="0">
      <formula>"KAYBETTİ"</formula>
    </cfRule>
  </conditionalFormatting>
  <conditionalFormatting sqref="G543">
    <cfRule type="cellIs" priority="1615" operator="equal" aboveAverage="0" equalAverage="0" bottom="0" percent="0" rank="0" text="" dxfId="1">
      <formula>"EVET"</formula>
    </cfRule>
  </conditionalFormatting>
  <conditionalFormatting sqref="H544">
    <cfRule type="cellIs" priority="1616" operator="equal" aboveAverage="0" equalAverage="0" bottom="0" percent="0" rank="0" text="" dxfId="2">
      <formula>"KAZANDI"</formula>
    </cfRule>
    <cfRule type="cellIs" priority="1617" operator="equal" aboveAverage="0" equalAverage="0" bottom="0" percent="0" rank="0" text="" dxfId="0">
      <formula>"KAYBETTİ"</formula>
    </cfRule>
  </conditionalFormatting>
  <conditionalFormatting sqref="G544">
    <cfRule type="cellIs" priority="1618" operator="equal" aboveAverage="0" equalAverage="0" bottom="0" percent="0" rank="0" text="" dxfId="1">
      <formula>"EVET"</formula>
    </cfRule>
  </conditionalFormatting>
  <conditionalFormatting sqref="H545">
    <cfRule type="cellIs" priority="1619" operator="equal" aboveAverage="0" equalAverage="0" bottom="0" percent="0" rank="0" text="" dxfId="2">
      <formula>"KAZANDI"</formula>
    </cfRule>
    <cfRule type="cellIs" priority="1620" operator="equal" aboveAverage="0" equalAverage="0" bottom="0" percent="0" rank="0" text="" dxfId="0">
      <formula>"KAYBETTİ"</formula>
    </cfRule>
  </conditionalFormatting>
  <conditionalFormatting sqref="G545">
    <cfRule type="cellIs" priority="1621" operator="equal" aboveAverage="0" equalAverage="0" bottom="0" percent="0" rank="0" text="" dxfId="1">
      <formula>"EVET"</formula>
    </cfRule>
  </conditionalFormatting>
  <conditionalFormatting sqref="H546">
    <cfRule type="cellIs" priority="1622" operator="equal" aboveAverage="0" equalAverage="0" bottom="0" percent="0" rank="0" text="" dxfId="2">
      <formula>"KAZANDI"</formula>
    </cfRule>
    <cfRule type="cellIs" priority="1623" operator="equal" aboveAverage="0" equalAverage="0" bottom="0" percent="0" rank="0" text="" dxfId="0">
      <formula>"KAYBETTİ"</formula>
    </cfRule>
  </conditionalFormatting>
  <conditionalFormatting sqref="G546">
    <cfRule type="cellIs" priority="1624" operator="equal" aboveAverage="0" equalAverage="0" bottom="0" percent="0" rank="0" text="" dxfId="1">
      <formula>"EVET"</formula>
    </cfRule>
  </conditionalFormatting>
  <conditionalFormatting sqref="H547">
    <cfRule type="cellIs" priority="1625" operator="equal" aboveAverage="0" equalAverage="0" bottom="0" percent="0" rank="0" text="" dxfId="2">
      <formula>"KAZANDI"</formula>
    </cfRule>
    <cfRule type="cellIs" priority="1626" operator="equal" aboveAverage="0" equalAverage="0" bottom="0" percent="0" rank="0" text="" dxfId="0">
      <formula>"KAYBETTİ"</formula>
    </cfRule>
  </conditionalFormatting>
  <conditionalFormatting sqref="G547">
    <cfRule type="cellIs" priority="1627" operator="equal" aboveAverage="0" equalAverage="0" bottom="0" percent="0" rank="0" text="" dxfId="1">
      <formula>"EVET"</formula>
    </cfRule>
  </conditionalFormatting>
  <conditionalFormatting sqref="H548">
    <cfRule type="cellIs" priority="1628" operator="equal" aboveAverage="0" equalAverage="0" bottom="0" percent="0" rank="0" text="" dxfId="2">
      <formula>"KAZANDI"</formula>
    </cfRule>
    <cfRule type="cellIs" priority="1629" operator="equal" aboveAverage="0" equalAverage="0" bottom="0" percent="0" rank="0" text="" dxfId="0">
      <formula>"KAYBETTİ"</formula>
    </cfRule>
  </conditionalFormatting>
  <conditionalFormatting sqref="G548">
    <cfRule type="cellIs" priority="1630" operator="equal" aboveAverage="0" equalAverage="0" bottom="0" percent="0" rank="0" text="" dxfId="1">
      <formula>"EVET"</formula>
    </cfRule>
  </conditionalFormatting>
  <conditionalFormatting sqref="H549">
    <cfRule type="cellIs" priority="1631" operator="equal" aboveAverage="0" equalAverage="0" bottom="0" percent="0" rank="0" text="" dxfId="2">
      <formula>"KAZANDI"</formula>
    </cfRule>
    <cfRule type="cellIs" priority="1632" operator="equal" aboveAverage="0" equalAverage="0" bottom="0" percent="0" rank="0" text="" dxfId="0">
      <formula>"KAYBETTİ"</formula>
    </cfRule>
  </conditionalFormatting>
  <conditionalFormatting sqref="G549">
    <cfRule type="cellIs" priority="1633" operator="equal" aboveAverage="0" equalAverage="0" bottom="0" percent="0" rank="0" text="" dxfId="1">
      <formula>"EVET"</formula>
    </cfRule>
  </conditionalFormatting>
  <conditionalFormatting sqref="H550">
    <cfRule type="cellIs" priority="1634" operator="equal" aboveAverage="0" equalAverage="0" bottom="0" percent="0" rank="0" text="" dxfId="2">
      <formula>"KAZANDI"</formula>
    </cfRule>
    <cfRule type="cellIs" priority="1635" operator="equal" aboveAverage="0" equalAverage="0" bottom="0" percent="0" rank="0" text="" dxfId="0">
      <formula>"KAYBETTİ"</formula>
    </cfRule>
  </conditionalFormatting>
  <conditionalFormatting sqref="G550">
    <cfRule type="cellIs" priority="1636" operator="equal" aboveAverage="0" equalAverage="0" bottom="0" percent="0" rank="0" text="" dxfId="1">
      <formula>"EVET"</formula>
    </cfRule>
  </conditionalFormatting>
  <conditionalFormatting sqref="H551">
    <cfRule type="cellIs" priority="1637" operator="equal" aboveAverage="0" equalAverage="0" bottom="0" percent="0" rank="0" text="" dxfId="2">
      <formula>"KAZANDI"</formula>
    </cfRule>
    <cfRule type="cellIs" priority="1638" operator="equal" aboveAverage="0" equalAverage="0" bottom="0" percent="0" rank="0" text="" dxfId="0">
      <formula>"KAYBETTİ"</formula>
    </cfRule>
  </conditionalFormatting>
  <conditionalFormatting sqref="G551">
    <cfRule type="cellIs" priority="1639" operator="equal" aboveAverage="0" equalAverage="0" bottom="0" percent="0" rank="0" text="" dxfId="1">
      <formula>"EVET"</formula>
    </cfRule>
  </conditionalFormatting>
  <conditionalFormatting sqref="H552">
    <cfRule type="cellIs" priority="1640" operator="equal" aboveAverage="0" equalAverage="0" bottom="0" percent="0" rank="0" text="" dxfId="2">
      <formula>"KAZANDI"</formula>
    </cfRule>
    <cfRule type="cellIs" priority="1641" operator="equal" aboveAverage="0" equalAverage="0" bottom="0" percent="0" rank="0" text="" dxfId="0">
      <formula>"KAYBETTİ"</formula>
    </cfRule>
  </conditionalFormatting>
  <conditionalFormatting sqref="G552">
    <cfRule type="cellIs" priority="1642" operator="equal" aboveAverage="0" equalAverage="0" bottom="0" percent="0" rank="0" text="" dxfId="1">
      <formula>"EVET"</formula>
    </cfRule>
  </conditionalFormatting>
  <conditionalFormatting sqref="H553">
    <cfRule type="cellIs" priority="1643" operator="equal" aboveAverage="0" equalAverage="0" bottom="0" percent="0" rank="0" text="" dxfId="2">
      <formula>"KAZANDI"</formula>
    </cfRule>
    <cfRule type="cellIs" priority="1644" operator="equal" aboveAverage="0" equalAverage="0" bottom="0" percent="0" rank="0" text="" dxfId="0">
      <formula>"KAYBETTİ"</formula>
    </cfRule>
  </conditionalFormatting>
  <conditionalFormatting sqref="G553">
    <cfRule type="cellIs" priority="1645" operator="equal" aboveAverage="0" equalAverage="0" bottom="0" percent="0" rank="0" text="" dxfId="1">
      <formula>"EVET"</formula>
    </cfRule>
  </conditionalFormatting>
  <conditionalFormatting sqref="H554">
    <cfRule type="cellIs" priority="1646" operator="equal" aboveAverage="0" equalAverage="0" bottom="0" percent="0" rank="0" text="" dxfId="2">
      <formula>"KAZANDI"</formula>
    </cfRule>
    <cfRule type="cellIs" priority="1647" operator="equal" aboveAverage="0" equalAverage="0" bottom="0" percent="0" rank="0" text="" dxfId="0">
      <formula>"KAYBETTİ"</formula>
    </cfRule>
  </conditionalFormatting>
  <conditionalFormatting sqref="G554">
    <cfRule type="cellIs" priority="1648" operator="equal" aboveAverage="0" equalAverage="0" bottom="0" percent="0" rank="0" text="" dxfId="1">
      <formula>"EVET"</formula>
    </cfRule>
  </conditionalFormatting>
  <conditionalFormatting sqref="H555">
    <cfRule type="cellIs" priority="1649" operator="equal" aboveAverage="0" equalAverage="0" bottom="0" percent="0" rank="0" text="" dxfId="2">
      <formula>"KAZANDI"</formula>
    </cfRule>
    <cfRule type="cellIs" priority="1650" operator="equal" aboveAverage="0" equalAverage="0" bottom="0" percent="0" rank="0" text="" dxfId="0">
      <formula>"KAYBETTİ"</formula>
    </cfRule>
  </conditionalFormatting>
  <conditionalFormatting sqref="G555">
    <cfRule type="cellIs" priority="1651" operator="equal" aboveAverage="0" equalAverage="0" bottom="0" percent="0" rank="0" text="" dxfId="1">
      <formula>"EVET"</formula>
    </cfRule>
  </conditionalFormatting>
  <conditionalFormatting sqref="H556">
    <cfRule type="cellIs" priority="1652" operator="equal" aboveAverage="0" equalAverage="0" bottom="0" percent="0" rank="0" text="" dxfId="2">
      <formula>"KAZANDI"</formula>
    </cfRule>
    <cfRule type="cellIs" priority="1653" operator="equal" aboveAverage="0" equalAverage="0" bottom="0" percent="0" rank="0" text="" dxfId="0">
      <formula>"KAYBETTİ"</formula>
    </cfRule>
  </conditionalFormatting>
  <conditionalFormatting sqref="G556">
    <cfRule type="cellIs" priority="1654" operator="equal" aboveAverage="0" equalAverage="0" bottom="0" percent="0" rank="0" text="" dxfId="1">
      <formula>"EVET"</formula>
    </cfRule>
  </conditionalFormatting>
  <conditionalFormatting sqref="H557">
    <cfRule type="cellIs" priority="1655" operator="equal" aboveAverage="0" equalAverage="0" bottom="0" percent="0" rank="0" text="" dxfId="2">
      <formula>"KAZANDI"</formula>
    </cfRule>
    <cfRule type="cellIs" priority="1656" operator="equal" aboveAverage="0" equalAverage="0" bottom="0" percent="0" rank="0" text="" dxfId="0">
      <formula>"KAYBETTİ"</formula>
    </cfRule>
  </conditionalFormatting>
  <conditionalFormatting sqref="G557">
    <cfRule type="cellIs" priority="1657" operator="equal" aboveAverage="0" equalAverage="0" bottom="0" percent="0" rank="0" text="" dxfId="1">
      <formula>"EVET"</formula>
    </cfRule>
  </conditionalFormatting>
  <conditionalFormatting sqref="H558">
    <cfRule type="cellIs" priority="1658" operator="equal" aboveAverage="0" equalAverage="0" bottom="0" percent="0" rank="0" text="" dxfId="2">
      <formula>"KAZANDI"</formula>
    </cfRule>
    <cfRule type="cellIs" priority="1659" operator="equal" aboveAverage="0" equalAverage="0" bottom="0" percent="0" rank="0" text="" dxfId="0">
      <formula>"KAYBETTİ"</formula>
    </cfRule>
  </conditionalFormatting>
  <conditionalFormatting sqref="G558">
    <cfRule type="cellIs" priority="1660" operator="equal" aboveAverage="0" equalAverage="0" bottom="0" percent="0" rank="0" text="" dxfId="1">
      <formula>"EVET"</formula>
    </cfRule>
  </conditionalFormatting>
  <conditionalFormatting sqref="H559">
    <cfRule type="cellIs" priority="1661" operator="equal" aboveAverage="0" equalAverage="0" bottom="0" percent="0" rank="0" text="" dxfId="2">
      <formula>"KAZANDI"</formula>
    </cfRule>
    <cfRule type="cellIs" priority="1662" operator="equal" aboveAverage="0" equalAverage="0" bottom="0" percent="0" rank="0" text="" dxfId="0">
      <formula>"KAYBETTİ"</formula>
    </cfRule>
  </conditionalFormatting>
  <conditionalFormatting sqref="G559">
    <cfRule type="cellIs" priority="1663" operator="equal" aboveAverage="0" equalAverage="0" bottom="0" percent="0" rank="0" text="" dxfId="1">
      <formula>"EVET"</formula>
    </cfRule>
  </conditionalFormatting>
  <conditionalFormatting sqref="H560">
    <cfRule type="cellIs" priority="1664" operator="equal" aboveAverage="0" equalAverage="0" bottom="0" percent="0" rank="0" text="" dxfId="2">
      <formula>"KAZANDI"</formula>
    </cfRule>
    <cfRule type="cellIs" priority="1665" operator="equal" aboveAverage="0" equalAverage="0" bottom="0" percent="0" rank="0" text="" dxfId="0">
      <formula>"KAYBETTİ"</formula>
    </cfRule>
  </conditionalFormatting>
  <conditionalFormatting sqref="G560">
    <cfRule type="cellIs" priority="1666" operator="equal" aboveAverage="0" equalAverage="0" bottom="0" percent="0" rank="0" text="" dxfId="1">
      <formula>"EVET"</formula>
    </cfRule>
  </conditionalFormatting>
  <conditionalFormatting sqref="H561">
    <cfRule type="cellIs" priority="1667" operator="equal" aboveAverage="0" equalAverage="0" bottom="0" percent="0" rank="0" text="" dxfId="2">
      <formula>"KAZANDI"</formula>
    </cfRule>
    <cfRule type="cellIs" priority="1668" operator="equal" aboveAverage="0" equalAverage="0" bottom="0" percent="0" rank="0" text="" dxfId="0">
      <formula>"KAYBETTİ"</formula>
    </cfRule>
  </conditionalFormatting>
  <conditionalFormatting sqref="G561">
    <cfRule type="cellIs" priority="1669" operator="equal" aboveAverage="0" equalAverage="0" bottom="0" percent="0" rank="0" text="" dxfId="1">
      <formula>"EVET"</formula>
    </cfRule>
  </conditionalFormatting>
  <conditionalFormatting sqref="H562">
    <cfRule type="cellIs" priority="1670" operator="equal" aboveAverage="0" equalAverage="0" bottom="0" percent="0" rank="0" text="" dxfId="2">
      <formula>"KAZANDI"</formula>
    </cfRule>
    <cfRule type="cellIs" priority="1671" operator="equal" aboveAverage="0" equalAverage="0" bottom="0" percent="0" rank="0" text="" dxfId="0">
      <formula>"KAYBETTİ"</formula>
    </cfRule>
  </conditionalFormatting>
  <conditionalFormatting sqref="G562">
    <cfRule type="cellIs" priority="1672" operator="equal" aboveAverage="0" equalAverage="0" bottom="0" percent="0" rank="0" text="" dxfId="1">
      <formula>"EVET"</formula>
    </cfRule>
  </conditionalFormatting>
  <conditionalFormatting sqref="H563">
    <cfRule type="cellIs" priority="1673" operator="equal" aboveAverage="0" equalAverage="0" bottom="0" percent="0" rank="0" text="" dxfId="2">
      <formula>"KAZANDI"</formula>
    </cfRule>
    <cfRule type="cellIs" priority="1674" operator="equal" aboveAverage="0" equalAverage="0" bottom="0" percent="0" rank="0" text="" dxfId="0">
      <formula>"KAYBETTİ"</formula>
    </cfRule>
  </conditionalFormatting>
  <conditionalFormatting sqref="G563">
    <cfRule type="cellIs" priority="1675" operator="equal" aboveAverage="0" equalAverage="0" bottom="0" percent="0" rank="0" text="" dxfId="1">
      <formula>"EVET"</formula>
    </cfRule>
  </conditionalFormatting>
  <conditionalFormatting sqref="H564">
    <cfRule type="cellIs" priority="1676" operator="equal" aboveAverage="0" equalAverage="0" bottom="0" percent="0" rank="0" text="" dxfId="2">
      <formula>"KAZANDI"</formula>
    </cfRule>
    <cfRule type="cellIs" priority="1677" operator="equal" aboveAverage="0" equalAverage="0" bottom="0" percent="0" rank="0" text="" dxfId="0">
      <formula>"KAYBETTİ"</formula>
    </cfRule>
  </conditionalFormatting>
  <conditionalFormatting sqref="G564">
    <cfRule type="cellIs" priority="1678" operator="equal" aboveAverage="0" equalAverage="0" bottom="0" percent="0" rank="0" text="" dxfId="1">
      <formula>"EVET"</formula>
    </cfRule>
  </conditionalFormatting>
  <conditionalFormatting sqref="H565">
    <cfRule type="cellIs" priority="1679" operator="equal" aboveAverage="0" equalAverage="0" bottom="0" percent="0" rank="0" text="" dxfId="2">
      <formula>"KAZANDI"</formula>
    </cfRule>
    <cfRule type="cellIs" priority="1680" operator="equal" aboveAverage="0" equalAverage="0" bottom="0" percent="0" rank="0" text="" dxfId="0">
      <formula>"KAYBETTİ"</formula>
    </cfRule>
  </conditionalFormatting>
  <conditionalFormatting sqref="G565">
    <cfRule type="cellIs" priority="1681" operator="equal" aboveAverage="0" equalAverage="0" bottom="0" percent="0" rank="0" text="" dxfId="1">
      <formula>"EVET"</formula>
    </cfRule>
  </conditionalFormatting>
  <conditionalFormatting sqref="H566">
    <cfRule type="cellIs" priority="1682" operator="equal" aboveAverage="0" equalAverage="0" bottom="0" percent="0" rank="0" text="" dxfId="2">
      <formula>"KAZANDI"</formula>
    </cfRule>
    <cfRule type="cellIs" priority="1683" operator="equal" aboveAverage="0" equalAverage="0" bottom="0" percent="0" rank="0" text="" dxfId="0">
      <formula>"KAYBETTİ"</formula>
    </cfRule>
  </conditionalFormatting>
  <conditionalFormatting sqref="G566">
    <cfRule type="cellIs" priority="1684" operator="equal" aboveAverage="0" equalAverage="0" bottom="0" percent="0" rank="0" text="" dxfId="1">
      <formula>"EVET"</formula>
    </cfRule>
  </conditionalFormatting>
  <conditionalFormatting sqref="H567">
    <cfRule type="cellIs" priority="1685" operator="equal" aboveAverage="0" equalAverage="0" bottom="0" percent="0" rank="0" text="" dxfId="2">
      <formula>"KAZANDI"</formula>
    </cfRule>
    <cfRule type="cellIs" priority="1686" operator="equal" aboveAverage="0" equalAverage="0" bottom="0" percent="0" rank="0" text="" dxfId="0">
      <formula>"KAYBETTİ"</formula>
    </cfRule>
  </conditionalFormatting>
  <conditionalFormatting sqref="G567">
    <cfRule type="cellIs" priority="1687" operator="equal" aboveAverage="0" equalAverage="0" bottom="0" percent="0" rank="0" text="" dxfId="1">
      <formula>"EVET"</formula>
    </cfRule>
  </conditionalFormatting>
  <conditionalFormatting sqref="H568">
    <cfRule type="cellIs" priority="1688" operator="equal" aboveAverage="0" equalAverage="0" bottom="0" percent="0" rank="0" text="" dxfId="2">
      <formula>"KAZANDI"</formula>
    </cfRule>
    <cfRule type="cellIs" priority="1689" operator="equal" aboveAverage="0" equalAverage="0" bottom="0" percent="0" rank="0" text="" dxfId="0">
      <formula>"KAYBETTİ"</formula>
    </cfRule>
  </conditionalFormatting>
  <conditionalFormatting sqref="G568">
    <cfRule type="cellIs" priority="1690" operator="equal" aboveAverage="0" equalAverage="0" bottom="0" percent="0" rank="0" text="" dxfId="1">
      <formula>"EVET"</formula>
    </cfRule>
  </conditionalFormatting>
  <conditionalFormatting sqref="H569">
    <cfRule type="cellIs" priority="1691" operator="equal" aboveAverage="0" equalAverage="0" bottom="0" percent="0" rank="0" text="" dxfId="2">
      <formula>"KAZANDI"</formula>
    </cfRule>
    <cfRule type="cellIs" priority="1692" operator="equal" aboveAverage="0" equalAverage="0" bottom="0" percent="0" rank="0" text="" dxfId="0">
      <formula>"KAYBETTİ"</formula>
    </cfRule>
  </conditionalFormatting>
  <conditionalFormatting sqref="G569">
    <cfRule type="cellIs" priority="1693" operator="equal" aboveAverage="0" equalAverage="0" bottom="0" percent="0" rank="0" text="" dxfId="1">
      <formula>"EVET"</formula>
    </cfRule>
  </conditionalFormatting>
  <conditionalFormatting sqref="H570">
    <cfRule type="cellIs" priority="1694" operator="equal" aboveAverage="0" equalAverage="0" bottom="0" percent="0" rank="0" text="" dxfId="2">
      <formula>"KAZANDI"</formula>
    </cfRule>
    <cfRule type="cellIs" priority="1695" operator="equal" aboveAverage="0" equalAverage="0" bottom="0" percent="0" rank="0" text="" dxfId="0">
      <formula>"KAYBETTİ"</formula>
    </cfRule>
  </conditionalFormatting>
  <conditionalFormatting sqref="G570">
    <cfRule type="cellIs" priority="1696" operator="equal" aboveAverage="0" equalAverage="0" bottom="0" percent="0" rank="0" text="" dxfId="1">
      <formula>"EVET"</formula>
    </cfRule>
  </conditionalFormatting>
  <conditionalFormatting sqref="H571">
    <cfRule type="cellIs" priority="1697" operator="equal" aboveAverage="0" equalAverage="0" bottom="0" percent="0" rank="0" text="" dxfId="2">
      <formula>"KAZANDI"</formula>
    </cfRule>
    <cfRule type="cellIs" priority="1698" operator="equal" aboveAverage="0" equalAverage="0" bottom="0" percent="0" rank="0" text="" dxfId="0">
      <formula>"KAYBETTİ"</formula>
    </cfRule>
  </conditionalFormatting>
  <conditionalFormatting sqref="G571">
    <cfRule type="cellIs" priority="1699" operator="equal" aboveAverage="0" equalAverage="0" bottom="0" percent="0" rank="0" text="" dxfId="1">
      <formula>"EVET"</formula>
    </cfRule>
  </conditionalFormatting>
  <conditionalFormatting sqref="H572">
    <cfRule type="cellIs" priority="1700" operator="equal" aboveAverage="0" equalAverage="0" bottom="0" percent="0" rank="0" text="" dxfId="2">
      <formula>"KAZANDI"</formula>
    </cfRule>
    <cfRule type="cellIs" priority="1701" operator="equal" aboveAverage="0" equalAverage="0" bottom="0" percent="0" rank="0" text="" dxfId="0">
      <formula>"KAYBETTİ"</formula>
    </cfRule>
  </conditionalFormatting>
  <conditionalFormatting sqref="G572">
    <cfRule type="cellIs" priority="1702" operator="equal" aboveAverage="0" equalAverage="0" bottom="0" percent="0" rank="0" text="" dxfId="1">
      <formula>"EVET"</formula>
    </cfRule>
  </conditionalFormatting>
  <conditionalFormatting sqref="H573">
    <cfRule type="cellIs" priority="1703" operator="equal" aboveAverage="0" equalAverage="0" bottom="0" percent="0" rank="0" text="" dxfId="2">
      <formula>"KAZANDI"</formula>
    </cfRule>
    <cfRule type="cellIs" priority="1704" operator="equal" aboveAverage="0" equalAverage="0" bottom="0" percent="0" rank="0" text="" dxfId="0">
      <formula>"KAYBETTİ"</formula>
    </cfRule>
  </conditionalFormatting>
  <conditionalFormatting sqref="G573">
    <cfRule type="cellIs" priority="1705" operator="equal" aboveAverage="0" equalAverage="0" bottom="0" percent="0" rank="0" text="" dxfId="1">
      <formula>"EVET"</formula>
    </cfRule>
  </conditionalFormatting>
  <conditionalFormatting sqref="H574">
    <cfRule type="cellIs" priority="1706" operator="equal" aboveAverage="0" equalAverage="0" bottom="0" percent="0" rank="0" text="" dxfId="2">
      <formula>"KAZANDI"</formula>
    </cfRule>
    <cfRule type="cellIs" priority="1707" operator="equal" aboveAverage="0" equalAverage="0" bottom="0" percent="0" rank="0" text="" dxfId="0">
      <formula>"KAYBETTİ"</formula>
    </cfRule>
  </conditionalFormatting>
  <conditionalFormatting sqref="G574">
    <cfRule type="cellIs" priority="1708" operator="equal" aboveAverage="0" equalAverage="0" bottom="0" percent="0" rank="0" text="" dxfId="1">
      <formula>"EVET"</formula>
    </cfRule>
  </conditionalFormatting>
  <conditionalFormatting sqref="H575">
    <cfRule type="cellIs" priority="1709" operator="equal" aboveAverage="0" equalAverage="0" bottom="0" percent="0" rank="0" text="" dxfId="2">
      <formula>"KAZANDI"</formula>
    </cfRule>
    <cfRule type="cellIs" priority="1710" operator="equal" aboveAverage="0" equalAverage="0" bottom="0" percent="0" rank="0" text="" dxfId="0">
      <formula>"KAYBETTİ"</formula>
    </cfRule>
  </conditionalFormatting>
  <conditionalFormatting sqref="G575">
    <cfRule type="cellIs" priority="1711" operator="equal" aboveAverage="0" equalAverage="0" bottom="0" percent="0" rank="0" text="" dxfId="1">
      <formula>"EVET"</formula>
    </cfRule>
  </conditionalFormatting>
  <conditionalFormatting sqref="H576">
    <cfRule type="cellIs" priority="1712" operator="equal" aboveAverage="0" equalAverage="0" bottom="0" percent="0" rank="0" text="" dxfId="2">
      <formula>"KAZANDI"</formula>
    </cfRule>
    <cfRule type="cellIs" priority="1713" operator="equal" aboveAverage="0" equalAverage="0" bottom="0" percent="0" rank="0" text="" dxfId="0">
      <formula>"KAYBETTİ"</formula>
    </cfRule>
  </conditionalFormatting>
  <conditionalFormatting sqref="G576">
    <cfRule type="cellIs" priority="1714" operator="equal" aboveAverage="0" equalAverage="0" bottom="0" percent="0" rank="0" text="" dxfId="1">
      <formula>"EVET"</formula>
    </cfRule>
  </conditionalFormatting>
  <conditionalFormatting sqref="H577">
    <cfRule type="cellIs" priority="1715" operator="equal" aboveAverage="0" equalAverage="0" bottom="0" percent="0" rank="0" text="" dxfId="2">
      <formula>"KAZANDI"</formula>
    </cfRule>
    <cfRule type="cellIs" priority="1716" operator="equal" aboveAverage="0" equalAverage="0" bottom="0" percent="0" rank="0" text="" dxfId="0">
      <formula>"KAYBETTİ"</formula>
    </cfRule>
  </conditionalFormatting>
  <conditionalFormatting sqref="G577">
    <cfRule type="cellIs" priority="1717" operator="equal" aboveAverage="0" equalAverage="0" bottom="0" percent="0" rank="0" text="" dxfId="1">
      <formula>"EVET"</formula>
    </cfRule>
  </conditionalFormatting>
  <conditionalFormatting sqref="H578">
    <cfRule type="cellIs" priority="1718" operator="equal" aboveAverage="0" equalAverage="0" bottom="0" percent="0" rank="0" text="" dxfId="2">
      <formula>"KAZANDI"</formula>
    </cfRule>
    <cfRule type="cellIs" priority="1719" operator="equal" aboveAverage="0" equalAverage="0" bottom="0" percent="0" rank="0" text="" dxfId="0">
      <formula>"KAYBETTİ"</formula>
    </cfRule>
  </conditionalFormatting>
  <conditionalFormatting sqref="G578">
    <cfRule type="cellIs" priority="1720" operator="equal" aboveAverage="0" equalAverage="0" bottom="0" percent="0" rank="0" text="" dxfId="1">
      <formula>"EVET"</formula>
    </cfRule>
  </conditionalFormatting>
  <conditionalFormatting sqref="H579">
    <cfRule type="cellIs" priority="1721" operator="equal" aboveAverage="0" equalAverage="0" bottom="0" percent="0" rank="0" text="" dxfId="2">
      <formula>"KAZANDI"</formula>
    </cfRule>
    <cfRule type="cellIs" priority="1722" operator="equal" aboveAverage="0" equalAverage="0" bottom="0" percent="0" rank="0" text="" dxfId="0">
      <formula>"KAYBETTİ"</formula>
    </cfRule>
  </conditionalFormatting>
  <conditionalFormatting sqref="G579">
    <cfRule type="cellIs" priority="1723" operator="equal" aboveAverage="0" equalAverage="0" bottom="0" percent="0" rank="0" text="" dxfId="1">
      <formula>"EVET"</formula>
    </cfRule>
  </conditionalFormatting>
  <conditionalFormatting sqref="H580">
    <cfRule type="cellIs" priority="1724" operator="equal" aboveAverage="0" equalAverage="0" bottom="0" percent="0" rank="0" text="" dxfId="2">
      <formula>"KAZANDI"</formula>
    </cfRule>
    <cfRule type="cellIs" priority="1725" operator="equal" aboveAverage="0" equalAverage="0" bottom="0" percent="0" rank="0" text="" dxfId="0">
      <formula>"KAYBETTİ"</formula>
    </cfRule>
  </conditionalFormatting>
  <conditionalFormatting sqref="G580">
    <cfRule type="cellIs" priority="1726" operator="equal" aboveAverage="0" equalAverage="0" bottom="0" percent="0" rank="0" text="" dxfId="1">
      <formula>"EVET"</formula>
    </cfRule>
  </conditionalFormatting>
  <conditionalFormatting sqref="H581">
    <cfRule type="cellIs" priority="1727" operator="equal" aboveAverage="0" equalAverage="0" bottom="0" percent="0" rank="0" text="" dxfId="2">
      <formula>"KAZANDI"</formula>
    </cfRule>
    <cfRule type="cellIs" priority="1728" operator="equal" aboveAverage="0" equalAverage="0" bottom="0" percent="0" rank="0" text="" dxfId="0">
      <formula>"KAYBETTİ"</formula>
    </cfRule>
  </conditionalFormatting>
  <conditionalFormatting sqref="G581">
    <cfRule type="cellIs" priority="1729" operator="equal" aboveAverage="0" equalAverage="0" bottom="0" percent="0" rank="0" text="" dxfId="1">
      <formula>"EVET"</formula>
    </cfRule>
  </conditionalFormatting>
  <conditionalFormatting sqref="H582">
    <cfRule type="cellIs" priority="1730" operator="equal" aboveAverage="0" equalAverage="0" bottom="0" percent="0" rank="0" text="" dxfId="2">
      <formula>"KAZANDI"</formula>
    </cfRule>
    <cfRule type="cellIs" priority="1731" operator="equal" aboveAverage="0" equalAverage="0" bottom="0" percent="0" rank="0" text="" dxfId="0">
      <formula>"KAYBETTİ"</formula>
    </cfRule>
  </conditionalFormatting>
  <conditionalFormatting sqref="G582">
    <cfRule type="cellIs" priority="1732" operator="equal" aboveAverage="0" equalAverage="0" bottom="0" percent="0" rank="0" text="" dxfId="1">
      <formula>"EVET"</formula>
    </cfRule>
  </conditionalFormatting>
  <conditionalFormatting sqref="H583">
    <cfRule type="cellIs" priority="1733" operator="equal" aboveAverage="0" equalAverage="0" bottom="0" percent="0" rank="0" text="" dxfId="2">
      <formula>"KAZANDI"</formula>
    </cfRule>
    <cfRule type="cellIs" priority="1734" operator="equal" aboveAverage="0" equalAverage="0" bottom="0" percent="0" rank="0" text="" dxfId="0">
      <formula>"KAYBETTİ"</formula>
    </cfRule>
  </conditionalFormatting>
  <conditionalFormatting sqref="G583">
    <cfRule type="cellIs" priority="1735" operator="equal" aboveAverage="0" equalAverage="0" bottom="0" percent="0" rank="0" text="" dxfId="1">
      <formula>"EVET"</formula>
    </cfRule>
  </conditionalFormatting>
  <conditionalFormatting sqref="H584">
    <cfRule type="cellIs" priority="1736" operator="equal" aboveAverage="0" equalAverage="0" bottom="0" percent="0" rank="0" text="" dxfId="2">
      <formula>"KAZANDI"</formula>
    </cfRule>
    <cfRule type="cellIs" priority="1737" operator="equal" aboveAverage="0" equalAverage="0" bottom="0" percent="0" rank="0" text="" dxfId="0">
      <formula>"KAYBETTİ"</formula>
    </cfRule>
  </conditionalFormatting>
  <conditionalFormatting sqref="G584">
    <cfRule type="cellIs" priority="1738" operator="equal" aboveAverage="0" equalAverage="0" bottom="0" percent="0" rank="0" text="" dxfId="1">
      <formula>"EVET"</formula>
    </cfRule>
  </conditionalFormatting>
  <conditionalFormatting sqref="H585">
    <cfRule type="cellIs" priority="1739" operator="equal" aboveAverage="0" equalAverage="0" bottom="0" percent="0" rank="0" text="" dxfId="2">
      <formula>"KAZANDI"</formula>
    </cfRule>
    <cfRule type="cellIs" priority="1740" operator="equal" aboveAverage="0" equalAverage="0" bottom="0" percent="0" rank="0" text="" dxfId="0">
      <formula>"KAYBETTİ"</formula>
    </cfRule>
  </conditionalFormatting>
  <conditionalFormatting sqref="G585">
    <cfRule type="cellIs" priority="1741" operator="equal" aboveAverage="0" equalAverage="0" bottom="0" percent="0" rank="0" text="" dxfId="1">
      <formula>"EVET"</formula>
    </cfRule>
  </conditionalFormatting>
  <conditionalFormatting sqref="H586">
    <cfRule type="cellIs" priority="1742" operator="equal" aboveAverage="0" equalAverage="0" bottom="0" percent="0" rank="0" text="" dxfId="2">
      <formula>"KAZANDI"</formula>
    </cfRule>
    <cfRule type="cellIs" priority="1743" operator="equal" aboveAverage="0" equalAverage="0" bottom="0" percent="0" rank="0" text="" dxfId="0">
      <formula>"KAYBETTİ"</formula>
    </cfRule>
  </conditionalFormatting>
  <conditionalFormatting sqref="G586">
    <cfRule type="cellIs" priority="1744" operator="equal" aboveAverage="0" equalAverage="0" bottom="0" percent="0" rank="0" text="" dxfId="1">
      <formula>"EVET"</formula>
    </cfRule>
  </conditionalFormatting>
  <conditionalFormatting sqref="H587">
    <cfRule type="cellIs" priority="1745" operator="equal" aboveAverage="0" equalAverage="0" bottom="0" percent="0" rank="0" text="" dxfId="2">
      <formula>"KAZANDI"</formula>
    </cfRule>
    <cfRule type="cellIs" priority="1746" operator="equal" aboveAverage="0" equalAverage="0" bottom="0" percent="0" rank="0" text="" dxfId="0">
      <formula>"KAYBETTİ"</formula>
    </cfRule>
  </conditionalFormatting>
  <conditionalFormatting sqref="G587">
    <cfRule type="cellIs" priority="1747" operator="equal" aboveAverage="0" equalAverage="0" bottom="0" percent="0" rank="0" text="" dxfId="1">
      <formula>"EVET"</formula>
    </cfRule>
  </conditionalFormatting>
  <conditionalFormatting sqref="H588">
    <cfRule type="cellIs" priority="1748" operator="equal" aboveAverage="0" equalAverage="0" bottom="0" percent="0" rank="0" text="" dxfId="2">
      <formula>"KAZANDI"</formula>
    </cfRule>
    <cfRule type="cellIs" priority="1749" operator="equal" aboveAverage="0" equalAverage="0" bottom="0" percent="0" rank="0" text="" dxfId="0">
      <formula>"KAYBETTİ"</formula>
    </cfRule>
  </conditionalFormatting>
  <conditionalFormatting sqref="G588">
    <cfRule type="cellIs" priority="1750" operator="equal" aboveAverage="0" equalAverage="0" bottom="0" percent="0" rank="0" text="" dxfId="1">
      <formula>"EVET"</formula>
    </cfRule>
  </conditionalFormatting>
  <conditionalFormatting sqref="H589">
    <cfRule type="cellIs" priority="1751" operator="equal" aboveAverage="0" equalAverage="0" bottom="0" percent="0" rank="0" text="" dxfId="2">
      <formula>"KAZANDI"</formula>
    </cfRule>
    <cfRule type="cellIs" priority="1752" operator="equal" aboveAverage="0" equalAverage="0" bottom="0" percent="0" rank="0" text="" dxfId="0">
      <formula>"KAYBETTİ"</formula>
    </cfRule>
  </conditionalFormatting>
  <conditionalFormatting sqref="G589">
    <cfRule type="cellIs" priority="1753" operator="equal" aboveAverage="0" equalAverage="0" bottom="0" percent="0" rank="0" text="" dxfId="1">
      <formula>"EVET"</formula>
    </cfRule>
  </conditionalFormatting>
  <conditionalFormatting sqref="H590">
    <cfRule type="cellIs" priority="1754" operator="equal" aboveAverage="0" equalAverage="0" bottom="0" percent="0" rank="0" text="" dxfId="2">
      <formula>"KAZANDI"</formula>
    </cfRule>
    <cfRule type="cellIs" priority="1755" operator="equal" aboveAverage="0" equalAverage="0" bottom="0" percent="0" rank="0" text="" dxfId="0">
      <formula>"KAYBETTİ"</formula>
    </cfRule>
  </conditionalFormatting>
  <conditionalFormatting sqref="G590">
    <cfRule type="cellIs" priority="1756" operator="equal" aboveAverage="0" equalAverage="0" bottom="0" percent="0" rank="0" text="" dxfId="1">
      <formula>"EVET"</formula>
    </cfRule>
  </conditionalFormatting>
  <conditionalFormatting sqref="H591">
    <cfRule type="cellIs" priority="1757" operator="equal" aboveAverage="0" equalAverage="0" bottom="0" percent="0" rank="0" text="" dxfId="2">
      <formula>"KAZANDI"</formula>
    </cfRule>
    <cfRule type="cellIs" priority="1758" operator="equal" aboveAverage="0" equalAverage="0" bottom="0" percent="0" rank="0" text="" dxfId="0">
      <formula>"KAYBETTİ"</formula>
    </cfRule>
  </conditionalFormatting>
  <conditionalFormatting sqref="G591">
    <cfRule type="cellIs" priority="1759" operator="equal" aboveAverage="0" equalAverage="0" bottom="0" percent="0" rank="0" text="" dxfId="1">
      <formula>"EVET"</formula>
    </cfRule>
  </conditionalFormatting>
  <conditionalFormatting sqref="H592">
    <cfRule type="cellIs" priority="1760" operator="equal" aboveAverage="0" equalAverage="0" bottom="0" percent="0" rank="0" text="" dxfId="2">
      <formula>"KAZANDI"</formula>
    </cfRule>
    <cfRule type="cellIs" priority="1761" operator="equal" aboveAverage="0" equalAverage="0" bottom="0" percent="0" rank="0" text="" dxfId="0">
      <formula>"KAYBETTİ"</formula>
    </cfRule>
  </conditionalFormatting>
  <conditionalFormatting sqref="G592">
    <cfRule type="cellIs" priority="1762" operator="equal" aboveAverage="0" equalAverage="0" bottom="0" percent="0" rank="0" text="" dxfId="1">
      <formula>"EVET"</formula>
    </cfRule>
  </conditionalFormatting>
  <conditionalFormatting sqref="H593">
    <cfRule type="cellIs" priority="1763" operator="equal" aboveAverage="0" equalAverage="0" bottom="0" percent="0" rank="0" text="" dxfId="2">
      <formula>"KAZANDI"</formula>
    </cfRule>
    <cfRule type="cellIs" priority="1764" operator="equal" aboveAverage="0" equalAverage="0" bottom="0" percent="0" rank="0" text="" dxfId="0">
      <formula>"KAYBETTİ"</formula>
    </cfRule>
  </conditionalFormatting>
  <conditionalFormatting sqref="G593">
    <cfRule type="cellIs" priority="1765" operator="equal" aboveAverage="0" equalAverage="0" bottom="0" percent="0" rank="0" text="" dxfId="1">
      <formula>"EVET"</formula>
    </cfRule>
  </conditionalFormatting>
  <conditionalFormatting sqref="H594">
    <cfRule type="cellIs" priority="1766" operator="equal" aboveAverage="0" equalAverage="0" bottom="0" percent="0" rank="0" text="" dxfId="2">
      <formula>"KAZANDI"</formula>
    </cfRule>
    <cfRule type="cellIs" priority="1767" operator="equal" aboveAverage="0" equalAverage="0" bottom="0" percent="0" rank="0" text="" dxfId="0">
      <formula>"KAYBETTİ"</formula>
    </cfRule>
  </conditionalFormatting>
  <conditionalFormatting sqref="G594">
    <cfRule type="cellIs" priority="1768" operator="equal" aboveAverage="0" equalAverage="0" bottom="0" percent="0" rank="0" text="" dxfId="1">
      <formula>"EVET"</formula>
    </cfRule>
  </conditionalFormatting>
  <conditionalFormatting sqref="H595">
    <cfRule type="cellIs" priority="1769" operator="equal" aboveAverage="0" equalAverage="0" bottom="0" percent="0" rank="0" text="" dxfId="2">
      <formula>"KAZANDI"</formula>
    </cfRule>
    <cfRule type="cellIs" priority="1770" operator="equal" aboveAverage="0" equalAverage="0" bottom="0" percent="0" rank="0" text="" dxfId="0">
      <formula>"KAYBETTİ"</formula>
    </cfRule>
  </conditionalFormatting>
  <conditionalFormatting sqref="G595">
    <cfRule type="cellIs" priority="1771" operator="equal" aboveAverage="0" equalAverage="0" bottom="0" percent="0" rank="0" text="" dxfId="1">
      <formula>"EVET"</formula>
    </cfRule>
  </conditionalFormatting>
  <conditionalFormatting sqref="H596">
    <cfRule type="cellIs" priority="1772" operator="equal" aboveAverage="0" equalAverage="0" bottom="0" percent="0" rank="0" text="" dxfId="2">
      <formula>"KAZANDI"</formula>
    </cfRule>
    <cfRule type="cellIs" priority="1773" operator="equal" aboveAverage="0" equalAverage="0" bottom="0" percent="0" rank="0" text="" dxfId="0">
      <formula>"KAYBETTİ"</formula>
    </cfRule>
  </conditionalFormatting>
  <conditionalFormatting sqref="G596">
    <cfRule type="cellIs" priority="1774" operator="equal" aboveAverage="0" equalAverage="0" bottom="0" percent="0" rank="0" text="" dxfId="1">
      <formula>"EVET"</formula>
    </cfRule>
  </conditionalFormatting>
  <conditionalFormatting sqref="H597">
    <cfRule type="cellIs" priority="1775" operator="equal" aboveAverage="0" equalAverage="0" bottom="0" percent="0" rank="0" text="" dxfId="2">
      <formula>"KAZANDI"</formula>
    </cfRule>
    <cfRule type="cellIs" priority="1776" operator="equal" aboveAverage="0" equalAverage="0" bottom="0" percent="0" rank="0" text="" dxfId="0">
      <formula>"KAYBETTİ"</formula>
    </cfRule>
  </conditionalFormatting>
  <conditionalFormatting sqref="G597">
    <cfRule type="cellIs" priority="1777" operator="equal" aboveAverage="0" equalAverage="0" bottom="0" percent="0" rank="0" text="" dxfId="1">
      <formula>"EVET"</formula>
    </cfRule>
  </conditionalFormatting>
  <conditionalFormatting sqref="H598">
    <cfRule type="cellIs" priority="1778" operator="equal" aboveAverage="0" equalAverage="0" bottom="0" percent="0" rank="0" text="" dxfId="2">
      <formula>"KAZANDI"</formula>
    </cfRule>
    <cfRule type="cellIs" priority="1779" operator="equal" aboveAverage="0" equalAverage="0" bottom="0" percent="0" rank="0" text="" dxfId="0">
      <formula>"KAYBETTİ"</formula>
    </cfRule>
  </conditionalFormatting>
  <conditionalFormatting sqref="G598">
    <cfRule type="cellIs" priority="1780" operator="equal" aboveAverage="0" equalAverage="0" bottom="0" percent="0" rank="0" text="" dxfId="1">
      <formula>"EVET"</formula>
    </cfRule>
  </conditionalFormatting>
  <conditionalFormatting sqref="H599">
    <cfRule type="cellIs" priority="1781" operator="equal" aboveAverage="0" equalAverage="0" bottom="0" percent="0" rank="0" text="" dxfId="2">
      <formula>"KAZANDI"</formula>
    </cfRule>
    <cfRule type="cellIs" priority="1782" operator="equal" aboveAverage="0" equalAverage="0" bottom="0" percent="0" rank="0" text="" dxfId="0">
      <formula>"KAYBETTİ"</formula>
    </cfRule>
  </conditionalFormatting>
  <conditionalFormatting sqref="G599">
    <cfRule type="cellIs" priority="1783" operator="equal" aboveAverage="0" equalAverage="0" bottom="0" percent="0" rank="0" text="" dxfId="1">
      <formula>"EVET"</formula>
    </cfRule>
  </conditionalFormatting>
  <conditionalFormatting sqref="H600">
    <cfRule type="cellIs" priority="1784" operator="equal" aboveAverage="0" equalAverage="0" bottom="0" percent="0" rank="0" text="" dxfId="2">
      <formula>"KAZANDI"</formula>
    </cfRule>
    <cfRule type="cellIs" priority="1785" operator="equal" aboveAverage="0" equalAverage="0" bottom="0" percent="0" rank="0" text="" dxfId="0">
      <formula>"KAYBETTİ"</formula>
    </cfRule>
  </conditionalFormatting>
  <conditionalFormatting sqref="G600">
    <cfRule type="cellIs" priority="1786" operator="equal" aboveAverage="0" equalAverage="0" bottom="0" percent="0" rank="0" text="" dxfId="1">
      <formula>"EVET"</formula>
    </cfRule>
  </conditionalFormatting>
  <conditionalFormatting sqref="H601">
    <cfRule type="cellIs" priority="1787" operator="equal" aboveAverage="0" equalAverage="0" bottom="0" percent="0" rank="0" text="" dxfId="2">
      <formula>"KAZANDI"</formula>
    </cfRule>
    <cfRule type="cellIs" priority="1788" operator="equal" aboveAverage="0" equalAverage="0" bottom="0" percent="0" rank="0" text="" dxfId="0">
      <formula>"KAYBETTİ"</formula>
    </cfRule>
  </conditionalFormatting>
  <conditionalFormatting sqref="G601">
    <cfRule type="cellIs" priority="1789" operator="equal" aboveAverage="0" equalAverage="0" bottom="0" percent="0" rank="0" text="" dxfId="1">
      <formula>"EVET"</formula>
    </cfRule>
  </conditionalFormatting>
  <conditionalFormatting sqref="H602">
    <cfRule type="cellIs" priority="1790" operator="equal" aboveAverage="0" equalAverage="0" bottom="0" percent="0" rank="0" text="" dxfId="2">
      <formula>"KAZANDI"</formula>
    </cfRule>
    <cfRule type="cellIs" priority="1791" operator="equal" aboveAverage="0" equalAverage="0" bottom="0" percent="0" rank="0" text="" dxfId="0">
      <formula>"KAYBETTİ"</formula>
    </cfRule>
  </conditionalFormatting>
  <conditionalFormatting sqref="G602">
    <cfRule type="cellIs" priority="1792" operator="equal" aboveAverage="0" equalAverage="0" bottom="0" percent="0" rank="0" text="" dxfId="1">
      <formula>"EVET"</formula>
    </cfRule>
  </conditionalFormatting>
  <conditionalFormatting sqref="H603">
    <cfRule type="cellIs" priority="1793" operator="equal" aboveAverage="0" equalAverage="0" bottom="0" percent="0" rank="0" text="" dxfId="2">
      <formula>"KAZANDI"</formula>
    </cfRule>
    <cfRule type="cellIs" priority="1794" operator="equal" aboveAverage="0" equalAverage="0" bottom="0" percent="0" rank="0" text="" dxfId="0">
      <formula>"KAYBETTİ"</formula>
    </cfRule>
  </conditionalFormatting>
  <conditionalFormatting sqref="G603">
    <cfRule type="cellIs" priority="1795" operator="equal" aboveAverage="0" equalAverage="0" bottom="0" percent="0" rank="0" text="" dxfId="1">
      <formula>"EVET"</formula>
    </cfRule>
  </conditionalFormatting>
  <conditionalFormatting sqref="H604">
    <cfRule type="cellIs" priority="1796" operator="equal" aboveAverage="0" equalAverage="0" bottom="0" percent="0" rank="0" text="" dxfId="2">
      <formula>"KAZANDI"</formula>
    </cfRule>
    <cfRule type="cellIs" priority="1797" operator="equal" aboveAverage="0" equalAverage="0" bottom="0" percent="0" rank="0" text="" dxfId="0">
      <formula>"KAYBETTİ"</formula>
    </cfRule>
  </conditionalFormatting>
  <conditionalFormatting sqref="G604">
    <cfRule type="cellIs" priority="1798" operator="equal" aboveAverage="0" equalAverage="0" bottom="0" percent="0" rank="0" text="" dxfId="1">
      <formula>"EVET"</formula>
    </cfRule>
  </conditionalFormatting>
  <conditionalFormatting sqref="H605">
    <cfRule type="cellIs" priority="1799" operator="equal" aboveAverage="0" equalAverage="0" bottom="0" percent="0" rank="0" text="" dxfId="2">
      <formula>"KAZANDI"</formula>
    </cfRule>
    <cfRule type="cellIs" priority="1800" operator="equal" aboveAverage="0" equalAverage="0" bottom="0" percent="0" rank="0" text="" dxfId="0">
      <formula>"KAYBETTİ"</formula>
    </cfRule>
  </conditionalFormatting>
  <conditionalFormatting sqref="G605">
    <cfRule type="cellIs" priority="1801" operator="equal" aboveAverage="0" equalAverage="0" bottom="0" percent="0" rank="0" text="" dxfId="1">
      <formula>"EVET"</formula>
    </cfRule>
  </conditionalFormatting>
  <conditionalFormatting sqref="H606">
    <cfRule type="cellIs" priority="1802" operator="equal" aboveAverage="0" equalAverage="0" bottom="0" percent="0" rank="0" text="" dxfId="2">
      <formula>"KAZANDI"</formula>
    </cfRule>
    <cfRule type="cellIs" priority="1803" operator="equal" aboveAverage="0" equalAverage="0" bottom="0" percent="0" rank="0" text="" dxfId="0">
      <formula>"KAYBETTİ"</formula>
    </cfRule>
  </conditionalFormatting>
  <conditionalFormatting sqref="G606">
    <cfRule type="cellIs" priority="1804" operator="equal" aboveAverage="0" equalAverage="0" bottom="0" percent="0" rank="0" text="" dxfId="1">
      <formula>"EVET"</formula>
    </cfRule>
  </conditionalFormatting>
  <conditionalFormatting sqref="H607">
    <cfRule type="cellIs" priority="1805" operator="equal" aboveAverage="0" equalAverage="0" bottom="0" percent="0" rank="0" text="" dxfId="2">
      <formula>"KAZANDI"</formula>
    </cfRule>
    <cfRule type="cellIs" priority="1806" operator="equal" aboveAverage="0" equalAverage="0" bottom="0" percent="0" rank="0" text="" dxfId="0">
      <formula>"KAYBETTİ"</formula>
    </cfRule>
  </conditionalFormatting>
  <conditionalFormatting sqref="G607">
    <cfRule type="cellIs" priority="1807" operator="equal" aboveAverage="0" equalAverage="0" bottom="0" percent="0" rank="0" text="" dxfId="1">
      <formula>"EVET"</formula>
    </cfRule>
  </conditionalFormatting>
  <conditionalFormatting sqref="H608">
    <cfRule type="cellIs" priority="1808" operator="equal" aboveAverage="0" equalAverage="0" bottom="0" percent="0" rank="0" text="" dxfId="2">
      <formula>"KAZANDI"</formula>
    </cfRule>
    <cfRule type="cellIs" priority="1809" operator="equal" aboveAverage="0" equalAverage="0" bottom="0" percent="0" rank="0" text="" dxfId="0">
      <formula>"KAYBETTİ"</formula>
    </cfRule>
  </conditionalFormatting>
  <conditionalFormatting sqref="G608">
    <cfRule type="cellIs" priority="1810" operator="equal" aboveAverage="0" equalAverage="0" bottom="0" percent="0" rank="0" text="" dxfId="1">
      <formula>"EVET"</formula>
    </cfRule>
  </conditionalFormatting>
  <conditionalFormatting sqref="H609">
    <cfRule type="cellIs" priority="1811" operator="equal" aboveAverage="0" equalAverage="0" bottom="0" percent="0" rank="0" text="" dxfId="2">
      <formula>"KAZANDI"</formula>
    </cfRule>
    <cfRule type="cellIs" priority="1812" operator="equal" aboveAverage="0" equalAverage="0" bottom="0" percent="0" rank="0" text="" dxfId="0">
      <formula>"KAYBETTİ"</formula>
    </cfRule>
  </conditionalFormatting>
  <conditionalFormatting sqref="G609">
    <cfRule type="cellIs" priority="1813" operator="equal" aboveAverage="0" equalAverage="0" bottom="0" percent="0" rank="0" text="" dxfId="1">
      <formula>"EVET"</formula>
    </cfRule>
  </conditionalFormatting>
  <conditionalFormatting sqref="H610">
    <cfRule type="cellIs" priority="1814" operator="equal" aboveAverage="0" equalAverage="0" bottom="0" percent="0" rank="0" text="" dxfId="2">
      <formula>"KAZANDI"</formula>
    </cfRule>
    <cfRule type="cellIs" priority="1815" operator="equal" aboveAverage="0" equalAverage="0" bottom="0" percent="0" rank="0" text="" dxfId="0">
      <formula>"KAYBETTİ"</formula>
    </cfRule>
  </conditionalFormatting>
  <conditionalFormatting sqref="G610">
    <cfRule type="cellIs" priority="1816" operator="equal" aboveAverage="0" equalAverage="0" bottom="0" percent="0" rank="0" text="" dxfId="1">
      <formula>"EVET"</formula>
    </cfRule>
  </conditionalFormatting>
  <conditionalFormatting sqref="H611">
    <cfRule type="cellIs" priority="1817" operator="equal" aboveAverage="0" equalAverage="0" bottom="0" percent="0" rank="0" text="" dxfId="2">
      <formula>"KAZANDI"</formula>
    </cfRule>
    <cfRule type="cellIs" priority="1818" operator="equal" aboveAverage="0" equalAverage="0" bottom="0" percent="0" rank="0" text="" dxfId="0">
      <formula>"KAYBETTİ"</formula>
    </cfRule>
  </conditionalFormatting>
  <conditionalFormatting sqref="G611">
    <cfRule type="cellIs" priority="1819" operator="equal" aboveAverage="0" equalAverage="0" bottom="0" percent="0" rank="0" text="" dxfId="1">
      <formula>"EVET"</formula>
    </cfRule>
  </conditionalFormatting>
  <conditionalFormatting sqref="H612">
    <cfRule type="cellIs" priority="1820" operator="equal" aboveAverage="0" equalAverage="0" bottom="0" percent="0" rank="0" text="" dxfId="2">
      <formula>"KAZANDI"</formula>
    </cfRule>
    <cfRule type="cellIs" priority="1821" operator="equal" aboveAverage="0" equalAverage="0" bottom="0" percent="0" rank="0" text="" dxfId="0">
      <formula>"KAYBETTİ"</formula>
    </cfRule>
  </conditionalFormatting>
  <conditionalFormatting sqref="G612">
    <cfRule type="cellIs" priority="1822" operator="equal" aboveAverage="0" equalAverage="0" bottom="0" percent="0" rank="0" text="" dxfId="1">
      <formula>"EVET"</formula>
    </cfRule>
  </conditionalFormatting>
  <conditionalFormatting sqref="H613">
    <cfRule type="cellIs" priority="1823" operator="equal" aboveAverage="0" equalAverage="0" bottom="0" percent="0" rank="0" text="" dxfId="2">
      <formula>"KAZANDI"</formula>
    </cfRule>
    <cfRule type="cellIs" priority="1824" operator="equal" aboveAverage="0" equalAverage="0" bottom="0" percent="0" rank="0" text="" dxfId="0">
      <formula>"KAYBETTİ"</formula>
    </cfRule>
  </conditionalFormatting>
  <conditionalFormatting sqref="G613">
    <cfRule type="cellIs" priority="1825" operator="equal" aboveAverage="0" equalAverage="0" bottom="0" percent="0" rank="0" text="" dxfId="1">
      <formula>"EVET"</formula>
    </cfRule>
  </conditionalFormatting>
  <conditionalFormatting sqref="H614">
    <cfRule type="cellIs" priority="1826" operator="equal" aboveAverage="0" equalAverage="0" bottom="0" percent="0" rank="0" text="" dxfId="2">
      <formula>"KAZANDI"</formula>
    </cfRule>
    <cfRule type="cellIs" priority="1827" operator="equal" aboveAverage="0" equalAverage="0" bottom="0" percent="0" rank="0" text="" dxfId="0">
      <formula>"KAYBETTİ"</formula>
    </cfRule>
  </conditionalFormatting>
  <conditionalFormatting sqref="G614">
    <cfRule type="cellIs" priority="1828" operator="equal" aboveAverage="0" equalAverage="0" bottom="0" percent="0" rank="0" text="" dxfId="1">
      <formula>"EVET"</formula>
    </cfRule>
  </conditionalFormatting>
  <conditionalFormatting sqref="H615">
    <cfRule type="cellIs" priority="1829" operator="equal" aboveAverage="0" equalAverage="0" bottom="0" percent="0" rank="0" text="" dxfId="2">
      <formula>"KAZANDI"</formula>
    </cfRule>
    <cfRule type="cellIs" priority="1830" operator="equal" aboveAverage="0" equalAverage="0" bottom="0" percent="0" rank="0" text="" dxfId="0">
      <formula>"KAYBETTİ"</formula>
    </cfRule>
  </conditionalFormatting>
  <conditionalFormatting sqref="G615">
    <cfRule type="cellIs" priority="1831" operator="equal" aboveAverage="0" equalAverage="0" bottom="0" percent="0" rank="0" text="" dxfId="1">
      <formula>"EVET"</formula>
    </cfRule>
  </conditionalFormatting>
  <conditionalFormatting sqref="H616">
    <cfRule type="cellIs" priority="1832" operator="equal" aboveAverage="0" equalAverage="0" bottom="0" percent="0" rank="0" text="" dxfId="2">
      <formula>"KAZANDI"</formula>
    </cfRule>
    <cfRule type="cellIs" priority="1833" operator="equal" aboveAverage="0" equalAverage="0" bottom="0" percent="0" rank="0" text="" dxfId="0">
      <formula>"KAYBETTİ"</formula>
    </cfRule>
  </conditionalFormatting>
  <conditionalFormatting sqref="G616">
    <cfRule type="cellIs" priority="1834" operator="equal" aboveAverage="0" equalAverage="0" bottom="0" percent="0" rank="0" text="" dxfId="1">
      <formula>"EVET"</formula>
    </cfRule>
  </conditionalFormatting>
  <conditionalFormatting sqref="H617">
    <cfRule type="cellIs" priority="1835" operator="equal" aboveAverage="0" equalAverage="0" bottom="0" percent="0" rank="0" text="" dxfId="2">
      <formula>"KAZANDI"</formula>
    </cfRule>
    <cfRule type="cellIs" priority="1836" operator="equal" aboveAverage="0" equalAverage="0" bottom="0" percent="0" rank="0" text="" dxfId="0">
      <formula>"KAYBETTİ"</formula>
    </cfRule>
  </conditionalFormatting>
  <conditionalFormatting sqref="G617">
    <cfRule type="cellIs" priority="1837" operator="equal" aboveAverage="0" equalAverage="0" bottom="0" percent="0" rank="0" text="" dxfId="1">
      <formula>"EVET"</formula>
    </cfRule>
  </conditionalFormatting>
  <conditionalFormatting sqref="H618">
    <cfRule type="cellIs" priority="1838" operator="equal" aboveAverage="0" equalAverage="0" bottom="0" percent="0" rank="0" text="" dxfId="2">
      <formula>"KAZANDI"</formula>
    </cfRule>
    <cfRule type="cellIs" priority="1839" operator="equal" aboveAverage="0" equalAverage="0" bottom="0" percent="0" rank="0" text="" dxfId="0">
      <formula>"KAYBETTİ"</formula>
    </cfRule>
  </conditionalFormatting>
  <conditionalFormatting sqref="G618">
    <cfRule type="cellIs" priority="1840" operator="equal" aboveAverage="0" equalAverage="0" bottom="0" percent="0" rank="0" text="" dxfId="1">
      <formula>"EVET"</formula>
    </cfRule>
  </conditionalFormatting>
  <conditionalFormatting sqref="H619">
    <cfRule type="cellIs" priority="1841" operator="equal" aboveAverage="0" equalAverage="0" bottom="0" percent="0" rank="0" text="" dxfId="2">
      <formula>"KAZANDI"</formula>
    </cfRule>
    <cfRule type="cellIs" priority="1842" operator="equal" aboveAverage="0" equalAverage="0" bottom="0" percent="0" rank="0" text="" dxfId="0">
      <formula>"KAYBETTİ"</formula>
    </cfRule>
  </conditionalFormatting>
  <conditionalFormatting sqref="G619">
    <cfRule type="cellIs" priority="1843" operator="equal" aboveAverage="0" equalAverage="0" bottom="0" percent="0" rank="0" text="" dxfId="1">
      <formula>"EVET"</formula>
    </cfRule>
  </conditionalFormatting>
  <conditionalFormatting sqref="H620">
    <cfRule type="cellIs" priority="1844" operator="equal" aboveAverage="0" equalAverage="0" bottom="0" percent="0" rank="0" text="" dxfId="2">
      <formula>"KAZANDI"</formula>
    </cfRule>
    <cfRule type="cellIs" priority="1845" operator="equal" aboveAverage="0" equalAverage="0" bottom="0" percent="0" rank="0" text="" dxfId="0">
      <formula>"KAYBETTİ"</formula>
    </cfRule>
  </conditionalFormatting>
  <conditionalFormatting sqref="G620">
    <cfRule type="cellIs" priority="1846" operator="equal" aboveAverage="0" equalAverage="0" bottom="0" percent="0" rank="0" text="" dxfId="1">
      <formula>"EVET"</formula>
    </cfRule>
  </conditionalFormatting>
  <conditionalFormatting sqref="H621">
    <cfRule type="cellIs" priority="1847" operator="equal" aboveAverage="0" equalAverage="0" bottom="0" percent="0" rank="0" text="" dxfId="2">
      <formula>"KAZANDI"</formula>
    </cfRule>
    <cfRule type="cellIs" priority="1848" operator="equal" aboveAverage="0" equalAverage="0" bottom="0" percent="0" rank="0" text="" dxfId="0">
      <formula>"KAYBETTİ"</formula>
    </cfRule>
  </conditionalFormatting>
  <conditionalFormatting sqref="G621">
    <cfRule type="cellIs" priority="1849" operator="equal" aboveAverage="0" equalAverage="0" bottom="0" percent="0" rank="0" text="" dxfId="1">
      <formula>"EVET"</formula>
    </cfRule>
  </conditionalFormatting>
  <conditionalFormatting sqref="H622">
    <cfRule type="cellIs" priority="1850" operator="equal" aboveAverage="0" equalAverage="0" bottom="0" percent="0" rank="0" text="" dxfId="2">
      <formula>"KAZANDI"</formula>
    </cfRule>
    <cfRule type="cellIs" priority="1851" operator="equal" aboveAverage="0" equalAverage="0" bottom="0" percent="0" rank="0" text="" dxfId="0">
      <formula>"KAYBETTİ"</formula>
    </cfRule>
  </conditionalFormatting>
  <conditionalFormatting sqref="G622">
    <cfRule type="cellIs" priority="1852" operator="equal" aboveAverage="0" equalAverage="0" bottom="0" percent="0" rank="0" text="" dxfId="1">
      <formula>"EVET"</formula>
    </cfRule>
  </conditionalFormatting>
  <conditionalFormatting sqref="H623">
    <cfRule type="cellIs" priority="1853" operator="equal" aboveAverage="0" equalAverage="0" bottom="0" percent="0" rank="0" text="" dxfId="2">
      <formula>"KAZANDI"</formula>
    </cfRule>
    <cfRule type="cellIs" priority="1854" operator="equal" aboveAverage="0" equalAverage="0" bottom="0" percent="0" rank="0" text="" dxfId="0">
      <formula>"KAYBETTİ"</formula>
    </cfRule>
  </conditionalFormatting>
  <conditionalFormatting sqref="G623">
    <cfRule type="cellIs" priority="1855" operator="equal" aboveAverage="0" equalAverage="0" bottom="0" percent="0" rank="0" text="" dxfId="1">
      <formula>"EVET"</formula>
    </cfRule>
  </conditionalFormatting>
  <conditionalFormatting sqref="H624">
    <cfRule type="cellIs" priority="1856" operator="equal" aboveAverage="0" equalAverage="0" bottom="0" percent="0" rank="0" text="" dxfId="2">
      <formula>"KAZANDI"</formula>
    </cfRule>
    <cfRule type="cellIs" priority="1857" operator="equal" aboveAverage="0" equalAverage="0" bottom="0" percent="0" rank="0" text="" dxfId="0">
      <formula>"KAYBETTİ"</formula>
    </cfRule>
  </conditionalFormatting>
  <conditionalFormatting sqref="G624">
    <cfRule type="cellIs" priority="1858" operator="equal" aboveAverage="0" equalAverage="0" bottom="0" percent="0" rank="0" text="" dxfId="1">
      <formula>"EVET"</formula>
    </cfRule>
  </conditionalFormatting>
  <conditionalFormatting sqref="H625">
    <cfRule type="cellIs" priority="1859" operator="equal" aboveAverage="0" equalAverage="0" bottom="0" percent="0" rank="0" text="" dxfId="2">
      <formula>"KAZANDI"</formula>
    </cfRule>
    <cfRule type="cellIs" priority="1860" operator="equal" aboveAverage="0" equalAverage="0" bottom="0" percent="0" rank="0" text="" dxfId="0">
      <formula>"KAYBETTİ"</formula>
    </cfRule>
  </conditionalFormatting>
  <conditionalFormatting sqref="G625">
    <cfRule type="cellIs" priority="1861" operator="equal" aboveAverage="0" equalAverage="0" bottom="0" percent="0" rank="0" text="" dxfId="1">
      <formula>"EVET"</formula>
    </cfRule>
  </conditionalFormatting>
  <conditionalFormatting sqref="H626">
    <cfRule type="cellIs" priority="1862" operator="equal" aboveAverage="0" equalAverage="0" bottom="0" percent="0" rank="0" text="" dxfId="2">
      <formula>"KAZANDI"</formula>
    </cfRule>
    <cfRule type="cellIs" priority="1863" operator="equal" aboveAverage="0" equalAverage="0" bottom="0" percent="0" rank="0" text="" dxfId="0">
      <formula>"KAYBETTİ"</formula>
    </cfRule>
  </conditionalFormatting>
  <conditionalFormatting sqref="G626">
    <cfRule type="cellIs" priority="1864" operator="equal" aboveAverage="0" equalAverage="0" bottom="0" percent="0" rank="0" text="" dxfId="1">
      <formula>"EVET"</formula>
    </cfRule>
  </conditionalFormatting>
  <conditionalFormatting sqref="H627">
    <cfRule type="cellIs" priority="1865" operator="equal" aboveAverage="0" equalAverage="0" bottom="0" percent="0" rank="0" text="" dxfId="2">
      <formula>"KAZANDI"</formula>
    </cfRule>
    <cfRule type="cellIs" priority="1866" operator="equal" aboveAverage="0" equalAverage="0" bottom="0" percent="0" rank="0" text="" dxfId="0">
      <formula>"KAYBETTİ"</formula>
    </cfRule>
  </conditionalFormatting>
  <conditionalFormatting sqref="G627">
    <cfRule type="cellIs" priority="1867" operator="equal" aboveAverage="0" equalAverage="0" bottom="0" percent="0" rank="0" text="" dxfId="1">
      <formula>"EVET"</formula>
    </cfRule>
  </conditionalFormatting>
  <conditionalFormatting sqref="H628">
    <cfRule type="cellIs" priority="1868" operator="equal" aboveAverage="0" equalAverage="0" bottom="0" percent="0" rank="0" text="" dxfId="2">
      <formula>"KAZANDI"</formula>
    </cfRule>
    <cfRule type="cellIs" priority="1869" operator="equal" aboveAverage="0" equalAverage="0" bottom="0" percent="0" rank="0" text="" dxfId="0">
      <formula>"KAYBETTİ"</formula>
    </cfRule>
  </conditionalFormatting>
  <conditionalFormatting sqref="G628">
    <cfRule type="cellIs" priority="1870" operator="equal" aboveAverage="0" equalAverage="0" bottom="0" percent="0" rank="0" text="" dxfId="1">
      <formula>"EVET"</formula>
    </cfRule>
  </conditionalFormatting>
  <conditionalFormatting sqref="H629">
    <cfRule type="cellIs" priority="1871" operator="equal" aboveAverage="0" equalAverage="0" bottom="0" percent="0" rank="0" text="" dxfId="2">
      <formula>"KAZANDI"</formula>
    </cfRule>
    <cfRule type="cellIs" priority="1872" operator="equal" aboveAverage="0" equalAverage="0" bottom="0" percent="0" rank="0" text="" dxfId="0">
      <formula>"KAYBETTİ"</formula>
    </cfRule>
  </conditionalFormatting>
  <conditionalFormatting sqref="G629">
    <cfRule type="cellIs" priority="1873" operator="equal" aboveAverage="0" equalAverage="0" bottom="0" percent="0" rank="0" text="" dxfId="1">
      <formula>"EVET"</formula>
    </cfRule>
  </conditionalFormatting>
  <conditionalFormatting sqref="H630">
    <cfRule type="cellIs" priority="1874" operator="equal" aboveAverage="0" equalAverage="0" bottom="0" percent="0" rank="0" text="" dxfId="2">
      <formula>"KAZANDI"</formula>
    </cfRule>
    <cfRule type="cellIs" priority="1875" operator="equal" aboveAverage="0" equalAverage="0" bottom="0" percent="0" rank="0" text="" dxfId="0">
      <formula>"KAYBETTİ"</formula>
    </cfRule>
  </conditionalFormatting>
  <conditionalFormatting sqref="G630">
    <cfRule type="cellIs" priority="1876" operator="equal" aboveAverage="0" equalAverage="0" bottom="0" percent="0" rank="0" text="" dxfId="1">
      <formula>"EVET"</formula>
    </cfRule>
  </conditionalFormatting>
  <conditionalFormatting sqref="H631">
    <cfRule type="cellIs" priority="1877" operator="equal" aboveAverage="0" equalAverage="0" bottom="0" percent="0" rank="0" text="" dxfId="2">
      <formula>"KAZANDI"</formula>
    </cfRule>
    <cfRule type="cellIs" priority="1878" operator="equal" aboveAverage="0" equalAverage="0" bottom="0" percent="0" rank="0" text="" dxfId="0">
      <formula>"KAYBETTİ"</formula>
    </cfRule>
  </conditionalFormatting>
  <conditionalFormatting sqref="G631">
    <cfRule type="cellIs" priority="1879" operator="equal" aboveAverage="0" equalAverage="0" bottom="0" percent="0" rank="0" text="" dxfId="1">
      <formula>"EVET"</formula>
    </cfRule>
  </conditionalFormatting>
  <conditionalFormatting sqref="H632">
    <cfRule type="cellIs" priority="1880" operator="equal" aboveAverage="0" equalAverage="0" bottom="0" percent="0" rank="0" text="" dxfId="2">
      <formula>"KAZANDI"</formula>
    </cfRule>
    <cfRule type="cellIs" priority="1881" operator="equal" aboveAverage="0" equalAverage="0" bottom="0" percent="0" rank="0" text="" dxfId="0">
      <formula>"KAYBETTİ"</formula>
    </cfRule>
  </conditionalFormatting>
  <conditionalFormatting sqref="G632">
    <cfRule type="cellIs" priority="1882" operator="equal" aboveAverage="0" equalAverage="0" bottom="0" percent="0" rank="0" text="" dxfId="1">
      <formula>"EVET"</formula>
    </cfRule>
  </conditionalFormatting>
  <conditionalFormatting sqref="H633">
    <cfRule type="cellIs" priority="1883" operator="equal" aboveAverage="0" equalAverage="0" bottom="0" percent="0" rank="0" text="" dxfId="2">
      <formula>"KAZANDI"</formula>
    </cfRule>
    <cfRule type="cellIs" priority="1884" operator="equal" aboveAverage="0" equalAverage="0" bottom="0" percent="0" rank="0" text="" dxfId="0">
      <formula>"KAYBETTİ"</formula>
    </cfRule>
  </conditionalFormatting>
  <conditionalFormatting sqref="G633">
    <cfRule type="cellIs" priority="1885" operator="equal" aboveAverage="0" equalAverage="0" bottom="0" percent="0" rank="0" text="" dxfId="1">
      <formula>"EVET"</formula>
    </cfRule>
  </conditionalFormatting>
  <conditionalFormatting sqref="H634">
    <cfRule type="cellIs" priority="1886" operator="equal" aboveAverage="0" equalAverage="0" bottom="0" percent="0" rank="0" text="" dxfId="2">
      <formula>"KAZANDI"</formula>
    </cfRule>
    <cfRule type="cellIs" priority="1887" operator="equal" aboveAverage="0" equalAverage="0" bottom="0" percent="0" rank="0" text="" dxfId="0">
      <formula>"KAYBETTİ"</formula>
    </cfRule>
  </conditionalFormatting>
  <conditionalFormatting sqref="G634">
    <cfRule type="cellIs" priority="1888" operator="equal" aboveAverage="0" equalAverage="0" bottom="0" percent="0" rank="0" text="" dxfId="1">
      <formula>"EVET"</formula>
    </cfRule>
  </conditionalFormatting>
  <conditionalFormatting sqref="H635">
    <cfRule type="cellIs" priority="1889" operator="equal" aboveAverage="0" equalAverage="0" bottom="0" percent="0" rank="0" text="" dxfId="2">
      <formula>"KAZANDI"</formula>
    </cfRule>
    <cfRule type="cellIs" priority="1890" operator="equal" aboveAverage="0" equalAverage="0" bottom="0" percent="0" rank="0" text="" dxfId="0">
      <formula>"KAYBETTİ"</formula>
    </cfRule>
  </conditionalFormatting>
  <conditionalFormatting sqref="G635">
    <cfRule type="cellIs" priority="1891" operator="equal" aboveAverage="0" equalAverage="0" bottom="0" percent="0" rank="0" text="" dxfId="1">
      <formula>"EVET"</formula>
    </cfRule>
  </conditionalFormatting>
  <conditionalFormatting sqref="H636">
    <cfRule type="cellIs" priority="1892" operator="equal" aboveAverage="0" equalAverage="0" bottom="0" percent="0" rank="0" text="" dxfId="2">
      <formula>"KAZANDI"</formula>
    </cfRule>
    <cfRule type="cellIs" priority="1893" operator="equal" aboveAverage="0" equalAverage="0" bottom="0" percent="0" rank="0" text="" dxfId="0">
      <formula>"KAYBETTİ"</formula>
    </cfRule>
  </conditionalFormatting>
  <conditionalFormatting sqref="G636">
    <cfRule type="cellIs" priority="1894" operator="equal" aboveAverage="0" equalAverage="0" bottom="0" percent="0" rank="0" text="" dxfId="1">
      <formula>"EVET"</formula>
    </cfRule>
  </conditionalFormatting>
  <conditionalFormatting sqref="H637">
    <cfRule type="cellIs" priority="1895" operator="equal" aboveAverage="0" equalAverage="0" bottom="0" percent="0" rank="0" text="" dxfId="2">
      <formula>"KAZANDI"</formula>
    </cfRule>
    <cfRule type="cellIs" priority="1896" operator="equal" aboveAverage="0" equalAverage="0" bottom="0" percent="0" rank="0" text="" dxfId="0">
      <formula>"KAYBETTİ"</formula>
    </cfRule>
  </conditionalFormatting>
  <conditionalFormatting sqref="G637">
    <cfRule type="cellIs" priority="1897" operator="equal" aboveAverage="0" equalAverage="0" bottom="0" percent="0" rank="0" text="" dxfId="1">
      <formula>"EVET"</formula>
    </cfRule>
  </conditionalFormatting>
  <conditionalFormatting sqref="H638">
    <cfRule type="cellIs" priority="1898" operator="equal" aboveAverage="0" equalAverage="0" bottom="0" percent="0" rank="0" text="" dxfId="2">
      <formula>"KAZANDI"</formula>
    </cfRule>
    <cfRule type="cellIs" priority="1899" operator="equal" aboveAverage="0" equalAverage="0" bottom="0" percent="0" rank="0" text="" dxfId="0">
      <formula>"KAYBETTİ"</formula>
    </cfRule>
  </conditionalFormatting>
  <conditionalFormatting sqref="G638">
    <cfRule type="cellIs" priority="1900" operator="equal" aboveAverage="0" equalAverage="0" bottom="0" percent="0" rank="0" text="" dxfId="1">
      <formula>"EVET"</formula>
    </cfRule>
  </conditionalFormatting>
  <conditionalFormatting sqref="H639">
    <cfRule type="cellIs" priority="1901" operator="equal" aboveAverage="0" equalAverage="0" bottom="0" percent="0" rank="0" text="" dxfId="2">
      <formula>"KAZANDI"</formula>
    </cfRule>
    <cfRule type="cellIs" priority="1902" operator="equal" aboveAverage="0" equalAverage="0" bottom="0" percent="0" rank="0" text="" dxfId="0">
      <formula>"KAYBETTİ"</formula>
    </cfRule>
  </conditionalFormatting>
  <conditionalFormatting sqref="G639">
    <cfRule type="cellIs" priority="1903" operator="equal" aboveAverage="0" equalAverage="0" bottom="0" percent="0" rank="0" text="" dxfId="1">
      <formula>"EVET"</formula>
    </cfRule>
  </conditionalFormatting>
  <conditionalFormatting sqref="H640">
    <cfRule type="cellIs" priority="1904" operator="equal" aboveAverage="0" equalAverage="0" bottom="0" percent="0" rank="0" text="" dxfId="2">
      <formula>"KAZANDI"</formula>
    </cfRule>
    <cfRule type="cellIs" priority="1905" operator="equal" aboveAverage="0" equalAverage="0" bottom="0" percent="0" rank="0" text="" dxfId="0">
      <formula>"KAYBETTİ"</formula>
    </cfRule>
  </conditionalFormatting>
  <conditionalFormatting sqref="G640">
    <cfRule type="cellIs" priority="1906" operator="equal" aboveAverage="0" equalAverage="0" bottom="0" percent="0" rank="0" text="" dxfId="1">
      <formula>"EVET"</formula>
    </cfRule>
  </conditionalFormatting>
  <conditionalFormatting sqref="H641">
    <cfRule type="cellIs" priority="1907" operator="equal" aboveAverage="0" equalAverage="0" bottom="0" percent="0" rank="0" text="" dxfId="2">
      <formula>"KAZANDI"</formula>
    </cfRule>
    <cfRule type="cellIs" priority="1908" operator="equal" aboveAverage="0" equalAverage="0" bottom="0" percent="0" rank="0" text="" dxfId="0">
      <formula>"KAYBETTİ"</formula>
    </cfRule>
  </conditionalFormatting>
  <conditionalFormatting sqref="G641">
    <cfRule type="cellIs" priority="1909" operator="equal" aboveAverage="0" equalAverage="0" bottom="0" percent="0" rank="0" text="" dxfId="1">
      <formula>"EVET"</formula>
    </cfRule>
  </conditionalFormatting>
  <conditionalFormatting sqref="H642">
    <cfRule type="cellIs" priority="1910" operator="equal" aboveAverage="0" equalAverage="0" bottom="0" percent="0" rank="0" text="" dxfId="2">
      <formula>"KAZANDI"</formula>
    </cfRule>
    <cfRule type="cellIs" priority="1911" operator="equal" aboveAverage="0" equalAverage="0" bottom="0" percent="0" rank="0" text="" dxfId="0">
      <formula>"KAYBETTİ"</formula>
    </cfRule>
  </conditionalFormatting>
  <conditionalFormatting sqref="G642">
    <cfRule type="cellIs" priority="1912" operator="equal" aboveAverage="0" equalAverage="0" bottom="0" percent="0" rank="0" text="" dxfId="1">
      <formula>"EVET"</formula>
    </cfRule>
  </conditionalFormatting>
  <conditionalFormatting sqref="H643">
    <cfRule type="cellIs" priority="1913" operator="equal" aboveAverage="0" equalAverage="0" bottom="0" percent="0" rank="0" text="" dxfId="2">
      <formula>"KAZANDI"</formula>
    </cfRule>
    <cfRule type="cellIs" priority="1914" operator="equal" aboveAverage="0" equalAverage="0" bottom="0" percent="0" rank="0" text="" dxfId="0">
      <formula>"KAYBETTİ"</formula>
    </cfRule>
  </conditionalFormatting>
  <conditionalFormatting sqref="G643">
    <cfRule type="cellIs" priority="1915" operator="equal" aboveAverage="0" equalAverage="0" bottom="0" percent="0" rank="0" text="" dxfId="1">
      <formula>"EVET"</formula>
    </cfRule>
  </conditionalFormatting>
  <conditionalFormatting sqref="H644">
    <cfRule type="cellIs" priority="1916" operator="equal" aboveAverage="0" equalAverage="0" bottom="0" percent="0" rank="0" text="" dxfId="2">
      <formula>"KAZANDI"</formula>
    </cfRule>
    <cfRule type="cellIs" priority="1917" operator="equal" aboveAverage="0" equalAverage="0" bottom="0" percent="0" rank="0" text="" dxfId="0">
      <formula>"KAYBETTİ"</formula>
    </cfRule>
  </conditionalFormatting>
  <conditionalFormatting sqref="G644">
    <cfRule type="cellIs" priority="1918" operator="equal" aboveAverage="0" equalAverage="0" bottom="0" percent="0" rank="0" text="" dxfId="1">
      <formula>"EVET"</formula>
    </cfRule>
  </conditionalFormatting>
  <conditionalFormatting sqref="H645">
    <cfRule type="cellIs" priority="1919" operator="equal" aboveAverage="0" equalAverage="0" bottom="0" percent="0" rank="0" text="" dxfId="2">
      <formula>"KAZANDI"</formula>
    </cfRule>
    <cfRule type="cellIs" priority="1920" operator="equal" aboveAverage="0" equalAverage="0" bottom="0" percent="0" rank="0" text="" dxfId="0">
      <formula>"KAYBETTİ"</formula>
    </cfRule>
  </conditionalFormatting>
  <conditionalFormatting sqref="G645">
    <cfRule type="cellIs" priority="1921" operator="equal" aboveAverage="0" equalAverage="0" bottom="0" percent="0" rank="0" text="" dxfId="1">
      <formula>"EVET"</formula>
    </cfRule>
  </conditionalFormatting>
  <conditionalFormatting sqref="H646">
    <cfRule type="cellIs" priority="1922" operator="equal" aboveAverage="0" equalAverage="0" bottom="0" percent="0" rank="0" text="" dxfId="2">
      <formula>"KAZANDI"</formula>
    </cfRule>
    <cfRule type="cellIs" priority="1923" operator="equal" aboveAverage="0" equalAverage="0" bottom="0" percent="0" rank="0" text="" dxfId="0">
      <formula>"KAYBETTİ"</formula>
    </cfRule>
  </conditionalFormatting>
  <conditionalFormatting sqref="G646">
    <cfRule type="cellIs" priority="1924" operator="equal" aboveAverage="0" equalAverage="0" bottom="0" percent="0" rank="0" text="" dxfId="1">
      <formula>"EVET"</formula>
    </cfRule>
  </conditionalFormatting>
  <conditionalFormatting sqref="H647">
    <cfRule type="cellIs" priority="1925" operator="equal" aboveAverage="0" equalAverage="0" bottom="0" percent="0" rank="0" text="" dxfId="2">
      <formula>"KAZANDI"</formula>
    </cfRule>
    <cfRule type="cellIs" priority="1926" operator="equal" aboveAverage="0" equalAverage="0" bottom="0" percent="0" rank="0" text="" dxfId="0">
      <formula>"KAYBETTİ"</formula>
    </cfRule>
  </conditionalFormatting>
  <conditionalFormatting sqref="G647">
    <cfRule type="cellIs" priority="1927" operator="equal" aboveAverage="0" equalAverage="0" bottom="0" percent="0" rank="0" text="" dxfId="1">
      <formula>"EVET"</formula>
    </cfRule>
  </conditionalFormatting>
  <conditionalFormatting sqref="H648">
    <cfRule type="cellIs" priority="1928" operator="equal" aboveAverage="0" equalAverage="0" bottom="0" percent="0" rank="0" text="" dxfId="2">
      <formula>"KAZANDI"</formula>
    </cfRule>
    <cfRule type="cellIs" priority="1929" operator="equal" aboveAverage="0" equalAverage="0" bottom="0" percent="0" rank="0" text="" dxfId="0">
      <formula>"KAYBETTİ"</formula>
    </cfRule>
  </conditionalFormatting>
  <conditionalFormatting sqref="G648">
    <cfRule type="cellIs" priority="1930" operator="equal" aboveAverage="0" equalAverage="0" bottom="0" percent="0" rank="0" text="" dxfId="1">
      <formula>"EVET"</formula>
    </cfRule>
  </conditionalFormatting>
  <conditionalFormatting sqref="H649">
    <cfRule type="cellIs" priority="1931" operator="equal" aboveAverage="0" equalAverage="0" bottom="0" percent="0" rank="0" text="" dxfId="2">
      <formula>"KAZANDI"</formula>
    </cfRule>
    <cfRule type="cellIs" priority="1932" operator="equal" aboveAverage="0" equalAverage="0" bottom="0" percent="0" rank="0" text="" dxfId="0">
      <formula>"KAYBETTİ"</formula>
    </cfRule>
  </conditionalFormatting>
  <conditionalFormatting sqref="G649">
    <cfRule type="cellIs" priority="1933" operator="equal" aboveAverage="0" equalAverage="0" bottom="0" percent="0" rank="0" text="" dxfId="1">
      <formula>"EVET"</formula>
    </cfRule>
  </conditionalFormatting>
  <conditionalFormatting sqref="H650">
    <cfRule type="cellIs" priority="1934" operator="equal" aboveAverage="0" equalAverage="0" bottom="0" percent="0" rank="0" text="" dxfId="2">
      <formula>"KAZANDI"</formula>
    </cfRule>
    <cfRule type="cellIs" priority="1935" operator="equal" aboveAverage="0" equalAverage="0" bottom="0" percent="0" rank="0" text="" dxfId="0">
      <formula>"KAYBETTİ"</formula>
    </cfRule>
  </conditionalFormatting>
  <conditionalFormatting sqref="G650">
    <cfRule type="cellIs" priority="1936" operator="equal" aboveAverage="0" equalAverage="0" bottom="0" percent="0" rank="0" text="" dxfId="1">
      <formula>"EVET"</formula>
    </cfRule>
  </conditionalFormatting>
  <conditionalFormatting sqref="H651">
    <cfRule type="cellIs" priority="1937" operator="equal" aboveAverage="0" equalAverage="0" bottom="0" percent="0" rank="0" text="" dxfId="2">
      <formula>"KAZANDI"</formula>
    </cfRule>
    <cfRule type="cellIs" priority="1938" operator="equal" aboveAverage="0" equalAverage="0" bottom="0" percent="0" rank="0" text="" dxfId="0">
      <formula>"KAYBETTİ"</formula>
    </cfRule>
  </conditionalFormatting>
  <conditionalFormatting sqref="G651">
    <cfRule type="cellIs" priority="1939" operator="equal" aboveAverage="0" equalAverage="0" bottom="0" percent="0" rank="0" text="" dxfId="1">
      <formula>"EVET"</formula>
    </cfRule>
  </conditionalFormatting>
  <conditionalFormatting sqref="H652">
    <cfRule type="cellIs" priority="1940" operator="equal" aboveAverage="0" equalAverage="0" bottom="0" percent="0" rank="0" text="" dxfId="2">
      <formula>"KAZANDI"</formula>
    </cfRule>
    <cfRule type="cellIs" priority="1941" operator="equal" aboveAverage="0" equalAverage="0" bottom="0" percent="0" rank="0" text="" dxfId="0">
      <formula>"KAYBETTİ"</formula>
    </cfRule>
  </conditionalFormatting>
  <conditionalFormatting sqref="G652">
    <cfRule type="cellIs" priority="1942" operator="equal" aboveAverage="0" equalAverage="0" bottom="0" percent="0" rank="0" text="" dxfId="1">
      <formula>"EVET"</formula>
    </cfRule>
  </conditionalFormatting>
  <conditionalFormatting sqref="H653">
    <cfRule type="cellIs" priority="1943" operator="equal" aboveAverage="0" equalAverage="0" bottom="0" percent="0" rank="0" text="" dxfId="2">
      <formula>"KAZANDI"</formula>
    </cfRule>
    <cfRule type="cellIs" priority="1944" operator="equal" aboveAverage="0" equalAverage="0" bottom="0" percent="0" rank="0" text="" dxfId="0">
      <formula>"KAYBETTİ"</formula>
    </cfRule>
  </conditionalFormatting>
  <conditionalFormatting sqref="G653">
    <cfRule type="cellIs" priority="1945" operator="equal" aboveAverage="0" equalAverage="0" bottom="0" percent="0" rank="0" text="" dxfId="1">
      <formula>"EVET"</formula>
    </cfRule>
  </conditionalFormatting>
  <conditionalFormatting sqref="H654">
    <cfRule type="cellIs" priority="1946" operator="equal" aboveAverage="0" equalAverage="0" bottom="0" percent="0" rank="0" text="" dxfId="2">
      <formula>"KAZANDI"</formula>
    </cfRule>
    <cfRule type="cellIs" priority="1947" operator="equal" aboveAverage="0" equalAverage="0" bottom="0" percent="0" rank="0" text="" dxfId="0">
      <formula>"KAYBETTİ"</formula>
    </cfRule>
  </conditionalFormatting>
  <conditionalFormatting sqref="G654">
    <cfRule type="cellIs" priority="1948" operator="equal" aboveAverage="0" equalAverage="0" bottom="0" percent="0" rank="0" text="" dxfId="1">
      <formula>"EVET"</formula>
    </cfRule>
  </conditionalFormatting>
  <conditionalFormatting sqref="H655">
    <cfRule type="cellIs" priority="1949" operator="equal" aboveAverage="0" equalAverage="0" bottom="0" percent="0" rank="0" text="" dxfId="2">
      <formula>"KAZANDI"</formula>
    </cfRule>
    <cfRule type="cellIs" priority="1950" operator="equal" aboveAverage="0" equalAverage="0" bottom="0" percent="0" rank="0" text="" dxfId="0">
      <formula>"KAYBETTİ"</formula>
    </cfRule>
  </conditionalFormatting>
  <conditionalFormatting sqref="G655">
    <cfRule type="cellIs" priority="1951" operator="equal" aboveAverage="0" equalAverage="0" bottom="0" percent="0" rank="0" text="" dxfId="1">
      <formula>"EVET"</formula>
    </cfRule>
  </conditionalFormatting>
  <conditionalFormatting sqref="H656">
    <cfRule type="cellIs" priority="1952" operator="equal" aboveAverage="0" equalAverage="0" bottom="0" percent="0" rank="0" text="" dxfId="2">
      <formula>"KAZANDI"</formula>
    </cfRule>
    <cfRule type="cellIs" priority="1953" operator="equal" aboveAverage="0" equalAverage="0" bottom="0" percent="0" rank="0" text="" dxfId="0">
      <formula>"KAYBETTİ"</formula>
    </cfRule>
  </conditionalFormatting>
  <conditionalFormatting sqref="G656">
    <cfRule type="cellIs" priority="1954" operator="equal" aboveAverage="0" equalAverage="0" bottom="0" percent="0" rank="0" text="" dxfId="1">
      <formula>"EVET"</formula>
    </cfRule>
  </conditionalFormatting>
  <conditionalFormatting sqref="H657">
    <cfRule type="cellIs" priority="1955" operator="equal" aboveAverage="0" equalAverage="0" bottom="0" percent="0" rank="0" text="" dxfId="2">
      <formula>"KAZANDI"</formula>
    </cfRule>
    <cfRule type="cellIs" priority="1956" operator="equal" aboveAverage="0" equalAverage="0" bottom="0" percent="0" rank="0" text="" dxfId="0">
      <formula>"KAYBETTİ"</formula>
    </cfRule>
  </conditionalFormatting>
  <conditionalFormatting sqref="G657">
    <cfRule type="cellIs" priority="1957" operator="equal" aboveAverage="0" equalAverage="0" bottom="0" percent="0" rank="0" text="" dxfId="1">
      <formula>"EVET"</formula>
    </cfRule>
  </conditionalFormatting>
  <conditionalFormatting sqref="H658">
    <cfRule type="cellIs" priority="1958" operator="equal" aboveAverage="0" equalAverage="0" bottom="0" percent="0" rank="0" text="" dxfId="2">
      <formula>"KAZANDI"</formula>
    </cfRule>
    <cfRule type="cellIs" priority="1959" operator="equal" aboveAverage="0" equalAverage="0" bottom="0" percent="0" rank="0" text="" dxfId="0">
      <formula>"KAYBETTİ"</formula>
    </cfRule>
  </conditionalFormatting>
  <conditionalFormatting sqref="G658">
    <cfRule type="cellIs" priority="1960" operator="equal" aboveAverage="0" equalAverage="0" bottom="0" percent="0" rank="0" text="" dxfId="1">
      <formula>"EVET"</formula>
    </cfRule>
  </conditionalFormatting>
  <conditionalFormatting sqref="H659">
    <cfRule type="cellIs" priority="1961" operator="equal" aboveAverage="0" equalAverage="0" bottom="0" percent="0" rank="0" text="" dxfId="2">
      <formula>"KAZANDI"</formula>
    </cfRule>
    <cfRule type="cellIs" priority="1962" operator="equal" aboveAverage="0" equalAverage="0" bottom="0" percent="0" rank="0" text="" dxfId="0">
      <formula>"KAYBETTİ"</formula>
    </cfRule>
  </conditionalFormatting>
  <conditionalFormatting sqref="G659">
    <cfRule type="cellIs" priority="1963" operator="equal" aboveAverage="0" equalAverage="0" bottom="0" percent="0" rank="0" text="" dxfId="1">
      <formula>"EVET"</formula>
    </cfRule>
  </conditionalFormatting>
  <conditionalFormatting sqref="H660">
    <cfRule type="cellIs" priority="1964" operator="equal" aboveAverage="0" equalAverage="0" bottom="0" percent="0" rank="0" text="" dxfId="2">
      <formula>"KAZANDI"</formula>
    </cfRule>
    <cfRule type="cellIs" priority="1965" operator="equal" aboveAverage="0" equalAverage="0" bottom="0" percent="0" rank="0" text="" dxfId="0">
      <formula>"KAYBETTİ"</formula>
    </cfRule>
  </conditionalFormatting>
  <conditionalFormatting sqref="G660">
    <cfRule type="cellIs" priority="1966" operator="equal" aboveAverage="0" equalAverage="0" bottom="0" percent="0" rank="0" text="" dxfId="1">
      <formula>"EVET"</formula>
    </cfRule>
  </conditionalFormatting>
  <conditionalFormatting sqref="H661">
    <cfRule type="cellIs" priority="1967" operator="equal" aboveAverage="0" equalAverage="0" bottom="0" percent="0" rank="0" text="" dxfId="2">
      <formula>"KAZANDI"</formula>
    </cfRule>
    <cfRule type="cellIs" priority="1968" operator="equal" aboveAverage="0" equalAverage="0" bottom="0" percent="0" rank="0" text="" dxfId="0">
      <formula>"KAYBETTİ"</formula>
    </cfRule>
  </conditionalFormatting>
  <conditionalFormatting sqref="G661">
    <cfRule type="cellIs" priority="1969" operator="equal" aboveAverage="0" equalAverage="0" bottom="0" percent="0" rank="0" text="" dxfId="1">
      <formula>"EVET"</formula>
    </cfRule>
  </conditionalFormatting>
  <conditionalFormatting sqref="H662">
    <cfRule type="cellIs" priority="1970" operator="equal" aboveAverage="0" equalAverage="0" bottom="0" percent="0" rank="0" text="" dxfId="2">
      <formula>"KAZANDI"</formula>
    </cfRule>
    <cfRule type="cellIs" priority="1971" operator="equal" aboveAverage="0" equalAverage="0" bottom="0" percent="0" rank="0" text="" dxfId="0">
      <formula>"KAYBETTİ"</formula>
    </cfRule>
  </conditionalFormatting>
  <conditionalFormatting sqref="G662">
    <cfRule type="cellIs" priority="1972" operator="equal" aboveAverage="0" equalAverage="0" bottom="0" percent="0" rank="0" text="" dxfId="1">
      <formula>"EVET"</formula>
    </cfRule>
  </conditionalFormatting>
  <conditionalFormatting sqref="H663">
    <cfRule type="cellIs" priority="1973" operator="equal" aboveAverage="0" equalAverage="0" bottom="0" percent="0" rank="0" text="" dxfId="2">
      <formula>"KAZANDI"</formula>
    </cfRule>
    <cfRule type="cellIs" priority="1974" operator="equal" aboveAverage="0" equalAverage="0" bottom="0" percent="0" rank="0" text="" dxfId="0">
      <formula>"KAYBETTİ"</formula>
    </cfRule>
  </conditionalFormatting>
  <conditionalFormatting sqref="G663">
    <cfRule type="cellIs" priority="1975" operator="equal" aboveAverage="0" equalAverage="0" bottom="0" percent="0" rank="0" text="" dxfId="1">
      <formula>"EVET"</formula>
    </cfRule>
  </conditionalFormatting>
  <conditionalFormatting sqref="H664">
    <cfRule type="cellIs" priority="1976" operator="equal" aboveAverage="0" equalAverage="0" bottom="0" percent="0" rank="0" text="" dxfId="2">
      <formula>"KAZANDI"</formula>
    </cfRule>
    <cfRule type="cellIs" priority="1977" operator="equal" aboveAverage="0" equalAverage="0" bottom="0" percent="0" rank="0" text="" dxfId="0">
      <formula>"KAYBETTİ"</formula>
    </cfRule>
  </conditionalFormatting>
  <conditionalFormatting sqref="G664">
    <cfRule type="cellIs" priority="1978" operator="equal" aboveAverage="0" equalAverage="0" bottom="0" percent="0" rank="0" text="" dxfId="1">
      <formula>"EVET"</formula>
    </cfRule>
  </conditionalFormatting>
  <conditionalFormatting sqref="H665">
    <cfRule type="cellIs" priority="1979" operator="equal" aboveAverage="0" equalAverage="0" bottom="0" percent="0" rank="0" text="" dxfId="2">
      <formula>"KAZANDI"</formula>
    </cfRule>
    <cfRule type="cellIs" priority="1980" operator="equal" aboveAverage="0" equalAverage="0" bottom="0" percent="0" rank="0" text="" dxfId="0">
      <formula>"KAYBETTİ"</formula>
    </cfRule>
  </conditionalFormatting>
  <conditionalFormatting sqref="G665">
    <cfRule type="cellIs" priority="1981" operator="equal" aboveAverage="0" equalAverage="0" bottom="0" percent="0" rank="0" text="" dxfId="1">
      <formula>"EVET"</formula>
    </cfRule>
  </conditionalFormatting>
  <conditionalFormatting sqref="H666">
    <cfRule type="cellIs" priority="1982" operator="equal" aboveAverage="0" equalAverage="0" bottom="0" percent="0" rank="0" text="" dxfId="2">
      <formula>"KAZANDI"</formula>
    </cfRule>
    <cfRule type="cellIs" priority="1983" operator="equal" aboveAverage="0" equalAverage="0" bottom="0" percent="0" rank="0" text="" dxfId="0">
      <formula>"KAYBETTİ"</formula>
    </cfRule>
  </conditionalFormatting>
  <conditionalFormatting sqref="G666">
    <cfRule type="cellIs" priority="1984" operator="equal" aboveAverage="0" equalAverage="0" bottom="0" percent="0" rank="0" text="" dxfId="1">
      <formula>"EVET"</formula>
    </cfRule>
  </conditionalFormatting>
  <conditionalFormatting sqref="H667">
    <cfRule type="cellIs" priority="1985" operator="equal" aboveAverage="0" equalAverage="0" bottom="0" percent="0" rank="0" text="" dxfId="2">
      <formula>"KAZANDI"</formula>
    </cfRule>
    <cfRule type="cellIs" priority="1986" operator="equal" aboveAverage="0" equalAverage="0" bottom="0" percent="0" rank="0" text="" dxfId="0">
      <formula>"KAYBETTİ"</formula>
    </cfRule>
  </conditionalFormatting>
  <conditionalFormatting sqref="G667">
    <cfRule type="cellIs" priority="1987" operator="equal" aboveAverage="0" equalAverage="0" bottom="0" percent="0" rank="0" text="" dxfId="1">
      <formula>"EVET"</formula>
    </cfRule>
  </conditionalFormatting>
  <conditionalFormatting sqref="H668">
    <cfRule type="cellIs" priority="1988" operator="equal" aboveAverage="0" equalAverage="0" bottom="0" percent="0" rank="0" text="" dxfId="2">
      <formula>"KAZANDI"</formula>
    </cfRule>
    <cfRule type="cellIs" priority="1989" operator="equal" aboveAverage="0" equalAverage="0" bottom="0" percent="0" rank="0" text="" dxfId="0">
      <formula>"KAYBETTİ"</formula>
    </cfRule>
  </conditionalFormatting>
  <conditionalFormatting sqref="G668">
    <cfRule type="cellIs" priority="1990" operator="equal" aboveAverage="0" equalAverage="0" bottom="0" percent="0" rank="0" text="" dxfId="1">
      <formula>"EVET"</formula>
    </cfRule>
  </conditionalFormatting>
  <conditionalFormatting sqref="H669">
    <cfRule type="cellIs" priority="1991" operator="equal" aboveAverage="0" equalAverage="0" bottom="0" percent="0" rank="0" text="" dxfId="2">
      <formula>"KAZANDI"</formula>
    </cfRule>
    <cfRule type="cellIs" priority="1992" operator="equal" aboveAverage="0" equalAverage="0" bottom="0" percent="0" rank="0" text="" dxfId="0">
      <formula>"KAYBETTİ"</formula>
    </cfRule>
  </conditionalFormatting>
  <conditionalFormatting sqref="G669">
    <cfRule type="cellIs" priority="1993" operator="equal" aboveAverage="0" equalAverage="0" bottom="0" percent="0" rank="0" text="" dxfId="1">
      <formula>"EVET"</formula>
    </cfRule>
  </conditionalFormatting>
  <conditionalFormatting sqref="H670">
    <cfRule type="cellIs" priority="1994" operator="equal" aboveAverage="0" equalAverage="0" bottom="0" percent="0" rank="0" text="" dxfId="2">
      <formula>"KAZANDI"</formula>
    </cfRule>
    <cfRule type="cellIs" priority="1995" operator="equal" aboveAverage="0" equalAverage="0" bottom="0" percent="0" rank="0" text="" dxfId="0">
      <formula>"KAYBETTİ"</formula>
    </cfRule>
  </conditionalFormatting>
  <conditionalFormatting sqref="G670">
    <cfRule type="cellIs" priority="1996" operator="equal" aboveAverage="0" equalAverage="0" bottom="0" percent="0" rank="0" text="" dxfId="1">
      <formula>"EVET"</formula>
    </cfRule>
  </conditionalFormatting>
  <conditionalFormatting sqref="H671">
    <cfRule type="cellIs" priority="1997" operator="equal" aboveAverage="0" equalAverage="0" bottom="0" percent="0" rank="0" text="" dxfId="2">
      <formula>"KAZANDI"</formula>
    </cfRule>
    <cfRule type="cellIs" priority="1998" operator="equal" aboveAverage="0" equalAverage="0" bottom="0" percent="0" rank="0" text="" dxfId="0">
      <formula>"KAYBETTİ"</formula>
    </cfRule>
  </conditionalFormatting>
  <conditionalFormatting sqref="G671">
    <cfRule type="cellIs" priority="1999" operator="equal" aboveAverage="0" equalAverage="0" bottom="0" percent="0" rank="0" text="" dxfId="1">
      <formula>"EVET"</formula>
    </cfRule>
  </conditionalFormatting>
  <conditionalFormatting sqref="H672">
    <cfRule type="cellIs" priority="2000" operator="equal" aboveAverage="0" equalAverage="0" bottom="0" percent="0" rank="0" text="" dxfId="2">
      <formula>"KAZANDI"</formula>
    </cfRule>
    <cfRule type="cellIs" priority="2001" operator="equal" aboveAverage="0" equalAverage="0" bottom="0" percent="0" rank="0" text="" dxfId="0">
      <formula>"KAYBETTİ"</formula>
    </cfRule>
  </conditionalFormatting>
  <conditionalFormatting sqref="G672">
    <cfRule type="cellIs" priority="2002" operator="equal" aboveAverage="0" equalAverage="0" bottom="0" percent="0" rank="0" text="" dxfId="1">
      <formula>"EVET"</formula>
    </cfRule>
  </conditionalFormatting>
  <conditionalFormatting sqref="H673">
    <cfRule type="cellIs" priority="2003" operator="equal" aboveAverage="0" equalAverage="0" bottom="0" percent="0" rank="0" text="" dxfId="2">
      <formula>"KAZANDI"</formula>
    </cfRule>
    <cfRule type="cellIs" priority="2004" operator="equal" aboveAverage="0" equalAverage="0" bottom="0" percent="0" rank="0" text="" dxfId="0">
      <formula>"KAYBETTİ"</formula>
    </cfRule>
  </conditionalFormatting>
  <conditionalFormatting sqref="G673">
    <cfRule type="cellIs" priority="2005" operator="equal" aboveAverage="0" equalAverage="0" bottom="0" percent="0" rank="0" text="" dxfId="1">
      <formula>"EVET"</formula>
    </cfRule>
  </conditionalFormatting>
  <conditionalFormatting sqref="H674">
    <cfRule type="cellIs" priority="2006" operator="equal" aboveAverage="0" equalAverage="0" bottom="0" percent="0" rank="0" text="" dxfId="2">
      <formula>"KAZANDI"</formula>
    </cfRule>
    <cfRule type="cellIs" priority="2007" operator="equal" aboveAverage="0" equalAverage="0" bottom="0" percent="0" rank="0" text="" dxfId="0">
      <formula>"KAYBETTİ"</formula>
    </cfRule>
  </conditionalFormatting>
  <conditionalFormatting sqref="G674">
    <cfRule type="cellIs" priority="2008" operator="equal" aboveAverage="0" equalAverage="0" bottom="0" percent="0" rank="0" text="" dxfId="1">
      <formula>"EVET"</formula>
    </cfRule>
  </conditionalFormatting>
  <conditionalFormatting sqref="H675">
    <cfRule type="cellIs" priority="2009" operator="equal" aboveAverage="0" equalAverage="0" bottom="0" percent="0" rank="0" text="" dxfId="2">
      <formula>"KAZANDI"</formula>
    </cfRule>
    <cfRule type="cellIs" priority="2010" operator="equal" aboveAverage="0" equalAverage="0" bottom="0" percent="0" rank="0" text="" dxfId="0">
      <formula>"KAYBETTİ"</formula>
    </cfRule>
  </conditionalFormatting>
  <conditionalFormatting sqref="G675">
    <cfRule type="cellIs" priority="2011" operator="equal" aboveAverage="0" equalAverage="0" bottom="0" percent="0" rank="0" text="" dxfId="1">
      <formula>"EVET"</formula>
    </cfRule>
  </conditionalFormatting>
  <conditionalFormatting sqref="H676">
    <cfRule type="cellIs" priority="2012" operator="equal" aboveAverage="0" equalAverage="0" bottom="0" percent="0" rank="0" text="" dxfId="2">
      <formula>"KAZANDI"</formula>
    </cfRule>
    <cfRule type="cellIs" priority="2013" operator="equal" aboveAverage="0" equalAverage="0" bottom="0" percent="0" rank="0" text="" dxfId="0">
      <formula>"KAYBETTİ"</formula>
    </cfRule>
  </conditionalFormatting>
  <conditionalFormatting sqref="G676">
    <cfRule type="cellIs" priority="2014" operator="equal" aboveAverage="0" equalAverage="0" bottom="0" percent="0" rank="0" text="" dxfId="1">
      <formula>"EVET"</formula>
    </cfRule>
  </conditionalFormatting>
  <conditionalFormatting sqref="H677">
    <cfRule type="cellIs" priority="2015" operator="equal" aboveAverage="0" equalAverage="0" bottom="0" percent="0" rank="0" text="" dxfId="2">
      <formula>"KAZANDI"</formula>
    </cfRule>
    <cfRule type="cellIs" priority="2016" operator="equal" aboveAverage="0" equalAverage="0" bottom="0" percent="0" rank="0" text="" dxfId="0">
      <formula>"KAYBETTİ"</formula>
    </cfRule>
  </conditionalFormatting>
  <conditionalFormatting sqref="G677">
    <cfRule type="cellIs" priority="2017" operator="equal" aboveAverage="0" equalAverage="0" bottom="0" percent="0" rank="0" text="" dxfId="1">
      <formula>"EVET"</formula>
    </cfRule>
  </conditionalFormatting>
  <conditionalFormatting sqref="H678">
    <cfRule type="cellIs" priority="2018" operator="equal" aboveAverage="0" equalAverage="0" bottom="0" percent="0" rank="0" text="" dxfId="2">
      <formula>"KAZANDI"</formula>
    </cfRule>
    <cfRule type="cellIs" priority="2019" operator="equal" aboveAverage="0" equalAverage="0" bottom="0" percent="0" rank="0" text="" dxfId="0">
      <formula>"KAYBETTİ"</formula>
    </cfRule>
  </conditionalFormatting>
  <conditionalFormatting sqref="G678">
    <cfRule type="cellIs" priority="2020" operator="equal" aboveAverage="0" equalAverage="0" bottom="0" percent="0" rank="0" text="" dxfId="1">
      <formula>"EVET"</formula>
    </cfRule>
  </conditionalFormatting>
  <conditionalFormatting sqref="H679">
    <cfRule type="cellIs" priority="2021" operator="equal" aboveAverage="0" equalAverage="0" bottom="0" percent="0" rank="0" text="" dxfId="2">
      <formula>"KAZANDI"</formula>
    </cfRule>
    <cfRule type="cellIs" priority="2022" operator="equal" aboveAverage="0" equalAverage="0" bottom="0" percent="0" rank="0" text="" dxfId="0">
      <formula>"KAYBETTİ"</formula>
    </cfRule>
  </conditionalFormatting>
  <conditionalFormatting sqref="G679">
    <cfRule type="cellIs" priority="2023" operator="equal" aboveAverage="0" equalAverage="0" bottom="0" percent="0" rank="0" text="" dxfId="1">
      <formula>"EVET"</formula>
    </cfRule>
  </conditionalFormatting>
  <conditionalFormatting sqref="H680">
    <cfRule type="cellIs" priority="2024" operator="equal" aboveAverage="0" equalAverage="0" bottom="0" percent="0" rank="0" text="" dxfId="2">
      <formula>"KAZANDI"</formula>
    </cfRule>
    <cfRule type="cellIs" priority="2025" operator="equal" aboveAverage="0" equalAverage="0" bottom="0" percent="0" rank="0" text="" dxfId="0">
      <formula>"KAYBETTİ"</formula>
    </cfRule>
  </conditionalFormatting>
  <conditionalFormatting sqref="G680">
    <cfRule type="cellIs" priority="2026" operator="equal" aboveAverage="0" equalAverage="0" bottom="0" percent="0" rank="0" text="" dxfId="1">
      <formula>"EVET"</formula>
    </cfRule>
  </conditionalFormatting>
  <conditionalFormatting sqref="H681">
    <cfRule type="cellIs" priority="2027" operator="equal" aboveAverage="0" equalAverage="0" bottom="0" percent="0" rank="0" text="" dxfId="2">
      <formula>"KAZANDI"</formula>
    </cfRule>
    <cfRule type="cellIs" priority="2028" operator="equal" aboveAverage="0" equalAverage="0" bottom="0" percent="0" rank="0" text="" dxfId="0">
      <formula>"KAYBETTİ"</formula>
    </cfRule>
  </conditionalFormatting>
  <conditionalFormatting sqref="G681">
    <cfRule type="cellIs" priority="2029" operator="equal" aboveAverage="0" equalAverage="0" bottom="0" percent="0" rank="0" text="" dxfId="1">
      <formula>"EVET"</formula>
    </cfRule>
  </conditionalFormatting>
  <conditionalFormatting sqref="H682">
    <cfRule type="cellIs" priority="2030" operator="equal" aboveAverage="0" equalAverage="0" bottom="0" percent="0" rank="0" text="" dxfId="2">
      <formula>"KAZANDI"</formula>
    </cfRule>
    <cfRule type="cellIs" priority="2031" operator="equal" aboveAverage="0" equalAverage="0" bottom="0" percent="0" rank="0" text="" dxfId="0">
      <formula>"KAYBETTİ"</formula>
    </cfRule>
  </conditionalFormatting>
  <conditionalFormatting sqref="G682">
    <cfRule type="cellIs" priority="2032" operator="equal" aboveAverage="0" equalAverage="0" bottom="0" percent="0" rank="0" text="" dxfId="1">
      <formula>"EVET"</formula>
    </cfRule>
  </conditionalFormatting>
  <conditionalFormatting sqref="H683">
    <cfRule type="cellIs" priority="2033" operator="equal" aboveAverage="0" equalAverage="0" bottom="0" percent="0" rank="0" text="" dxfId="2">
      <formula>"KAZANDI"</formula>
    </cfRule>
    <cfRule type="cellIs" priority="2034" operator="equal" aboveAverage="0" equalAverage="0" bottom="0" percent="0" rank="0" text="" dxfId="0">
      <formula>"KAYBETTİ"</formula>
    </cfRule>
  </conditionalFormatting>
  <conditionalFormatting sqref="G683">
    <cfRule type="cellIs" priority="2035" operator="equal" aboveAverage="0" equalAverage="0" bottom="0" percent="0" rank="0" text="" dxfId="1">
      <formula>"EVET"</formula>
    </cfRule>
  </conditionalFormatting>
  <conditionalFormatting sqref="H684">
    <cfRule type="cellIs" priority="2036" operator="equal" aboveAverage="0" equalAverage="0" bottom="0" percent="0" rank="0" text="" dxfId="2">
      <formula>"KAZANDI"</formula>
    </cfRule>
    <cfRule type="cellIs" priority="2037" operator="equal" aboveAverage="0" equalAverage="0" bottom="0" percent="0" rank="0" text="" dxfId="0">
      <formula>"KAYBETTİ"</formula>
    </cfRule>
  </conditionalFormatting>
  <conditionalFormatting sqref="G684">
    <cfRule type="cellIs" priority="2038" operator="equal" aboveAverage="0" equalAverage="0" bottom="0" percent="0" rank="0" text="" dxfId="1">
      <formula>"EVET"</formula>
    </cfRule>
  </conditionalFormatting>
  <conditionalFormatting sqref="H685">
    <cfRule type="cellIs" priority="2039" operator="equal" aboveAverage="0" equalAverage="0" bottom="0" percent="0" rank="0" text="" dxfId="2">
      <formula>"KAZANDI"</formula>
    </cfRule>
    <cfRule type="cellIs" priority="2040" operator="equal" aboveAverage="0" equalAverage="0" bottom="0" percent="0" rank="0" text="" dxfId="0">
      <formula>"KAYBETTİ"</formula>
    </cfRule>
  </conditionalFormatting>
  <conditionalFormatting sqref="G685">
    <cfRule type="cellIs" priority="2041" operator="equal" aboveAverage="0" equalAverage="0" bottom="0" percent="0" rank="0" text="" dxfId="1">
      <formula>"EVET"</formula>
    </cfRule>
  </conditionalFormatting>
  <conditionalFormatting sqref="H686">
    <cfRule type="cellIs" priority="2042" operator="equal" aboveAverage="0" equalAverage="0" bottom="0" percent="0" rank="0" text="" dxfId="2">
      <formula>"KAZANDI"</formula>
    </cfRule>
    <cfRule type="cellIs" priority="2043" operator="equal" aboveAverage="0" equalAverage="0" bottom="0" percent="0" rank="0" text="" dxfId="0">
      <formula>"KAYBETTİ"</formula>
    </cfRule>
  </conditionalFormatting>
  <conditionalFormatting sqref="G686">
    <cfRule type="cellIs" priority="2044" operator="equal" aboveAverage="0" equalAverage="0" bottom="0" percent="0" rank="0" text="" dxfId="1">
      <formula>"EVET"</formula>
    </cfRule>
  </conditionalFormatting>
  <conditionalFormatting sqref="H687">
    <cfRule type="cellIs" priority="2045" operator="equal" aboveAverage="0" equalAverage="0" bottom="0" percent="0" rank="0" text="" dxfId="2">
      <formula>"KAZANDI"</formula>
    </cfRule>
    <cfRule type="cellIs" priority="2046" operator="equal" aboveAverage="0" equalAverage="0" bottom="0" percent="0" rank="0" text="" dxfId="0">
      <formula>"KAYBETTİ"</formula>
    </cfRule>
  </conditionalFormatting>
  <conditionalFormatting sqref="G687">
    <cfRule type="cellIs" priority="2047" operator="equal" aboveAverage="0" equalAverage="0" bottom="0" percent="0" rank="0" text="" dxfId="1">
      <formula>"EVET"</formula>
    </cfRule>
  </conditionalFormatting>
  <conditionalFormatting sqref="H688">
    <cfRule type="cellIs" priority="2048" operator="equal" aboveAverage="0" equalAverage="0" bottom="0" percent="0" rank="0" text="" dxfId="2">
      <formula>"KAZANDI"</formula>
    </cfRule>
    <cfRule type="cellIs" priority="2049" operator="equal" aboveAverage="0" equalAverage="0" bottom="0" percent="0" rank="0" text="" dxfId="0">
      <formula>"KAYBETTİ"</formula>
    </cfRule>
  </conditionalFormatting>
  <conditionalFormatting sqref="G688">
    <cfRule type="cellIs" priority="2050" operator="equal" aboveAverage="0" equalAverage="0" bottom="0" percent="0" rank="0" text="" dxfId="1">
      <formula>"EVET"</formula>
    </cfRule>
  </conditionalFormatting>
  <conditionalFormatting sqref="H689">
    <cfRule type="cellIs" priority="2051" operator="equal" aboveAverage="0" equalAverage="0" bottom="0" percent="0" rank="0" text="" dxfId="2">
      <formula>"KAZANDI"</formula>
    </cfRule>
    <cfRule type="cellIs" priority="2052" operator="equal" aboveAverage="0" equalAverage="0" bottom="0" percent="0" rank="0" text="" dxfId="0">
      <formula>"KAYBETTİ"</formula>
    </cfRule>
  </conditionalFormatting>
  <conditionalFormatting sqref="G689">
    <cfRule type="cellIs" priority="2053" operator="equal" aboveAverage="0" equalAverage="0" bottom="0" percent="0" rank="0" text="" dxfId="1">
      <formula>"EVET"</formula>
    </cfRule>
  </conditionalFormatting>
  <conditionalFormatting sqref="H690">
    <cfRule type="cellIs" priority="2054" operator="equal" aboveAverage="0" equalAverage="0" bottom="0" percent="0" rank="0" text="" dxfId="2">
      <formula>"KAZANDI"</formula>
    </cfRule>
    <cfRule type="cellIs" priority="2055" operator="equal" aboveAverage="0" equalAverage="0" bottom="0" percent="0" rank="0" text="" dxfId="0">
      <formula>"KAYBETTİ"</formula>
    </cfRule>
  </conditionalFormatting>
  <conditionalFormatting sqref="G690">
    <cfRule type="cellIs" priority="2056" operator="equal" aboveAverage="0" equalAverage="0" bottom="0" percent="0" rank="0" text="" dxfId="1">
      <formula>"EVET"</formula>
    </cfRule>
  </conditionalFormatting>
  <conditionalFormatting sqref="H691">
    <cfRule type="cellIs" priority="2057" operator="equal" aboveAverage="0" equalAverage="0" bottom="0" percent="0" rank="0" text="" dxfId="2">
      <formula>"KAZANDI"</formula>
    </cfRule>
    <cfRule type="cellIs" priority="2058" operator="equal" aboveAverage="0" equalAverage="0" bottom="0" percent="0" rank="0" text="" dxfId="0">
      <formula>"KAYBETTİ"</formula>
    </cfRule>
  </conditionalFormatting>
  <conditionalFormatting sqref="G691">
    <cfRule type="cellIs" priority="2059" operator="equal" aboveAverage="0" equalAverage="0" bottom="0" percent="0" rank="0" text="" dxfId="1">
      <formula>"EVET"</formula>
    </cfRule>
  </conditionalFormatting>
  <conditionalFormatting sqref="H692">
    <cfRule type="cellIs" priority="2060" operator="equal" aboveAverage="0" equalAverage="0" bottom="0" percent="0" rank="0" text="" dxfId="2">
      <formula>"KAZANDI"</formula>
    </cfRule>
    <cfRule type="cellIs" priority="2061" operator="equal" aboveAverage="0" equalAverage="0" bottom="0" percent="0" rank="0" text="" dxfId="0">
      <formula>"KAYBETTİ"</formula>
    </cfRule>
  </conditionalFormatting>
  <conditionalFormatting sqref="G692">
    <cfRule type="cellIs" priority="2062" operator="equal" aboveAverage="0" equalAverage="0" bottom="0" percent="0" rank="0" text="" dxfId="1">
      <formula>"EVET"</formula>
    </cfRule>
  </conditionalFormatting>
  <conditionalFormatting sqref="H693">
    <cfRule type="cellIs" priority="2063" operator="equal" aboveAverage="0" equalAverage="0" bottom="0" percent="0" rank="0" text="" dxfId="2">
      <formula>"KAZANDI"</formula>
    </cfRule>
    <cfRule type="cellIs" priority="2064" operator="equal" aboveAverage="0" equalAverage="0" bottom="0" percent="0" rank="0" text="" dxfId="0">
      <formula>"KAYBETTİ"</formula>
    </cfRule>
  </conditionalFormatting>
  <conditionalFormatting sqref="G693">
    <cfRule type="cellIs" priority="2065" operator="equal" aboveAverage="0" equalAverage="0" bottom="0" percent="0" rank="0" text="" dxfId="1">
      <formula>"EVET"</formula>
    </cfRule>
  </conditionalFormatting>
  <conditionalFormatting sqref="H694">
    <cfRule type="cellIs" priority="2066" operator="equal" aboveAverage="0" equalAverage="0" bottom="0" percent="0" rank="0" text="" dxfId="2">
      <formula>"KAZANDI"</formula>
    </cfRule>
    <cfRule type="cellIs" priority="2067" operator="equal" aboveAverage="0" equalAverage="0" bottom="0" percent="0" rank="0" text="" dxfId="0">
      <formula>"KAYBETTİ"</formula>
    </cfRule>
  </conditionalFormatting>
  <conditionalFormatting sqref="G694">
    <cfRule type="cellIs" priority="2068" operator="equal" aboveAverage="0" equalAverage="0" bottom="0" percent="0" rank="0" text="" dxfId="1">
      <formula>"EVET"</formula>
    </cfRule>
  </conditionalFormatting>
  <conditionalFormatting sqref="H695">
    <cfRule type="cellIs" priority="2069" operator="equal" aboveAverage="0" equalAverage="0" bottom="0" percent="0" rank="0" text="" dxfId="2">
      <formula>"KAZANDI"</formula>
    </cfRule>
    <cfRule type="cellIs" priority="2070" operator="equal" aboveAverage="0" equalAverage="0" bottom="0" percent="0" rank="0" text="" dxfId="0">
      <formula>"KAYBETTİ"</formula>
    </cfRule>
  </conditionalFormatting>
  <conditionalFormatting sqref="G695">
    <cfRule type="cellIs" priority="2071" operator="equal" aboveAverage="0" equalAverage="0" bottom="0" percent="0" rank="0" text="" dxfId="1">
      <formula>"EVET"</formula>
    </cfRule>
  </conditionalFormatting>
  <conditionalFormatting sqref="H696">
    <cfRule type="cellIs" priority="2072" operator="equal" aboveAverage="0" equalAverage="0" bottom="0" percent="0" rank="0" text="" dxfId="2">
      <formula>"KAZANDI"</formula>
    </cfRule>
    <cfRule type="cellIs" priority="2073" operator="equal" aboveAverage="0" equalAverage="0" bottom="0" percent="0" rank="0" text="" dxfId="0">
      <formula>"KAYBETTİ"</formula>
    </cfRule>
  </conditionalFormatting>
  <conditionalFormatting sqref="G696">
    <cfRule type="cellIs" priority="2074" operator="equal" aboveAverage="0" equalAverage="0" bottom="0" percent="0" rank="0" text="" dxfId="1">
      <formula>"EVET"</formula>
    </cfRule>
  </conditionalFormatting>
  <conditionalFormatting sqref="H697">
    <cfRule type="cellIs" priority="2075" operator="equal" aboveAverage="0" equalAverage="0" bottom="0" percent="0" rank="0" text="" dxfId="2">
      <formula>"KAZANDI"</formula>
    </cfRule>
    <cfRule type="cellIs" priority="2076" operator="equal" aboveAverage="0" equalAverage="0" bottom="0" percent="0" rank="0" text="" dxfId="0">
      <formula>"KAYBETTİ"</formula>
    </cfRule>
  </conditionalFormatting>
  <conditionalFormatting sqref="G697">
    <cfRule type="cellIs" priority="2077" operator="equal" aboveAverage="0" equalAverage="0" bottom="0" percent="0" rank="0" text="" dxfId="1">
      <formula>"EVET"</formula>
    </cfRule>
  </conditionalFormatting>
  <conditionalFormatting sqref="H698">
    <cfRule type="cellIs" priority="2078" operator="equal" aboveAverage="0" equalAverage="0" bottom="0" percent="0" rank="0" text="" dxfId="2">
      <formula>"KAZANDI"</formula>
    </cfRule>
    <cfRule type="cellIs" priority="2079" operator="equal" aboveAverage="0" equalAverage="0" bottom="0" percent="0" rank="0" text="" dxfId="0">
      <formula>"KAYBETTİ"</formula>
    </cfRule>
  </conditionalFormatting>
  <conditionalFormatting sqref="G698">
    <cfRule type="cellIs" priority="2080" operator="equal" aboveAverage="0" equalAverage="0" bottom="0" percent="0" rank="0" text="" dxfId="1">
      <formula>"EVET"</formula>
    </cfRule>
  </conditionalFormatting>
  <conditionalFormatting sqref="H699">
    <cfRule type="cellIs" priority="2081" operator="equal" aboveAverage="0" equalAverage="0" bottom="0" percent="0" rank="0" text="" dxfId="2">
      <formula>"KAZANDI"</formula>
    </cfRule>
    <cfRule type="cellIs" priority="2082" operator="equal" aboveAverage="0" equalAverage="0" bottom="0" percent="0" rank="0" text="" dxfId="0">
      <formula>"KAYBETTİ"</formula>
    </cfRule>
  </conditionalFormatting>
  <conditionalFormatting sqref="G699">
    <cfRule type="cellIs" priority="2083" operator="equal" aboveAverage="0" equalAverage="0" bottom="0" percent="0" rank="0" text="" dxfId="1">
      <formula>"EVET"</formula>
    </cfRule>
  </conditionalFormatting>
  <conditionalFormatting sqref="H700">
    <cfRule type="cellIs" priority="2084" operator="equal" aboveAverage="0" equalAverage="0" bottom="0" percent="0" rank="0" text="" dxfId="2">
      <formula>"KAZANDI"</formula>
    </cfRule>
    <cfRule type="cellIs" priority="2085" operator="equal" aboveAverage="0" equalAverage="0" bottom="0" percent="0" rank="0" text="" dxfId="0">
      <formula>"KAYBETTİ"</formula>
    </cfRule>
  </conditionalFormatting>
  <conditionalFormatting sqref="G700">
    <cfRule type="cellIs" priority="2086" operator="equal" aboveAverage="0" equalAverage="0" bottom="0" percent="0" rank="0" text="" dxfId="1">
      <formula>"EVET"</formula>
    </cfRule>
  </conditionalFormatting>
  <conditionalFormatting sqref="H701">
    <cfRule type="cellIs" priority="2087" operator="equal" aboveAverage="0" equalAverage="0" bottom="0" percent="0" rank="0" text="" dxfId="2">
      <formula>"KAZANDI"</formula>
    </cfRule>
    <cfRule type="cellIs" priority="2088" operator="equal" aboveAverage="0" equalAverage="0" bottom="0" percent="0" rank="0" text="" dxfId="0">
      <formula>"KAYBETTİ"</formula>
    </cfRule>
  </conditionalFormatting>
  <conditionalFormatting sqref="G701">
    <cfRule type="cellIs" priority="2089" operator="equal" aboveAverage="0" equalAverage="0" bottom="0" percent="0" rank="0" text="" dxfId="1">
      <formula>"EVET"</formula>
    </cfRule>
  </conditionalFormatting>
  <conditionalFormatting sqref="H702">
    <cfRule type="cellIs" priority="2090" operator="equal" aboveAverage="0" equalAverage="0" bottom="0" percent="0" rank="0" text="" dxfId="2">
      <formula>"KAZANDI"</formula>
    </cfRule>
    <cfRule type="cellIs" priority="2091" operator="equal" aboveAverage="0" equalAverage="0" bottom="0" percent="0" rank="0" text="" dxfId="0">
      <formula>"KAYBETTİ"</formula>
    </cfRule>
  </conditionalFormatting>
  <conditionalFormatting sqref="G702">
    <cfRule type="cellIs" priority="2092" operator="equal" aboveAverage="0" equalAverage="0" bottom="0" percent="0" rank="0" text="" dxfId="1">
      <formula>"EVET"</formula>
    </cfRule>
  </conditionalFormatting>
  <conditionalFormatting sqref="H703">
    <cfRule type="cellIs" priority="2093" operator="equal" aboveAverage="0" equalAverage="0" bottom="0" percent="0" rank="0" text="" dxfId="2">
      <formula>"KAZANDI"</formula>
    </cfRule>
    <cfRule type="cellIs" priority="2094" operator="equal" aboveAverage="0" equalAverage="0" bottom="0" percent="0" rank="0" text="" dxfId="0">
      <formula>"KAYBETTİ"</formula>
    </cfRule>
  </conditionalFormatting>
  <conditionalFormatting sqref="G703">
    <cfRule type="cellIs" priority="2095" operator="equal" aboveAverage="0" equalAverage="0" bottom="0" percent="0" rank="0" text="" dxfId="1">
      <formula>"EVET"</formula>
    </cfRule>
  </conditionalFormatting>
  <conditionalFormatting sqref="H704">
    <cfRule type="cellIs" priority="2096" operator="equal" aboveAverage="0" equalAverage="0" bottom="0" percent="0" rank="0" text="" dxfId="2">
      <formula>"KAZANDI"</formula>
    </cfRule>
    <cfRule type="cellIs" priority="2097" operator="equal" aboveAverage="0" equalAverage="0" bottom="0" percent="0" rank="0" text="" dxfId="0">
      <formula>"KAYBETTİ"</formula>
    </cfRule>
  </conditionalFormatting>
  <conditionalFormatting sqref="G704">
    <cfRule type="cellIs" priority="2098" operator="equal" aboveAverage="0" equalAverage="0" bottom="0" percent="0" rank="0" text="" dxfId="1">
      <formula>"EVET"</formula>
    </cfRule>
  </conditionalFormatting>
  <conditionalFormatting sqref="H705">
    <cfRule type="cellIs" priority="2099" operator="equal" aboveAverage="0" equalAverage="0" bottom="0" percent="0" rank="0" text="" dxfId="2">
      <formula>"KAZANDI"</formula>
    </cfRule>
    <cfRule type="cellIs" priority="2100" operator="equal" aboveAverage="0" equalAverage="0" bottom="0" percent="0" rank="0" text="" dxfId="0">
      <formula>"KAYBETTİ"</formula>
    </cfRule>
  </conditionalFormatting>
  <conditionalFormatting sqref="G705">
    <cfRule type="cellIs" priority="2101" operator="equal" aboveAverage="0" equalAverage="0" bottom="0" percent="0" rank="0" text="" dxfId="1">
      <formula>"EVET"</formula>
    </cfRule>
  </conditionalFormatting>
  <conditionalFormatting sqref="H706">
    <cfRule type="cellIs" priority="2102" operator="equal" aboveAverage="0" equalAverage="0" bottom="0" percent="0" rank="0" text="" dxfId="2">
      <formula>"KAZANDI"</formula>
    </cfRule>
    <cfRule type="cellIs" priority="2103" operator="equal" aboveAverage="0" equalAverage="0" bottom="0" percent="0" rank="0" text="" dxfId="0">
      <formula>"KAYBETTİ"</formula>
    </cfRule>
  </conditionalFormatting>
  <conditionalFormatting sqref="G706">
    <cfRule type="cellIs" priority="2104" operator="equal" aboveAverage="0" equalAverage="0" bottom="0" percent="0" rank="0" text="" dxfId="1">
      <formula>"EVET"</formula>
    </cfRule>
  </conditionalFormatting>
  <conditionalFormatting sqref="H707">
    <cfRule type="cellIs" priority="2105" operator="equal" aboveAverage="0" equalAverage="0" bottom="0" percent="0" rank="0" text="" dxfId="2">
      <formula>"KAZANDI"</formula>
    </cfRule>
    <cfRule type="cellIs" priority="2106" operator="equal" aboveAverage="0" equalAverage="0" bottom="0" percent="0" rank="0" text="" dxfId="0">
      <formula>"KAYBETTİ"</formula>
    </cfRule>
  </conditionalFormatting>
  <conditionalFormatting sqref="G707">
    <cfRule type="cellIs" priority="2107" operator="equal" aboveAverage="0" equalAverage="0" bottom="0" percent="0" rank="0" text="" dxfId="1">
      <formula>"EVET"</formula>
    </cfRule>
  </conditionalFormatting>
  <conditionalFormatting sqref="H708">
    <cfRule type="cellIs" priority="2108" operator="equal" aboveAverage="0" equalAverage="0" bottom="0" percent="0" rank="0" text="" dxfId="2">
      <formula>"KAZANDI"</formula>
    </cfRule>
    <cfRule type="cellIs" priority="2109" operator="equal" aboveAverage="0" equalAverage="0" bottom="0" percent="0" rank="0" text="" dxfId="0">
      <formula>"KAYBETTİ"</formula>
    </cfRule>
  </conditionalFormatting>
  <conditionalFormatting sqref="G708">
    <cfRule type="cellIs" priority="2110" operator="equal" aboveAverage="0" equalAverage="0" bottom="0" percent="0" rank="0" text="" dxfId="1">
      <formula>"EVET"</formula>
    </cfRule>
  </conditionalFormatting>
  <conditionalFormatting sqref="H709">
    <cfRule type="cellIs" priority="2111" operator="equal" aboveAverage="0" equalAverage="0" bottom="0" percent="0" rank="0" text="" dxfId="2">
      <formula>"KAZANDI"</formula>
    </cfRule>
    <cfRule type="cellIs" priority="2112" operator="equal" aboveAverage="0" equalAverage="0" bottom="0" percent="0" rank="0" text="" dxfId="0">
      <formula>"KAYBETTİ"</formula>
    </cfRule>
  </conditionalFormatting>
  <conditionalFormatting sqref="G709">
    <cfRule type="cellIs" priority="2113" operator="equal" aboveAverage="0" equalAverage="0" bottom="0" percent="0" rank="0" text="" dxfId="1">
      <formula>"EVET"</formula>
    </cfRule>
  </conditionalFormatting>
  <conditionalFormatting sqref="H710">
    <cfRule type="cellIs" priority="2114" operator="equal" aboveAverage="0" equalAverage="0" bottom="0" percent="0" rank="0" text="" dxfId="2">
      <formula>"KAZANDI"</formula>
    </cfRule>
    <cfRule type="cellIs" priority="2115" operator="equal" aboveAverage="0" equalAverage="0" bottom="0" percent="0" rank="0" text="" dxfId="0">
      <formula>"KAYBETTİ"</formula>
    </cfRule>
  </conditionalFormatting>
  <conditionalFormatting sqref="G710">
    <cfRule type="cellIs" priority="2116" operator="equal" aboveAverage="0" equalAverage="0" bottom="0" percent="0" rank="0" text="" dxfId="1">
      <formula>"EVET"</formula>
    </cfRule>
  </conditionalFormatting>
  <conditionalFormatting sqref="H711">
    <cfRule type="cellIs" priority="2117" operator="equal" aboveAverage="0" equalAverage="0" bottom="0" percent="0" rank="0" text="" dxfId="2">
      <formula>"KAZANDI"</formula>
    </cfRule>
    <cfRule type="cellIs" priority="2118" operator="equal" aboveAverage="0" equalAverage="0" bottom="0" percent="0" rank="0" text="" dxfId="0">
      <formula>"KAYBETTİ"</formula>
    </cfRule>
  </conditionalFormatting>
  <conditionalFormatting sqref="G711">
    <cfRule type="cellIs" priority="2119" operator="equal" aboveAverage="0" equalAverage="0" bottom="0" percent="0" rank="0" text="" dxfId="1">
      <formula>"EVET"</formula>
    </cfRule>
  </conditionalFormatting>
  <conditionalFormatting sqref="H712">
    <cfRule type="cellIs" priority="2120" operator="equal" aboveAverage="0" equalAverage="0" bottom="0" percent="0" rank="0" text="" dxfId="2">
      <formula>"KAZANDI"</formula>
    </cfRule>
    <cfRule type="cellIs" priority="2121" operator="equal" aboveAverage="0" equalAverage="0" bottom="0" percent="0" rank="0" text="" dxfId="0">
      <formula>"KAYBETTİ"</formula>
    </cfRule>
  </conditionalFormatting>
  <conditionalFormatting sqref="G712">
    <cfRule type="cellIs" priority="2122" operator="equal" aboveAverage="0" equalAverage="0" bottom="0" percent="0" rank="0" text="" dxfId="1">
      <formula>"EVET"</formula>
    </cfRule>
  </conditionalFormatting>
  <conditionalFormatting sqref="H713">
    <cfRule type="cellIs" priority="2123" operator="equal" aboveAverage="0" equalAverage="0" bottom="0" percent="0" rank="0" text="" dxfId="2">
      <formula>"KAZANDI"</formula>
    </cfRule>
    <cfRule type="cellIs" priority="2124" operator="equal" aboveAverage="0" equalAverage="0" bottom="0" percent="0" rank="0" text="" dxfId="0">
      <formula>"KAYBETTİ"</formula>
    </cfRule>
  </conditionalFormatting>
  <conditionalFormatting sqref="G713">
    <cfRule type="cellIs" priority="2125" operator="equal" aboveAverage="0" equalAverage="0" bottom="0" percent="0" rank="0" text="" dxfId="1">
      <formula>"EVET"</formula>
    </cfRule>
  </conditionalFormatting>
  <conditionalFormatting sqref="H714">
    <cfRule type="cellIs" priority="2126" operator="equal" aboveAverage="0" equalAverage="0" bottom="0" percent="0" rank="0" text="" dxfId="2">
      <formula>"KAZANDI"</formula>
    </cfRule>
    <cfRule type="cellIs" priority="2127" operator="equal" aboveAverage="0" equalAverage="0" bottom="0" percent="0" rank="0" text="" dxfId="0">
      <formula>"KAYBETTİ"</formula>
    </cfRule>
  </conditionalFormatting>
  <conditionalFormatting sqref="G714">
    <cfRule type="cellIs" priority="2128" operator="equal" aboveAverage="0" equalAverage="0" bottom="0" percent="0" rank="0" text="" dxfId="1">
      <formula>"EVET"</formula>
    </cfRule>
  </conditionalFormatting>
  <conditionalFormatting sqref="H715">
    <cfRule type="cellIs" priority="2129" operator="equal" aboveAverage="0" equalAverage="0" bottom="0" percent="0" rank="0" text="" dxfId="2">
      <formula>"KAZANDI"</formula>
    </cfRule>
    <cfRule type="cellIs" priority="2130" operator="equal" aboveAverage="0" equalAverage="0" bottom="0" percent="0" rank="0" text="" dxfId="0">
      <formula>"KAYBETTİ"</formula>
    </cfRule>
  </conditionalFormatting>
  <conditionalFormatting sqref="G715">
    <cfRule type="cellIs" priority="2131" operator="equal" aboveAverage="0" equalAverage="0" bottom="0" percent="0" rank="0" text="" dxfId="1">
      <formula>"EVET"</formula>
    </cfRule>
  </conditionalFormatting>
  <conditionalFormatting sqref="H716">
    <cfRule type="cellIs" priority="2132" operator="equal" aboveAverage="0" equalAverage="0" bottom="0" percent="0" rank="0" text="" dxfId="2">
      <formula>"KAZANDI"</formula>
    </cfRule>
    <cfRule type="cellIs" priority="2133" operator="equal" aboveAverage="0" equalAverage="0" bottom="0" percent="0" rank="0" text="" dxfId="0">
      <formula>"KAYBETTİ"</formula>
    </cfRule>
  </conditionalFormatting>
  <conditionalFormatting sqref="G716">
    <cfRule type="cellIs" priority="2134" operator="equal" aboveAverage="0" equalAverage="0" bottom="0" percent="0" rank="0" text="" dxfId="1">
      <formula>"EVET"</formula>
    </cfRule>
  </conditionalFormatting>
  <conditionalFormatting sqref="H717">
    <cfRule type="cellIs" priority="2135" operator="equal" aboveAverage="0" equalAverage="0" bottom="0" percent="0" rank="0" text="" dxfId="2">
      <formula>"KAZANDI"</formula>
    </cfRule>
    <cfRule type="cellIs" priority="2136" operator="equal" aboveAverage="0" equalAverage="0" bottom="0" percent="0" rank="0" text="" dxfId="0">
      <formula>"KAYBETTİ"</formula>
    </cfRule>
  </conditionalFormatting>
  <conditionalFormatting sqref="G717">
    <cfRule type="cellIs" priority="2137" operator="equal" aboveAverage="0" equalAverage="0" bottom="0" percent="0" rank="0" text="" dxfId="1">
      <formula>"EVET"</formula>
    </cfRule>
  </conditionalFormatting>
  <conditionalFormatting sqref="H718">
    <cfRule type="cellIs" priority="2138" operator="equal" aboveAverage="0" equalAverage="0" bottom="0" percent="0" rank="0" text="" dxfId="2">
      <formula>"KAZANDI"</formula>
    </cfRule>
    <cfRule type="cellIs" priority="2139" operator="equal" aboveAverage="0" equalAverage="0" bottom="0" percent="0" rank="0" text="" dxfId="0">
      <formula>"KAYBETTİ"</formula>
    </cfRule>
  </conditionalFormatting>
  <conditionalFormatting sqref="G718">
    <cfRule type="cellIs" priority="2140" operator="equal" aboveAverage="0" equalAverage="0" bottom="0" percent="0" rank="0" text="" dxfId="1">
      <formula>"EVET"</formula>
    </cfRule>
  </conditionalFormatting>
  <conditionalFormatting sqref="H719">
    <cfRule type="cellIs" priority="2141" operator="equal" aboveAverage="0" equalAverage="0" bottom="0" percent="0" rank="0" text="" dxfId="2">
      <formula>"KAZANDI"</formula>
    </cfRule>
    <cfRule type="cellIs" priority="2142" operator="equal" aboveAverage="0" equalAverage="0" bottom="0" percent="0" rank="0" text="" dxfId="0">
      <formula>"KAYBETTİ"</formula>
    </cfRule>
  </conditionalFormatting>
  <conditionalFormatting sqref="G719">
    <cfRule type="cellIs" priority="2143" operator="equal" aboveAverage="0" equalAverage="0" bottom="0" percent="0" rank="0" text="" dxfId="1">
      <formula>"EVET"</formula>
    </cfRule>
  </conditionalFormatting>
  <conditionalFormatting sqref="H720">
    <cfRule type="cellIs" priority="2144" operator="equal" aboveAverage="0" equalAverage="0" bottom="0" percent="0" rank="0" text="" dxfId="2">
      <formula>"KAZANDI"</formula>
    </cfRule>
    <cfRule type="cellIs" priority="2145" operator="equal" aboveAverage="0" equalAverage="0" bottom="0" percent="0" rank="0" text="" dxfId="0">
      <formula>"KAYBETTİ"</formula>
    </cfRule>
  </conditionalFormatting>
  <conditionalFormatting sqref="G720">
    <cfRule type="cellIs" priority="2146" operator="equal" aboveAverage="0" equalAverage="0" bottom="0" percent="0" rank="0" text="" dxfId="1">
      <formula>"EVET"</formula>
    </cfRule>
  </conditionalFormatting>
  <conditionalFormatting sqref="H721">
    <cfRule type="cellIs" priority="2147" operator="equal" aboveAverage="0" equalAverage="0" bottom="0" percent="0" rank="0" text="" dxfId="2">
      <formula>"KAZANDI"</formula>
    </cfRule>
    <cfRule type="cellIs" priority="2148" operator="equal" aboveAverage="0" equalAverage="0" bottom="0" percent="0" rank="0" text="" dxfId="0">
      <formula>"KAYBETTİ"</formula>
    </cfRule>
  </conditionalFormatting>
  <conditionalFormatting sqref="G721">
    <cfRule type="cellIs" priority="2149" operator="equal" aboveAverage="0" equalAverage="0" bottom="0" percent="0" rank="0" text="" dxfId="1">
      <formula>"EVET"</formula>
    </cfRule>
  </conditionalFormatting>
  <conditionalFormatting sqref="H722">
    <cfRule type="cellIs" priority="2150" operator="equal" aboveAverage="0" equalAverage="0" bottom="0" percent="0" rank="0" text="" dxfId="2">
      <formula>"KAZANDI"</formula>
    </cfRule>
    <cfRule type="cellIs" priority="2151" operator="equal" aboveAverage="0" equalAverage="0" bottom="0" percent="0" rank="0" text="" dxfId="0">
      <formula>"KAYBETTİ"</formula>
    </cfRule>
  </conditionalFormatting>
  <conditionalFormatting sqref="G722">
    <cfRule type="cellIs" priority="2152" operator="equal" aboveAverage="0" equalAverage="0" bottom="0" percent="0" rank="0" text="" dxfId="1">
      <formula>"EVET"</formula>
    </cfRule>
  </conditionalFormatting>
  <conditionalFormatting sqref="H723">
    <cfRule type="cellIs" priority="2153" operator="equal" aboveAverage="0" equalAverage="0" bottom="0" percent="0" rank="0" text="" dxfId="2">
      <formula>"KAZANDI"</formula>
    </cfRule>
    <cfRule type="cellIs" priority="2154" operator="equal" aboveAverage="0" equalAverage="0" bottom="0" percent="0" rank="0" text="" dxfId="0">
      <formula>"KAYBETTİ"</formula>
    </cfRule>
  </conditionalFormatting>
  <conditionalFormatting sqref="G723">
    <cfRule type="cellIs" priority="2155" operator="equal" aboveAverage="0" equalAverage="0" bottom="0" percent="0" rank="0" text="" dxfId="1">
      <formula>"EVET"</formula>
    </cfRule>
  </conditionalFormatting>
  <conditionalFormatting sqref="H724">
    <cfRule type="cellIs" priority="2156" operator="equal" aboveAverage="0" equalAverage="0" bottom="0" percent="0" rank="0" text="" dxfId="2">
      <formula>"KAZANDI"</formula>
    </cfRule>
    <cfRule type="cellIs" priority="2157" operator="equal" aboveAverage="0" equalAverage="0" bottom="0" percent="0" rank="0" text="" dxfId="0">
      <formula>"KAYBETTİ"</formula>
    </cfRule>
  </conditionalFormatting>
  <conditionalFormatting sqref="G724">
    <cfRule type="cellIs" priority="2158" operator="equal" aboveAverage="0" equalAverage="0" bottom="0" percent="0" rank="0" text="" dxfId="1">
      <formula>"EVET"</formula>
    </cfRule>
  </conditionalFormatting>
  <conditionalFormatting sqref="H725">
    <cfRule type="cellIs" priority="2159" operator="equal" aboveAverage="0" equalAverage="0" bottom="0" percent="0" rank="0" text="" dxfId="2">
      <formula>"KAZANDI"</formula>
    </cfRule>
    <cfRule type="cellIs" priority="2160" operator="equal" aboveAverage="0" equalAverage="0" bottom="0" percent="0" rank="0" text="" dxfId="0">
      <formula>"KAYBETTİ"</formula>
    </cfRule>
  </conditionalFormatting>
  <conditionalFormatting sqref="G725">
    <cfRule type="cellIs" priority="2161" operator="equal" aboveAverage="0" equalAverage="0" bottom="0" percent="0" rank="0" text="" dxfId="1">
      <formula>"EVET"</formula>
    </cfRule>
  </conditionalFormatting>
  <conditionalFormatting sqref="H726">
    <cfRule type="cellIs" priority="2162" operator="equal" aboveAverage="0" equalAverage="0" bottom="0" percent="0" rank="0" text="" dxfId="2">
      <formula>"KAZANDI"</formula>
    </cfRule>
    <cfRule type="cellIs" priority="2163" operator="equal" aboveAverage="0" equalAverage="0" bottom="0" percent="0" rank="0" text="" dxfId="0">
      <formula>"KAYBETTİ"</formula>
    </cfRule>
  </conditionalFormatting>
  <conditionalFormatting sqref="G726">
    <cfRule type="cellIs" priority="2164" operator="equal" aboveAverage="0" equalAverage="0" bottom="0" percent="0" rank="0" text="" dxfId="1">
      <formula>"EVET"</formula>
    </cfRule>
  </conditionalFormatting>
  <conditionalFormatting sqref="H727">
    <cfRule type="cellIs" priority="2165" operator="equal" aboveAverage="0" equalAverage="0" bottom="0" percent="0" rank="0" text="" dxfId="2">
      <formula>"KAZANDI"</formula>
    </cfRule>
    <cfRule type="cellIs" priority="2166" operator="equal" aboveAverage="0" equalAverage="0" bottom="0" percent="0" rank="0" text="" dxfId="0">
      <formula>"KAYBETTİ"</formula>
    </cfRule>
  </conditionalFormatting>
  <conditionalFormatting sqref="G727">
    <cfRule type="cellIs" priority="2167" operator="equal" aboveAverage="0" equalAverage="0" bottom="0" percent="0" rank="0" text="" dxfId="1">
      <formula>"EVET"</formula>
    </cfRule>
  </conditionalFormatting>
  <conditionalFormatting sqref="H728">
    <cfRule type="cellIs" priority="2168" operator="equal" aboveAverage="0" equalAverage="0" bottom="0" percent="0" rank="0" text="" dxfId="2">
      <formula>"KAZANDI"</formula>
    </cfRule>
    <cfRule type="cellIs" priority="2169" operator="equal" aboveAverage="0" equalAverage="0" bottom="0" percent="0" rank="0" text="" dxfId="0">
      <formula>"KAYBETTİ"</formula>
    </cfRule>
  </conditionalFormatting>
  <conditionalFormatting sqref="G728">
    <cfRule type="cellIs" priority="2170" operator="equal" aboveAverage="0" equalAverage="0" bottom="0" percent="0" rank="0" text="" dxfId="1">
      <formula>"EVET"</formula>
    </cfRule>
  </conditionalFormatting>
  <conditionalFormatting sqref="H729">
    <cfRule type="cellIs" priority="2171" operator="equal" aboveAverage="0" equalAverage="0" bottom="0" percent="0" rank="0" text="" dxfId="2">
      <formula>"KAZANDI"</formula>
    </cfRule>
    <cfRule type="cellIs" priority="2172" operator="equal" aboveAverage="0" equalAverage="0" bottom="0" percent="0" rank="0" text="" dxfId="0">
      <formula>"KAYBETTİ"</formula>
    </cfRule>
  </conditionalFormatting>
  <conditionalFormatting sqref="G729">
    <cfRule type="cellIs" priority="2173" operator="equal" aboveAverage="0" equalAverage="0" bottom="0" percent="0" rank="0" text="" dxfId="1">
      <formula>"EVET"</formula>
    </cfRule>
  </conditionalFormatting>
  <conditionalFormatting sqref="H730">
    <cfRule type="cellIs" priority="2174" operator="equal" aboveAverage="0" equalAverage="0" bottom="0" percent="0" rank="0" text="" dxfId="2">
      <formula>"KAZANDI"</formula>
    </cfRule>
    <cfRule type="cellIs" priority="2175" operator="equal" aboveAverage="0" equalAverage="0" bottom="0" percent="0" rank="0" text="" dxfId="0">
      <formula>"KAYBETTİ"</formula>
    </cfRule>
  </conditionalFormatting>
  <conditionalFormatting sqref="G730">
    <cfRule type="cellIs" priority="2176" operator="equal" aboveAverage="0" equalAverage="0" bottom="0" percent="0" rank="0" text="" dxfId="1">
      <formula>"EVET"</formula>
    </cfRule>
  </conditionalFormatting>
  <conditionalFormatting sqref="H731">
    <cfRule type="cellIs" priority="2177" operator="equal" aboveAverage="0" equalAverage="0" bottom="0" percent="0" rank="0" text="" dxfId="2">
      <formula>"KAZANDI"</formula>
    </cfRule>
    <cfRule type="cellIs" priority="2178" operator="equal" aboveAverage="0" equalAverage="0" bottom="0" percent="0" rank="0" text="" dxfId="0">
      <formula>"KAYBETTİ"</formula>
    </cfRule>
  </conditionalFormatting>
  <conditionalFormatting sqref="G731">
    <cfRule type="cellIs" priority="2179" operator="equal" aboveAverage="0" equalAverage="0" bottom="0" percent="0" rank="0" text="" dxfId="1">
      <formula>"EVET"</formula>
    </cfRule>
  </conditionalFormatting>
  <conditionalFormatting sqref="H732">
    <cfRule type="cellIs" priority="2180" operator="equal" aboveAverage="0" equalAverage="0" bottom="0" percent="0" rank="0" text="" dxfId="2">
      <formula>"KAZANDI"</formula>
    </cfRule>
    <cfRule type="cellIs" priority="2181" operator="equal" aboveAverage="0" equalAverage="0" bottom="0" percent="0" rank="0" text="" dxfId="0">
      <formula>"KAYBETTİ"</formula>
    </cfRule>
  </conditionalFormatting>
  <conditionalFormatting sqref="G732">
    <cfRule type="cellIs" priority="2182" operator="equal" aboveAverage="0" equalAverage="0" bottom="0" percent="0" rank="0" text="" dxfId="1">
      <formula>"EVET"</formula>
    </cfRule>
  </conditionalFormatting>
  <conditionalFormatting sqref="H733">
    <cfRule type="cellIs" priority="2183" operator="equal" aboveAverage="0" equalAverage="0" bottom="0" percent="0" rank="0" text="" dxfId="2">
      <formula>"KAZANDI"</formula>
    </cfRule>
    <cfRule type="cellIs" priority="2184" operator="equal" aboveAverage="0" equalAverage="0" bottom="0" percent="0" rank="0" text="" dxfId="0">
      <formula>"KAYBETTİ"</formula>
    </cfRule>
  </conditionalFormatting>
  <conditionalFormatting sqref="G733">
    <cfRule type="cellIs" priority="2185" operator="equal" aboveAverage="0" equalAverage="0" bottom="0" percent="0" rank="0" text="" dxfId="1">
      <formula>"EVET"</formula>
    </cfRule>
  </conditionalFormatting>
  <conditionalFormatting sqref="H734">
    <cfRule type="cellIs" priority="2186" operator="equal" aboveAverage="0" equalAverage="0" bottom="0" percent="0" rank="0" text="" dxfId="2">
      <formula>"KAZANDI"</formula>
    </cfRule>
    <cfRule type="cellIs" priority="2187" operator="equal" aboveAverage="0" equalAverage="0" bottom="0" percent="0" rank="0" text="" dxfId="0">
      <formula>"KAYBETTİ"</formula>
    </cfRule>
  </conditionalFormatting>
  <conditionalFormatting sqref="G734">
    <cfRule type="cellIs" priority="2188" operator="equal" aboveAverage="0" equalAverage="0" bottom="0" percent="0" rank="0" text="" dxfId="1">
      <formula>"EVET"</formula>
    </cfRule>
  </conditionalFormatting>
  <conditionalFormatting sqref="H735">
    <cfRule type="cellIs" priority="2189" operator="equal" aboveAverage="0" equalAverage="0" bottom="0" percent="0" rank="0" text="" dxfId="2">
      <formula>"KAZANDI"</formula>
    </cfRule>
    <cfRule type="cellIs" priority="2190" operator="equal" aboveAverage="0" equalAverage="0" bottom="0" percent="0" rank="0" text="" dxfId="0">
      <formula>"KAYBETTİ"</formula>
    </cfRule>
  </conditionalFormatting>
  <conditionalFormatting sqref="G735">
    <cfRule type="cellIs" priority="2191" operator="equal" aboveAverage="0" equalAverage="0" bottom="0" percent="0" rank="0" text="" dxfId="1">
      <formula>"EVET"</formula>
    </cfRule>
  </conditionalFormatting>
  <conditionalFormatting sqref="H736">
    <cfRule type="cellIs" priority="2192" operator="equal" aboveAverage="0" equalAverage="0" bottom="0" percent="0" rank="0" text="" dxfId="2">
      <formula>"KAZANDI"</formula>
    </cfRule>
    <cfRule type="cellIs" priority="2193" operator="equal" aboveAverage="0" equalAverage="0" bottom="0" percent="0" rank="0" text="" dxfId="0">
      <formula>"KAYBETTİ"</formula>
    </cfRule>
  </conditionalFormatting>
  <conditionalFormatting sqref="G736">
    <cfRule type="cellIs" priority="2194" operator="equal" aboveAverage="0" equalAverage="0" bottom="0" percent="0" rank="0" text="" dxfId="1">
      <formula>"EVET"</formula>
    </cfRule>
  </conditionalFormatting>
  <conditionalFormatting sqref="H737">
    <cfRule type="cellIs" priority="2195" operator="equal" aboveAverage="0" equalAverage="0" bottom="0" percent="0" rank="0" text="" dxfId="2">
      <formula>"KAZANDI"</formula>
    </cfRule>
    <cfRule type="cellIs" priority="2196" operator="equal" aboveAverage="0" equalAverage="0" bottom="0" percent="0" rank="0" text="" dxfId="0">
      <formula>"KAYBETTİ"</formula>
    </cfRule>
  </conditionalFormatting>
  <conditionalFormatting sqref="G737">
    <cfRule type="cellIs" priority="2197" operator="equal" aboveAverage="0" equalAverage="0" bottom="0" percent="0" rank="0" text="" dxfId="1">
      <formula>"EVET"</formula>
    </cfRule>
  </conditionalFormatting>
  <conditionalFormatting sqref="H738">
    <cfRule type="cellIs" priority="2198" operator="equal" aboveAverage="0" equalAverage="0" bottom="0" percent="0" rank="0" text="" dxfId="2">
      <formula>"KAZANDI"</formula>
    </cfRule>
    <cfRule type="cellIs" priority="2199" operator="equal" aboveAverage="0" equalAverage="0" bottom="0" percent="0" rank="0" text="" dxfId="0">
      <formula>"KAYBETTİ"</formula>
    </cfRule>
  </conditionalFormatting>
  <conditionalFormatting sqref="G738">
    <cfRule type="cellIs" priority="2200" operator="equal" aboveAverage="0" equalAverage="0" bottom="0" percent="0" rank="0" text="" dxfId="1">
      <formula>"EVET"</formula>
    </cfRule>
  </conditionalFormatting>
  <conditionalFormatting sqref="H739">
    <cfRule type="cellIs" priority="2201" operator="equal" aboveAverage="0" equalAverage="0" bottom="0" percent="0" rank="0" text="" dxfId="2">
      <formula>"KAZANDI"</formula>
    </cfRule>
    <cfRule type="cellIs" priority="2202" operator="equal" aboveAverage="0" equalAverage="0" bottom="0" percent="0" rank="0" text="" dxfId="0">
      <formula>"KAYBETTİ"</formula>
    </cfRule>
  </conditionalFormatting>
  <conditionalFormatting sqref="G739">
    <cfRule type="cellIs" priority="2203" operator="equal" aboveAverage="0" equalAverage="0" bottom="0" percent="0" rank="0" text="" dxfId="1">
      <formula>"EVET"</formula>
    </cfRule>
  </conditionalFormatting>
  <conditionalFormatting sqref="H740">
    <cfRule type="cellIs" priority="2204" operator="equal" aboveAverage="0" equalAverage="0" bottom="0" percent="0" rank="0" text="" dxfId="2">
      <formula>"KAZANDI"</formula>
    </cfRule>
    <cfRule type="cellIs" priority="2205" operator="equal" aboveAverage="0" equalAverage="0" bottom="0" percent="0" rank="0" text="" dxfId="0">
      <formula>"KAYBETTİ"</formula>
    </cfRule>
  </conditionalFormatting>
  <conditionalFormatting sqref="G740">
    <cfRule type="cellIs" priority="2206" operator="equal" aboveAverage="0" equalAverage="0" bottom="0" percent="0" rank="0" text="" dxfId="1">
      <formula>"EVET"</formula>
    </cfRule>
  </conditionalFormatting>
  <conditionalFormatting sqref="H741">
    <cfRule type="cellIs" priority="2207" operator="equal" aboveAverage="0" equalAverage="0" bottom="0" percent="0" rank="0" text="" dxfId="2">
      <formula>"KAZANDI"</formula>
    </cfRule>
    <cfRule type="cellIs" priority="2208" operator="equal" aboveAverage="0" equalAverage="0" bottom="0" percent="0" rank="0" text="" dxfId="0">
      <formula>"KAYBETTİ"</formula>
    </cfRule>
  </conditionalFormatting>
  <conditionalFormatting sqref="G741">
    <cfRule type="cellIs" priority="2209" operator="equal" aboveAverage="0" equalAverage="0" bottom="0" percent="0" rank="0" text="" dxfId="1">
      <formula>"EVET"</formula>
    </cfRule>
  </conditionalFormatting>
  <conditionalFormatting sqref="H742">
    <cfRule type="cellIs" priority="2210" operator="equal" aboveAverage="0" equalAverage="0" bottom="0" percent="0" rank="0" text="" dxfId="2">
      <formula>"KAZANDI"</formula>
    </cfRule>
    <cfRule type="cellIs" priority="2211" operator="equal" aboveAverage="0" equalAverage="0" bottom="0" percent="0" rank="0" text="" dxfId="0">
      <formula>"KAYBETTİ"</formula>
    </cfRule>
  </conditionalFormatting>
  <conditionalFormatting sqref="G742">
    <cfRule type="cellIs" priority="2212" operator="equal" aboveAverage="0" equalAverage="0" bottom="0" percent="0" rank="0" text="" dxfId="1">
      <formula>"EVET"</formula>
    </cfRule>
  </conditionalFormatting>
  <conditionalFormatting sqref="H743">
    <cfRule type="cellIs" priority="2213" operator="equal" aboveAverage="0" equalAverage="0" bottom="0" percent="0" rank="0" text="" dxfId="2">
      <formula>"KAZANDI"</formula>
    </cfRule>
    <cfRule type="cellIs" priority="2214" operator="equal" aboveAverage="0" equalAverage="0" bottom="0" percent="0" rank="0" text="" dxfId="0">
      <formula>"KAYBETTİ"</formula>
    </cfRule>
  </conditionalFormatting>
  <conditionalFormatting sqref="G743">
    <cfRule type="cellIs" priority="2215" operator="equal" aboveAverage="0" equalAverage="0" bottom="0" percent="0" rank="0" text="" dxfId="1">
      <formula>"EVET"</formula>
    </cfRule>
  </conditionalFormatting>
  <conditionalFormatting sqref="H744">
    <cfRule type="cellIs" priority="2216" operator="equal" aboveAverage="0" equalAverage="0" bottom="0" percent="0" rank="0" text="" dxfId="2">
      <formula>"KAZANDI"</formula>
    </cfRule>
    <cfRule type="cellIs" priority="2217" operator="equal" aboveAverage="0" equalAverage="0" bottom="0" percent="0" rank="0" text="" dxfId="0">
      <formula>"KAYBETTİ"</formula>
    </cfRule>
  </conditionalFormatting>
  <conditionalFormatting sqref="G744">
    <cfRule type="cellIs" priority="2218" operator="equal" aboveAverage="0" equalAverage="0" bottom="0" percent="0" rank="0" text="" dxfId="1">
      <formula>"EVET"</formula>
    </cfRule>
  </conditionalFormatting>
  <conditionalFormatting sqref="H745">
    <cfRule type="cellIs" priority="2219" operator="equal" aboveAverage="0" equalAverage="0" bottom="0" percent="0" rank="0" text="" dxfId="2">
      <formula>"KAZANDI"</formula>
    </cfRule>
    <cfRule type="cellIs" priority="2220" operator="equal" aboveAverage="0" equalAverage="0" bottom="0" percent="0" rank="0" text="" dxfId="0">
      <formula>"KAYBETTİ"</formula>
    </cfRule>
  </conditionalFormatting>
  <conditionalFormatting sqref="G745">
    <cfRule type="cellIs" priority="2221" operator="equal" aboveAverage="0" equalAverage="0" bottom="0" percent="0" rank="0" text="" dxfId="1">
      <formula>"EVET"</formula>
    </cfRule>
  </conditionalFormatting>
  <conditionalFormatting sqref="H746">
    <cfRule type="cellIs" priority="2222" operator="equal" aboveAverage="0" equalAverage="0" bottom="0" percent="0" rank="0" text="" dxfId="2">
      <formula>"KAZANDI"</formula>
    </cfRule>
    <cfRule type="cellIs" priority="2223" operator="equal" aboveAverage="0" equalAverage="0" bottom="0" percent="0" rank="0" text="" dxfId="0">
      <formula>"KAYBETTİ"</formula>
    </cfRule>
  </conditionalFormatting>
  <conditionalFormatting sqref="G746">
    <cfRule type="cellIs" priority="2224" operator="equal" aboveAverage="0" equalAverage="0" bottom="0" percent="0" rank="0" text="" dxfId="1">
      <formula>"EVET"</formula>
    </cfRule>
  </conditionalFormatting>
  <conditionalFormatting sqref="H747">
    <cfRule type="cellIs" priority="2225" operator="equal" aboveAverage="0" equalAverage="0" bottom="0" percent="0" rank="0" text="" dxfId="2">
      <formula>"KAZANDI"</formula>
    </cfRule>
    <cfRule type="cellIs" priority="2226" operator="equal" aboveAverage="0" equalAverage="0" bottom="0" percent="0" rank="0" text="" dxfId="0">
      <formula>"KAYBETTİ"</formula>
    </cfRule>
  </conditionalFormatting>
  <conditionalFormatting sqref="G747">
    <cfRule type="cellIs" priority="2227" operator="equal" aboveAverage="0" equalAverage="0" bottom="0" percent="0" rank="0" text="" dxfId="1">
      <formula>"EVET"</formula>
    </cfRule>
  </conditionalFormatting>
  <conditionalFormatting sqref="H748">
    <cfRule type="cellIs" priority="2228" operator="equal" aboveAverage="0" equalAverage="0" bottom="0" percent="0" rank="0" text="" dxfId="2">
      <formula>"KAZANDI"</formula>
    </cfRule>
    <cfRule type="cellIs" priority="2229" operator="equal" aboveAverage="0" equalAverage="0" bottom="0" percent="0" rank="0" text="" dxfId="0">
      <formula>"KAYBETTİ"</formula>
    </cfRule>
  </conditionalFormatting>
  <conditionalFormatting sqref="G748">
    <cfRule type="cellIs" priority="2230" operator="equal" aboveAverage="0" equalAverage="0" bottom="0" percent="0" rank="0" text="" dxfId="1">
      <formula>"EVET"</formula>
    </cfRule>
  </conditionalFormatting>
  <conditionalFormatting sqref="H749">
    <cfRule type="cellIs" priority="2231" operator="equal" aboveAverage="0" equalAverage="0" bottom="0" percent="0" rank="0" text="" dxfId="2">
      <formula>"KAZANDI"</formula>
    </cfRule>
    <cfRule type="cellIs" priority="2232" operator="equal" aboveAverage="0" equalAverage="0" bottom="0" percent="0" rank="0" text="" dxfId="0">
      <formula>"KAYBETTİ"</formula>
    </cfRule>
  </conditionalFormatting>
  <conditionalFormatting sqref="G749">
    <cfRule type="cellIs" priority="2233" operator="equal" aboveAverage="0" equalAverage="0" bottom="0" percent="0" rank="0" text="" dxfId="1">
      <formula>"EVET"</formula>
    </cfRule>
  </conditionalFormatting>
  <conditionalFormatting sqref="H750">
    <cfRule type="cellIs" priority="2234" operator="equal" aboveAverage="0" equalAverage="0" bottom="0" percent="0" rank="0" text="" dxfId="2">
      <formula>"KAZANDI"</formula>
    </cfRule>
    <cfRule type="cellIs" priority="2235" operator="equal" aboveAverage="0" equalAverage="0" bottom="0" percent="0" rank="0" text="" dxfId="0">
      <formula>"KAYBETTİ"</formula>
    </cfRule>
  </conditionalFormatting>
  <conditionalFormatting sqref="G750">
    <cfRule type="cellIs" priority="2236" operator="equal" aboveAverage="0" equalAverage="0" bottom="0" percent="0" rank="0" text="" dxfId="1">
      <formula>"EVET"</formula>
    </cfRule>
  </conditionalFormatting>
  <conditionalFormatting sqref="H751">
    <cfRule type="cellIs" priority="2237" operator="equal" aboveAverage="0" equalAverage="0" bottom="0" percent="0" rank="0" text="" dxfId="2">
      <formula>"KAZANDI"</formula>
    </cfRule>
    <cfRule type="cellIs" priority="2238" operator="equal" aboveAverage="0" equalAverage="0" bottom="0" percent="0" rank="0" text="" dxfId="0">
      <formula>"KAYBETTİ"</formula>
    </cfRule>
  </conditionalFormatting>
  <conditionalFormatting sqref="G751">
    <cfRule type="cellIs" priority="2239" operator="equal" aboveAverage="0" equalAverage="0" bottom="0" percent="0" rank="0" text="" dxfId="1">
      <formula>"EVET"</formula>
    </cfRule>
  </conditionalFormatting>
  <conditionalFormatting sqref="H752">
    <cfRule type="cellIs" priority="2240" operator="equal" aboveAverage="0" equalAverage="0" bottom="0" percent="0" rank="0" text="" dxfId="2">
      <formula>"KAZANDI"</formula>
    </cfRule>
    <cfRule type="cellIs" priority="2241" operator="equal" aboveAverage="0" equalAverage="0" bottom="0" percent="0" rank="0" text="" dxfId="0">
      <formula>"KAYBETTİ"</formula>
    </cfRule>
  </conditionalFormatting>
  <conditionalFormatting sqref="G752">
    <cfRule type="cellIs" priority="2242" operator="equal" aboveAverage="0" equalAverage="0" bottom="0" percent="0" rank="0" text="" dxfId="1">
      <formula>"EVET"</formula>
    </cfRule>
  </conditionalFormatting>
  <conditionalFormatting sqref="H753">
    <cfRule type="cellIs" priority="2243" operator="equal" aboveAverage="0" equalAverage="0" bottom="0" percent="0" rank="0" text="" dxfId="2">
      <formula>"KAZANDI"</formula>
    </cfRule>
    <cfRule type="cellIs" priority="2244" operator="equal" aboveAverage="0" equalAverage="0" bottom="0" percent="0" rank="0" text="" dxfId="0">
      <formula>"KAYBETTİ"</formula>
    </cfRule>
  </conditionalFormatting>
  <conditionalFormatting sqref="G753">
    <cfRule type="cellIs" priority="2245" operator="equal" aboveAverage="0" equalAverage="0" bottom="0" percent="0" rank="0" text="" dxfId="1">
      <formula>"EVET"</formula>
    </cfRule>
  </conditionalFormatting>
  <conditionalFormatting sqref="H754">
    <cfRule type="cellIs" priority="2246" operator="equal" aboveAverage="0" equalAverage="0" bottom="0" percent="0" rank="0" text="" dxfId="2">
      <formula>"KAZANDI"</formula>
    </cfRule>
    <cfRule type="cellIs" priority="2247" operator="equal" aboveAverage="0" equalAverage="0" bottom="0" percent="0" rank="0" text="" dxfId="0">
      <formula>"KAYBETTİ"</formula>
    </cfRule>
  </conditionalFormatting>
  <conditionalFormatting sqref="G754">
    <cfRule type="cellIs" priority="2248" operator="equal" aboveAverage="0" equalAverage="0" bottom="0" percent="0" rank="0" text="" dxfId="1">
      <formula>"EVET"</formula>
    </cfRule>
  </conditionalFormatting>
  <conditionalFormatting sqref="H755">
    <cfRule type="cellIs" priority="2249" operator="equal" aboveAverage="0" equalAverage="0" bottom="0" percent="0" rank="0" text="" dxfId="2">
      <formula>"KAZANDI"</formula>
    </cfRule>
    <cfRule type="cellIs" priority="2250" operator="equal" aboveAverage="0" equalAverage="0" bottom="0" percent="0" rank="0" text="" dxfId="0">
      <formula>"KAYBETTİ"</formula>
    </cfRule>
  </conditionalFormatting>
  <conditionalFormatting sqref="G755">
    <cfRule type="cellIs" priority="2251" operator="equal" aboveAverage="0" equalAverage="0" bottom="0" percent="0" rank="0" text="" dxfId="1">
      <formula>"EVET"</formula>
    </cfRule>
  </conditionalFormatting>
  <conditionalFormatting sqref="H756">
    <cfRule type="cellIs" priority="2252" operator="equal" aboveAverage="0" equalAverage="0" bottom="0" percent="0" rank="0" text="" dxfId="2">
      <formula>"KAZANDI"</formula>
    </cfRule>
    <cfRule type="cellIs" priority="2253" operator="equal" aboveAverage="0" equalAverage="0" bottom="0" percent="0" rank="0" text="" dxfId="0">
      <formula>"KAYBETTİ"</formula>
    </cfRule>
  </conditionalFormatting>
  <conditionalFormatting sqref="G756">
    <cfRule type="cellIs" priority="2254" operator="equal" aboveAverage="0" equalAverage="0" bottom="0" percent="0" rank="0" text="" dxfId="1">
      <formula>"EVET"</formula>
    </cfRule>
  </conditionalFormatting>
  <conditionalFormatting sqref="H757">
    <cfRule type="cellIs" priority="2255" operator="equal" aboveAverage="0" equalAverage="0" bottom="0" percent="0" rank="0" text="" dxfId="2">
      <formula>"KAZANDI"</formula>
    </cfRule>
    <cfRule type="cellIs" priority="2256" operator="equal" aboveAverage="0" equalAverage="0" bottom="0" percent="0" rank="0" text="" dxfId="0">
      <formula>"KAYBETTİ"</formula>
    </cfRule>
  </conditionalFormatting>
  <conditionalFormatting sqref="G757">
    <cfRule type="cellIs" priority="2257" operator="equal" aboveAverage="0" equalAverage="0" bottom="0" percent="0" rank="0" text="" dxfId="1">
      <formula>"EVET"</formula>
    </cfRule>
  </conditionalFormatting>
  <conditionalFormatting sqref="H758">
    <cfRule type="cellIs" priority="2258" operator="equal" aboveAverage="0" equalAverage="0" bottom="0" percent="0" rank="0" text="" dxfId="2">
      <formula>"KAZANDI"</formula>
    </cfRule>
    <cfRule type="cellIs" priority="2259" operator="equal" aboveAverage="0" equalAverage="0" bottom="0" percent="0" rank="0" text="" dxfId="0">
      <formula>"KAYBETTİ"</formula>
    </cfRule>
  </conditionalFormatting>
  <conditionalFormatting sqref="G758">
    <cfRule type="cellIs" priority="2260" operator="equal" aboveAverage="0" equalAverage="0" bottom="0" percent="0" rank="0" text="" dxfId="1">
      <formula>"EVET"</formula>
    </cfRule>
  </conditionalFormatting>
  <conditionalFormatting sqref="H759">
    <cfRule type="cellIs" priority="2261" operator="equal" aboveAverage="0" equalAverage="0" bottom="0" percent="0" rank="0" text="" dxfId="2">
      <formula>"KAZANDI"</formula>
    </cfRule>
    <cfRule type="cellIs" priority="2262" operator="equal" aboveAverage="0" equalAverage="0" bottom="0" percent="0" rank="0" text="" dxfId="0">
      <formula>"KAYBETTİ"</formula>
    </cfRule>
  </conditionalFormatting>
  <conditionalFormatting sqref="G759">
    <cfRule type="cellIs" priority="2263" operator="equal" aboveAverage="0" equalAverage="0" bottom="0" percent="0" rank="0" text="" dxfId="1">
      <formula>"EVET"</formula>
    </cfRule>
  </conditionalFormatting>
  <conditionalFormatting sqref="H760">
    <cfRule type="cellIs" priority="2264" operator="equal" aboveAverage="0" equalAverage="0" bottom="0" percent="0" rank="0" text="" dxfId="2">
      <formula>"KAZANDI"</formula>
    </cfRule>
    <cfRule type="cellIs" priority="2265" operator="equal" aboveAverage="0" equalAverage="0" bottom="0" percent="0" rank="0" text="" dxfId="0">
      <formula>"KAYBETTİ"</formula>
    </cfRule>
  </conditionalFormatting>
  <conditionalFormatting sqref="G760">
    <cfRule type="cellIs" priority="2266" operator="equal" aboveAverage="0" equalAverage="0" bottom="0" percent="0" rank="0" text="" dxfId="1">
      <formula>"EVET"</formula>
    </cfRule>
  </conditionalFormatting>
  <conditionalFormatting sqref="H761">
    <cfRule type="cellIs" priority="2267" operator="equal" aboveAverage="0" equalAverage="0" bottom="0" percent="0" rank="0" text="" dxfId="2">
      <formula>"KAZANDI"</formula>
    </cfRule>
    <cfRule type="cellIs" priority="2268" operator="equal" aboveAverage="0" equalAverage="0" bottom="0" percent="0" rank="0" text="" dxfId="0">
      <formula>"KAYBETTİ"</formula>
    </cfRule>
  </conditionalFormatting>
  <conditionalFormatting sqref="G761">
    <cfRule type="cellIs" priority="2269" operator="equal" aboveAverage="0" equalAverage="0" bottom="0" percent="0" rank="0" text="" dxfId="1">
      <formula>"EVET"</formula>
    </cfRule>
  </conditionalFormatting>
  <conditionalFormatting sqref="H762">
    <cfRule type="cellIs" priority="2270" operator="equal" aboveAverage="0" equalAverage="0" bottom="0" percent="0" rank="0" text="" dxfId="2">
      <formula>"KAZANDI"</formula>
    </cfRule>
    <cfRule type="cellIs" priority="2271" operator="equal" aboveAverage="0" equalAverage="0" bottom="0" percent="0" rank="0" text="" dxfId="0">
      <formula>"KAYBETTİ"</formula>
    </cfRule>
  </conditionalFormatting>
  <conditionalFormatting sqref="G762">
    <cfRule type="cellIs" priority="2272" operator="equal" aboveAverage="0" equalAverage="0" bottom="0" percent="0" rank="0" text="" dxfId="1">
      <formula>"EVET"</formula>
    </cfRule>
  </conditionalFormatting>
  <conditionalFormatting sqref="H763">
    <cfRule type="cellIs" priority="2273" operator="equal" aboveAverage="0" equalAverage="0" bottom="0" percent="0" rank="0" text="" dxfId="2">
      <formula>"KAZANDI"</formula>
    </cfRule>
    <cfRule type="cellIs" priority="2274" operator="equal" aboveAverage="0" equalAverage="0" bottom="0" percent="0" rank="0" text="" dxfId="0">
      <formula>"KAYBETTİ"</formula>
    </cfRule>
  </conditionalFormatting>
  <conditionalFormatting sqref="G763">
    <cfRule type="cellIs" priority="2275" operator="equal" aboveAverage="0" equalAverage="0" bottom="0" percent="0" rank="0" text="" dxfId="1">
      <formula>"EVET"</formula>
    </cfRule>
  </conditionalFormatting>
  <conditionalFormatting sqref="H764">
    <cfRule type="cellIs" priority="2276" operator="equal" aboveAverage="0" equalAverage="0" bottom="0" percent="0" rank="0" text="" dxfId="2">
      <formula>"KAZANDI"</formula>
    </cfRule>
    <cfRule type="cellIs" priority="2277" operator="equal" aboveAverage="0" equalAverage="0" bottom="0" percent="0" rank="0" text="" dxfId="0">
      <formula>"KAYBETTİ"</formula>
    </cfRule>
  </conditionalFormatting>
  <conditionalFormatting sqref="G764">
    <cfRule type="cellIs" priority="2278" operator="equal" aboveAverage="0" equalAverage="0" bottom="0" percent="0" rank="0" text="" dxfId="1">
      <formula>"EVET"</formula>
    </cfRule>
  </conditionalFormatting>
  <conditionalFormatting sqref="H765">
    <cfRule type="cellIs" priority="2279" operator="equal" aboveAverage="0" equalAverage="0" bottom="0" percent="0" rank="0" text="" dxfId="2">
      <formula>"KAZANDI"</formula>
    </cfRule>
    <cfRule type="cellIs" priority="2280" operator="equal" aboveAverage="0" equalAverage="0" bottom="0" percent="0" rank="0" text="" dxfId="0">
      <formula>"KAYBETTİ"</formula>
    </cfRule>
  </conditionalFormatting>
  <conditionalFormatting sqref="G765">
    <cfRule type="cellIs" priority="2281" operator="equal" aboveAverage="0" equalAverage="0" bottom="0" percent="0" rank="0" text="" dxfId="1">
      <formula>"EVET"</formula>
    </cfRule>
  </conditionalFormatting>
  <conditionalFormatting sqref="H766">
    <cfRule type="cellIs" priority="2282" operator="equal" aboveAverage="0" equalAverage="0" bottom="0" percent="0" rank="0" text="" dxfId="2">
      <formula>"KAZANDI"</formula>
    </cfRule>
    <cfRule type="cellIs" priority="2283" operator="equal" aboveAverage="0" equalAverage="0" bottom="0" percent="0" rank="0" text="" dxfId="0">
      <formula>"KAYBETTİ"</formula>
    </cfRule>
  </conditionalFormatting>
  <conditionalFormatting sqref="G766">
    <cfRule type="cellIs" priority="2284" operator="equal" aboveAverage="0" equalAverage="0" bottom="0" percent="0" rank="0" text="" dxfId="1">
      <formula>"EVET"</formula>
    </cfRule>
  </conditionalFormatting>
  <conditionalFormatting sqref="H767">
    <cfRule type="cellIs" priority="2285" operator="equal" aboveAverage="0" equalAverage="0" bottom="0" percent="0" rank="0" text="" dxfId="2">
      <formula>"KAZANDI"</formula>
    </cfRule>
    <cfRule type="cellIs" priority="2286" operator="equal" aboveAverage="0" equalAverage="0" bottom="0" percent="0" rank="0" text="" dxfId="0">
      <formula>"KAYBETTİ"</formula>
    </cfRule>
  </conditionalFormatting>
  <conditionalFormatting sqref="G767">
    <cfRule type="cellIs" priority="2287" operator="equal" aboveAverage="0" equalAverage="0" bottom="0" percent="0" rank="0" text="" dxfId="1">
      <formula>"EVET"</formula>
    </cfRule>
  </conditionalFormatting>
  <conditionalFormatting sqref="H768">
    <cfRule type="cellIs" priority="2288" operator="equal" aboveAverage="0" equalAverage="0" bottom="0" percent="0" rank="0" text="" dxfId="2">
      <formula>"KAZANDI"</formula>
    </cfRule>
    <cfRule type="cellIs" priority="2289" operator="equal" aboveAverage="0" equalAverage="0" bottom="0" percent="0" rank="0" text="" dxfId="0">
      <formula>"KAYBETTİ"</formula>
    </cfRule>
  </conditionalFormatting>
  <conditionalFormatting sqref="G768">
    <cfRule type="cellIs" priority="2290" operator="equal" aboveAverage="0" equalAverage="0" bottom="0" percent="0" rank="0" text="" dxfId="1">
      <formula>"EVET"</formula>
    </cfRule>
  </conditionalFormatting>
  <conditionalFormatting sqref="H769">
    <cfRule type="cellIs" priority="2291" operator="equal" aboveAverage="0" equalAverage="0" bottom="0" percent="0" rank="0" text="" dxfId="2">
      <formula>"KAZANDI"</formula>
    </cfRule>
    <cfRule type="cellIs" priority="2292" operator="equal" aboveAverage="0" equalAverage="0" bottom="0" percent="0" rank="0" text="" dxfId="0">
      <formula>"KAYBETTİ"</formula>
    </cfRule>
  </conditionalFormatting>
  <conditionalFormatting sqref="G769">
    <cfRule type="cellIs" priority="2293" operator="equal" aboveAverage="0" equalAverage="0" bottom="0" percent="0" rank="0" text="" dxfId="1">
      <formula>"EVET"</formula>
    </cfRule>
  </conditionalFormatting>
  <conditionalFormatting sqref="H770">
    <cfRule type="cellIs" priority="2294" operator="equal" aboveAverage="0" equalAverage="0" bottom="0" percent="0" rank="0" text="" dxfId="2">
      <formula>"KAZANDI"</formula>
    </cfRule>
    <cfRule type="cellIs" priority="2295" operator="equal" aboveAverage="0" equalAverage="0" bottom="0" percent="0" rank="0" text="" dxfId="0">
      <formula>"KAYBETTİ"</formula>
    </cfRule>
  </conditionalFormatting>
  <conditionalFormatting sqref="G770">
    <cfRule type="cellIs" priority="2296" operator="equal" aboveAverage="0" equalAverage="0" bottom="0" percent="0" rank="0" text="" dxfId="1">
      <formula>"EVET"</formula>
    </cfRule>
  </conditionalFormatting>
  <conditionalFormatting sqref="H771">
    <cfRule type="cellIs" priority="2297" operator="equal" aboveAverage="0" equalAverage="0" bottom="0" percent="0" rank="0" text="" dxfId="2">
      <formula>"KAZANDI"</formula>
    </cfRule>
    <cfRule type="cellIs" priority="2298" operator="equal" aboveAverage="0" equalAverage="0" bottom="0" percent="0" rank="0" text="" dxfId="0">
      <formula>"KAYBETTİ"</formula>
    </cfRule>
  </conditionalFormatting>
  <conditionalFormatting sqref="G771">
    <cfRule type="cellIs" priority="2299" operator="equal" aboveAverage="0" equalAverage="0" bottom="0" percent="0" rank="0" text="" dxfId="1">
      <formula>"EVET"</formula>
    </cfRule>
  </conditionalFormatting>
  <conditionalFormatting sqref="H772">
    <cfRule type="cellIs" priority="2300" operator="equal" aboveAverage="0" equalAverage="0" bottom="0" percent="0" rank="0" text="" dxfId="2">
      <formula>"KAZANDI"</formula>
    </cfRule>
    <cfRule type="cellIs" priority="2301" operator="equal" aboveAverage="0" equalAverage="0" bottom="0" percent="0" rank="0" text="" dxfId="0">
      <formula>"KAYBETTİ"</formula>
    </cfRule>
  </conditionalFormatting>
  <conditionalFormatting sqref="G772">
    <cfRule type="cellIs" priority="2302" operator="equal" aboveAverage="0" equalAverage="0" bottom="0" percent="0" rank="0" text="" dxfId="1">
      <formula>"EVET"</formula>
    </cfRule>
  </conditionalFormatting>
  <conditionalFormatting sqref="H773">
    <cfRule type="cellIs" priority="2303" operator="equal" aboveAverage="0" equalAverage="0" bottom="0" percent="0" rank="0" text="" dxfId="2">
      <formula>"KAZANDI"</formula>
    </cfRule>
    <cfRule type="cellIs" priority="2304" operator="equal" aboveAverage="0" equalAverage="0" bottom="0" percent="0" rank="0" text="" dxfId="0">
      <formula>"KAYBETTİ"</formula>
    </cfRule>
  </conditionalFormatting>
  <conditionalFormatting sqref="G773">
    <cfRule type="cellIs" priority="2305" operator="equal" aboveAverage="0" equalAverage="0" bottom="0" percent="0" rank="0" text="" dxfId="1">
      <formula>"EVET"</formula>
    </cfRule>
  </conditionalFormatting>
  <conditionalFormatting sqref="H774">
    <cfRule type="cellIs" priority="2306" operator="equal" aboveAverage="0" equalAverage="0" bottom="0" percent="0" rank="0" text="" dxfId="2">
      <formula>"KAZANDI"</formula>
    </cfRule>
    <cfRule type="cellIs" priority="2307" operator="equal" aboveAverage="0" equalAverage="0" bottom="0" percent="0" rank="0" text="" dxfId="0">
      <formula>"KAYBETTİ"</formula>
    </cfRule>
  </conditionalFormatting>
  <conditionalFormatting sqref="G774">
    <cfRule type="cellIs" priority="2308" operator="equal" aboveAverage="0" equalAverage="0" bottom="0" percent="0" rank="0" text="" dxfId="1">
      <formula>"EVET"</formula>
    </cfRule>
  </conditionalFormatting>
  <conditionalFormatting sqref="H775">
    <cfRule type="cellIs" priority="2309" operator="equal" aboveAverage="0" equalAverage="0" bottom="0" percent="0" rank="0" text="" dxfId="2">
      <formula>"KAZANDI"</formula>
    </cfRule>
    <cfRule type="cellIs" priority="2310" operator="equal" aboveAverage="0" equalAverage="0" bottom="0" percent="0" rank="0" text="" dxfId="0">
      <formula>"KAYBETTİ"</formula>
    </cfRule>
  </conditionalFormatting>
  <conditionalFormatting sqref="G775">
    <cfRule type="cellIs" priority="2311" operator="equal" aboveAverage="0" equalAverage="0" bottom="0" percent="0" rank="0" text="" dxfId="1">
      <formula>"EVET"</formula>
    </cfRule>
  </conditionalFormatting>
  <conditionalFormatting sqref="H776">
    <cfRule type="cellIs" priority="2312" operator="equal" aboveAverage="0" equalAverage="0" bottom="0" percent="0" rank="0" text="" dxfId="2">
      <formula>"KAZANDI"</formula>
    </cfRule>
    <cfRule type="cellIs" priority="2313" operator="equal" aboveAverage="0" equalAverage="0" bottom="0" percent="0" rank="0" text="" dxfId="0">
      <formula>"KAYBETTİ"</formula>
    </cfRule>
  </conditionalFormatting>
  <conditionalFormatting sqref="G776">
    <cfRule type="cellIs" priority="2314" operator="equal" aboveAverage="0" equalAverage="0" bottom="0" percent="0" rank="0" text="" dxfId="1">
      <formula>"EVET"</formula>
    </cfRule>
  </conditionalFormatting>
  <conditionalFormatting sqref="H777">
    <cfRule type="cellIs" priority="2315" operator="equal" aboveAverage="0" equalAverage="0" bottom="0" percent="0" rank="0" text="" dxfId="2">
      <formula>"KAZANDI"</formula>
    </cfRule>
    <cfRule type="cellIs" priority="2316" operator="equal" aboveAverage="0" equalAverage="0" bottom="0" percent="0" rank="0" text="" dxfId="0">
      <formula>"KAYBETTİ"</formula>
    </cfRule>
  </conditionalFormatting>
  <conditionalFormatting sqref="G777">
    <cfRule type="cellIs" priority="2317" operator="equal" aboveAverage="0" equalAverage="0" bottom="0" percent="0" rank="0" text="" dxfId="1">
      <formula>"EVET"</formula>
    </cfRule>
  </conditionalFormatting>
  <conditionalFormatting sqref="H778">
    <cfRule type="cellIs" priority="2318" operator="equal" aboveAverage="0" equalAverage="0" bottom="0" percent="0" rank="0" text="" dxfId="2">
      <formula>"KAZANDI"</formula>
    </cfRule>
    <cfRule type="cellIs" priority="2319" operator="equal" aboveAverage="0" equalAverage="0" bottom="0" percent="0" rank="0" text="" dxfId="0">
      <formula>"KAYBETTİ"</formula>
    </cfRule>
  </conditionalFormatting>
  <conditionalFormatting sqref="G778">
    <cfRule type="cellIs" priority="2320" operator="equal" aboveAverage="0" equalAverage="0" bottom="0" percent="0" rank="0" text="" dxfId="1">
      <formula>"EVET"</formula>
    </cfRule>
  </conditionalFormatting>
  <conditionalFormatting sqref="H779">
    <cfRule type="cellIs" priority="2321" operator="equal" aboveAverage="0" equalAverage="0" bottom="0" percent="0" rank="0" text="" dxfId="2">
      <formula>"KAZANDI"</formula>
    </cfRule>
    <cfRule type="cellIs" priority="2322" operator="equal" aboveAverage="0" equalAverage="0" bottom="0" percent="0" rank="0" text="" dxfId="0">
      <formula>"KAYBETTİ"</formula>
    </cfRule>
  </conditionalFormatting>
  <conditionalFormatting sqref="G779">
    <cfRule type="cellIs" priority="2323" operator="equal" aboveAverage="0" equalAverage="0" bottom="0" percent="0" rank="0" text="" dxfId="1">
      <formula>"EVET"</formula>
    </cfRule>
  </conditionalFormatting>
  <conditionalFormatting sqref="H780">
    <cfRule type="cellIs" priority="2324" operator="equal" aboveAverage="0" equalAverage="0" bottom="0" percent="0" rank="0" text="" dxfId="2">
      <formula>"KAZANDI"</formula>
    </cfRule>
    <cfRule type="cellIs" priority="2325" operator="equal" aboveAverage="0" equalAverage="0" bottom="0" percent="0" rank="0" text="" dxfId="0">
      <formula>"KAYBETTİ"</formula>
    </cfRule>
  </conditionalFormatting>
  <conditionalFormatting sqref="G780">
    <cfRule type="cellIs" priority="2326" operator="equal" aboveAverage="0" equalAverage="0" bottom="0" percent="0" rank="0" text="" dxfId="1">
      <formula>"EVET"</formula>
    </cfRule>
  </conditionalFormatting>
  <conditionalFormatting sqref="H781">
    <cfRule type="cellIs" priority="2327" operator="equal" aboveAverage="0" equalAverage="0" bottom="0" percent="0" rank="0" text="" dxfId="2">
      <formula>"KAZANDI"</formula>
    </cfRule>
    <cfRule type="cellIs" priority="2328" operator="equal" aboveAverage="0" equalAverage="0" bottom="0" percent="0" rank="0" text="" dxfId="0">
      <formula>"KAYBETTİ"</formula>
    </cfRule>
  </conditionalFormatting>
  <conditionalFormatting sqref="G781">
    <cfRule type="cellIs" priority="2329" operator="equal" aboveAverage="0" equalAverage="0" bottom="0" percent="0" rank="0" text="" dxfId="1">
      <formula>"EVET"</formula>
    </cfRule>
  </conditionalFormatting>
  <conditionalFormatting sqref="H782">
    <cfRule type="cellIs" priority="2330" operator="equal" aboveAverage="0" equalAverage="0" bottom="0" percent="0" rank="0" text="" dxfId="2">
      <formula>"KAZANDI"</formula>
    </cfRule>
    <cfRule type="cellIs" priority="2331" operator="equal" aboveAverage="0" equalAverage="0" bottom="0" percent="0" rank="0" text="" dxfId="0">
      <formula>"KAYBETTİ"</formula>
    </cfRule>
  </conditionalFormatting>
  <conditionalFormatting sqref="G782">
    <cfRule type="cellIs" priority="2332" operator="equal" aboveAverage="0" equalAverage="0" bottom="0" percent="0" rank="0" text="" dxfId="1">
      <formula>"EVET"</formula>
    </cfRule>
  </conditionalFormatting>
  <conditionalFormatting sqref="H783">
    <cfRule type="cellIs" priority="2333" operator="equal" aboveAverage="0" equalAverage="0" bottom="0" percent="0" rank="0" text="" dxfId="2">
      <formula>"KAZANDI"</formula>
    </cfRule>
    <cfRule type="cellIs" priority="2334" operator="equal" aboveAverage="0" equalAverage="0" bottom="0" percent="0" rank="0" text="" dxfId="0">
      <formula>"KAYBETTİ"</formula>
    </cfRule>
  </conditionalFormatting>
  <conditionalFormatting sqref="G783">
    <cfRule type="cellIs" priority="2335" operator="equal" aboveAverage="0" equalAverage="0" bottom="0" percent="0" rank="0" text="" dxfId="1">
      <formula>"EVET"</formula>
    </cfRule>
  </conditionalFormatting>
  <conditionalFormatting sqref="H784">
    <cfRule type="cellIs" priority="2336" operator="equal" aboveAverage="0" equalAverage="0" bottom="0" percent="0" rank="0" text="" dxfId="2">
      <formula>"KAZANDI"</formula>
    </cfRule>
    <cfRule type="cellIs" priority="2337" operator="equal" aboveAverage="0" equalAverage="0" bottom="0" percent="0" rank="0" text="" dxfId="0">
      <formula>"KAYBETTİ"</formula>
    </cfRule>
  </conditionalFormatting>
  <conditionalFormatting sqref="G784">
    <cfRule type="cellIs" priority="2338" operator="equal" aboveAverage="0" equalAverage="0" bottom="0" percent="0" rank="0" text="" dxfId="1">
      <formula>"EVET"</formula>
    </cfRule>
  </conditionalFormatting>
  <conditionalFormatting sqref="H785">
    <cfRule type="cellIs" priority="2339" operator="equal" aboveAverage="0" equalAverage="0" bottom="0" percent="0" rank="0" text="" dxfId="2">
      <formula>"KAZANDI"</formula>
    </cfRule>
    <cfRule type="cellIs" priority="2340" operator="equal" aboveAverage="0" equalAverage="0" bottom="0" percent="0" rank="0" text="" dxfId="0">
      <formula>"KAYBETTİ"</formula>
    </cfRule>
  </conditionalFormatting>
  <conditionalFormatting sqref="G785">
    <cfRule type="cellIs" priority="2341" operator="equal" aboveAverage="0" equalAverage="0" bottom="0" percent="0" rank="0" text="" dxfId="1">
      <formula>"EVET"</formula>
    </cfRule>
  </conditionalFormatting>
  <conditionalFormatting sqref="H786">
    <cfRule type="cellIs" priority="2342" operator="equal" aboveAverage="0" equalAverage="0" bottom="0" percent="0" rank="0" text="" dxfId="2">
      <formula>"KAZANDI"</formula>
    </cfRule>
    <cfRule type="cellIs" priority="2343" operator="equal" aboveAverage="0" equalAverage="0" bottom="0" percent="0" rank="0" text="" dxfId="0">
      <formula>"KAYBETTİ"</formula>
    </cfRule>
  </conditionalFormatting>
  <conditionalFormatting sqref="G786">
    <cfRule type="cellIs" priority="2344" operator="equal" aboveAverage="0" equalAverage="0" bottom="0" percent="0" rank="0" text="" dxfId="1">
      <formula>"EVET"</formula>
    </cfRule>
  </conditionalFormatting>
  <conditionalFormatting sqref="H787">
    <cfRule type="cellIs" priority="2345" operator="equal" aboveAverage="0" equalAverage="0" bottom="0" percent="0" rank="0" text="" dxfId="2">
      <formula>"KAZANDI"</formula>
    </cfRule>
    <cfRule type="cellIs" priority="2346" operator="equal" aboveAverage="0" equalAverage="0" bottom="0" percent="0" rank="0" text="" dxfId="0">
      <formula>"KAYBETTİ"</formula>
    </cfRule>
  </conditionalFormatting>
  <conditionalFormatting sqref="G787">
    <cfRule type="cellIs" priority="2347" operator="equal" aboveAverage="0" equalAverage="0" bottom="0" percent="0" rank="0" text="" dxfId="1">
      <formula>"EVET"</formula>
    </cfRule>
  </conditionalFormatting>
  <conditionalFormatting sqref="H788">
    <cfRule type="cellIs" priority="2348" operator="equal" aboveAverage="0" equalAverage="0" bottom="0" percent="0" rank="0" text="" dxfId="2">
      <formula>"KAZANDI"</formula>
    </cfRule>
    <cfRule type="cellIs" priority="2349" operator="equal" aboveAverage="0" equalAverage="0" bottom="0" percent="0" rank="0" text="" dxfId="0">
      <formula>"KAYBETTİ"</formula>
    </cfRule>
  </conditionalFormatting>
  <conditionalFormatting sqref="G788">
    <cfRule type="cellIs" priority="2350" operator="equal" aboveAverage="0" equalAverage="0" bottom="0" percent="0" rank="0" text="" dxfId="1">
      <formula>"EVET"</formula>
    </cfRule>
  </conditionalFormatting>
  <conditionalFormatting sqref="H789">
    <cfRule type="cellIs" priority="2351" operator="equal" aboveAverage="0" equalAverage="0" bottom="0" percent="0" rank="0" text="" dxfId="2">
      <formula>"KAZANDI"</formula>
    </cfRule>
    <cfRule type="cellIs" priority="2352" operator="equal" aboveAverage="0" equalAverage="0" bottom="0" percent="0" rank="0" text="" dxfId="0">
      <formula>"KAYBETTİ"</formula>
    </cfRule>
  </conditionalFormatting>
  <conditionalFormatting sqref="G789">
    <cfRule type="cellIs" priority="2353" operator="equal" aboveAverage="0" equalAverage="0" bottom="0" percent="0" rank="0" text="" dxfId="1">
      <formula>"EVET"</formula>
    </cfRule>
  </conditionalFormatting>
  <conditionalFormatting sqref="H790">
    <cfRule type="cellIs" priority="2354" operator="equal" aboveAverage="0" equalAverage="0" bottom="0" percent="0" rank="0" text="" dxfId="2">
      <formula>"KAZANDI"</formula>
    </cfRule>
    <cfRule type="cellIs" priority="2355" operator="equal" aboveAverage="0" equalAverage="0" bottom="0" percent="0" rank="0" text="" dxfId="0">
      <formula>"KAYBETTİ"</formula>
    </cfRule>
  </conditionalFormatting>
  <conditionalFormatting sqref="G790">
    <cfRule type="cellIs" priority="2356" operator="equal" aboveAverage="0" equalAverage="0" bottom="0" percent="0" rank="0" text="" dxfId="1">
      <formula>"EVET"</formula>
    </cfRule>
  </conditionalFormatting>
  <conditionalFormatting sqref="H791">
    <cfRule type="cellIs" priority="2357" operator="equal" aboveAverage="0" equalAverage="0" bottom="0" percent="0" rank="0" text="" dxfId="2">
      <formula>"KAZANDI"</formula>
    </cfRule>
    <cfRule type="cellIs" priority="2358" operator="equal" aboveAverage="0" equalAverage="0" bottom="0" percent="0" rank="0" text="" dxfId="0">
      <formula>"KAYBETTİ"</formula>
    </cfRule>
  </conditionalFormatting>
  <conditionalFormatting sqref="G791">
    <cfRule type="cellIs" priority="2359" operator="equal" aboveAverage="0" equalAverage="0" bottom="0" percent="0" rank="0" text="" dxfId="1">
      <formula>"EVET"</formula>
    </cfRule>
  </conditionalFormatting>
  <conditionalFormatting sqref="H792">
    <cfRule type="cellIs" priority="2360" operator="equal" aboveAverage="0" equalAverage="0" bottom="0" percent="0" rank="0" text="" dxfId="2">
      <formula>"KAZANDI"</formula>
    </cfRule>
    <cfRule type="cellIs" priority="2361" operator="equal" aboveAverage="0" equalAverage="0" bottom="0" percent="0" rank="0" text="" dxfId="0">
      <formula>"KAYBETTİ"</formula>
    </cfRule>
  </conditionalFormatting>
  <conditionalFormatting sqref="G792">
    <cfRule type="cellIs" priority="2362" operator="equal" aboveAverage="0" equalAverage="0" bottom="0" percent="0" rank="0" text="" dxfId="1">
      <formula>"EVET"</formula>
    </cfRule>
  </conditionalFormatting>
  <conditionalFormatting sqref="H793">
    <cfRule type="cellIs" priority="2363" operator="equal" aboveAverage="0" equalAverage="0" bottom="0" percent="0" rank="0" text="" dxfId="2">
      <formula>"KAZANDI"</formula>
    </cfRule>
    <cfRule type="cellIs" priority="2364" operator="equal" aboveAverage="0" equalAverage="0" bottom="0" percent="0" rank="0" text="" dxfId="0">
      <formula>"KAYBETTİ"</formula>
    </cfRule>
  </conditionalFormatting>
  <conditionalFormatting sqref="G793">
    <cfRule type="cellIs" priority="2365" operator="equal" aboveAverage="0" equalAverage="0" bottom="0" percent="0" rank="0" text="" dxfId="1">
      <formula>"EVET"</formula>
    </cfRule>
  </conditionalFormatting>
  <conditionalFormatting sqref="H794">
    <cfRule type="cellIs" priority="2366" operator="equal" aboveAverage="0" equalAverage="0" bottom="0" percent="0" rank="0" text="" dxfId="2">
      <formula>"KAZANDI"</formula>
    </cfRule>
    <cfRule type="cellIs" priority="2367" operator="equal" aboveAverage="0" equalAverage="0" bottom="0" percent="0" rank="0" text="" dxfId="0">
      <formula>"KAYBETTİ"</formula>
    </cfRule>
  </conditionalFormatting>
  <conditionalFormatting sqref="G794">
    <cfRule type="cellIs" priority="2368" operator="equal" aboveAverage="0" equalAverage="0" bottom="0" percent="0" rank="0" text="" dxfId="1">
      <formula>"EVET"</formula>
    </cfRule>
  </conditionalFormatting>
  <conditionalFormatting sqref="H795">
    <cfRule type="cellIs" priority="2369" operator="equal" aboveAverage="0" equalAverage="0" bottom="0" percent="0" rank="0" text="" dxfId="2">
      <formula>"KAZANDI"</formula>
    </cfRule>
    <cfRule type="cellIs" priority="2370" operator="equal" aboveAverage="0" equalAverage="0" bottom="0" percent="0" rank="0" text="" dxfId="0">
      <formula>"KAYBETTİ"</formula>
    </cfRule>
  </conditionalFormatting>
  <conditionalFormatting sqref="G795">
    <cfRule type="cellIs" priority="2371" operator="equal" aboveAverage="0" equalAverage="0" bottom="0" percent="0" rank="0" text="" dxfId="1">
      <formula>"EVET"</formula>
    </cfRule>
  </conditionalFormatting>
  <conditionalFormatting sqref="H796">
    <cfRule type="cellIs" priority="2372" operator="equal" aboveAverage="0" equalAverage="0" bottom="0" percent="0" rank="0" text="" dxfId="2">
      <formula>"KAZANDI"</formula>
    </cfRule>
    <cfRule type="cellIs" priority="2373" operator="equal" aboveAverage="0" equalAverage="0" bottom="0" percent="0" rank="0" text="" dxfId="0">
      <formula>"KAYBETTİ"</formula>
    </cfRule>
  </conditionalFormatting>
  <conditionalFormatting sqref="G796">
    <cfRule type="cellIs" priority="2374" operator="equal" aboveAverage="0" equalAverage="0" bottom="0" percent="0" rank="0" text="" dxfId="1">
      <formula>"EVET"</formula>
    </cfRule>
  </conditionalFormatting>
  <conditionalFormatting sqref="H797">
    <cfRule type="cellIs" priority="2375" operator="equal" aboveAverage="0" equalAverage="0" bottom="0" percent="0" rank="0" text="" dxfId="2">
      <formula>"KAZANDI"</formula>
    </cfRule>
    <cfRule type="cellIs" priority="2376" operator="equal" aboveAverage="0" equalAverage="0" bottom="0" percent="0" rank="0" text="" dxfId="0">
      <formula>"KAYBETTİ"</formula>
    </cfRule>
  </conditionalFormatting>
  <conditionalFormatting sqref="G797">
    <cfRule type="cellIs" priority="2377" operator="equal" aboveAverage="0" equalAverage="0" bottom="0" percent="0" rank="0" text="" dxfId="1">
      <formula>"EVET"</formula>
    </cfRule>
  </conditionalFormatting>
  <conditionalFormatting sqref="H798">
    <cfRule type="cellIs" priority="2378" operator="equal" aboveAverage="0" equalAverage="0" bottom="0" percent="0" rank="0" text="" dxfId="2">
      <formula>"KAZANDI"</formula>
    </cfRule>
    <cfRule type="cellIs" priority="2379" operator="equal" aboveAverage="0" equalAverage="0" bottom="0" percent="0" rank="0" text="" dxfId="0">
      <formula>"KAYBETTİ"</formula>
    </cfRule>
  </conditionalFormatting>
  <conditionalFormatting sqref="G798">
    <cfRule type="cellIs" priority="2380" operator="equal" aboveAverage="0" equalAverage="0" bottom="0" percent="0" rank="0" text="" dxfId="1">
      <formula>"EVET"</formula>
    </cfRule>
  </conditionalFormatting>
  <conditionalFormatting sqref="H799">
    <cfRule type="cellIs" priority="2381" operator="equal" aboveAverage="0" equalAverage="0" bottom="0" percent="0" rank="0" text="" dxfId="2">
      <formula>"KAZANDI"</formula>
    </cfRule>
    <cfRule type="cellIs" priority="2382" operator="equal" aboveAverage="0" equalAverage="0" bottom="0" percent="0" rank="0" text="" dxfId="0">
      <formula>"KAYBETTİ"</formula>
    </cfRule>
  </conditionalFormatting>
  <conditionalFormatting sqref="G799">
    <cfRule type="cellIs" priority="2383" operator="equal" aboveAverage="0" equalAverage="0" bottom="0" percent="0" rank="0" text="" dxfId="1">
      <formula>"EVET"</formula>
    </cfRule>
  </conditionalFormatting>
  <conditionalFormatting sqref="H800">
    <cfRule type="cellIs" priority="2384" operator="equal" aboveAverage="0" equalAverage="0" bottom="0" percent="0" rank="0" text="" dxfId="2">
      <formula>"KAZANDI"</formula>
    </cfRule>
    <cfRule type="cellIs" priority="2385" operator="equal" aboveAverage="0" equalAverage="0" bottom="0" percent="0" rank="0" text="" dxfId="0">
      <formula>"KAYBETTİ"</formula>
    </cfRule>
  </conditionalFormatting>
  <conditionalFormatting sqref="G800">
    <cfRule type="cellIs" priority="2386" operator="equal" aboveAverage="0" equalAverage="0" bottom="0" percent="0" rank="0" text="" dxfId="1">
      <formula>"EVET"</formula>
    </cfRule>
  </conditionalFormatting>
  <conditionalFormatting sqref="H801">
    <cfRule type="cellIs" priority="2387" operator="equal" aboveAverage="0" equalAverage="0" bottom="0" percent="0" rank="0" text="" dxfId="2">
      <formula>"KAZANDI"</formula>
    </cfRule>
    <cfRule type="cellIs" priority="2388" operator="equal" aboveAverage="0" equalAverage="0" bottom="0" percent="0" rank="0" text="" dxfId="0">
      <formula>"KAYBETTİ"</formula>
    </cfRule>
  </conditionalFormatting>
  <conditionalFormatting sqref="G801">
    <cfRule type="cellIs" priority="2389" operator="equal" aboveAverage="0" equalAverage="0" bottom="0" percent="0" rank="0" text="" dxfId="1">
      <formula>"EVET"</formula>
    </cfRule>
  </conditionalFormatting>
  <conditionalFormatting sqref="H802">
    <cfRule type="cellIs" priority="2390" operator="equal" aboveAverage="0" equalAverage="0" bottom="0" percent="0" rank="0" text="" dxfId="2">
      <formula>"KAZANDI"</formula>
    </cfRule>
    <cfRule type="cellIs" priority="2391" operator="equal" aboveAverage="0" equalAverage="0" bottom="0" percent="0" rank="0" text="" dxfId="0">
      <formula>"KAYBETTİ"</formula>
    </cfRule>
  </conditionalFormatting>
  <conditionalFormatting sqref="G802">
    <cfRule type="cellIs" priority="2392" operator="equal" aboveAverage="0" equalAverage="0" bottom="0" percent="0" rank="0" text="" dxfId="1">
      <formula>"EVET"</formula>
    </cfRule>
  </conditionalFormatting>
  <conditionalFormatting sqref="H803">
    <cfRule type="cellIs" priority="2393" operator="equal" aboveAverage="0" equalAverage="0" bottom="0" percent="0" rank="0" text="" dxfId="2">
      <formula>"KAZANDI"</formula>
    </cfRule>
    <cfRule type="cellIs" priority="2394" operator="equal" aboveAverage="0" equalAverage="0" bottom="0" percent="0" rank="0" text="" dxfId="0">
      <formula>"KAYBETTİ"</formula>
    </cfRule>
  </conditionalFormatting>
  <conditionalFormatting sqref="G803">
    <cfRule type="cellIs" priority="2395" operator="equal" aboveAverage="0" equalAverage="0" bottom="0" percent="0" rank="0" text="" dxfId="1">
      <formula>"EVET"</formula>
    </cfRule>
  </conditionalFormatting>
  <conditionalFormatting sqref="H804">
    <cfRule type="cellIs" priority="2396" operator="equal" aboveAverage="0" equalAverage="0" bottom="0" percent="0" rank="0" text="" dxfId="2">
      <formula>"KAZANDI"</formula>
    </cfRule>
    <cfRule type="cellIs" priority="2397" operator="equal" aboveAverage="0" equalAverage="0" bottom="0" percent="0" rank="0" text="" dxfId="0">
      <formula>"KAYBETTİ"</formula>
    </cfRule>
  </conditionalFormatting>
  <conditionalFormatting sqref="G804">
    <cfRule type="cellIs" priority="2398" operator="equal" aboveAverage="0" equalAverage="0" bottom="0" percent="0" rank="0" text="" dxfId="1">
      <formula>"EVET"</formula>
    </cfRule>
  </conditionalFormatting>
  <conditionalFormatting sqref="H805">
    <cfRule type="cellIs" priority="2399" operator="equal" aboveAverage="0" equalAverage="0" bottom="0" percent="0" rank="0" text="" dxfId="2">
      <formula>"KAZANDI"</formula>
    </cfRule>
    <cfRule type="cellIs" priority="2400" operator="equal" aboveAverage="0" equalAverage="0" bottom="0" percent="0" rank="0" text="" dxfId="0">
      <formula>"KAYBETTİ"</formula>
    </cfRule>
  </conditionalFormatting>
  <conditionalFormatting sqref="G805">
    <cfRule type="cellIs" priority="2401" operator="equal" aboveAverage="0" equalAverage="0" bottom="0" percent="0" rank="0" text="" dxfId="1">
      <formula>"EVET"</formula>
    </cfRule>
  </conditionalFormatting>
  <conditionalFormatting sqref="H806">
    <cfRule type="cellIs" priority="2402" operator="equal" aboveAverage="0" equalAverage="0" bottom="0" percent="0" rank="0" text="" dxfId="2">
      <formula>"KAZANDI"</formula>
    </cfRule>
    <cfRule type="cellIs" priority="2403" operator="equal" aboveAverage="0" equalAverage="0" bottom="0" percent="0" rank="0" text="" dxfId="0">
      <formula>"KAYBETTİ"</formula>
    </cfRule>
  </conditionalFormatting>
  <conditionalFormatting sqref="G806">
    <cfRule type="cellIs" priority="2404" operator="equal" aboveAverage="0" equalAverage="0" bottom="0" percent="0" rank="0" text="" dxfId="1">
      <formula>"EVET"</formula>
    </cfRule>
  </conditionalFormatting>
  <conditionalFormatting sqref="H807">
    <cfRule type="cellIs" priority="2405" operator="equal" aboveAverage="0" equalAverage="0" bottom="0" percent="0" rank="0" text="" dxfId="2">
      <formula>"KAZANDI"</formula>
    </cfRule>
    <cfRule type="cellIs" priority="2406" operator="equal" aboveAverage="0" equalAverage="0" bottom="0" percent="0" rank="0" text="" dxfId="0">
      <formula>"KAYBETTİ"</formula>
    </cfRule>
  </conditionalFormatting>
  <conditionalFormatting sqref="G807">
    <cfRule type="cellIs" priority="2407" operator="equal" aboveAverage="0" equalAverage="0" bottom="0" percent="0" rank="0" text="" dxfId="1">
      <formula>"EVET"</formula>
    </cfRule>
  </conditionalFormatting>
  <conditionalFormatting sqref="H808">
    <cfRule type="cellIs" priority="2408" operator="equal" aboveAverage="0" equalAverage="0" bottom="0" percent="0" rank="0" text="" dxfId="2">
      <formula>"KAZANDI"</formula>
    </cfRule>
    <cfRule type="cellIs" priority="2409" operator="equal" aboveAverage="0" equalAverage="0" bottom="0" percent="0" rank="0" text="" dxfId="0">
      <formula>"KAYBETTİ"</formula>
    </cfRule>
  </conditionalFormatting>
  <conditionalFormatting sqref="G808">
    <cfRule type="cellIs" priority="2410" operator="equal" aboveAverage="0" equalAverage="0" bottom="0" percent="0" rank="0" text="" dxfId="1">
      <formula>"EVET"</formula>
    </cfRule>
  </conditionalFormatting>
  <conditionalFormatting sqref="H809">
    <cfRule type="cellIs" priority="2411" operator="equal" aboveAverage="0" equalAverage="0" bottom="0" percent="0" rank="0" text="" dxfId="2">
      <formula>"KAZANDI"</formula>
    </cfRule>
    <cfRule type="cellIs" priority="2412" operator="equal" aboveAverage="0" equalAverage="0" bottom="0" percent="0" rank="0" text="" dxfId="0">
      <formula>"KAYBETTİ"</formula>
    </cfRule>
  </conditionalFormatting>
  <conditionalFormatting sqref="G809">
    <cfRule type="cellIs" priority="2413" operator="equal" aboveAverage="0" equalAverage="0" bottom="0" percent="0" rank="0" text="" dxfId="1">
      <formula>"EVET"</formula>
    </cfRule>
  </conditionalFormatting>
  <conditionalFormatting sqref="H810">
    <cfRule type="cellIs" priority="2414" operator="equal" aboveAverage="0" equalAverage="0" bottom="0" percent="0" rank="0" text="" dxfId="2">
      <formula>"KAZANDI"</formula>
    </cfRule>
    <cfRule type="cellIs" priority="2415" operator="equal" aboveAverage="0" equalAverage="0" bottom="0" percent="0" rank="0" text="" dxfId="0">
      <formula>"KAYBETTİ"</formula>
    </cfRule>
  </conditionalFormatting>
  <conditionalFormatting sqref="G810">
    <cfRule type="cellIs" priority="2416" operator="equal" aboveAverage="0" equalAverage="0" bottom="0" percent="0" rank="0" text="" dxfId="1">
      <formula>"EVET"</formula>
    </cfRule>
  </conditionalFormatting>
  <conditionalFormatting sqref="H811">
    <cfRule type="cellIs" priority="2417" operator="equal" aboveAverage="0" equalAverage="0" bottom="0" percent="0" rank="0" text="" dxfId="2">
      <formula>"KAZANDI"</formula>
    </cfRule>
    <cfRule type="cellIs" priority="2418" operator="equal" aboveAverage="0" equalAverage="0" bottom="0" percent="0" rank="0" text="" dxfId="0">
      <formula>"KAYBETTİ"</formula>
    </cfRule>
  </conditionalFormatting>
  <conditionalFormatting sqref="G811">
    <cfRule type="cellIs" priority="2419" operator="equal" aboveAverage="0" equalAverage="0" bottom="0" percent="0" rank="0" text="" dxfId="1">
      <formula>"EVET"</formula>
    </cfRule>
  </conditionalFormatting>
  <conditionalFormatting sqref="H812">
    <cfRule type="cellIs" priority="2420" operator="equal" aboveAverage="0" equalAverage="0" bottom="0" percent="0" rank="0" text="" dxfId="2">
      <formula>"KAZANDI"</formula>
    </cfRule>
    <cfRule type="cellIs" priority="2421" operator="equal" aboveAverage="0" equalAverage="0" bottom="0" percent="0" rank="0" text="" dxfId="0">
      <formula>"KAYBETTİ"</formula>
    </cfRule>
  </conditionalFormatting>
  <conditionalFormatting sqref="G812">
    <cfRule type="cellIs" priority="2422" operator="equal" aboveAverage="0" equalAverage="0" bottom="0" percent="0" rank="0" text="" dxfId="1">
      <formula>"EVET"</formula>
    </cfRule>
  </conditionalFormatting>
  <conditionalFormatting sqref="H813">
    <cfRule type="cellIs" priority="2423" operator="equal" aboveAverage="0" equalAverage="0" bottom="0" percent="0" rank="0" text="" dxfId="2">
      <formula>"KAZANDI"</formula>
    </cfRule>
    <cfRule type="cellIs" priority="2424" operator="equal" aboveAverage="0" equalAverage="0" bottom="0" percent="0" rank="0" text="" dxfId="0">
      <formula>"KAYBETTİ"</formula>
    </cfRule>
  </conditionalFormatting>
  <conditionalFormatting sqref="G813">
    <cfRule type="cellIs" priority="2425" operator="equal" aboveAverage="0" equalAverage="0" bottom="0" percent="0" rank="0" text="" dxfId="1">
      <formula>"EVET"</formula>
    </cfRule>
  </conditionalFormatting>
  <conditionalFormatting sqref="H814">
    <cfRule type="cellIs" priority="2426" operator="equal" aboveAverage="0" equalAverage="0" bottom="0" percent="0" rank="0" text="" dxfId="2">
      <formula>"KAZANDI"</formula>
    </cfRule>
    <cfRule type="cellIs" priority="2427" operator="equal" aboveAverage="0" equalAverage="0" bottom="0" percent="0" rank="0" text="" dxfId="0">
      <formula>"KAYBETTİ"</formula>
    </cfRule>
  </conditionalFormatting>
  <conditionalFormatting sqref="G814">
    <cfRule type="cellIs" priority="2428" operator="equal" aboveAverage="0" equalAverage="0" bottom="0" percent="0" rank="0" text="" dxfId="1">
      <formula>"EVET"</formula>
    </cfRule>
  </conditionalFormatting>
  <conditionalFormatting sqref="H815">
    <cfRule type="cellIs" priority="2429" operator="equal" aboveAverage="0" equalAverage="0" bottom="0" percent="0" rank="0" text="" dxfId="2">
      <formula>"KAZANDI"</formula>
    </cfRule>
    <cfRule type="cellIs" priority="2430" operator="equal" aboveAverage="0" equalAverage="0" bottom="0" percent="0" rank="0" text="" dxfId="0">
      <formula>"KAYBETTİ"</formula>
    </cfRule>
  </conditionalFormatting>
  <conditionalFormatting sqref="G815">
    <cfRule type="cellIs" priority="2431" operator="equal" aboveAverage="0" equalAverage="0" bottom="0" percent="0" rank="0" text="" dxfId="1">
      <formula>"EVET"</formula>
    </cfRule>
  </conditionalFormatting>
  <conditionalFormatting sqref="H816">
    <cfRule type="cellIs" priority="2432" operator="equal" aboveAverage="0" equalAverage="0" bottom="0" percent="0" rank="0" text="" dxfId="2">
      <formula>"KAZANDI"</formula>
    </cfRule>
    <cfRule type="cellIs" priority="2433" operator="equal" aboveAverage="0" equalAverage="0" bottom="0" percent="0" rank="0" text="" dxfId="0">
      <formula>"KAYBETTİ"</formula>
    </cfRule>
  </conditionalFormatting>
  <conditionalFormatting sqref="G816">
    <cfRule type="cellIs" priority="2434" operator="equal" aboveAverage="0" equalAverage="0" bottom="0" percent="0" rank="0" text="" dxfId="1">
      <formula>"EVET"</formula>
    </cfRule>
  </conditionalFormatting>
  <conditionalFormatting sqref="H817">
    <cfRule type="cellIs" priority="2435" operator="equal" aboveAverage="0" equalAverage="0" bottom="0" percent="0" rank="0" text="" dxfId="2">
      <formula>"KAZANDI"</formula>
    </cfRule>
    <cfRule type="cellIs" priority="2436" operator="equal" aboveAverage="0" equalAverage="0" bottom="0" percent="0" rank="0" text="" dxfId="0">
      <formula>"KAYBETTİ"</formula>
    </cfRule>
  </conditionalFormatting>
  <conditionalFormatting sqref="G817">
    <cfRule type="cellIs" priority="2437" operator="equal" aboveAverage="0" equalAverage="0" bottom="0" percent="0" rank="0" text="" dxfId="1">
      <formula>"EVET"</formula>
    </cfRule>
  </conditionalFormatting>
  <conditionalFormatting sqref="H818">
    <cfRule type="cellIs" priority="2438" operator="equal" aboveAverage="0" equalAverage="0" bottom="0" percent="0" rank="0" text="" dxfId="2">
      <formula>"KAZANDI"</formula>
    </cfRule>
    <cfRule type="cellIs" priority="2439" operator="equal" aboveAverage="0" equalAverage="0" bottom="0" percent="0" rank="0" text="" dxfId="0">
      <formula>"KAYBETTİ"</formula>
    </cfRule>
  </conditionalFormatting>
  <conditionalFormatting sqref="G818">
    <cfRule type="cellIs" priority="2440" operator="equal" aboveAverage="0" equalAverage="0" bottom="0" percent="0" rank="0" text="" dxfId="1">
      <formula>"EVET"</formula>
    </cfRule>
  </conditionalFormatting>
  <conditionalFormatting sqref="H819">
    <cfRule type="cellIs" priority="2441" operator="equal" aboveAverage="0" equalAverage="0" bottom="0" percent="0" rank="0" text="" dxfId="2">
      <formula>"KAZANDI"</formula>
    </cfRule>
    <cfRule type="cellIs" priority="2442" operator="equal" aboveAverage="0" equalAverage="0" bottom="0" percent="0" rank="0" text="" dxfId="0">
      <formula>"KAYBETTİ"</formula>
    </cfRule>
  </conditionalFormatting>
  <conditionalFormatting sqref="G819">
    <cfRule type="cellIs" priority="2443" operator="equal" aboveAverage="0" equalAverage="0" bottom="0" percent="0" rank="0" text="" dxfId="1">
      <formula>"EVET"</formula>
    </cfRule>
  </conditionalFormatting>
  <conditionalFormatting sqref="H820">
    <cfRule type="cellIs" priority="2444" operator="equal" aboveAverage="0" equalAverage="0" bottom="0" percent="0" rank="0" text="" dxfId="2">
      <formula>"KAZANDI"</formula>
    </cfRule>
    <cfRule type="cellIs" priority="2445" operator="equal" aboveAverage="0" equalAverage="0" bottom="0" percent="0" rank="0" text="" dxfId="0">
      <formula>"KAYBETTİ"</formula>
    </cfRule>
  </conditionalFormatting>
  <conditionalFormatting sqref="G820">
    <cfRule type="cellIs" priority="2446" operator="equal" aboveAverage="0" equalAverage="0" bottom="0" percent="0" rank="0" text="" dxfId="1">
      <formula>"EVET"</formula>
    </cfRule>
  </conditionalFormatting>
  <conditionalFormatting sqref="H821">
    <cfRule type="cellIs" priority="2447" operator="equal" aboveAverage="0" equalAverage="0" bottom="0" percent="0" rank="0" text="" dxfId="2">
      <formula>"KAZANDI"</formula>
    </cfRule>
    <cfRule type="cellIs" priority="2448" operator="equal" aboveAverage="0" equalAverage="0" bottom="0" percent="0" rank="0" text="" dxfId="0">
      <formula>"KAYBETTİ"</formula>
    </cfRule>
  </conditionalFormatting>
  <conditionalFormatting sqref="G821">
    <cfRule type="cellIs" priority="2449" operator="equal" aboveAverage="0" equalAverage="0" bottom="0" percent="0" rank="0" text="" dxfId="1">
      <formula>"EVET"</formula>
    </cfRule>
  </conditionalFormatting>
  <conditionalFormatting sqref="H822">
    <cfRule type="cellIs" priority="2450" operator="equal" aboveAverage="0" equalAverage="0" bottom="0" percent="0" rank="0" text="" dxfId="2">
      <formula>"KAZANDI"</formula>
    </cfRule>
    <cfRule type="cellIs" priority="2451" operator="equal" aboveAverage="0" equalAverage="0" bottom="0" percent="0" rank="0" text="" dxfId="0">
      <formula>"KAYBETTİ"</formula>
    </cfRule>
  </conditionalFormatting>
  <conditionalFormatting sqref="G822">
    <cfRule type="cellIs" priority="2452" operator="equal" aboveAverage="0" equalAverage="0" bottom="0" percent="0" rank="0" text="" dxfId="1">
      <formula>"EVET"</formula>
    </cfRule>
  </conditionalFormatting>
  <conditionalFormatting sqref="H823">
    <cfRule type="cellIs" priority="2453" operator="equal" aboveAverage="0" equalAverage="0" bottom="0" percent="0" rank="0" text="" dxfId="2">
      <formula>"KAZANDI"</formula>
    </cfRule>
    <cfRule type="cellIs" priority="2454" operator="equal" aboveAverage="0" equalAverage="0" bottom="0" percent="0" rank="0" text="" dxfId="0">
      <formula>"KAYBETTİ"</formula>
    </cfRule>
  </conditionalFormatting>
  <conditionalFormatting sqref="G823">
    <cfRule type="cellIs" priority="2455" operator="equal" aboveAverage="0" equalAverage="0" bottom="0" percent="0" rank="0" text="" dxfId="1">
      <formula>"EVET"</formula>
    </cfRule>
  </conditionalFormatting>
  <conditionalFormatting sqref="H824">
    <cfRule type="cellIs" priority="2456" operator="equal" aboveAverage="0" equalAverage="0" bottom="0" percent="0" rank="0" text="" dxfId="2">
      <formula>"KAZANDI"</formula>
    </cfRule>
    <cfRule type="cellIs" priority="2457" operator="equal" aboveAverage="0" equalAverage="0" bottom="0" percent="0" rank="0" text="" dxfId="0">
      <formula>"KAYBETTİ"</formula>
    </cfRule>
  </conditionalFormatting>
  <conditionalFormatting sqref="G824">
    <cfRule type="cellIs" priority="2458" operator="equal" aboveAverage="0" equalAverage="0" bottom="0" percent="0" rank="0" text="" dxfId="1">
      <formula>"EVET"</formula>
    </cfRule>
  </conditionalFormatting>
  <conditionalFormatting sqref="H825">
    <cfRule type="cellIs" priority="2459" operator="equal" aboveAverage="0" equalAverage="0" bottom="0" percent="0" rank="0" text="" dxfId="2">
      <formula>"KAZANDI"</formula>
    </cfRule>
    <cfRule type="cellIs" priority="2460" operator="equal" aboveAverage="0" equalAverage="0" bottom="0" percent="0" rank="0" text="" dxfId="0">
      <formula>"KAYBETTİ"</formula>
    </cfRule>
  </conditionalFormatting>
  <conditionalFormatting sqref="G825">
    <cfRule type="cellIs" priority="2461" operator="equal" aboveAverage="0" equalAverage="0" bottom="0" percent="0" rank="0" text="" dxfId="1">
      <formula>"EVET"</formula>
    </cfRule>
  </conditionalFormatting>
  <conditionalFormatting sqref="H826">
    <cfRule type="cellIs" priority="2462" operator="equal" aboveAverage="0" equalAverage="0" bottom="0" percent="0" rank="0" text="" dxfId="2">
      <formula>"KAZANDI"</formula>
    </cfRule>
    <cfRule type="cellIs" priority="2463" operator="equal" aboveAverage="0" equalAverage="0" bottom="0" percent="0" rank="0" text="" dxfId="0">
      <formula>"KAYBETTİ"</formula>
    </cfRule>
  </conditionalFormatting>
  <conditionalFormatting sqref="G826">
    <cfRule type="cellIs" priority="2464" operator="equal" aboveAverage="0" equalAverage="0" bottom="0" percent="0" rank="0" text="" dxfId="1">
      <formula>"EVET"</formula>
    </cfRule>
  </conditionalFormatting>
  <conditionalFormatting sqref="H827">
    <cfRule type="cellIs" priority="2465" operator="equal" aboveAverage="0" equalAverage="0" bottom="0" percent="0" rank="0" text="" dxfId="2">
      <formula>"KAZANDI"</formula>
    </cfRule>
    <cfRule type="cellIs" priority="2466" operator="equal" aboveAverage="0" equalAverage="0" bottom="0" percent="0" rank="0" text="" dxfId="0">
      <formula>"KAYBETTİ"</formula>
    </cfRule>
  </conditionalFormatting>
  <conditionalFormatting sqref="G827">
    <cfRule type="cellIs" priority="2467" operator="equal" aboveAverage="0" equalAverage="0" bottom="0" percent="0" rank="0" text="" dxfId="1">
      <formula>"EVET"</formula>
    </cfRule>
  </conditionalFormatting>
  <conditionalFormatting sqref="H828">
    <cfRule type="cellIs" priority="2468" operator="equal" aboveAverage="0" equalAverage="0" bottom="0" percent="0" rank="0" text="" dxfId="2">
      <formula>"KAZANDI"</formula>
    </cfRule>
    <cfRule type="cellIs" priority="2469" operator="equal" aboveAverage="0" equalAverage="0" bottom="0" percent="0" rank="0" text="" dxfId="0">
      <formula>"KAYBETTİ"</formula>
    </cfRule>
  </conditionalFormatting>
  <conditionalFormatting sqref="G828">
    <cfRule type="cellIs" priority="2470" operator="equal" aboveAverage="0" equalAverage="0" bottom="0" percent="0" rank="0" text="" dxfId="1">
      <formula>"EVET"</formula>
    </cfRule>
  </conditionalFormatting>
  <conditionalFormatting sqref="H829">
    <cfRule type="cellIs" priority="2471" operator="equal" aboveAverage="0" equalAverage="0" bottom="0" percent="0" rank="0" text="" dxfId="2">
      <formula>"KAZANDI"</formula>
    </cfRule>
    <cfRule type="cellIs" priority="2472" operator="equal" aboveAverage="0" equalAverage="0" bottom="0" percent="0" rank="0" text="" dxfId="0">
      <formula>"KAYBETTİ"</formula>
    </cfRule>
  </conditionalFormatting>
  <conditionalFormatting sqref="G829">
    <cfRule type="cellIs" priority="2473" operator="equal" aboveAverage="0" equalAverage="0" bottom="0" percent="0" rank="0" text="" dxfId="1">
      <formula>"EVET"</formula>
    </cfRule>
  </conditionalFormatting>
  <conditionalFormatting sqref="H830">
    <cfRule type="cellIs" priority="2474" operator="equal" aboveAverage="0" equalAverage="0" bottom="0" percent="0" rank="0" text="" dxfId="2">
      <formula>"KAZANDI"</formula>
    </cfRule>
    <cfRule type="cellIs" priority="2475" operator="equal" aboveAverage="0" equalAverage="0" bottom="0" percent="0" rank="0" text="" dxfId="0">
      <formula>"KAYBETTİ"</formula>
    </cfRule>
  </conditionalFormatting>
  <conditionalFormatting sqref="G830">
    <cfRule type="cellIs" priority="2476" operator="equal" aboveAverage="0" equalAverage="0" bottom="0" percent="0" rank="0" text="" dxfId="1">
      <formula>"EVET"</formula>
    </cfRule>
  </conditionalFormatting>
  <conditionalFormatting sqref="H831">
    <cfRule type="cellIs" priority="2477" operator="equal" aboveAverage="0" equalAverage="0" bottom="0" percent="0" rank="0" text="" dxfId="2">
      <formula>"KAZANDI"</formula>
    </cfRule>
    <cfRule type="cellIs" priority="2478" operator="equal" aboveAverage="0" equalAverage="0" bottom="0" percent="0" rank="0" text="" dxfId="0">
      <formula>"KAYBETTİ"</formula>
    </cfRule>
  </conditionalFormatting>
  <conditionalFormatting sqref="G831">
    <cfRule type="cellIs" priority="2479" operator="equal" aboveAverage="0" equalAverage="0" bottom="0" percent="0" rank="0" text="" dxfId="1">
      <formula>"EVET"</formula>
    </cfRule>
  </conditionalFormatting>
  <conditionalFormatting sqref="H832">
    <cfRule type="cellIs" priority="2480" operator="equal" aboveAverage="0" equalAverage="0" bottom="0" percent="0" rank="0" text="" dxfId="2">
      <formula>"KAZANDI"</formula>
    </cfRule>
    <cfRule type="cellIs" priority="2481" operator="equal" aboveAverage="0" equalAverage="0" bottom="0" percent="0" rank="0" text="" dxfId="0">
      <formula>"KAYBETTİ"</formula>
    </cfRule>
  </conditionalFormatting>
  <conditionalFormatting sqref="G832">
    <cfRule type="cellIs" priority="2482" operator="equal" aboveAverage="0" equalAverage="0" bottom="0" percent="0" rank="0" text="" dxfId="1">
      <formula>"EVET"</formula>
    </cfRule>
  </conditionalFormatting>
  <conditionalFormatting sqref="H833">
    <cfRule type="cellIs" priority="2483" operator="equal" aboveAverage="0" equalAverage="0" bottom="0" percent="0" rank="0" text="" dxfId="2">
      <formula>"KAZANDI"</formula>
    </cfRule>
    <cfRule type="cellIs" priority="2484" operator="equal" aboveAverage="0" equalAverage="0" bottom="0" percent="0" rank="0" text="" dxfId="0">
      <formula>"KAYBETTİ"</formula>
    </cfRule>
  </conditionalFormatting>
  <conditionalFormatting sqref="G833">
    <cfRule type="cellIs" priority="2485" operator="equal" aboveAverage="0" equalAverage="0" bottom="0" percent="0" rank="0" text="" dxfId="1">
      <formula>"EVET"</formula>
    </cfRule>
  </conditionalFormatting>
  <conditionalFormatting sqref="H834">
    <cfRule type="cellIs" priority="2486" operator="equal" aboveAverage="0" equalAverage="0" bottom="0" percent="0" rank="0" text="" dxfId="2">
      <formula>"KAZANDI"</formula>
    </cfRule>
    <cfRule type="cellIs" priority="2487" operator="equal" aboveAverage="0" equalAverage="0" bottom="0" percent="0" rank="0" text="" dxfId="0">
      <formula>"KAYBETTİ"</formula>
    </cfRule>
  </conditionalFormatting>
  <conditionalFormatting sqref="G834">
    <cfRule type="cellIs" priority="2488" operator="equal" aboveAverage="0" equalAverage="0" bottom="0" percent="0" rank="0" text="" dxfId="1">
      <formula>"EVET"</formula>
    </cfRule>
  </conditionalFormatting>
  <conditionalFormatting sqref="H835">
    <cfRule type="cellIs" priority="2489" operator="equal" aboveAverage="0" equalAverage="0" bottom="0" percent="0" rank="0" text="" dxfId="2">
      <formula>"KAZANDI"</formula>
    </cfRule>
    <cfRule type="cellIs" priority="2490" operator="equal" aboveAverage="0" equalAverage="0" bottom="0" percent="0" rank="0" text="" dxfId="0">
      <formula>"KAYBETTİ"</formula>
    </cfRule>
  </conditionalFormatting>
  <conditionalFormatting sqref="G835">
    <cfRule type="cellIs" priority="2491" operator="equal" aboveAverage="0" equalAverage="0" bottom="0" percent="0" rank="0" text="" dxfId="1">
      <formula>"EVET"</formula>
    </cfRule>
  </conditionalFormatting>
  <conditionalFormatting sqref="H836">
    <cfRule type="cellIs" priority="2492" operator="equal" aboveAverage="0" equalAverage="0" bottom="0" percent="0" rank="0" text="" dxfId="2">
      <formula>"KAZANDI"</formula>
    </cfRule>
    <cfRule type="cellIs" priority="2493" operator="equal" aboveAverage="0" equalAverage="0" bottom="0" percent="0" rank="0" text="" dxfId="0">
      <formula>"KAYBETTİ"</formula>
    </cfRule>
  </conditionalFormatting>
  <conditionalFormatting sqref="G836">
    <cfRule type="cellIs" priority="2494" operator="equal" aboveAverage="0" equalAverage="0" bottom="0" percent="0" rank="0" text="" dxfId="1">
      <formula>"EVET"</formula>
    </cfRule>
  </conditionalFormatting>
  <conditionalFormatting sqref="H837">
    <cfRule type="cellIs" priority="2495" operator="equal" aboveAverage="0" equalAverage="0" bottom="0" percent="0" rank="0" text="" dxfId="2">
      <formula>"KAZANDI"</formula>
    </cfRule>
    <cfRule type="cellIs" priority="2496" operator="equal" aboveAverage="0" equalAverage="0" bottom="0" percent="0" rank="0" text="" dxfId="0">
      <formula>"KAYBETTİ"</formula>
    </cfRule>
  </conditionalFormatting>
  <conditionalFormatting sqref="G837">
    <cfRule type="cellIs" priority="2497" operator="equal" aboveAverage="0" equalAverage="0" bottom="0" percent="0" rank="0" text="" dxfId="1">
      <formula>"EVET"</formula>
    </cfRule>
  </conditionalFormatting>
  <conditionalFormatting sqref="H838">
    <cfRule type="cellIs" priority="2498" operator="equal" aboveAverage="0" equalAverage="0" bottom="0" percent="0" rank="0" text="" dxfId="2">
      <formula>"KAZANDI"</formula>
    </cfRule>
    <cfRule type="cellIs" priority="2499" operator="equal" aboveAverage="0" equalAverage="0" bottom="0" percent="0" rank="0" text="" dxfId="0">
      <formula>"KAYBETTİ"</formula>
    </cfRule>
  </conditionalFormatting>
  <conditionalFormatting sqref="G838">
    <cfRule type="cellIs" priority="2500" operator="equal" aboveAverage="0" equalAverage="0" bottom="0" percent="0" rank="0" text="" dxfId="1">
      <formula>"EVET"</formula>
    </cfRule>
  </conditionalFormatting>
  <conditionalFormatting sqref="H839">
    <cfRule type="cellIs" priority="2501" operator="equal" aboveAverage="0" equalAverage="0" bottom="0" percent="0" rank="0" text="" dxfId="2">
      <formula>"KAZANDI"</formula>
    </cfRule>
    <cfRule type="cellIs" priority="2502" operator="equal" aboveAverage="0" equalAverage="0" bottom="0" percent="0" rank="0" text="" dxfId="0">
      <formula>"KAYBETTİ"</formula>
    </cfRule>
  </conditionalFormatting>
  <conditionalFormatting sqref="G839">
    <cfRule type="cellIs" priority="2503" operator="equal" aboveAverage="0" equalAverage="0" bottom="0" percent="0" rank="0" text="" dxfId="1">
      <formula>"EVET"</formula>
    </cfRule>
  </conditionalFormatting>
  <conditionalFormatting sqref="H840">
    <cfRule type="cellIs" priority="2504" operator="equal" aboveAverage="0" equalAverage="0" bottom="0" percent="0" rank="0" text="" dxfId="2">
      <formula>"KAZANDI"</formula>
    </cfRule>
    <cfRule type="cellIs" priority="2505" operator="equal" aboveAverage="0" equalAverage="0" bottom="0" percent="0" rank="0" text="" dxfId="0">
      <formula>"KAYBETTİ"</formula>
    </cfRule>
  </conditionalFormatting>
  <conditionalFormatting sqref="G840">
    <cfRule type="cellIs" priority="2506" operator="equal" aboveAverage="0" equalAverage="0" bottom="0" percent="0" rank="0" text="" dxfId="1">
      <formula>"EVET"</formula>
    </cfRule>
  </conditionalFormatting>
  <conditionalFormatting sqref="H841">
    <cfRule type="cellIs" priority="2507" operator="equal" aboveAverage="0" equalAverage="0" bottom="0" percent="0" rank="0" text="" dxfId="2">
      <formula>"KAZANDI"</formula>
    </cfRule>
    <cfRule type="cellIs" priority="2508" operator="equal" aboveAverage="0" equalAverage="0" bottom="0" percent="0" rank="0" text="" dxfId="0">
      <formula>"KAYBETTİ"</formula>
    </cfRule>
  </conditionalFormatting>
  <conditionalFormatting sqref="G841">
    <cfRule type="cellIs" priority="2509" operator="equal" aboveAverage="0" equalAverage="0" bottom="0" percent="0" rank="0" text="" dxfId="1">
      <formula>"EVET"</formula>
    </cfRule>
  </conditionalFormatting>
  <conditionalFormatting sqref="H842">
    <cfRule type="cellIs" priority="2510" operator="equal" aboveAverage="0" equalAverage="0" bottom="0" percent="0" rank="0" text="" dxfId="2">
      <formula>"KAZANDI"</formula>
    </cfRule>
    <cfRule type="cellIs" priority="2511" operator="equal" aboveAverage="0" equalAverage="0" bottom="0" percent="0" rank="0" text="" dxfId="0">
      <formula>"KAYBETTİ"</formula>
    </cfRule>
  </conditionalFormatting>
  <conditionalFormatting sqref="G842">
    <cfRule type="cellIs" priority="2512" operator="equal" aboveAverage="0" equalAverage="0" bottom="0" percent="0" rank="0" text="" dxfId="1">
      <formula>"EVET"</formula>
    </cfRule>
  </conditionalFormatting>
  <conditionalFormatting sqref="H843">
    <cfRule type="cellIs" priority="2513" operator="equal" aboveAverage="0" equalAverage="0" bottom="0" percent="0" rank="0" text="" dxfId="2">
      <formula>"KAZANDI"</formula>
    </cfRule>
    <cfRule type="cellIs" priority="2514" operator="equal" aboveAverage="0" equalAverage="0" bottom="0" percent="0" rank="0" text="" dxfId="0">
      <formula>"KAYBETTİ"</formula>
    </cfRule>
  </conditionalFormatting>
  <conditionalFormatting sqref="G843">
    <cfRule type="cellIs" priority="2515" operator="equal" aboveAverage="0" equalAverage="0" bottom="0" percent="0" rank="0" text="" dxfId="1">
      <formula>"EVET"</formula>
    </cfRule>
  </conditionalFormatting>
  <conditionalFormatting sqref="H844">
    <cfRule type="cellIs" priority="2516" operator="equal" aboveAverage="0" equalAverage="0" bottom="0" percent="0" rank="0" text="" dxfId="2">
      <formula>"KAZANDI"</formula>
    </cfRule>
    <cfRule type="cellIs" priority="2517" operator="equal" aboveAverage="0" equalAverage="0" bottom="0" percent="0" rank="0" text="" dxfId="0">
      <formula>"KAYBETTİ"</formula>
    </cfRule>
  </conditionalFormatting>
  <conditionalFormatting sqref="G844">
    <cfRule type="cellIs" priority="2518" operator="equal" aboveAverage="0" equalAverage="0" bottom="0" percent="0" rank="0" text="" dxfId="1">
      <formula>"EVET"</formula>
    </cfRule>
  </conditionalFormatting>
  <conditionalFormatting sqref="H845">
    <cfRule type="cellIs" priority="2519" operator="equal" aboveAverage="0" equalAverage="0" bottom="0" percent="0" rank="0" text="" dxfId="2">
      <formula>"KAZANDI"</formula>
    </cfRule>
    <cfRule type="cellIs" priority="2520" operator="equal" aboveAverage="0" equalAverage="0" bottom="0" percent="0" rank="0" text="" dxfId="0">
      <formula>"KAYBETTİ"</formula>
    </cfRule>
  </conditionalFormatting>
  <conditionalFormatting sqref="G845">
    <cfRule type="cellIs" priority="2521" operator="equal" aboveAverage="0" equalAverage="0" bottom="0" percent="0" rank="0" text="" dxfId="1">
      <formula>"EVET"</formula>
    </cfRule>
  </conditionalFormatting>
  <conditionalFormatting sqref="H846">
    <cfRule type="cellIs" priority="2522" operator="equal" aboveAverage="0" equalAverage="0" bottom="0" percent="0" rank="0" text="" dxfId="2">
      <formula>"KAZANDI"</formula>
    </cfRule>
    <cfRule type="cellIs" priority="2523" operator="equal" aboveAverage="0" equalAverage="0" bottom="0" percent="0" rank="0" text="" dxfId="0">
      <formula>"KAYBETTİ"</formula>
    </cfRule>
  </conditionalFormatting>
  <conditionalFormatting sqref="G846">
    <cfRule type="cellIs" priority="2524" operator="equal" aboveAverage="0" equalAverage="0" bottom="0" percent="0" rank="0" text="" dxfId="1">
      <formula>"EVET"</formula>
    </cfRule>
  </conditionalFormatting>
  <conditionalFormatting sqref="H847">
    <cfRule type="cellIs" priority="2525" operator="equal" aboveAverage="0" equalAverage="0" bottom="0" percent="0" rank="0" text="" dxfId="2">
      <formula>"KAZANDI"</formula>
    </cfRule>
    <cfRule type="cellIs" priority="2526" operator="equal" aboveAverage="0" equalAverage="0" bottom="0" percent="0" rank="0" text="" dxfId="0">
      <formula>"KAYBETTİ"</formula>
    </cfRule>
  </conditionalFormatting>
  <conditionalFormatting sqref="G847">
    <cfRule type="cellIs" priority="2527" operator="equal" aboveAverage="0" equalAverage="0" bottom="0" percent="0" rank="0" text="" dxfId="1">
      <formula>"EVET"</formula>
    </cfRule>
  </conditionalFormatting>
  <conditionalFormatting sqref="H848">
    <cfRule type="cellIs" priority="2528" operator="equal" aboveAverage="0" equalAverage="0" bottom="0" percent="0" rank="0" text="" dxfId="2">
      <formula>"KAZANDI"</formula>
    </cfRule>
    <cfRule type="cellIs" priority="2529" operator="equal" aboveAverage="0" equalAverage="0" bottom="0" percent="0" rank="0" text="" dxfId="0">
      <formula>"KAYBETTİ"</formula>
    </cfRule>
  </conditionalFormatting>
  <conditionalFormatting sqref="G848">
    <cfRule type="cellIs" priority="2530" operator="equal" aboveAverage="0" equalAverage="0" bottom="0" percent="0" rank="0" text="" dxfId="1">
      <formula>"EVET"</formula>
    </cfRule>
  </conditionalFormatting>
  <conditionalFormatting sqref="H849">
    <cfRule type="cellIs" priority="2531" operator="equal" aboveAverage="0" equalAverage="0" bottom="0" percent="0" rank="0" text="" dxfId="2">
      <formula>"KAZANDI"</formula>
    </cfRule>
    <cfRule type="cellIs" priority="2532" operator="equal" aboveAverage="0" equalAverage="0" bottom="0" percent="0" rank="0" text="" dxfId="0">
      <formula>"KAYBETTİ"</formula>
    </cfRule>
  </conditionalFormatting>
  <conditionalFormatting sqref="G849">
    <cfRule type="cellIs" priority="2533" operator="equal" aboveAverage="0" equalAverage="0" bottom="0" percent="0" rank="0" text="" dxfId="1">
      <formula>"EVET"</formula>
    </cfRule>
  </conditionalFormatting>
  <conditionalFormatting sqref="H850">
    <cfRule type="cellIs" priority="2534" operator="equal" aboveAverage="0" equalAverage="0" bottom="0" percent="0" rank="0" text="" dxfId="2">
      <formula>"KAZANDI"</formula>
    </cfRule>
    <cfRule type="cellIs" priority="2535" operator="equal" aboveAverage="0" equalAverage="0" bottom="0" percent="0" rank="0" text="" dxfId="0">
      <formula>"KAYBETTİ"</formula>
    </cfRule>
  </conditionalFormatting>
  <conditionalFormatting sqref="G850">
    <cfRule type="cellIs" priority="2536" operator="equal" aboveAverage="0" equalAverage="0" bottom="0" percent="0" rank="0" text="" dxfId="1">
      <formula>"EVET"</formula>
    </cfRule>
  </conditionalFormatting>
  <conditionalFormatting sqref="H851">
    <cfRule type="cellIs" priority="2537" operator="equal" aboveAverage="0" equalAverage="0" bottom="0" percent="0" rank="0" text="" dxfId="2">
      <formula>"KAZANDI"</formula>
    </cfRule>
    <cfRule type="cellIs" priority="2538" operator="equal" aboveAverage="0" equalAverage="0" bottom="0" percent="0" rank="0" text="" dxfId="0">
      <formula>"KAYBETTİ"</formula>
    </cfRule>
  </conditionalFormatting>
  <conditionalFormatting sqref="G851">
    <cfRule type="cellIs" priority="2539" operator="equal" aboveAverage="0" equalAverage="0" bottom="0" percent="0" rank="0" text="" dxfId="1">
      <formula>"EVET"</formula>
    </cfRule>
  </conditionalFormatting>
  <conditionalFormatting sqref="H852">
    <cfRule type="cellIs" priority="2540" operator="equal" aboveAverage="0" equalAverage="0" bottom="0" percent="0" rank="0" text="" dxfId="2">
      <formula>"KAZANDI"</formula>
    </cfRule>
    <cfRule type="cellIs" priority="2541" operator="equal" aboveAverage="0" equalAverage="0" bottom="0" percent="0" rank="0" text="" dxfId="0">
      <formula>"KAYBETTİ"</formula>
    </cfRule>
  </conditionalFormatting>
  <conditionalFormatting sqref="G852">
    <cfRule type="cellIs" priority="2542" operator="equal" aboveAverage="0" equalAverage="0" bottom="0" percent="0" rank="0" text="" dxfId="1">
      <formula>"EVET"</formula>
    </cfRule>
  </conditionalFormatting>
  <conditionalFormatting sqref="H853">
    <cfRule type="cellIs" priority="2543" operator="equal" aboveAverage="0" equalAverage="0" bottom="0" percent="0" rank="0" text="" dxfId="2">
      <formula>"KAZANDI"</formula>
    </cfRule>
    <cfRule type="cellIs" priority="2544" operator="equal" aboveAverage="0" equalAverage="0" bottom="0" percent="0" rank="0" text="" dxfId="0">
      <formula>"KAYBETTİ"</formula>
    </cfRule>
  </conditionalFormatting>
  <conditionalFormatting sqref="G853">
    <cfRule type="cellIs" priority="2545" operator="equal" aboveAverage="0" equalAverage="0" bottom="0" percent="0" rank="0" text="" dxfId="1">
      <formula>"EVET"</formula>
    </cfRule>
  </conditionalFormatting>
  <conditionalFormatting sqref="H854">
    <cfRule type="cellIs" priority="2546" operator="equal" aboveAverage="0" equalAverage="0" bottom="0" percent="0" rank="0" text="" dxfId="2">
      <formula>"KAZANDI"</formula>
    </cfRule>
    <cfRule type="cellIs" priority="2547" operator="equal" aboveAverage="0" equalAverage="0" bottom="0" percent="0" rank="0" text="" dxfId="0">
      <formula>"KAYBETTİ"</formula>
    </cfRule>
  </conditionalFormatting>
  <conditionalFormatting sqref="G854">
    <cfRule type="cellIs" priority="2548" operator="equal" aboveAverage="0" equalAverage="0" bottom="0" percent="0" rank="0" text="" dxfId="1">
      <formula>"EVET"</formula>
    </cfRule>
  </conditionalFormatting>
  <conditionalFormatting sqref="H855">
    <cfRule type="cellIs" priority="2549" operator="equal" aboveAverage="0" equalAverage="0" bottom="0" percent="0" rank="0" text="" dxfId="2">
      <formula>"KAZANDI"</formula>
    </cfRule>
    <cfRule type="cellIs" priority="2550" operator="equal" aboveAverage="0" equalAverage="0" bottom="0" percent="0" rank="0" text="" dxfId="0">
      <formula>"KAYBETTİ"</formula>
    </cfRule>
  </conditionalFormatting>
  <conditionalFormatting sqref="G855">
    <cfRule type="cellIs" priority="2551" operator="equal" aboveAverage="0" equalAverage="0" bottom="0" percent="0" rank="0" text="" dxfId="1">
      <formula>"EVET"</formula>
    </cfRule>
  </conditionalFormatting>
  <conditionalFormatting sqref="H856">
    <cfRule type="cellIs" priority="2552" operator="equal" aboveAverage="0" equalAverage="0" bottom="0" percent="0" rank="0" text="" dxfId="2">
      <formula>"KAZANDI"</formula>
    </cfRule>
    <cfRule type="cellIs" priority="2553" operator="equal" aboveAverage="0" equalAverage="0" bottom="0" percent="0" rank="0" text="" dxfId="0">
      <formula>"KAYBETTİ"</formula>
    </cfRule>
  </conditionalFormatting>
  <conditionalFormatting sqref="G856">
    <cfRule type="cellIs" priority="2554" operator="equal" aboveAverage="0" equalAverage="0" bottom="0" percent="0" rank="0" text="" dxfId="1">
      <formula>"EVET"</formula>
    </cfRule>
  </conditionalFormatting>
  <conditionalFormatting sqref="H857">
    <cfRule type="cellIs" priority="2555" operator="equal" aboveAverage="0" equalAverage="0" bottom="0" percent="0" rank="0" text="" dxfId="2">
      <formula>"KAZANDI"</formula>
    </cfRule>
    <cfRule type="cellIs" priority="2556" operator="equal" aboveAverage="0" equalAverage="0" bottom="0" percent="0" rank="0" text="" dxfId="0">
      <formula>"KAYBETTİ"</formula>
    </cfRule>
  </conditionalFormatting>
  <conditionalFormatting sqref="G857">
    <cfRule type="cellIs" priority="2557" operator="equal" aboveAverage="0" equalAverage="0" bottom="0" percent="0" rank="0" text="" dxfId="1">
      <formula>"EVET"</formula>
    </cfRule>
  </conditionalFormatting>
  <conditionalFormatting sqref="H858">
    <cfRule type="cellIs" priority="2558" operator="equal" aboveAverage="0" equalAverage="0" bottom="0" percent="0" rank="0" text="" dxfId="2">
      <formula>"KAZANDI"</formula>
    </cfRule>
    <cfRule type="cellIs" priority="2559" operator="equal" aboveAverage="0" equalAverage="0" bottom="0" percent="0" rank="0" text="" dxfId="0">
      <formula>"KAYBETTİ"</formula>
    </cfRule>
  </conditionalFormatting>
  <conditionalFormatting sqref="G858">
    <cfRule type="cellIs" priority="2560" operator="equal" aboveAverage="0" equalAverage="0" bottom="0" percent="0" rank="0" text="" dxfId="1">
      <formula>"EVET"</formula>
    </cfRule>
  </conditionalFormatting>
  <conditionalFormatting sqref="H859">
    <cfRule type="cellIs" priority="2561" operator="equal" aboveAverage="0" equalAverage="0" bottom="0" percent="0" rank="0" text="" dxfId="2">
      <formula>"KAZANDI"</formula>
    </cfRule>
    <cfRule type="cellIs" priority="2562" operator="equal" aboveAverage="0" equalAverage="0" bottom="0" percent="0" rank="0" text="" dxfId="0">
      <formula>"KAYBETTİ"</formula>
    </cfRule>
  </conditionalFormatting>
  <conditionalFormatting sqref="G859">
    <cfRule type="cellIs" priority="2563" operator="equal" aboveAverage="0" equalAverage="0" bottom="0" percent="0" rank="0" text="" dxfId="1">
      <formula>"EVET"</formula>
    </cfRule>
  </conditionalFormatting>
  <conditionalFormatting sqref="H860">
    <cfRule type="cellIs" priority="2564" operator="equal" aboveAverage="0" equalAverage="0" bottom="0" percent="0" rank="0" text="" dxfId="2">
      <formula>"KAZANDI"</formula>
    </cfRule>
    <cfRule type="cellIs" priority="2565" operator="equal" aboveAverage="0" equalAverage="0" bottom="0" percent="0" rank="0" text="" dxfId="0">
      <formula>"KAYBETTİ"</formula>
    </cfRule>
  </conditionalFormatting>
  <conditionalFormatting sqref="G860">
    <cfRule type="cellIs" priority="2566" operator="equal" aboveAverage="0" equalAverage="0" bottom="0" percent="0" rank="0" text="" dxfId="1">
      <formula>"EVET"</formula>
    </cfRule>
  </conditionalFormatting>
  <conditionalFormatting sqref="H861">
    <cfRule type="cellIs" priority="2567" operator="equal" aboveAverage="0" equalAverage="0" bottom="0" percent="0" rank="0" text="" dxfId="2">
      <formula>"KAZANDI"</formula>
    </cfRule>
    <cfRule type="cellIs" priority="2568" operator="equal" aboveAverage="0" equalAverage="0" bottom="0" percent="0" rank="0" text="" dxfId="0">
      <formula>"KAYBETTİ"</formula>
    </cfRule>
  </conditionalFormatting>
  <conditionalFormatting sqref="G861">
    <cfRule type="cellIs" priority="2569" operator="equal" aboveAverage="0" equalAverage="0" bottom="0" percent="0" rank="0" text="" dxfId="1">
      <formula>"EVET"</formula>
    </cfRule>
  </conditionalFormatting>
  <conditionalFormatting sqref="H862">
    <cfRule type="cellIs" priority="2570" operator="equal" aboveAverage="0" equalAverage="0" bottom="0" percent="0" rank="0" text="" dxfId="2">
      <formula>"KAZANDI"</formula>
    </cfRule>
    <cfRule type="cellIs" priority="2571" operator="equal" aboveAverage="0" equalAverage="0" bottom="0" percent="0" rank="0" text="" dxfId="0">
      <formula>"KAYBETTİ"</formula>
    </cfRule>
  </conditionalFormatting>
  <conditionalFormatting sqref="G862">
    <cfRule type="cellIs" priority="2572" operator="equal" aboveAverage="0" equalAverage="0" bottom="0" percent="0" rank="0" text="" dxfId="1">
      <formula>"EVET"</formula>
    </cfRule>
  </conditionalFormatting>
  <conditionalFormatting sqref="H863">
    <cfRule type="cellIs" priority="2573" operator="equal" aboveAverage="0" equalAverage="0" bottom="0" percent="0" rank="0" text="" dxfId="2">
      <formula>"KAZANDI"</formula>
    </cfRule>
    <cfRule type="cellIs" priority="2574" operator="equal" aboveAverage="0" equalAverage="0" bottom="0" percent="0" rank="0" text="" dxfId="0">
      <formula>"KAYBETTİ"</formula>
    </cfRule>
  </conditionalFormatting>
  <conditionalFormatting sqref="G863">
    <cfRule type="cellIs" priority="2575" operator="equal" aboveAverage="0" equalAverage="0" bottom="0" percent="0" rank="0" text="" dxfId="1">
      <formula>"EVET"</formula>
    </cfRule>
  </conditionalFormatting>
  <conditionalFormatting sqref="H864">
    <cfRule type="cellIs" priority="2576" operator="equal" aboveAverage="0" equalAverage="0" bottom="0" percent="0" rank="0" text="" dxfId="2">
      <formula>"KAZANDI"</formula>
    </cfRule>
    <cfRule type="cellIs" priority="2577" operator="equal" aboveAverage="0" equalAverage="0" bottom="0" percent="0" rank="0" text="" dxfId="0">
      <formula>"KAYBETTİ"</formula>
    </cfRule>
  </conditionalFormatting>
  <conditionalFormatting sqref="G864">
    <cfRule type="cellIs" priority="2578" operator="equal" aboveAverage="0" equalAverage="0" bottom="0" percent="0" rank="0" text="" dxfId="1">
      <formula>"EVET"</formula>
    </cfRule>
  </conditionalFormatting>
  <conditionalFormatting sqref="H865">
    <cfRule type="cellIs" priority="2579" operator="equal" aboveAverage="0" equalAverage="0" bottom="0" percent="0" rank="0" text="" dxfId="2">
      <formula>"KAZANDI"</formula>
    </cfRule>
    <cfRule type="cellIs" priority="2580" operator="equal" aboveAverage="0" equalAverage="0" bottom="0" percent="0" rank="0" text="" dxfId="0">
      <formula>"KAYBETTİ"</formula>
    </cfRule>
  </conditionalFormatting>
  <conditionalFormatting sqref="G865">
    <cfRule type="cellIs" priority="2581" operator="equal" aboveAverage="0" equalAverage="0" bottom="0" percent="0" rank="0" text="" dxfId="1">
      <formula>"EVET"</formula>
    </cfRule>
  </conditionalFormatting>
  <conditionalFormatting sqref="H866">
    <cfRule type="cellIs" priority="2582" operator="equal" aboveAverage="0" equalAverage="0" bottom="0" percent="0" rank="0" text="" dxfId="2">
      <formula>"KAZANDI"</formula>
    </cfRule>
    <cfRule type="cellIs" priority="2583" operator="equal" aboveAverage="0" equalAverage="0" bottom="0" percent="0" rank="0" text="" dxfId="0">
      <formula>"KAYBETTİ"</formula>
    </cfRule>
  </conditionalFormatting>
  <conditionalFormatting sqref="G866">
    <cfRule type="cellIs" priority="2584" operator="equal" aboveAverage="0" equalAverage="0" bottom="0" percent="0" rank="0" text="" dxfId="1">
      <formula>"EVET"</formula>
    </cfRule>
  </conditionalFormatting>
  <conditionalFormatting sqref="H867">
    <cfRule type="cellIs" priority="2585" operator="equal" aboveAverage="0" equalAverage="0" bottom="0" percent="0" rank="0" text="" dxfId="2">
      <formula>"KAZANDI"</formula>
    </cfRule>
    <cfRule type="cellIs" priority="2586" operator="equal" aboveAverage="0" equalAverage="0" bottom="0" percent="0" rank="0" text="" dxfId="0">
      <formula>"KAYBETTİ"</formula>
    </cfRule>
  </conditionalFormatting>
  <conditionalFormatting sqref="G867">
    <cfRule type="cellIs" priority="2587" operator="equal" aboveAverage="0" equalAverage="0" bottom="0" percent="0" rank="0" text="" dxfId="1">
      <formula>"EVET"</formula>
    </cfRule>
  </conditionalFormatting>
  <conditionalFormatting sqref="H868">
    <cfRule type="cellIs" priority="2588" operator="equal" aboveAverage="0" equalAverage="0" bottom="0" percent="0" rank="0" text="" dxfId="2">
      <formula>"KAZANDI"</formula>
    </cfRule>
    <cfRule type="cellIs" priority="2589" operator="equal" aboveAverage="0" equalAverage="0" bottom="0" percent="0" rank="0" text="" dxfId="0">
      <formula>"KAYBETTİ"</formula>
    </cfRule>
  </conditionalFormatting>
  <conditionalFormatting sqref="G868">
    <cfRule type="cellIs" priority="2590" operator="equal" aboveAverage="0" equalAverage="0" bottom="0" percent="0" rank="0" text="" dxfId="1">
      <formula>"EVET"</formula>
    </cfRule>
  </conditionalFormatting>
  <conditionalFormatting sqref="H869">
    <cfRule type="cellIs" priority="2591" operator="equal" aboveAverage="0" equalAverage="0" bottom="0" percent="0" rank="0" text="" dxfId="2">
      <formula>"KAZANDI"</formula>
    </cfRule>
    <cfRule type="cellIs" priority="2592" operator="equal" aboveAverage="0" equalAverage="0" bottom="0" percent="0" rank="0" text="" dxfId="0">
      <formula>"KAYBETTİ"</formula>
    </cfRule>
  </conditionalFormatting>
  <conditionalFormatting sqref="G869">
    <cfRule type="cellIs" priority="2593" operator="equal" aboveAverage="0" equalAverage="0" bottom="0" percent="0" rank="0" text="" dxfId="1">
      <formula>"EVET"</formula>
    </cfRule>
  </conditionalFormatting>
  <conditionalFormatting sqref="H870">
    <cfRule type="cellIs" priority="2594" operator="equal" aboveAverage="0" equalAverage="0" bottom="0" percent="0" rank="0" text="" dxfId="2">
      <formula>"KAZANDI"</formula>
    </cfRule>
    <cfRule type="cellIs" priority="2595" operator="equal" aboveAverage="0" equalAverage="0" bottom="0" percent="0" rank="0" text="" dxfId="0">
      <formula>"KAYBETTİ"</formula>
    </cfRule>
  </conditionalFormatting>
  <conditionalFormatting sqref="G870">
    <cfRule type="cellIs" priority="2596" operator="equal" aboveAverage="0" equalAverage="0" bottom="0" percent="0" rank="0" text="" dxfId="1">
      <formula>"EVET"</formula>
    </cfRule>
  </conditionalFormatting>
  <conditionalFormatting sqref="H871">
    <cfRule type="cellIs" priority="2597" operator="equal" aboveAverage="0" equalAverage="0" bottom="0" percent="0" rank="0" text="" dxfId="2">
      <formula>"KAZANDI"</formula>
    </cfRule>
    <cfRule type="cellIs" priority="2598" operator="equal" aboveAverage="0" equalAverage="0" bottom="0" percent="0" rank="0" text="" dxfId="0">
      <formula>"KAYBETTİ"</formula>
    </cfRule>
  </conditionalFormatting>
  <conditionalFormatting sqref="G871">
    <cfRule type="cellIs" priority="2599" operator="equal" aboveAverage="0" equalAverage="0" bottom="0" percent="0" rank="0" text="" dxfId="1">
      <formula>"EVET"</formula>
    </cfRule>
  </conditionalFormatting>
  <conditionalFormatting sqref="H872">
    <cfRule type="cellIs" priority="2600" operator="equal" aboveAverage="0" equalAverage="0" bottom="0" percent="0" rank="0" text="" dxfId="2">
      <formula>"KAZANDI"</formula>
    </cfRule>
    <cfRule type="cellIs" priority="2601" operator="equal" aboveAverage="0" equalAverage="0" bottom="0" percent="0" rank="0" text="" dxfId="0">
      <formula>"KAYBETTİ"</formula>
    </cfRule>
  </conditionalFormatting>
  <conditionalFormatting sqref="G872">
    <cfRule type="cellIs" priority="2602" operator="equal" aboveAverage="0" equalAverage="0" bottom="0" percent="0" rank="0" text="" dxfId="1">
      <formula>"EVET"</formula>
    </cfRule>
  </conditionalFormatting>
  <conditionalFormatting sqref="H873">
    <cfRule type="cellIs" priority="2603" operator="equal" aboveAverage="0" equalAverage="0" bottom="0" percent="0" rank="0" text="" dxfId="2">
      <formula>"KAZANDI"</formula>
    </cfRule>
    <cfRule type="cellIs" priority="2604" operator="equal" aboveAverage="0" equalAverage="0" bottom="0" percent="0" rank="0" text="" dxfId="0">
      <formula>"KAYBETTİ"</formula>
    </cfRule>
  </conditionalFormatting>
  <conditionalFormatting sqref="G873">
    <cfRule type="cellIs" priority="2605" operator="equal" aboveAverage="0" equalAverage="0" bottom="0" percent="0" rank="0" text="" dxfId="1">
      <formula>"EVET"</formula>
    </cfRule>
  </conditionalFormatting>
  <conditionalFormatting sqref="H874">
    <cfRule type="cellIs" priority="2606" operator="equal" aboveAverage="0" equalAverage="0" bottom="0" percent="0" rank="0" text="" dxfId="2">
      <formula>"KAZANDI"</formula>
    </cfRule>
    <cfRule type="cellIs" priority="2607" operator="equal" aboveAverage="0" equalAverage="0" bottom="0" percent="0" rank="0" text="" dxfId="0">
      <formula>"KAYBETTİ"</formula>
    </cfRule>
  </conditionalFormatting>
  <conditionalFormatting sqref="G874">
    <cfRule type="cellIs" priority="2608" operator="equal" aboveAverage="0" equalAverage="0" bottom="0" percent="0" rank="0" text="" dxfId="1">
      <formula>"EVET"</formula>
    </cfRule>
  </conditionalFormatting>
  <conditionalFormatting sqref="H875">
    <cfRule type="cellIs" priority="2609" operator="equal" aboveAverage="0" equalAverage="0" bottom="0" percent="0" rank="0" text="" dxfId="2">
      <formula>"KAZANDI"</formula>
    </cfRule>
    <cfRule type="cellIs" priority="2610" operator="equal" aboveAverage="0" equalAverage="0" bottom="0" percent="0" rank="0" text="" dxfId="0">
      <formula>"KAYBETTİ"</formula>
    </cfRule>
  </conditionalFormatting>
  <conditionalFormatting sqref="G875">
    <cfRule type="cellIs" priority="2611" operator="equal" aboveAverage="0" equalAverage="0" bottom="0" percent="0" rank="0" text="" dxfId="1">
      <formula>"EVET"</formula>
    </cfRule>
  </conditionalFormatting>
  <conditionalFormatting sqref="H876">
    <cfRule type="cellIs" priority="2612" operator="equal" aboveAverage="0" equalAverage="0" bottom="0" percent="0" rank="0" text="" dxfId="2">
      <formula>"KAZANDI"</formula>
    </cfRule>
    <cfRule type="cellIs" priority="2613" operator="equal" aboveAverage="0" equalAverage="0" bottom="0" percent="0" rank="0" text="" dxfId="0">
      <formula>"KAYBETTİ"</formula>
    </cfRule>
  </conditionalFormatting>
  <conditionalFormatting sqref="G876">
    <cfRule type="cellIs" priority="2614" operator="equal" aboveAverage="0" equalAverage="0" bottom="0" percent="0" rank="0" text="" dxfId="1">
      <formula>"EVET"</formula>
    </cfRule>
  </conditionalFormatting>
  <conditionalFormatting sqref="H877">
    <cfRule type="cellIs" priority="2615" operator="equal" aboveAverage="0" equalAverage="0" bottom="0" percent="0" rank="0" text="" dxfId="2">
      <formula>"KAZANDI"</formula>
    </cfRule>
    <cfRule type="cellIs" priority="2616" operator="equal" aboveAverage="0" equalAverage="0" bottom="0" percent="0" rank="0" text="" dxfId="0">
      <formula>"KAYBETTİ"</formula>
    </cfRule>
  </conditionalFormatting>
  <conditionalFormatting sqref="G877">
    <cfRule type="cellIs" priority="2617" operator="equal" aboveAverage="0" equalAverage="0" bottom="0" percent="0" rank="0" text="" dxfId="1">
      <formula>"EVET"</formula>
    </cfRule>
  </conditionalFormatting>
  <conditionalFormatting sqref="H878">
    <cfRule type="cellIs" priority="2618" operator="equal" aboveAverage="0" equalAverage="0" bottom="0" percent="0" rank="0" text="" dxfId="2">
      <formula>"KAZANDI"</formula>
    </cfRule>
    <cfRule type="cellIs" priority="2619" operator="equal" aboveAverage="0" equalAverage="0" bottom="0" percent="0" rank="0" text="" dxfId="0">
      <formula>"KAYBETTİ"</formula>
    </cfRule>
  </conditionalFormatting>
  <conditionalFormatting sqref="G878">
    <cfRule type="cellIs" priority="2620" operator="equal" aboveAverage="0" equalAverage="0" bottom="0" percent="0" rank="0" text="" dxfId="1">
      <formula>"EVET"</formula>
    </cfRule>
  </conditionalFormatting>
  <conditionalFormatting sqref="H879">
    <cfRule type="cellIs" priority="2621" operator="equal" aboveAverage="0" equalAverage="0" bottom="0" percent="0" rank="0" text="" dxfId="2">
      <formula>"KAZANDI"</formula>
    </cfRule>
    <cfRule type="cellIs" priority="2622" operator="equal" aboveAverage="0" equalAverage="0" bottom="0" percent="0" rank="0" text="" dxfId="0">
      <formula>"KAYBETTİ"</formula>
    </cfRule>
  </conditionalFormatting>
  <conditionalFormatting sqref="G879">
    <cfRule type="cellIs" priority="2623" operator="equal" aboveAverage="0" equalAverage="0" bottom="0" percent="0" rank="0" text="" dxfId="1">
      <formula>"EVET"</formula>
    </cfRule>
  </conditionalFormatting>
  <conditionalFormatting sqref="H880">
    <cfRule type="cellIs" priority="2624" operator="equal" aboveAverage="0" equalAverage="0" bottom="0" percent="0" rank="0" text="" dxfId="2">
      <formula>"KAZANDI"</formula>
    </cfRule>
    <cfRule type="cellIs" priority="2625" operator="equal" aboveAverage="0" equalAverage="0" bottom="0" percent="0" rank="0" text="" dxfId="0">
      <formula>"KAYBETTİ"</formula>
    </cfRule>
  </conditionalFormatting>
  <conditionalFormatting sqref="G880">
    <cfRule type="cellIs" priority="2626" operator="equal" aboveAverage="0" equalAverage="0" bottom="0" percent="0" rank="0" text="" dxfId="1">
      <formula>"EVET"</formula>
    </cfRule>
  </conditionalFormatting>
  <conditionalFormatting sqref="H881">
    <cfRule type="cellIs" priority="2627" operator="equal" aboveAverage="0" equalAverage="0" bottom="0" percent="0" rank="0" text="" dxfId="2">
      <formula>"KAZANDI"</formula>
    </cfRule>
    <cfRule type="cellIs" priority="2628" operator="equal" aboveAverage="0" equalAverage="0" bottom="0" percent="0" rank="0" text="" dxfId="0">
      <formula>"KAYBETTİ"</formula>
    </cfRule>
  </conditionalFormatting>
  <conditionalFormatting sqref="G881">
    <cfRule type="cellIs" priority="2629" operator="equal" aboveAverage="0" equalAverage="0" bottom="0" percent="0" rank="0" text="" dxfId="1">
      <formula>"EVET"</formula>
    </cfRule>
  </conditionalFormatting>
  <conditionalFormatting sqref="H882">
    <cfRule type="cellIs" priority="2630" operator="equal" aboveAverage="0" equalAverage="0" bottom="0" percent="0" rank="0" text="" dxfId="2">
      <formula>"KAZANDI"</formula>
    </cfRule>
    <cfRule type="cellIs" priority="2631" operator="equal" aboveAverage="0" equalAverage="0" bottom="0" percent="0" rank="0" text="" dxfId="0">
      <formula>"KAYBETTİ"</formula>
    </cfRule>
  </conditionalFormatting>
  <conditionalFormatting sqref="G882">
    <cfRule type="cellIs" priority="2632" operator="equal" aboveAverage="0" equalAverage="0" bottom="0" percent="0" rank="0" text="" dxfId="1">
      <formula>"EVET"</formula>
    </cfRule>
  </conditionalFormatting>
  <conditionalFormatting sqref="H883">
    <cfRule type="cellIs" priority="2633" operator="equal" aboveAverage="0" equalAverage="0" bottom="0" percent="0" rank="0" text="" dxfId="2">
      <formula>"KAZANDI"</formula>
    </cfRule>
    <cfRule type="cellIs" priority="2634" operator="equal" aboveAverage="0" equalAverage="0" bottom="0" percent="0" rank="0" text="" dxfId="0">
      <formula>"KAYBETTİ"</formula>
    </cfRule>
  </conditionalFormatting>
  <conditionalFormatting sqref="G883">
    <cfRule type="cellIs" priority="2635" operator="equal" aboveAverage="0" equalAverage="0" bottom="0" percent="0" rank="0" text="" dxfId="1">
      <formula>"EVET"</formula>
    </cfRule>
  </conditionalFormatting>
  <conditionalFormatting sqref="H884">
    <cfRule type="cellIs" priority="2636" operator="equal" aboveAverage="0" equalAverage="0" bottom="0" percent="0" rank="0" text="" dxfId="2">
      <formula>"KAZANDI"</formula>
    </cfRule>
    <cfRule type="cellIs" priority="2637" operator="equal" aboveAverage="0" equalAverage="0" bottom="0" percent="0" rank="0" text="" dxfId="0">
      <formula>"KAYBETTİ"</formula>
    </cfRule>
  </conditionalFormatting>
  <conditionalFormatting sqref="G884">
    <cfRule type="cellIs" priority="2638" operator="equal" aboveAverage="0" equalAverage="0" bottom="0" percent="0" rank="0" text="" dxfId="1">
      <formula>"EVET"</formula>
    </cfRule>
  </conditionalFormatting>
  <conditionalFormatting sqref="H885">
    <cfRule type="cellIs" priority="2639" operator="equal" aboveAverage="0" equalAverage="0" bottom="0" percent="0" rank="0" text="" dxfId="2">
      <formula>"KAZANDI"</formula>
    </cfRule>
    <cfRule type="cellIs" priority="2640" operator="equal" aboveAverage="0" equalAverage="0" bottom="0" percent="0" rank="0" text="" dxfId="0">
      <formula>"KAYBETTİ"</formula>
    </cfRule>
  </conditionalFormatting>
  <conditionalFormatting sqref="G885">
    <cfRule type="cellIs" priority="2641" operator="equal" aboveAverage="0" equalAverage="0" bottom="0" percent="0" rank="0" text="" dxfId="1">
      <formula>"EVET"</formula>
    </cfRule>
  </conditionalFormatting>
  <conditionalFormatting sqref="H886">
    <cfRule type="cellIs" priority="2642" operator="equal" aboveAverage="0" equalAverage="0" bottom="0" percent="0" rank="0" text="" dxfId="2">
      <formula>"KAZANDI"</formula>
    </cfRule>
    <cfRule type="cellIs" priority="2643" operator="equal" aboveAverage="0" equalAverage="0" bottom="0" percent="0" rank="0" text="" dxfId="0">
      <formula>"KAYBETTİ"</formula>
    </cfRule>
  </conditionalFormatting>
  <conditionalFormatting sqref="G886">
    <cfRule type="cellIs" priority="2644" operator="equal" aboveAverage="0" equalAverage="0" bottom="0" percent="0" rank="0" text="" dxfId="1">
      <formula>"EVET"</formula>
    </cfRule>
  </conditionalFormatting>
  <conditionalFormatting sqref="H887">
    <cfRule type="cellIs" priority="2645" operator="equal" aboveAverage="0" equalAverage="0" bottom="0" percent="0" rank="0" text="" dxfId="2">
      <formula>"KAZANDI"</formula>
    </cfRule>
    <cfRule type="cellIs" priority="2646" operator="equal" aboveAverage="0" equalAverage="0" bottom="0" percent="0" rank="0" text="" dxfId="0">
      <formula>"KAYBETTİ"</formula>
    </cfRule>
  </conditionalFormatting>
  <conditionalFormatting sqref="G887">
    <cfRule type="cellIs" priority="2647" operator="equal" aboveAverage="0" equalAverage="0" bottom="0" percent="0" rank="0" text="" dxfId="1">
      <formula>"EVET"</formula>
    </cfRule>
  </conditionalFormatting>
  <conditionalFormatting sqref="H888">
    <cfRule type="cellIs" priority="2648" operator="equal" aboveAverage="0" equalAverage="0" bottom="0" percent="0" rank="0" text="" dxfId="2">
      <formula>"KAZANDI"</formula>
    </cfRule>
    <cfRule type="cellIs" priority="2649" operator="equal" aboveAverage="0" equalAverage="0" bottom="0" percent="0" rank="0" text="" dxfId="0">
      <formula>"KAYBETTİ"</formula>
    </cfRule>
  </conditionalFormatting>
  <conditionalFormatting sqref="G888">
    <cfRule type="cellIs" priority="2650" operator="equal" aboveAverage="0" equalAverage="0" bottom="0" percent="0" rank="0" text="" dxfId="1">
      <formula>"EVET"</formula>
    </cfRule>
  </conditionalFormatting>
  <conditionalFormatting sqref="H889">
    <cfRule type="cellIs" priority="2651" operator="equal" aboveAverage="0" equalAverage="0" bottom="0" percent="0" rank="0" text="" dxfId="2">
      <formula>"KAZANDI"</formula>
    </cfRule>
    <cfRule type="cellIs" priority="2652" operator="equal" aboveAverage="0" equalAverage="0" bottom="0" percent="0" rank="0" text="" dxfId="0">
      <formula>"KAYBETTİ"</formula>
    </cfRule>
  </conditionalFormatting>
  <conditionalFormatting sqref="G889">
    <cfRule type="cellIs" priority="2653" operator="equal" aboveAverage="0" equalAverage="0" bottom="0" percent="0" rank="0" text="" dxfId="1">
      <formula>"EVET"</formula>
    </cfRule>
  </conditionalFormatting>
  <conditionalFormatting sqref="H890">
    <cfRule type="cellIs" priority="2654" operator="equal" aboveAverage="0" equalAverage="0" bottom="0" percent="0" rank="0" text="" dxfId="2">
      <formula>"KAZANDI"</formula>
    </cfRule>
    <cfRule type="cellIs" priority="2655" operator="equal" aboveAverage="0" equalAverage="0" bottom="0" percent="0" rank="0" text="" dxfId="0">
      <formula>"KAYBETTİ"</formula>
    </cfRule>
  </conditionalFormatting>
  <conditionalFormatting sqref="G890">
    <cfRule type="cellIs" priority="2656" operator="equal" aboveAverage="0" equalAverage="0" bottom="0" percent="0" rank="0" text="" dxfId="1">
      <formula>"EVET"</formula>
    </cfRule>
  </conditionalFormatting>
  <conditionalFormatting sqref="H891">
    <cfRule type="cellIs" priority="2657" operator="equal" aboveAverage="0" equalAverage="0" bottom="0" percent="0" rank="0" text="" dxfId="2">
      <formula>"KAZANDI"</formula>
    </cfRule>
    <cfRule type="cellIs" priority="2658" operator="equal" aboveAverage="0" equalAverage="0" bottom="0" percent="0" rank="0" text="" dxfId="0">
      <formula>"KAYBETTİ"</formula>
    </cfRule>
  </conditionalFormatting>
  <conditionalFormatting sqref="G891">
    <cfRule type="cellIs" priority="2659" operator="equal" aboveAverage="0" equalAverage="0" bottom="0" percent="0" rank="0" text="" dxfId="1">
      <formula>"EVET"</formula>
    </cfRule>
  </conditionalFormatting>
  <conditionalFormatting sqref="H892">
    <cfRule type="cellIs" priority="2660" operator="equal" aboveAverage="0" equalAverage="0" bottom="0" percent="0" rank="0" text="" dxfId="2">
      <formula>"KAZANDI"</formula>
    </cfRule>
    <cfRule type="cellIs" priority="2661" operator="equal" aboveAverage="0" equalAverage="0" bottom="0" percent="0" rank="0" text="" dxfId="0">
      <formula>"KAYBETTİ"</formula>
    </cfRule>
  </conditionalFormatting>
  <conditionalFormatting sqref="G892">
    <cfRule type="cellIs" priority="2662" operator="equal" aboveAverage="0" equalAverage="0" bottom="0" percent="0" rank="0" text="" dxfId="1">
      <formula>"EVET"</formula>
    </cfRule>
  </conditionalFormatting>
  <conditionalFormatting sqref="H893">
    <cfRule type="cellIs" priority="2663" operator="equal" aboveAverage="0" equalAverage="0" bottom="0" percent="0" rank="0" text="" dxfId="2">
      <formula>"KAZANDI"</formula>
    </cfRule>
    <cfRule type="cellIs" priority="2664" operator="equal" aboveAverage="0" equalAverage="0" bottom="0" percent="0" rank="0" text="" dxfId="0">
      <formula>"KAYBETTİ"</formula>
    </cfRule>
  </conditionalFormatting>
  <conditionalFormatting sqref="G893">
    <cfRule type="cellIs" priority="2665" operator="equal" aboveAverage="0" equalAverage="0" bottom="0" percent="0" rank="0" text="" dxfId="1">
      <formula>"EVET"</formula>
    </cfRule>
  </conditionalFormatting>
  <conditionalFormatting sqref="H894">
    <cfRule type="cellIs" priority="2666" operator="equal" aboveAverage="0" equalAverage="0" bottom="0" percent="0" rank="0" text="" dxfId="2">
      <formula>"KAZANDI"</formula>
    </cfRule>
    <cfRule type="cellIs" priority="2667" operator="equal" aboveAverage="0" equalAverage="0" bottom="0" percent="0" rank="0" text="" dxfId="0">
      <formula>"KAYBETTİ"</formula>
    </cfRule>
  </conditionalFormatting>
  <conditionalFormatting sqref="G894">
    <cfRule type="cellIs" priority="2668" operator="equal" aboveAverage="0" equalAverage="0" bottom="0" percent="0" rank="0" text="" dxfId="1">
      <formula>"EVET"</formula>
    </cfRule>
  </conditionalFormatting>
  <conditionalFormatting sqref="H895">
    <cfRule type="cellIs" priority="2669" operator="equal" aboveAverage="0" equalAverage="0" bottom="0" percent="0" rank="0" text="" dxfId="2">
      <formula>"KAZANDI"</formula>
    </cfRule>
    <cfRule type="cellIs" priority="2670" operator="equal" aboveAverage="0" equalAverage="0" bottom="0" percent="0" rank="0" text="" dxfId="0">
      <formula>"KAYBETTİ"</formula>
    </cfRule>
  </conditionalFormatting>
  <conditionalFormatting sqref="G895">
    <cfRule type="cellIs" priority="2671" operator="equal" aboveAverage="0" equalAverage="0" bottom="0" percent="0" rank="0" text="" dxfId="1">
      <formula>"EVET"</formula>
    </cfRule>
  </conditionalFormatting>
  <conditionalFormatting sqref="H896">
    <cfRule type="cellIs" priority="2672" operator="equal" aboveAverage="0" equalAverage="0" bottom="0" percent="0" rank="0" text="" dxfId="2">
      <formula>"KAZANDI"</formula>
    </cfRule>
    <cfRule type="cellIs" priority="2673" operator="equal" aboveAverage="0" equalAverage="0" bottom="0" percent="0" rank="0" text="" dxfId="0">
      <formula>"KAYBETTİ"</formula>
    </cfRule>
  </conditionalFormatting>
  <conditionalFormatting sqref="G896">
    <cfRule type="cellIs" priority="2674" operator="equal" aboveAverage="0" equalAverage="0" bottom="0" percent="0" rank="0" text="" dxfId="1">
      <formula>"EVET"</formula>
    </cfRule>
  </conditionalFormatting>
  <conditionalFormatting sqref="H897">
    <cfRule type="cellIs" priority="2675" operator="equal" aboveAverage="0" equalAverage="0" bottom="0" percent="0" rank="0" text="" dxfId="2">
      <formula>"KAZANDI"</formula>
    </cfRule>
    <cfRule type="cellIs" priority="2676" operator="equal" aboveAverage="0" equalAverage="0" bottom="0" percent="0" rank="0" text="" dxfId="0">
      <formula>"KAYBETTİ"</formula>
    </cfRule>
  </conditionalFormatting>
  <conditionalFormatting sqref="G897">
    <cfRule type="cellIs" priority="2677" operator="equal" aboveAverage="0" equalAverage="0" bottom="0" percent="0" rank="0" text="" dxfId="1">
      <formula>"EVET"</formula>
    </cfRule>
  </conditionalFormatting>
  <conditionalFormatting sqref="H898">
    <cfRule type="cellIs" priority="2678" operator="equal" aboveAverage="0" equalAverage="0" bottom="0" percent="0" rank="0" text="" dxfId="2">
      <formula>"KAZANDI"</formula>
    </cfRule>
    <cfRule type="cellIs" priority="2679" operator="equal" aboveAverage="0" equalAverage="0" bottom="0" percent="0" rank="0" text="" dxfId="0">
      <formula>"KAYBETTİ"</formula>
    </cfRule>
  </conditionalFormatting>
  <conditionalFormatting sqref="G898">
    <cfRule type="cellIs" priority="2680" operator="equal" aboveAverage="0" equalAverage="0" bottom="0" percent="0" rank="0" text="" dxfId="1">
      <formula>"EVET"</formula>
    </cfRule>
  </conditionalFormatting>
  <conditionalFormatting sqref="H899">
    <cfRule type="cellIs" priority="2681" operator="equal" aboveAverage="0" equalAverage="0" bottom="0" percent="0" rank="0" text="" dxfId="2">
      <formula>"KAZANDI"</formula>
    </cfRule>
    <cfRule type="cellIs" priority="2682" operator="equal" aboveAverage="0" equalAverage="0" bottom="0" percent="0" rank="0" text="" dxfId="0">
      <formula>"KAYBETTİ"</formula>
    </cfRule>
  </conditionalFormatting>
  <conditionalFormatting sqref="G899">
    <cfRule type="cellIs" priority="2683" operator="equal" aboveAverage="0" equalAverage="0" bottom="0" percent="0" rank="0" text="" dxfId="1">
      <formula>"EVET"</formula>
    </cfRule>
  </conditionalFormatting>
  <conditionalFormatting sqref="H900">
    <cfRule type="cellIs" priority="2684" operator="equal" aboveAverage="0" equalAverage="0" bottom="0" percent="0" rank="0" text="" dxfId="2">
      <formula>"KAZANDI"</formula>
    </cfRule>
    <cfRule type="cellIs" priority="2685" operator="equal" aboveAverage="0" equalAverage="0" bottom="0" percent="0" rank="0" text="" dxfId="0">
      <formula>"KAYBETTİ"</formula>
    </cfRule>
  </conditionalFormatting>
  <conditionalFormatting sqref="G900">
    <cfRule type="cellIs" priority="2686" operator="equal" aboveAverage="0" equalAverage="0" bottom="0" percent="0" rank="0" text="" dxfId="1">
      <formula>"EVET"</formula>
    </cfRule>
  </conditionalFormatting>
  <conditionalFormatting sqref="H901">
    <cfRule type="cellIs" priority="2687" operator="equal" aboveAverage="0" equalAverage="0" bottom="0" percent="0" rank="0" text="" dxfId="2">
      <formula>"KAZANDI"</formula>
    </cfRule>
    <cfRule type="cellIs" priority="2688" operator="equal" aboveAverage="0" equalAverage="0" bottom="0" percent="0" rank="0" text="" dxfId="0">
      <formula>"KAYBETTİ"</formula>
    </cfRule>
  </conditionalFormatting>
  <conditionalFormatting sqref="G901">
    <cfRule type="cellIs" priority="2689" operator="equal" aboveAverage="0" equalAverage="0" bottom="0" percent="0" rank="0" text="" dxfId="1">
      <formula>"EVET"</formula>
    </cfRule>
  </conditionalFormatting>
  <conditionalFormatting sqref="H902">
    <cfRule type="cellIs" priority="2690" operator="equal" aboveAverage="0" equalAverage="0" bottom="0" percent="0" rank="0" text="" dxfId="2">
      <formula>"KAZANDI"</formula>
    </cfRule>
    <cfRule type="cellIs" priority="2691" operator="equal" aboveAverage="0" equalAverage="0" bottom="0" percent="0" rank="0" text="" dxfId="0">
      <formula>"KAYBETTİ"</formula>
    </cfRule>
  </conditionalFormatting>
  <conditionalFormatting sqref="G902">
    <cfRule type="cellIs" priority="2692" operator="equal" aboveAverage="0" equalAverage="0" bottom="0" percent="0" rank="0" text="" dxfId="1">
      <formula>"EVET"</formula>
    </cfRule>
  </conditionalFormatting>
  <conditionalFormatting sqref="H903">
    <cfRule type="cellIs" priority="2693" operator="equal" aboveAverage="0" equalAverage="0" bottom="0" percent="0" rank="0" text="" dxfId="2">
      <formula>"KAZANDI"</formula>
    </cfRule>
    <cfRule type="cellIs" priority="2694" operator="equal" aboveAverage="0" equalAverage="0" bottom="0" percent="0" rank="0" text="" dxfId="0">
      <formula>"KAYBETTİ"</formula>
    </cfRule>
  </conditionalFormatting>
  <conditionalFormatting sqref="G903">
    <cfRule type="cellIs" priority="2695" operator="equal" aboveAverage="0" equalAverage="0" bottom="0" percent="0" rank="0" text="" dxfId="1">
      <formula>"EVET"</formula>
    </cfRule>
  </conditionalFormatting>
  <conditionalFormatting sqref="H904">
    <cfRule type="cellIs" priority="2696" operator="equal" aboveAverage="0" equalAverage="0" bottom="0" percent="0" rank="0" text="" dxfId="2">
      <formula>"KAZANDI"</formula>
    </cfRule>
    <cfRule type="cellIs" priority="2697" operator="equal" aboveAverage="0" equalAverage="0" bottom="0" percent="0" rank="0" text="" dxfId="0">
      <formula>"KAYBETTİ"</formula>
    </cfRule>
  </conditionalFormatting>
  <conditionalFormatting sqref="G904">
    <cfRule type="cellIs" priority="2698" operator="equal" aboveAverage="0" equalAverage="0" bottom="0" percent="0" rank="0" text="" dxfId="1">
      <formula>"EVET"</formula>
    </cfRule>
  </conditionalFormatting>
  <conditionalFormatting sqref="H905">
    <cfRule type="cellIs" priority="2699" operator="equal" aboveAverage="0" equalAverage="0" bottom="0" percent="0" rank="0" text="" dxfId="2">
      <formula>"KAZANDI"</formula>
    </cfRule>
    <cfRule type="cellIs" priority="2700" operator="equal" aboveAverage="0" equalAverage="0" bottom="0" percent="0" rank="0" text="" dxfId="0">
      <formula>"KAYBETTİ"</formula>
    </cfRule>
  </conditionalFormatting>
  <conditionalFormatting sqref="G905">
    <cfRule type="cellIs" priority="2701" operator="equal" aboveAverage="0" equalAverage="0" bottom="0" percent="0" rank="0" text="" dxfId="1">
      <formula>"EVET"</formula>
    </cfRule>
  </conditionalFormatting>
  <conditionalFormatting sqref="H906">
    <cfRule type="cellIs" priority="2702" operator="equal" aboveAverage="0" equalAverage="0" bottom="0" percent="0" rank="0" text="" dxfId="2">
      <formula>"KAZANDI"</formula>
    </cfRule>
    <cfRule type="cellIs" priority="2703" operator="equal" aboveAverage="0" equalAverage="0" bottom="0" percent="0" rank="0" text="" dxfId="0">
      <formula>"KAYBETTİ"</formula>
    </cfRule>
  </conditionalFormatting>
  <conditionalFormatting sqref="G906">
    <cfRule type="cellIs" priority="2704" operator="equal" aboveAverage="0" equalAverage="0" bottom="0" percent="0" rank="0" text="" dxfId="1">
      <formula>"EVET"</formula>
    </cfRule>
  </conditionalFormatting>
  <conditionalFormatting sqref="H907">
    <cfRule type="cellIs" priority="2705" operator="equal" aboveAverage="0" equalAverage="0" bottom="0" percent="0" rank="0" text="" dxfId="2">
      <formula>"KAZANDI"</formula>
    </cfRule>
    <cfRule type="cellIs" priority="2706" operator="equal" aboveAverage="0" equalAverage="0" bottom="0" percent="0" rank="0" text="" dxfId="0">
      <formula>"KAYBETTİ"</formula>
    </cfRule>
  </conditionalFormatting>
  <conditionalFormatting sqref="G907">
    <cfRule type="cellIs" priority="2707" operator="equal" aboveAverage="0" equalAverage="0" bottom="0" percent="0" rank="0" text="" dxfId="1">
      <formula>"EVET"</formula>
    </cfRule>
  </conditionalFormatting>
  <conditionalFormatting sqref="H908">
    <cfRule type="cellIs" priority="2708" operator="equal" aboveAverage="0" equalAverage="0" bottom="0" percent="0" rank="0" text="" dxfId="2">
      <formula>"KAZANDI"</formula>
    </cfRule>
    <cfRule type="cellIs" priority="2709" operator="equal" aboveAverage="0" equalAverage="0" bottom="0" percent="0" rank="0" text="" dxfId="0">
      <formula>"KAYBETTİ"</formula>
    </cfRule>
  </conditionalFormatting>
  <conditionalFormatting sqref="G908">
    <cfRule type="cellIs" priority="2710" operator="equal" aboveAverage="0" equalAverage="0" bottom="0" percent="0" rank="0" text="" dxfId="1">
      <formula>"EVET"</formula>
    </cfRule>
  </conditionalFormatting>
  <conditionalFormatting sqref="H909">
    <cfRule type="cellIs" priority="2711" operator="equal" aboveAverage="0" equalAverage="0" bottom="0" percent="0" rank="0" text="" dxfId="2">
      <formula>"KAZANDI"</formula>
    </cfRule>
    <cfRule type="cellIs" priority="2712" operator="equal" aboveAverage="0" equalAverage="0" bottom="0" percent="0" rank="0" text="" dxfId="0">
      <formula>"KAYBETTİ"</formula>
    </cfRule>
  </conditionalFormatting>
  <conditionalFormatting sqref="G909">
    <cfRule type="cellIs" priority="2713" operator="equal" aboveAverage="0" equalAverage="0" bottom="0" percent="0" rank="0" text="" dxfId="1">
      <formula>"EVET"</formula>
    </cfRule>
  </conditionalFormatting>
  <conditionalFormatting sqref="H910">
    <cfRule type="cellIs" priority="2714" operator="equal" aboveAverage="0" equalAverage="0" bottom="0" percent="0" rank="0" text="" dxfId="2">
      <formula>"KAZANDI"</formula>
    </cfRule>
    <cfRule type="cellIs" priority="2715" operator="equal" aboveAverage="0" equalAverage="0" bottom="0" percent="0" rank="0" text="" dxfId="0">
      <formula>"KAYBETTİ"</formula>
    </cfRule>
  </conditionalFormatting>
  <conditionalFormatting sqref="G910">
    <cfRule type="cellIs" priority="2716" operator="equal" aboveAverage="0" equalAverage="0" bottom="0" percent="0" rank="0" text="" dxfId="1">
      <formula>"EVET"</formula>
    </cfRule>
  </conditionalFormatting>
  <conditionalFormatting sqref="H911">
    <cfRule type="cellIs" priority="2717" operator="equal" aboveAverage="0" equalAverage="0" bottom="0" percent="0" rank="0" text="" dxfId="2">
      <formula>"KAZANDI"</formula>
    </cfRule>
    <cfRule type="cellIs" priority="2718" operator="equal" aboveAverage="0" equalAverage="0" bottom="0" percent="0" rank="0" text="" dxfId="0">
      <formula>"KAYBETTİ"</formula>
    </cfRule>
  </conditionalFormatting>
  <conditionalFormatting sqref="G911">
    <cfRule type="cellIs" priority="2719" operator="equal" aboveAverage="0" equalAverage="0" bottom="0" percent="0" rank="0" text="" dxfId="1">
      <formula>"EVET"</formula>
    </cfRule>
  </conditionalFormatting>
  <conditionalFormatting sqref="H912">
    <cfRule type="cellIs" priority="2720" operator="equal" aboveAverage="0" equalAverage="0" bottom="0" percent="0" rank="0" text="" dxfId="2">
      <formula>"KAZANDI"</formula>
    </cfRule>
    <cfRule type="cellIs" priority="2721" operator="equal" aboveAverage="0" equalAverage="0" bottom="0" percent="0" rank="0" text="" dxfId="0">
      <formula>"KAYBETTİ"</formula>
    </cfRule>
  </conditionalFormatting>
  <conditionalFormatting sqref="G912">
    <cfRule type="cellIs" priority="2722" operator="equal" aboveAverage="0" equalAverage="0" bottom="0" percent="0" rank="0" text="" dxfId="1">
      <formula>"EVET"</formula>
    </cfRule>
  </conditionalFormatting>
  <conditionalFormatting sqref="H913">
    <cfRule type="cellIs" priority="2723" operator="equal" aboveAverage="0" equalAverage="0" bottom="0" percent="0" rank="0" text="" dxfId="2">
      <formula>"KAZANDI"</formula>
    </cfRule>
    <cfRule type="cellIs" priority="2724" operator="equal" aboveAverage="0" equalAverage="0" bottom="0" percent="0" rank="0" text="" dxfId="0">
      <formula>"KAYBETTİ"</formula>
    </cfRule>
  </conditionalFormatting>
  <conditionalFormatting sqref="G913">
    <cfRule type="cellIs" priority="2725" operator="equal" aboveAverage="0" equalAverage="0" bottom="0" percent="0" rank="0" text="" dxfId="1">
      <formula>"EVET"</formula>
    </cfRule>
  </conditionalFormatting>
  <conditionalFormatting sqref="H914">
    <cfRule type="cellIs" priority="2726" operator="equal" aboveAverage="0" equalAverage="0" bottom="0" percent="0" rank="0" text="" dxfId="2">
      <formula>"KAZANDI"</formula>
    </cfRule>
    <cfRule type="cellIs" priority="2727" operator="equal" aboveAverage="0" equalAverage="0" bottom="0" percent="0" rank="0" text="" dxfId="0">
      <formula>"KAYBETTİ"</formula>
    </cfRule>
  </conditionalFormatting>
  <conditionalFormatting sqref="G914">
    <cfRule type="cellIs" priority="2728" operator="equal" aboveAverage="0" equalAverage="0" bottom="0" percent="0" rank="0" text="" dxfId="1">
      <formula>"EVET"</formula>
    </cfRule>
  </conditionalFormatting>
  <conditionalFormatting sqref="H915">
    <cfRule type="cellIs" priority="2729" operator="equal" aboveAverage="0" equalAverage="0" bottom="0" percent="0" rank="0" text="" dxfId="2">
      <formula>"KAZANDI"</formula>
    </cfRule>
    <cfRule type="cellIs" priority="2730" operator="equal" aboveAverage="0" equalAverage="0" bottom="0" percent="0" rank="0" text="" dxfId="0">
      <formula>"KAYBETTİ"</formula>
    </cfRule>
  </conditionalFormatting>
  <conditionalFormatting sqref="G915">
    <cfRule type="cellIs" priority="2731" operator="equal" aboveAverage="0" equalAverage="0" bottom="0" percent="0" rank="0" text="" dxfId="1">
      <formula>"EVET"</formula>
    </cfRule>
  </conditionalFormatting>
  <conditionalFormatting sqref="H916">
    <cfRule type="cellIs" priority="2732" operator="equal" aboveAverage="0" equalAverage="0" bottom="0" percent="0" rank="0" text="" dxfId="2">
      <formula>"KAZANDI"</formula>
    </cfRule>
    <cfRule type="cellIs" priority="2733" operator="equal" aboveAverage="0" equalAverage="0" bottom="0" percent="0" rank="0" text="" dxfId="0">
      <formula>"KAYBETTİ"</formula>
    </cfRule>
  </conditionalFormatting>
  <conditionalFormatting sqref="G916">
    <cfRule type="cellIs" priority="2734" operator="equal" aboveAverage="0" equalAverage="0" bottom="0" percent="0" rank="0" text="" dxfId="1">
      <formula>"EVET"</formula>
    </cfRule>
  </conditionalFormatting>
  <conditionalFormatting sqref="H917">
    <cfRule type="cellIs" priority="2735" operator="equal" aboveAverage="0" equalAverage="0" bottom="0" percent="0" rank="0" text="" dxfId="2">
      <formula>"KAZANDI"</formula>
    </cfRule>
    <cfRule type="cellIs" priority="2736" operator="equal" aboveAverage="0" equalAverage="0" bottom="0" percent="0" rank="0" text="" dxfId="0">
      <formula>"KAYBETTİ"</formula>
    </cfRule>
  </conditionalFormatting>
  <conditionalFormatting sqref="G917">
    <cfRule type="cellIs" priority="2737" operator="equal" aboveAverage="0" equalAverage="0" bottom="0" percent="0" rank="0" text="" dxfId="1">
      <formula>"EVET"</formula>
    </cfRule>
  </conditionalFormatting>
  <conditionalFormatting sqref="H918">
    <cfRule type="cellIs" priority="2738" operator="equal" aboveAverage="0" equalAverage="0" bottom="0" percent="0" rank="0" text="" dxfId="2">
      <formula>"KAZANDI"</formula>
    </cfRule>
    <cfRule type="cellIs" priority="2739" operator="equal" aboveAverage="0" equalAverage="0" bottom="0" percent="0" rank="0" text="" dxfId="0">
      <formula>"KAYBETTİ"</formula>
    </cfRule>
  </conditionalFormatting>
  <conditionalFormatting sqref="G918">
    <cfRule type="cellIs" priority="2740" operator="equal" aboveAverage="0" equalAverage="0" bottom="0" percent="0" rank="0" text="" dxfId="1">
      <formula>"EVET"</formula>
    </cfRule>
  </conditionalFormatting>
  <conditionalFormatting sqref="H919">
    <cfRule type="cellIs" priority="2741" operator="equal" aboveAverage="0" equalAverage="0" bottom="0" percent="0" rank="0" text="" dxfId="2">
      <formula>"KAZANDI"</formula>
    </cfRule>
    <cfRule type="cellIs" priority="2742" operator="equal" aboveAverage="0" equalAverage="0" bottom="0" percent="0" rank="0" text="" dxfId="0">
      <formula>"KAYBETTİ"</formula>
    </cfRule>
  </conditionalFormatting>
  <conditionalFormatting sqref="G919">
    <cfRule type="cellIs" priority="2743" operator="equal" aboveAverage="0" equalAverage="0" bottom="0" percent="0" rank="0" text="" dxfId="1">
      <formula>"EVET"</formula>
    </cfRule>
  </conditionalFormatting>
  <conditionalFormatting sqref="H920">
    <cfRule type="cellIs" priority="2744" operator="equal" aboveAverage="0" equalAverage="0" bottom="0" percent="0" rank="0" text="" dxfId="2">
      <formula>"KAZANDI"</formula>
    </cfRule>
    <cfRule type="cellIs" priority="2745" operator="equal" aboveAverage="0" equalAverage="0" bottom="0" percent="0" rank="0" text="" dxfId="0">
      <formula>"KAYBETTİ"</formula>
    </cfRule>
  </conditionalFormatting>
  <conditionalFormatting sqref="G920">
    <cfRule type="cellIs" priority="2746" operator="equal" aboveAverage="0" equalAverage="0" bottom="0" percent="0" rank="0" text="" dxfId="1">
      <formula>"EVET"</formula>
    </cfRule>
  </conditionalFormatting>
  <conditionalFormatting sqref="H921">
    <cfRule type="cellIs" priority="2747" operator="equal" aboveAverage="0" equalAverage="0" bottom="0" percent="0" rank="0" text="" dxfId="2">
      <formula>"KAZANDI"</formula>
    </cfRule>
    <cfRule type="cellIs" priority="2748" operator="equal" aboveAverage="0" equalAverage="0" bottom="0" percent="0" rank="0" text="" dxfId="0">
      <formula>"KAYBETTİ"</formula>
    </cfRule>
  </conditionalFormatting>
  <conditionalFormatting sqref="G921">
    <cfRule type="cellIs" priority="2749" operator="equal" aboveAverage="0" equalAverage="0" bottom="0" percent="0" rank="0" text="" dxfId="1">
      <formula>"EVET"</formula>
    </cfRule>
  </conditionalFormatting>
  <conditionalFormatting sqref="H922">
    <cfRule type="cellIs" priority="2750" operator="equal" aboveAverage="0" equalAverage="0" bottom="0" percent="0" rank="0" text="" dxfId="2">
      <formula>"KAZANDI"</formula>
    </cfRule>
    <cfRule type="cellIs" priority="2751" operator="equal" aboveAverage="0" equalAverage="0" bottom="0" percent="0" rank="0" text="" dxfId="0">
      <formula>"KAYBETTİ"</formula>
    </cfRule>
  </conditionalFormatting>
  <conditionalFormatting sqref="G922">
    <cfRule type="cellIs" priority="2752" operator="equal" aboveAverage="0" equalAverage="0" bottom="0" percent="0" rank="0" text="" dxfId="1">
      <formula>"EVET"</formula>
    </cfRule>
  </conditionalFormatting>
  <conditionalFormatting sqref="H923">
    <cfRule type="cellIs" priority="2753" operator="equal" aboveAverage="0" equalAverage="0" bottom="0" percent="0" rank="0" text="" dxfId="2">
      <formula>"KAZANDI"</formula>
    </cfRule>
    <cfRule type="cellIs" priority="2754" operator="equal" aboveAverage="0" equalAverage="0" bottom="0" percent="0" rank="0" text="" dxfId="0">
      <formula>"KAYBETTİ"</formula>
    </cfRule>
  </conditionalFormatting>
  <conditionalFormatting sqref="G923">
    <cfRule type="cellIs" priority="2755" operator="equal" aboveAverage="0" equalAverage="0" bottom="0" percent="0" rank="0" text="" dxfId="1">
      <formula>"EVET"</formula>
    </cfRule>
  </conditionalFormatting>
  <conditionalFormatting sqref="H924">
    <cfRule type="cellIs" priority="2756" operator="equal" aboveAverage="0" equalAverage="0" bottom="0" percent="0" rank="0" text="" dxfId="2">
      <formula>"KAZANDI"</formula>
    </cfRule>
    <cfRule type="cellIs" priority="2757" operator="equal" aboveAverage="0" equalAverage="0" bottom="0" percent="0" rank="0" text="" dxfId="0">
      <formula>"KAYBETTİ"</formula>
    </cfRule>
  </conditionalFormatting>
  <conditionalFormatting sqref="G924">
    <cfRule type="cellIs" priority="2758" operator="equal" aboveAverage="0" equalAverage="0" bottom="0" percent="0" rank="0" text="" dxfId="1">
      <formula>"EVET"</formula>
    </cfRule>
  </conditionalFormatting>
  <conditionalFormatting sqref="H925">
    <cfRule type="cellIs" priority="2759" operator="equal" aboveAverage="0" equalAverage="0" bottom="0" percent="0" rank="0" text="" dxfId="2">
      <formula>"KAZANDI"</formula>
    </cfRule>
    <cfRule type="cellIs" priority="2760" operator="equal" aboveAverage="0" equalAverage="0" bottom="0" percent="0" rank="0" text="" dxfId="0">
      <formula>"KAYBETTİ"</formula>
    </cfRule>
  </conditionalFormatting>
  <conditionalFormatting sqref="G925">
    <cfRule type="cellIs" priority="2761" operator="equal" aboveAverage="0" equalAverage="0" bottom="0" percent="0" rank="0" text="" dxfId="1">
      <formula>"EVET"</formula>
    </cfRule>
  </conditionalFormatting>
  <conditionalFormatting sqref="H926">
    <cfRule type="cellIs" priority="2762" operator="equal" aboveAverage="0" equalAverage="0" bottom="0" percent="0" rank="0" text="" dxfId="2">
      <formula>"KAZANDI"</formula>
    </cfRule>
    <cfRule type="cellIs" priority="2763" operator="equal" aboveAverage="0" equalAverage="0" bottom="0" percent="0" rank="0" text="" dxfId="0">
      <formula>"KAYBETTİ"</formula>
    </cfRule>
  </conditionalFormatting>
  <conditionalFormatting sqref="G926">
    <cfRule type="cellIs" priority="2764" operator="equal" aboveAverage="0" equalAverage="0" bottom="0" percent="0" rank="0" text="" dxfId="1">
      <formula>"EVET"</formula>
    </cfRule>
  </conditionalFormatting>
  <conditionalFormatting sqref="H927">
    <cfRule type="cellIs" priority="2765" operator="equal" aboveAverage="0" equalAverage="0" bottom="0" percent="0" rank="0" text="" dxfId="2">
      <formula>"KAZANDI"</formula>
    </cfRule>
    <cfRule type="cellIs" priority="2766" operator="equal" aboveAverage="0" equalAverage="0" bottom="0" percent="0" rank="0" text="" dxfId="0">
      <formula>"KAYBETTİ"</formula>
    </cfRule>
  </conditionalFormatting>
  <conditionalFormatting sqref="G927">
    <cfRule type="cellIs" priority="2767" operator="equal" aboveAverage="0" equalAverage="0" bottom="0" percent="0" rank="0" text="" dxfId="1">
      <formula>"EVET"</formula>
    </cfRule>
  </conditionalFormatting>
  <conditionalFormatting sqref="H928">
    <cfRule type="cellIs" priority="2768" operator="equal" aboveAverage="0" equalAverage="0" bottom="0" percent="0" rank="0" text="" dxfId="2">
      <formula>"KAZANDI"</formula>
    </cfRule>
    <cfRule type="cellIs" priority="2769" operator="equal" aboveAverage="0" equalAverage="0" bottom="0" percent="0" rank="0" text="" dxfId="0">
      <formula>"KAYBETTİ"</formula>
    </cfRule>
  </conditionalFormatting>
  <conditionalFormatting sqref="G928">
    <cfRule type="cellIs" priority="2770" operator="equal" aboveAverage="0" equalAverage="0" bottom="0" percent="0" rank="0" text="" dxfId="1">
      <formula>"EVET"</formula>
    </cfRule>
  </conditionalFormatting>
  <conditionalFormatting sqref="H929">
    <cfRule type="cellIs" priority="2771" operator="equal" aboveAverage="0" equalAverage="0" bottom="0" percent="0" rank="0" text="" dxfId="2">
      <formula>"KAZANDI"</formula>
    </cfRule>
    <cfRule type="cellIs" priority="2772" operator="equal" aboveAverage="0" equalAverage="0" bottom="0" percent="0" rank="0" text="" dxfId="0">
      <formula>"KAYBETTİ"</formula>
    </cfRule>
  </conditionalFormatting>
  <conditionalFormatting sqref="G929">
    <cfRule type="cellIs" priority="2773" operator="equal" aboveAverage="0" equalAverage="0" bottom="0" percent="0" rank="0" text="" dxfId="1">
      <formula>"EVET"</formula>
    </cfRule>
  </conditionalFormatting>
  <conditionalFormatting sqref="H930">
    <cfRule type="cellIs" priority="2774" operator="equal" aboveAverage="0" equalAverage="0" bottom="0" percent="0" rank="0" text="" dxfId="2">
      <formula>"KAZANDI"</formula>
    </cfRule>
    <cfRule type="cellIs" priority="2775" operator="equal" aboveAverage="0" equalAverage="0" bottom="0" percent="0" rank="0" text="" dxfId="0">
      <formula>"KAYBETTİ"</formula>
    </cfRule>
  </conditionalFormatting>
  <conditionalFormatting sqref="G930">
    <cfRule type="cellIs" priority="2776" operator="equal" aboveAverage="0" equalAverage="0" bottom="0" percent="0" rank="0" text="" dxfId="1">
      <formula>"EVET"</formula>
    </cfRule>
  </conditionalFormatting>
  <conditionalFormatting sqref="H931">
    <cfRule type="cellIs" priority="2777" operator="equal" aboveAverage="0" equalAverage="0" bottom="0" percent="0" rank="0" text="" dxfId="2">
      <formula>"KAZANDI"</formula>
    </cfRule>
    <cfRule type="cellIs" priority="2778" operator="equal" aboveAverage="0" equalAverage="0" bottom="0" percent="0" rank="0" text="" dxfId="0">
      <formula>"KAYBETTİ"</formula>
    </cfRule>
  </conditionalFormatting>
  <conditionalFormatting sqref="G931">
    <cfRule type="cellIs" priority="2779" operator="equal" aboveAverage="0" equalAverage="0" bottom="0" percent="0" rank="0" text="" dxfId="1">
      <formula>"EVET"</formula>
    </cfRule>
  </conditionalFormatting>
  <conditionalFormatting sqref="H932">
    <cfRule type="cellIs" priority="2780" operator="equal" aboveAverage="0" equalAverage="0" bottom="0" percent="0" rank="0" text="" dxfId="2">
      <formula>"KAZANDI"</formula>
    </cfRule>
    <cfRule type="cellIs" priority="2781" operator="equal" aboveAverage="0" equalAverage="0" bottom="0" percent="0" rank="0" text="" dxfId="0">
      <formula>"KAYBETTİ"</formula>
    </cfRule>
  </conditionalFormatting>
  <conditionalFormatting sqref="G932">
    <cfRule type="cellIs" priority="2782" operator="equal" aboveAverage="0" equalAverage="0" bottom="0" percent="0" rank="0" text="" dxfId="1">
      <formula>"EVET"</formula>
    </cfRule>
  </conditionalFormatting>
  <conditionalFormatting sqref="H933">
    <cfRule type="cellIs" priority="2783" operator="equal" aboveAverage="0" equalAverage="0" bottom="0" percent="0" rank="0" text="" dxfId="2">
      <formula>"KAZANDI"</formula>
    </cfRule>
    <cfRule type="cellIs" priority="2784" operator="equal" aboveAverage="0" equalAverage="0" bottom="0" percent="0" rank="0" text="" dxfId="0">
      <formula>"KAYBETTİ"</formula>
    </cfRule>
  </conditionalFormatting>
  <conditionalFormatting sqref="G933">
    <cfRule type="cellIs" priority="2785" operator="equal" aboveAverage="0" equalAverage="0" bottom="0" percent="0" rank="0" text="" dxfId="1">
      <formula>"EVET"</formula>
    </cfRule>
  </conditionalFormatting>
  <conditionalFormatting sqref="H934">
    <cfRule type="cellIs" priority="2786" operator="equal" aboveAverage="0" equalAverage="0" bottom="0" percent="0" rank="0" text="" dxfId="2">
      <formula>"KAZANDI"</formula>
    </cfRule>
    <cfRule type="cellIs" priority="2787" operator="equal" aboveAverage="0" equalAverage="0" bottom="0" percent="0" rank="0" text="" dxfId="0">
      <formula>"KAYBETTİ"</formula>
    </cfRule>
  </conditionalFormatting>
  <conditionalFormatting sqref="G934">
    <cfRule type="cellIs" priority="2788" operator="equal" aboveAverage="0" equalAverage="0" bottom="0" percent="0" rank="0" text="" dxfId="1">
      <formula>"EVET"</formula>
    </cfRule>
  </conditionalFormatting>
  <conditionalFormatting sqref="H935">
    <cfRule type="cellIs" priority="2789" operator="equal" aboveAverage="0" equalAverage="0" bottom="0" percent="0" rank="0" text="" dxfId="2">
      <formula>"KAZANDI"</formula>
    </cfRule>
    <cfRule type="cellIs" priority="2790" operator="equal" aboveAverage="0" equalAverage="0" bottom="0" percent="0" rank="0" text="" dxfId="0">
      <formula>"KAYBETTİ"</formula>
    </cfRule>
  </conditionalFormatting>
  <conditionalFormatting sqref="G935">
    <cfRule type="cellIs" priority="2791" operator="equal" aboveAverage="0" equalAverage="0" bottom="0" percent="0" rank="0" text="" dxfId="1">
      <formula>"EVET"</formula>
    </cfRule>
  </conditionalFormatting>
  <conditionalFormatting sqref="H936">
    <cfRule type="cellIs" priority="2792" operator="equal" aboveAverage="0" equalAverage="0" bottom="0" percent="0" rank="0" text="" dxfId="2">
      <formula>"KAZANDI"</formula>
    </cfRule>
    <cfRule type="cellIs" priority="2793" operator="equal" aboveAverage="0" equalAverage="0" bottom="0" percent="0" rank="0" text="" dxfId="0">
      <formula>"KAYBETTİ"</formula>
    </cfRule>
  </conditionalFormatting>
  <conditionalFormatting sqref="G936">
    <cfRule type="cellIs" priority="2794" operator="equal" aboveAverage="0" equalAverage="0" bottom="0" percent="0" rank="0" text="" dxfId="1">
      <formula>"EVET"</formula>
    </cfRule>
  </conditionalFormatting>
  <conditionalFormatting sqref="H937">
    <cfRule type="cellIs" priority="2795" operator="equal" aboveAverage="0" equalAverage="0" bottom="0" percent="0" rank="0" text="" dxfId="2">
      <formula>"KAZANDI"</formula>
    </cfRule>
    <cfRule type="cellIs" priority="2796" operator="equal" aboveAverage="0" equalAverage="0" bottom="0" percent="0" rank="0" text="" dxfId="0">
      <formula>"KAYBETTİ"</formula>
    </cfRule>
  </conditionalFormatting>
  <conditionalFormatting sqref="G937">
    <cfRule type="cellIs" priority="2797" operator="equal" aboveAverage="0" equalAverage="0" bottom="0" percent="0" rank="0" text="" dxfId="1">
      <formula>"EVET"</formula>
    </cfRule>
  </conditionalFormatting>
  <conditionalFormatting sqref="H938">
    <cfRule type="cellIs" priority="2798" operator="equal" aboveAverage="0" equalAverage="0" bottom="0" percent="0" rank="0" text="" dxfId="2">
      <formula>"KAZANDI"</formula>
    </cfRule>
    <cfRule type="cellIs" priority="2799" operator="equal" aboveAverage="0" equalAverage="0" bottom="0" percent="0" rank="0" text="" dxfId="0">
      <formula>"KAYBETTİ"</formula>
    </cfRule>
  </conditionalFormatting>
  <conditionalFormatting sqref="G938">
    <cfRule type="cellIs" priority="2800" operator="equal" aboveAverage="0" equalAverage="0" bottom="0" percent="0" rank="0" text="" dxfId="1">
      <formula>"EVET"</formula>
    </cfRule>
  </conditionalFormatting>
  <conditionalFormatting sqref="H939">
    <cfRule type="cellIs" priority="2801" operator="equal" aboveAverage="0" equalAverage="0" bottom="0" percent="0" rank="0" text="" dxfId="2">
      <formula>"KAZANDI"</formula>
    </cfRule>
    <cfRule type="cellIs" priority="2802" operator="equal" aboveAverage="0" equalAverage="0" bottom="0" percent="0" rank="0" text="" dxfId="0">
      <formula>"KAYBETTİ"</formula>
    </cfRule>
  </conditionalFormatting>
  <conditionalFormatting sqref="G939">
    <cfRule type="cellIs" priority="2803" operator="equal" aboveAverage="0" equalAverage="0" bottom="0" percent="0" rank="0" text="" dxfId="1">
      <formula>"EVET"</formula>
    </cfRule>
  </conditionalFormatting>
  <conditionalFormatting sqref="H940">
    <cfRule type="cellIs" priority="2804" operator="equal" aboveAverage="0" equalAverage="0" bottom="0" percent="0" rank="0" text="" dxfId="2">
      <formula>"KAZANDI"</formula>
    </cfRule>
    <cfRule type="cellIs" priority="2805" operator="equal" aboveAverage="0" equalAverage="0" bottom="0" percent="0" rank="0" text="" dxfId="0">
      <formula>"KAYBETTİ"</formula>
    </cfRule>
  </conditionalFormatting>
  <conditionalFormatting sqref="G940">
    <cfRule type="cellIs" priority="2806" operator="equal" aboveAverage="0" equalAverage="0" bottom="0" percent="0" rank="0" text="" dxfId="1">
      <formula>"EVET"</formula>
    </cfRule>
  </conditionalFormatting>
  <conditionalFormatting sqref="H941">
    <cfRule type="cellIs" priority="2807" operator="equal" aboveAverage="0" equalAverage="0" bottom="0" percent="0" rank="0" text="" dxfId="2">
      <formula>"KAZANDI"</formula>
    </cfRule>
    <cfRule type="cellIs" priority="2808" operator="equal" aboveAverage="0" equalAverage="0" bottom="0" percent="0" rank="0" text="" dxfId="0">
      <formula>"KAYBETTİ"</formula>
    </cfRule>
  </conditionalFormatting>
  <conditionalFormatting sqref="G941">
    <cfRule type="cellIs" priority="2809" operator="equal" aboveAverage="0" equalAverage="0" bottom="0" percent="0" rank="0" text="" dxfId="1">
      <formula>"EVET"</formula>
    </cfRule>
  </conditionalFormatting>
  <conditionalFormatting sqref="H942">
    <cfRule type="cellIs" priority="2810" operator="equal" aboveAverage="0" equalAverage="0" bottom="0" percent="0" rank="0" text="" dxfId="2">
      <formula>"KAZANDI"</formula>
    </cfRule>
    <cfRule type="cellIs" priority="2811" operator="equal" aboveAverage="0" equalAverage="0" bottom="0" percent="0" rank="0" text="" dxfId="0">
      <formula>"KAYBETTİ"</formula>
    </cfRule>
  </conditionalFormatting>
  <conditionalFormatting sqref="G942">
    <cfRule type="cellIs" priority="2812" operator="equal" aboveAverage="0" equalAverage="0" bottom="0" percent="0" rank="0" text="" dxfId="1">
      <formula>"EVET"</formula>
    </cfRule>
  </conditionalFormatting>
  <conditionalFormatting sqref="H943">
    <cfRule type="cellIs" priority="2813" operator="equal" aboveAverage="0" equalAverage="0" bottom="0" percent="0" rank="0" text="" dxfId="2">
      <formula>"KAZANDI"</formula>
    </cfRule>
    <cfRule type="cellIs" priority="2814" operator="equal" aboveAverage="0" equalAverage="0" bottom="0" percent="0" rank="0" text="" dxfId="0">
      <formula>"KAYBETTİ"</formula>
    </cfRule>
  </conditionalFormatting>
  <conditionalFormatting sqref="G943">
    <cfRule type="cellIs" priority="2815" operator="equal" aboveAverage="0" equalAverage="0" bottom="0" percent="0" rank="0" text="" dxfId="1">
      <formula>"EVET"</formula>
    </cfRule>
  </conditionalFormatting>
  <conditionalFormatting sqref="H944">
    <cfRule type="cellIs" priority="2816" operator="equal" aboveAverage="0" equalAverage="0" bottom="0" percent="0" rank="0" text="" dxfId="2">
      <formula>"KAZANDI"</formula>
    </cfRule>
    <cfRule type="cellIs" priority="2817" operator="equal" aboveAverage="0" equalAverage="0" bottom="0" percent="0" rank="0" text="" dxfId="0">
      <formula>"KAYBETTİ"</formula>
    </cfRule>
  </conditionalFormatting>
  <conditionalFormatting sqref="G944">
    <cfRule type="cellIs" priority="2818" operator="equal" aboveAverage="0" equalAverage="0" bottom="0" percent="0" rank="0" text="" dxfId="1">
      <formula>"EVET"</formula>
    </cfRule>
  </conditionalFormatting>
  <conditionalFormatting sqref="H945">
    <cfRule type="cellIs" priority="2819" operator="equal" aboveAverage="0" equalAverage="0" bottom="0" percent="0" rank="0" text="" dxfId="2">
      <formula>"KAZANDI"</formula>
    </cfRule>
    <cfRule type="cellIs" priority="2820" operator="equal" aboveAverage="0" equalAverage="0" bottom="0" percent="0" rank="0" text="" dxfId="0">
      <formula>"KAYBETTİ"</formula>
    </cfRule>
  </conditionalFormatting>
  <conditionalFormatting sqref="G945">
    <cfRule type="cellIs" priority="2821" operator="equal" aboveAverage="0" equalAverage="0" bottom="0" percent="0" rank="0" text="" dxfId="1">
      <formula>"EVET"</formula>
    </cfRule>
  </conditionalFormatting>
  <conditionalFormatting sqref="H946">
    <cfRule type="cellIs" priority="2822" operator="equal" aboveAverage="0" equalAverage="0" bottom="0" percent="0" rank="0" text="" dxfId="2">
      <formula>"KAZANDI"</formula>
    </cfRule>
    <cfRule type="cellIs" priority="2823" operator="equal" aboveAverage="0" equalAverage="0" bottom="0" percent="0" rank="0" text="" dxfId="0">
      <formula>"KAYBETTİ"</formula>
    </cfRule>
  </conditionalFormatting>
  <conditionalFormatting sqref="G946">
    <cfRule type="cellIs" priority="2824" operator="equal" aboveAverage="0" equalAverage="0" bottom="0" percent="0" rank="0" text="" dxfId="1">
      <formula>"EVET"</formula>
    </cfRule>
  </conditionalFormatting>
  <conditionalFormatting sqref="H947">
    <cfRule type="cellIs" priority="2825" operator="equal" aboveAverage="0" equalAverage="0" bottom="0" percent="0" rank="0" text="" dxfId="2">
      <formula>"KAZANDI"</formula>
    </cfRule>
    <cfRule type="cellIs" priority="2826" operator="equal" aboveAverage="0" equalAverage="0" bottom="0" percent="0" rank="0" text="" dxfId="0">
      <formula>"KAYBETTİ"</formula>
    </cfRule>
  </conditionalFormatting>
  <conditionalFormatting sqref="G947">
    <cfRule type="cellIs" priority="2827" operator="equal" aboveAverage="0" equalAverage="0" bottom="0" percent="0" rank="0" text="" dxfId="1">
      <formula>"EVET"</formula>
    </cfRule>
  </conditionalFormatting>
  <conditionalFormatting sqref="H948">
    <cfRule type="cellIs" priority="2828" operator="equal" aboveAverage="0" equalAverage="0" bottom="0" percent="0" rank="0" text="" dxfId="2">
      <formula>"KAZANDI"</formula>
    </cfRule>
    <cfRule type="cellIs" priority="2829" operator="equal" aboveAverage="0" equalAverage="0" bottom="0" percent="0" rank="0" text="" dxfId="0">
      <formula>"KAYBETTİ"</formula>
    </cfRule>
  </conditionalFormatting>
  <conditionalFormatting sqref="G948">
    <cfRule type="cellIs" priority="2830" operator="equal" aboveAverage="0" equalAverage="0" bottom="0" percent="0" rank="0" text="" dxfId="1">
      <formula>"EVET"</formula>
    </cfRule>
  </conditionalFormatting>
  <conditionalFormatting sqref="H949">
    <cfRule type="cellIs" priority="2831" operator="equal" aboveAverage="0" equalAverage="0" bottom="0" percent="0" rank="0" text="" dxfId="2">
      <formula>"KAZANDI"</formula>
    </cfRule>
    <cfRule type="cellIs" priority="2832" operator="equal" aboveAverage="0" equalAverage="0" bottom="0" percent="0" rank="0" text="" dxfId="0">
      <formula>"KAYBETTİ"</formula>
    </cfRule>
  </conditionalFormatting>
  <conditionalFormatting sqref="G949">
    <cfRule type="cellIs" priority="2833" operator="equal" aboveAverage="0" equalAverage="0" bottom="0" percent="0" rank="0" text="" dxfId="1">
      <formula>"EVET"</formula>
    </cfRule>
  </conditionalFormatting>
  <conditionalFormatting sqref="H950">
    <cfRule type="cellIs" priority="2834" operator="equal" aboveAverage="0" equalAverage="0" bottom="0" percent="0" rank="0" text="" dxfId="2">
      <formula>"KAZANDI"</formula>
    </cfRule>
    <cfRule type="cellIs" priority="2835" operator="equal" aboveAverage="0" equalAverage="0" bottom="0" percent="0" rank="0" text="" dxfId="0">
      <formula>"KAYBETTİ"</formula>
    </cfRule>
  </conditionalFormatting>
  <conditionalFormatting sqref="G950">
    <cfRule type="cellIs" priority="2836" operator="equal" aboveAverage="0" equalAverage="0" bottom="0" percent="0" rank="0" text="" dxfId="1">
      <formula>"EVET"</formula>
    </cfRule>
  </conditionalFormatting>
  <conditionalFormatting sqref="H951">
    <cfRule type="cellIs" priority="2837" operator="equal" aboveAverage="0" equalAverage="0" bottom="0" percent="0" rank="0" text="" dxfId="2">
      <formula>"KAZANDI"</formula>
    </cfRule>
    <cfRule type="cellIs" priority="2838" operator="equal" aboveAverage="0" equalAverage="0" bottom="0" percent="0" rank="0" text="" dxfId="0">
      <formula>"KAYBETTİ"</formula>
    </cfRule>
  </conditionalFormatting>
  <conditionalFormatting sqref="G951">
    <cfRule type="cellIs" priority="2839" operator="equal" aboveAverage="0" equalAverage="0" bottom="0" percent="0" rank="0" text="" dxfId="1">
      <formula>"EVET"</formula>
    </cfRule>
  </conditionalFormatting>
  <conditionalFormatting sqref="H952">
    <cfRule type="cellIs" priority="2840" operator="equal" aboveAverage="0" equalAverage="0" bottom="0" percent="0" rank="0" text="" dxfId="2">
      <formula>"KAZANDI"</formula>
    </cfRule>
    <cfRule type="cellIs" priority="2841" operator="equal" aboveAverage="0" equalAverage="0" bottom="0" percent="0" rank="0" text="" dxfId="0">
      <formula>"KAYBETTİ"</formula>
    </cfRule>
  </conditionalFormatting>
  <conditionalFormatting sqref="G952">
    <cfRule type="cellIs" priority="2842" operator="equal" aboveAverage="0" equalAverage="0" bottom="0" percent="0" rank="0" text="" dxfId="1">
      <formula>"EVET"</formula>
    </cfRule>
  </conditionalFormatting>
  <conditionalFormatting sqref="H953">
    <cfRule type="cellIs" priority="2843" operator="equal" aboveAverage="0" equalAverage="0" bottom="0" percent="0" rank="0" text="" dxfId="2">
      <formula>"KAZANDI"</formula>
    </cfRule>
    <cfRule type="cellIs" priority="2844" operator="equal" aboveAverage="0" equalAverage="0" bottom="0" percent="0" rank="0" text="" dxfId="0">
      <formula>"KAYBETTİ"</formula>
    </cfRule>
  </conditionalFormatting>
  <conditionalFormatting sqref="G953">
    <cfRule type="cellIs" priority="2845" operator="equal" aboveAverage="0" equalAverage="0" bottom="0" percent="0" rank="0" text="" dxfId="1">
      <formula>"EVET"</formula>
    </cfRule>
  </conditionalFormatting>
  <conditionalFormatting sqref="H954">
    <cfRule type="cellIs" priority="2846" operator="equal" aboveAverage="0" equalAverage="0" bottom="0" percent="0" rank="0" text="" dxfId="2">
      <formula>"KAZANDI"</formula>
    </cfRule>
    <cfRule type="cellIs" priority="2847" operator="equal" aboveAverage="0" equalAverage="0" bottom="0" percent="0" rank="0" text="" dxfId="0">
      <formula>"KAYBETTİ"</formula>
    </cfRule>
  </conditionalFormatting>
  <conditionalFormatting sqref="G954">
    <cfRule type="cellIs" priority="2848" operator="equal" aboveAverage="0" equalAverage="0" bottom="0" percent="0" rank="0" text="" dxfId="1">
      <formula>"EVET"</formula>
    </cfRule>
  </conditionalFormatting>
  <conditionalFormatting sqref="H955">
    <cfRule type="cellIs" priority="2849" operator="equal" aboveAverage="0" equalAverage="0" bottom="0" percent="0" rank="0" text="" dxfId="2">
      <formula>"KAZANDI"</formula>
    </cfRule>
    <cfRule type="cellIs" priority="2850" operator="equal" aboveAverage="0" equalAverage="0" bottom="0" percent="0" rank="0" text="" dxfId="0">
      <formula>"KAYBETTİ"</formula>
    </cfRule>
  </conditionalFormatting>
  <conditionalFormatting sqref="G955">
    <cfRule type="cellIs" priority="2851" operator="equal" aboveAverage="0" equalAverage="0" bottom="0" percent="0" rank="0" text="" dxfId="1">
      <formula>"EVET"</formula>
    </cfRule>
  </conditionalFormatting>
  <conditionalFormatting sqref="H956">
    <cfRule type="cellIs" priority="2852" operator="equal" aboveAverage="0" equalAverage="0" bottom="0" percent="0" rank="0" text="" dxfId="2">
      <formula>"KAZANDI"</formula>
    </cfRule>
    <cfRule type="cellIs" priority="2853" operator="equal" aboveAverage="0" equalAverage="0" bottom="0" percent="0" rank="0" text="" dxfId="0">
      <formula>"KAYBETTİ"</formula>
    </cfRule>
  </conditionalFormatting>
  <conditionalFormatting sqref="G956">
    <cfRule type="cellIs" priority="2854" operator="equal" aboveAverage="0" equalAverage="0" bottom="0" percent="0" rank="0" text="" dxfId="1">
      <formula>"EVET"</formula>
    </cfRule>
  </conditionalFormatting>
  <conditionalFormatting sqref="H957">
    <cfRule type="cellIs" priority="2855" operator="equal" aboveAverage="0" equalAverage="0" bottom="0" percent="0" rank="0" text="" dxfId="2">
      <formula>"KAZANDI"</formula>
    </cfRule>
    <cfRule type="cellIs" priority="2856" operator="equal" aboveAverage="0" equalAverage="0" bottom="0" percent="0" rank="0" text="" dxfId="0">
      <formula>"KAYBETTİ"</formula>
    </cfRule>
  </conditionalFormatting>
  <conditionalFormatting sqref="G957">
    <cfRule type="cellIs" priority="2857" operator="equal" aboveAverage="0" equalAverage="0" bottom="0" percent="0" rank="0" text="" dxfId="1">
      <formula>"EVET"</formula>
    </cfRule>
  </conditionalFormatting>
  <conditionalFormatting sqref="H958">
    <cfRule type="cellIs" priority="2858" operator="equal" aboveAverage="0" equalAverage="0" bottom="0" percent="0" rank="0" text="" dxfId="2">
      <formula>"KAZANDI"</formula>
    </cfRule>
    <cfRule type="cellIs" priority="2859" operator="equal" aboveAverage="0" equalAverage="0" bottom="0" percent="0" rank="0" text="" dxfId="0">
      <formula>"KAYBETTİ"</formula>
    </cfRule>
  </conditionalFormatting>
  <conditionalFormatting sqref="G958">
    <cfRule type="cellIs" priority="2860" operator="equal" aboveAverage="0" equalAverage="0" bottom="0" percent="0" rank="0" text="" dxfId="1">
      <formula>"EVET"</formula>
    </cfRule>
  </conditionalFormatting>
  <conditionalFormatting sqref="H959">
    <cfRule type="cellIs" priority="2861" operator="equal" aboveAverage="0" equalAverage="0" bottom="0" percent="0" rank="0" text="" dxfId="2">
      <formula>"KAZANDI"</formula>
    </cfRule>
    <cfRule type="cellIs" priority="2862" operator="equal" aboveAverage="0" equalAverage="0" bottom="0" percent="0" rank="0" text="" dxfId="0">
      <formula>"KAYBETTİ"</formula>
    </cfRule>
  </conditionalFormatting>
  <conditionalFormatting sqref="G959">
    <cfRule type="cellIs" priority="2863" operator="equal" aboveAverage="0" equalAverage="0" bottom="0" percent="0" rank="0" text="" dxfId="1">
      <formula>"EVET"</formula>
    </cfRule>
  </conditionalFormatting>
  <conditionalFormatting sqref="H960">
    <cfRule type="cellIs" priority="2864" operator="equal" aboveAverage="0" equalAverage="0" bottom="0" percent="0" rank="0" text="" dxfId="2">
      <formula>"KAZANDI"</formula>
    </cfRule>
    <cfRule type="cellIs" priority="2865" operator="equal" aboveAverage="0" equalAverage="0" bottom="0" percent="0" rank="0" text="" dxfId="0">
      <formula>"KAYBETTİ"</formula>
    </cfRule>
  </conditionalFormatting>
  <conditionalFormatting sqref="G960">
    <cfRule type="cellIs" priority="2866" operator="equal" aboveAverage="0" equalAverage="0" bottom="0" percent="0" rank="0" text="" dxfId="1">
      <formula>"EVET"</formula>
    </cfRule>
  </conditionalFormatting>
  <conditionalFormatting sqref="H961">
    <cfRule type="cellIs" priority="2867" operator="equal" aboveAverage="0" equalAverage="0" bottom="0" percent="0" rank="0" text="" dxfId="2">
      <formula>"KAZANDI"</formula>
    </cfRule>
    <cfRule type="cellIs" priority="2868" operator="equal" aboveAverage="0" equalAverage="0" bottom="0" percent="0" rank="0" text="" dxfId="0">
      <formula>"KAYBETTİ"</formula>
    </cfRule>
  </conditionalFormatting>
  <conditionalFormatting sqref="G961">
    <cfRule type="cellIs" priority="2869" operator="equal" aboveAverage="0" equalAverage="0" bottom="0" percent="0" rank="0" text="" dxfId="1">
      <formula>"EVET"</formula>
    </cfRule>
  </conditionalFormatting>
  <conditionalFormatting sqref="H962">
    <cfRule type="cellIs" priority="2870" operator="equal" aboveAverage="0" equalAverage="0" bottom="0" percent="0" rank="0" text="" dxfId="2">
      <formula>"KAZANDI"</formula>
    </cfRule>
    <cfRule type="cellIs" priority="2871" operator="equal" aboveAverage="0" equalAverage="0" bottom="0" percent="0" rank="0" text="" dxfId="0">
      <formula>"KAYBETTİ"</formula>
    </cfRule>
  </conditionalFormatting>
  <conditionalFormatting sqref="G962">
    <cfRule type="cellIs" priority="2872" operator="equal" aboveAverage="0" equalAverage="0" bottom="0" percent="0" rank="0" text="" dxfId="1">
      <formula>"EVET"</formula>
    </cfRule>
  </conditionalFormatting>
  <conditionalFormatting sqref="H963">
    <cfRule type="cellIs" priority="2873" operator="equal" aboveAverage="0" equalAverage="0" bottom="0" percent="0" rank="0" text="" dxfId="2">
      <formula>"KAZANDI"</formula>
    </cfRule>
    <cfRule type="cellIs" priority="2874" operator="equal" aboveAverage="0" equalAverage="0" bottom="0" percent="0" rank="0" text="" dxfId="0">
      <formula>"KAYBETTİ"</formula>
    </cfRule>
  </conditionalFormatting>
  <conditionalFormatting sqref="G963">
    <cfRule type="cellIs" priority="2875" operator="equal" aboveAverage="0" equalAverage="0" bottom="0" percent="0" rank="0" text="" dxfId="1">
      <formula>"EVET"</formula>
    </cfRule>
  </conditionalFormatting>
  <conditionalFormatting sqref="H964">
    <cfRule type="cellIs" priority="2876" operator="equal" aboveAverage="0" equalAverage="0" bottom="0" percent="0" rank="0" text="" dxfId="2">
      <formula>"KAZANDI"</formula>
    </cfRule>
    <cfRule type="cellIs" priority="2877" operator="equal" aboveAverage="0" equalAverage="0" bottom="0" percent="0" rank="0" text="" dxfId="0">
      <formula>"KAYBETTİ"</formula>
    </cfRule>
  </conditionalFormatting>
  <conditionalFormatting sqref="G964">
    <cfRule type="cellIs" priority="2878" operator="equal" aboveAverage="0" equalAverage="0" bottom="0" percent="0" rank="0" text="" dxfId="1">
      <formula>"EVET"</formula>
    </cfRule>
  </conditionalFormatting>
  <conditionalFormatting sqref="H965">
    <cfRule type="cellIs" priority="2879" operator="equal" aboveAverage="0" equalAverage="0" bottom="0" percent="0" rank="0" text="" dxfId="2">
      <formula>"KAZANDI"</formula>
    </cfRule>
    <cfRule type="cellIs" priority="2880" operator="equal" aboveAverage="0" equalAverage="0" bottom="0" percent="0" rank="0" text="" dxfId="0">
      <formula>"KAYBETTİ"</formula>
    </cfRule>
  </conditionalFormatting>
  <conditionalFormatting sqref="G965">
    <cfRule type="cellIs" priority="2881" operator="equal" aboveAverage="0" equalAverage="0" bottom="0" percent="0" rank="0" text="" dxfId="1">
      <formula>"EVET"</formula>
    </cfRule>
  </conditionalFormatting>
  <conditionalFormatting sqref="H966">
    <cfRule type="cellIs" priority="2882" operator="equal" aboveAverage="0" equalAverage="0" bottom="0" percent="0" rank="0" text="" dxfId="2">
      <formula>"KAZANDI"</formula>
    </cfRule>
    <cfRule type="cellIs" priority="2883" operator="equal" aboveAverage="0" equalAverage="0" bottom="0" percent="0" rank="0" text="" dxfId="0">
      <formula>"KAYBETTİ"</formula>
    </cfRule>
  </conditionalFormatting>
  <conditionalFormatting sqref="G966">
    <cfRule type="cellIs" priority="2884" operator="equal" aboveAverage="0" equalAverage="0" bottom="0" percent="0" rank="0" text="" dxfId="1">
      <formula>"EVET"</formula>
    </cfRule>
  </conditionalFormatting>
  <conditionalFormatting sqref="H967">
    <cfRule type="cellIs" priority="2885" operator="equal" aboveAverage="0" equalAverage="0" bottom="0" percent="0" rank="0" text="" dxfId="2">
      <formula>"KAZANDI"</formula>
    </cfRule>
    <cfRule type="cellIs" priority="2886" operator="equal" aboveAverage="0" equalAverage="0" bottom="0" percent="0" rank="0" text="" dxfId="0">
      <formula>"KAYBETTİ"</formula>
    </cfRule>
  </conditionalFormatting>
  <conditionalFormatting sqref="G967">
    <cfRule type="cellIs" priority="2887" operator="equal" aboveAverage="0" equalAverage="0" bottom="0" percent="0" rank="0" text="" dxfId="1">
      <formula>"EVET"</formula>
    </cfRule>
  </conditionalFormatting>
  <conditionalFormatting sqref="H968">
    <cfRule type="cellIs" priority="2888" operator="equal" aboveAverage="0" equalAverage="0" bottom="0" percent="0" rank="0" text="" dxfId="2">
      <formula>"KAZANDI"</formula>
    </cfRule>
    <cfRule type="cellIs" priority="2889" operator="equal" aboveAverage="0" equalAverage="0" bottom="0" percent="0" rank="0" text="" dxfId="0">
      <formula>"KAYBETTİ"</formula>
    </cfRule>
  </conditionalFormatting>
  <conditionalFormatting sqref="G968">
    <cfRule type="cellIs" priority="2890" operator="equal" aboveAverage="0" equalAverage="0" bottom="0" percent="0" rank="0" text="" dxfId="1">
      <formula>"EVET"</formula>
    </cfRule>
  </conditionalFormatting>
  <conditionalFormatting sqref="H969">
    <cfRule type="cellIs" priority="2891" operator="equal" aboveAverage="0" equalAverage="0" bottom="0" percent="0" rank="0" text="" dxfId="2">
      <formula>"KAZANDI"</formula>
    </cfRule>
    <cfRule type="cellIs" priority="2892" operator="equal" aboveAverage="0" equalAverage="0" bottom="0" percent="0" rank="0" text="" dxfId="0">
      <formula>"KAYBETTİ"</formula>
    </cfRule>
  </conditionalFormatting>
  <conditionalFormatting sqref="G969">
    <cfRule type="cellIs" priority="2893" operator="equal" aboveAverage="0" equalAverage="0" bottom="0" percent="0" rank="0" text="" dxfId="1">
      <formula>"EVET"</formula>
    </cfRule>
  </conditionalFormatting>
  <conditionalFormatting sqref="H970">
    <cfRule type="cellIs" priority="2894" operator="equal" aboveAverage="0" equalAverage="0" bottom="0" percent="0" rank="0" text="" dxfId="2">
      <formula>"KAZANDI"</formula>
    </cfRule>
    <cfRule type="cellIs" priority="2895" operator="equal" aboveAverage="0" equalAverage="0" bottom="0" percent="0" rank="0" text="" dxfId="0">
      <formula>"KAYBETTİ"</formula>
    </cfRule>
  </conditionalFormatting>
  <conditionalFormatting sqref="G970">
    <cfRule type="cellIs" priority="2896" operator="equal" aboveAverage="0" equalAverage="0" bottom="0" percent="0" rank="0" text="" dxfId="1">
      <formula>"EVET"</formula>
    </cfRule>
  </conditionalFormatting>
  <conditionalFormatting sqref="H971">
    <cfRule type="cellIs" priority="2897" operator="equal" aboveAverage="0" equalAverage="0" bottom="0" percent="0" rank="0" text="" dxfId="2">
      <formula>"KAZANDI"</formula>
    </cfRule>
    <cfRule type="cellIs" priority="2898" operator="equal" aboveAverage="0" equalAverage="0" bottom="0" percent="0" rank="0" text="" dxfId="0">
      <formula>"KAYBETTİ"</formula>
    </cfRule>
  </conditionalFormatting>
  <conditionalFormatting sqref="G971">
    <cfRule type="cellIs" priority="2899" operator="equal" aboveAverage="0" equalAverage="0" bottom="0" percent="0" rank="0" text="" dxfId="1">
      <formula>"EVET"</formula>
    </cfRule>
  </conditionalFormatting>
  <conditionalFormatting sqref="H972">
    <cfRule type="cellIs" priority="2900" operator="equal" aboveAverage="0" equalAverage="0" bottom="0" percent="0" rank="0" text="" dxfId="2">
      <formula>"KAZANDI"</formula>
    </cfRule>
    <cfRule type="cellIs" priority="2901" operator="equal" aboveAverage="0" equalAverage="0" bottom="0" percent="0" rank="0" text="" dxfId="0">
      <formula>"KAYBETTİ"</formula>
    </cfRule>
  </conditionalFormatting>
  <conditionalFormatting sqref="G972">
    <cfRule type="cellIs" priority="2902" operator="equal" aboveAverage="0" equalAverage="0" bottom="0" percent="0" rank="0" text="" dxfId="1">
      <formula>"EVET"</formula>
    </cfRule>
  </conditionalFormatting>
  <conditionalFormatting sqref="H973">
    <cfRule type="cellIs" priority="2903" operator="equal" aboveAverage="0" equalAverage="0" bottom="0" percent="0" rank="0" text="" dxfId="2">
      <formula>"KAZANDI"</formula>
    </cfRule>
    <cfRule type="cellIs" priority="2904" operator="equal" aboveAverage="0" equalAverage="0" bottom="0" percent="0" rank="0" text="" dxfId="0">
      <formula>"KAYBETTİ"</formula>
    </cfRule>
  </conditionalFormatting>
  <conditionalFormatting sqref="G973">
    <cfRule type="cellIs" priority="2905" operator="equal" aboveAverage="0" equalAverage="0" bottom="0" percent="0" rank="0" text="" dxfId="1">
      <formula>"EVET"</formula>
    </cfRule>
  </conditionalFormatting>
  <conditionalFormatting sqref="H974">
    <cfRule type="cellIs" priority="2906" operator="equal" aboveAverage="0" equalAverage="0" bottom="0" percent="0" rank="0" text="" dxfId="2">
      <formula>"KAZANDI"</formula>
    </cfRule>
    <cfRule type="cellIs" priority="2907" operator="equal" aboveAverage="0" equalAverage="0" bottom="0" percent="0" rank="0" text="" dxfId="0">
      <formula>"KAYBETTİ"</formula>
    </cfRule>
  </conditionalFormatting>
  <conditionalFormatting sqref="G974">
    <cfRule type="cellIs" priority="2908" operator="equal" aboveAverage="0" equalAverage="0" bottom="0" percent="0" rank="0" text="" dxfId="1">
      <formula>"EVET"</formula>
    </cfRule>
  </conditionalFormatting>
  <conditionalFormatting sqref="H975">
    <cfRule type="cellIs" priority="2909" operator="equal" aboveAverage="0" equalAverage="0" bottom="0" percent="0" rank="0" text="" dxfId="2">
      <formula>"KAZANDI"</formula>
    </cfRule>
    <cfRule type="cellIs" priority="2910" operator="equal" aboveAverage="0" equalAverage="0" bottom="0" percent="0" rank="0" text="" dxfId="0">
      <formula>"KAYBETTİ"</formula>
    </cfRule>
  </conditionalFormatting>
  <conditionalFormatting sqref="G975">
    <cfRule type="cellIs" priority="2911" operator="equal" aboveAverage="0" equalAverage="0" bottom="0" percent="0" rank="0" text="" dxfId="1">
      <formula>"EVET"</formula>
    </cfRule>
  </conditionalFormatting>
  <conditionalFormatting sqref="H976">
    <cfRule type="cellIs" priority="2912" operator="equal" aboveAverage="0" equalAverage="0" bottom="0" percent="0" rank="0" text="" dxfId="2">
      <formula>"KAZANDI"</formula>
    </cfRule>
    <cfRule type="cellIs" priority="2913" operator="equal" aboveAverage="0" equalAverage="0" bottom="0" percent="0" rank="0" text="" dxfId="0">
      <formula>"KAYBETTİ"</formula>
    </cfRule>
  </conditionalFormatting>
  <conditionalFormatting sqref="G976">
    <cfRule type="cellIs" priority="2914" operator="equal" aboveAverage="0" equalAverage="0" bottom="0" percent="0" rank="0" text="" dxfId="1">
      <formula>"EVET"</formula>
    </cfRule>
  </conditionalFormatting>
  <conditionalFormatting sqref="H977">
    <cfRule type="cellIs" priority="2915" operator="equal" aboveAverage="0" equalAverage="0" bottom="0" percent="0" rank="0" text="" dxfId="2">
      <formula>"KAZANDI"</formula>
    </cfRule>
    <cfRule type="cellIs" priority="2916" operator="equal" aboveAverage="0" equalAverage="0" bottom="0" percent="0" rank="0" text="" dxfId="0">
      <formula>"KAYBETTİ"</formula>
    </cfRule>
  </conditionalFormatting>
  <conditionalFormatting sqref="G977">
    <cfRule type="cellIs" priority="2917" operator="equal" aboveAverage="0" equalAverage="0" bottom="0" percent="0" rank="0" text="" dxfId="1">
      <formula>"EVET"</formula>
    </cfRule>
  </conditionalFormatting>
  <conditionalFormatting sqref="H978">
    <cfRule type="cellIs" priority="2918" operator="equal" aboveAverage="0" equalAverage="0" bottom="0" percent="0" rank="0" text="" dxfId="2">
      <formula>"KAZANDI"</formula>
    </cfRule>
    <cfRule type="cellIs" priority="2919" operator="equal" aboveAverage="0" equalAverage="0" bottom="0" percent="0" rank="0" text="" dxfId="0">
      <formula>"KAYBETTİ"</formula>
    </cfRule>
  </conditionalFormatting>
  <conditionalFormatting sqref="G978">
    <cfRule type="cellIs" priority="2920" operator="equal" aboveAverage="0" equalAverage="0" bottom="0" percent="0" rank="0" text="" dxfId="1">
      <formula>"EVET"</formula>
    </cfRule>
  </conditionalFormatting>
  <conditionalFormatting sqref="H979">
    <cfRule type="cellIs" priority="2921" operator="equal" aboveAverage="0" equalAverage="0" bottom="0" percent="0" rank="0" text="" dxfId="2">
      <formula>"KAZANDI"</formula>
    </cfRule>
    <cfRule type="cellIs" priority="2922" operator="equal" aboveAverage="0" equalAverage="0" bottom="0" percent="0" rank="0" text="" dxfId="0">
      <formula>"KAYBETTİ"</formula>
    </cfRule>
  </conditionalFormatting>
  <conditionalFormatting sqref="G979">
    <cfRule type="cellIs" priority="2923" operator="equal" aboveAverage="0" equalAverage="0" bottom="0" percent="0" rank="0" text="" dxfId="1">
      <formula>"EVET"</formula>
    </cfRule>
  </conditionalFormatting>
  <conditionalFormatting sqref="H980">
    <cfRule type="cellIs" priority="2924" operator="equal" aboveAverage="0" equalAverage="0" bottom="0" percent="0" rank="0" text="" dxfId="2">
      <formula>"KAZANDI"</formula>
    </cfRule>
    <cfRule type="cellIs" priority="2925" operator="equal" aboveAverage="0" equalAverage="0" bottom="0" percent="0" rank="0" text="" dxfId="0">
      <formula>"KAYBETTİ"</formula>
    </cfRule>
  </conditionalFormatting>
  <conditionalFormatting sqref="G980">
    <cfRule type="cellIs" priority="2926" operator="equal" aboveAverage="0" equalAverage="0" bottom="0" percent="0" rank="0" text="" dxfId="1">
      <formula>"EVET"</formula>
    </cfRule>
  </conditionalFormatting>
  <conditionalFormatting sqref="H981">
    <cfRule type="cellIs" priority="2927" operator="equal" aboveAverage="0" equalAverage="0" bottom="0" percent="0" rank="0" text="" dxfId="2">
      <formula>"KAZANDI"</formula>
    </cfRule>
    <cfRule type="cellIs" priority="2928" operator="equal" aboveAverage="0" equalAverage="0" bottom="0" percent="0" rank="0" text="" dxfId="0">
      <formula>"KAYBETTİ"</formula>
    </cfRule>
  </conditionalFormatting>
  <conditionalFormatting sqref="G981">
    <cfRule type="cellIs" priority="2929" operator="equal" aboveAverage="0" equalAverage="0" bottom="0" percent="0" rank="0" text="" dxfId="1">
      <formula>"EVET"</formula>
    </cfRule>
  </conditionalFormatting>
  <conditionalFormatting sqref="H982">
    <cfRule type="cellIs" priority="2930" operator="equal" aboveAverage="0" equalAverage="0" bottom="0" percent="0" rank="0" text="" dxfId="2">
      <formula>"KAZANDI"</formula>
    </cfRule>
    <cfRule type="cellIs" priority="2931" operator="equal" aboveAverage="0" equalAverage="0" bottom="0" percent="0" rank="0" text="" dxfId="0">
      <formula>"KAYBETTİ"</formula>
    </cfRule>
  </conditionalFormatting>
  <conditionalFormatting sqref="G982">
    <cfRule type="cellIs" priority="2932" operator="equal" aboveAverage="0" equalAverage="0" bottom="0" percent="0" rank="0" text="" dxfId="1">
      <formula>"EVET"</formula>
    </cfRule>
  </conditionalFormatting>
  <conditionalFormatting sqref="H983">
    <cfRule type="cellIs" priority="2933" operator="equal" aboveAverage="0" equalAverage="0" bottom="0" percent="0" rank="0" text="" dxfId="2">
      <formula>"KAZANDI"</formula>
    </cfRule>
    <cfRule type="cellIs" priority="2934" operator="equal" aboveAverage="0" equalAverage="0" bottom="0" percent="0" rank="0" text="" dxfId="0">
      <formula>"KAYBETTİ"</formula>
    </cfRule>
  </conditionalFormatting>
  <conditionalFormatting sqref="G983">
    <cfRule type="cellIs" priority="2935" operator="equal" aboveAverage="0" equalAverage="0" bottom="0" percent="0" rank="0" text="" dxfId="1">
      <formula>"EVET"</formula>
    </cfRule>
  </conditionalFormatting>
  <conditionalFormatting sqref="H984">
    <cfRule type="cellIs" priority="2936" operator="equal" aboveAverage="0" equalAverage="0" bottom="0" percent="0" rank="0" text="" dxfId="2">
      <formula>"KAZANDI"</formula>
    </cfRule>
    <cfRule type="cellIs" priority="2937" operator="equal" aboveAverage="0" equalAverage="0" bottom="0" percent="0" rank="0" text="" dxfId="0">
      <formula>"KAYBETTİ"</formula>
    </cfRule>
  </conditionalFormatting>
  <conditionalFormatting sqref="G984">
    <cfRule type="cellIs" priority="2938" operator="equal" aboveAverage="0" equalAverage="0" bottom="0" percent="0" rank="0" text="" dxfId="1">
      <formula>"EVET"</formula>
    </cfRule>
  </conditionalFormatting>
  <conditionalFormatting sqref="H985">
    <cfRule type="cellIs" priority="2939" operator="equal" aboveAverage="0" equalAverage="0" bottom="0" percent="0" rank="0" text="" dxfId="2">
      <formula>"KAZANDI"</formula>
    </cfRule>
    <cfRule type="cellIs" priority="2940" operator="equal" aboveAverage="0" equalAverage="0" bottom="0" percent="0" rank="0" text="" dxfId="0">
      <formula>"KAYBETTİ"</formula>
    </cfRule>
  </conditionalFormatting>
  <conditionalFormatting sqref="G985">
    <cfRule type="cellIs" priority="2941" operator="equal" aboveAverage="0" equalAverage="0" bottom="0" percent="0" rank="0" text="" dxfId="1">
      <formula>"EVET"</formula>
    </cfRule>
  </conditionalFormatting>
  <conditionalFormatting sqref="H986">
    <cfRule type="cellIs" priority="2942" operator="equal" aboveAverage="0" equalAverage="0" bottom="0" percent="0" rank="0" text="" dxfId="2">
      <formula>"KAZANDI"</formula>
    </cfRule>
    <cfRule type="cellIs" priority="2943" operator="equal" aboveAverage="0" equalAverage="0" bottom="0" percent="0" rank="0" text="" dxfId="0">
      <formula>"KAYBETTİ"</formula>
    </cfRule>
  </conditionalFormatting>
  <conditionalFormatting sqref="G986">
    <cfRule type="cellIs" priority="2944" operator="equal" aboveAverage="0" equalAverage="0" bottom="0" percent="0" rank="0" text="" dxfId="1">
      <formula>"EVET"</formula>
    </cfRule>
  </conditionalFormatting>
  <conditionalFormatting sqref="H987">
    <cfRule type="cellIs" priority="2945" operator="equal" aboveAverage="0" equalAverage="0" bottom="0" percent="0" rank="0" text="" dxfId="2">
      <formula>"KAZANDI"</formula>
    </cfRule>
    <cfRule type="cellIs" priority="2946" operator="equal" aboveAverage="0" equalAverage="0" bottom="0" percent="0" rank="0" text="" dxfId="0">
      <formula>"KAYBETTİ"</formula>
    </cfRule>
  </conditionalFormatting>
  <conditionalFormatting sqref="G987">
    <cfRule type="cellIs" priority="2947" operator="equal" aboveAverage="0" equalAverage="0" bottom="0" percent="0" rank="0" text="" dxfId="1">
      <formula>"EVET"</formula>
    </cfRule>
  </conditionalFormatting>
  <conditionalFormatting sqref="H988">
    <cfRule type="cellIs" priority="2948" operator="equal" aboveAverage="0" equalAverage="0" bottom="0" percent="0" rank="0" text="" dxfId="2">
      <formula>"KAZANDI"</formula>
    </cfRule>
    <cfRule type="cellIs" priority="2949" operator="equal" aboveAverage="0" equalAverage="0" bottom="0" percent="0" rank="0" text="" dxfId="0">
      <formula>"KAYBETTİ"</formula>
    </cfRule>
  </conditionalFormatting>
  <conditionalFormatting sqref="G988">
    <cfRule type="cellIs" priority="2950" operator="equal" aboveAverage="0" equalAverage="0" bottom="0" percent="0" rank="0" text="" dxfId="1">
      <formula>"EVET"</formula>
    </cfRule>
  </conditionalFormatting>
  <conditionalFormatting sqref="H989">
    <cfRule type="cellIs" priority="2951" operator="equal" aboveAverage="0" equalAverage="0" bottom="0" percent="0" rank="0" text="" dxfId="2">
      <formula>"KAZANDI"</formula>
    </cfRule>
    <cfRule type="cellIs" priority="2952" operator="equal" aboveAverage="0" equalAverage="0" bottom="0" percent="0" rank="0" text="" dxfId="0">
      <formula>"KAYBETTİ"</formula>
    </cfRule>
  </conditionalFormatting>
  <conditionalFormatting sqref="G989">
    <cfRule type="cellIs" priority="2953" operator="equal" aboveAverage="0" equalAverage="0" bottom="0" percent="0" rank="0" text="" dxfId="1">
      <formula>"EVET"</formula>
    </cfRule>
  </conditionalFormatting>
  <conditionalFormatting sqref="H990">
    <cfRule type="cellIs" priority="2954" operator="equal" aboveAverage="0" equalAverage="0" bottom="0" percent="0" rank="0" text="" dxfId="2">
      <formula>"KAZANDI"</formula>
    </cfRule>
    <cfRule type="cellIs" priority="2955" operator="equal" aboveAverage="0" equalAverage="0" bottom="0" percent="0" rank="0" text="" dxfId="0">
      <formula>"KAYBETTİ"</formula>
    </cfRule>
  </conditionalFormatting>
  <conditionalFormatting sqref="G990">
    <cfRule type="cellIs" priority="2956" operator="equal" aboveAverage="0" equalAverage="0" bottom="0" percent="0" rank="0" text="" dxfId="1">
      <formula>"EVET"</formula>
    </cfRule>
  </conditionalFormatting>
  <conditionalFormatting sqref="H991">
    <cfRule type="cellIs" priority="2957" operator="equal" aboveAverage="0" equalAverage="0" bottom="0" percent="0" rank="0" text="" dxfId="2">
      <formula>"KAZANDI"</formula>
    </cfRule>
    <cfRule type="cellIs" priority="2958" operator="equal" aboveAverage="0" equalAverage="0" bottom="0" percent="0" rank="0" text="" dxfId="0">
      <formula>"KAYBETTİ"</formula>
    </cfRule>
  </conditionalFormatting>
  <conditionalFormatting sqref="G991">
    <cfRule type="cellIs" priority="2959" operator="equal" aboveAverage="0" equalAverage="0" bottom="0" percent="0" rank="0" text="" dxfId="1">
      <formula>"EVET"</formula>
    </cfRule>
  </conditionalFormatting>
  <conditionalFormatting sqref="H992">
    <cfRule type="cellIs" priority="2960" operator="equal" aboveAverage="0" equalAverage="0" bottom="0" percent="0" rank="0" text="" dxfId="2">
      <formula>"KAZANDI"</formula>
    </cfRule>
    <cfRule type="cellIs" priority="2961" operator="equal" aboveAverage="0" equalAverage="0" bottom="0" percent="0" rank="0" text="" dxfId="0">
      <formula>"KAYBETTİ"</formula>
    </cfRule>
  </conditionalFormatting>
  <conditionalFormatting sqref="G992">
    <cfRule type="cellIs" priority="2962" operator="equal" aboveAverage="0" equalAverage="0" bottom="0" percent="0" rank="0" text="" dxfId="1">
      <formula>"EVET"</formula>
    </cfRule>
  </conditionalFormatting>
  <conditionalFormatting sqref="H993">
    <cfRule type="cellIs" priority="2963" operator="equal" aboveAverage="0" equalAverage="0" bottom="0" percent="0" rank="0" text="" dxfId="2">
      <formula>"KAZANDI"</formula>
    </cfRule>
    <cfRule type="cellIs" priority="2964" operator="equal" aboveAverage="0" equalAverage="0" bottom="0" percent="0" rank="0" text="" dxfId="0">
      <formula>"KAYBETTİ"</formula>
    </cfRule>
  </conditionalFormatting>
  <conditionalFormatting sqref="G993">
    <cfRule type="cellIs" priority="2965" operator="equal" aboveAverage="0" equalAverage="0" bottom="0" percent="0" rank="0" text="" dxfId="1">
      <formula>"EVET"</formula>
    </cfRule>
  </conditionalFormatting>
  <conditionalFormatting sqref="H994">
    <cfRule type="cellIs" priority="2966" operator="equal" aboveAverage="0" equalAverage="0" bottom="0" percent="0" rank="0" text="" dxfId="2">
      <formula>"KAZANDI"</formula>
    </cfRule>
    <cfRule type="cellIs" priority="2967" operator="equal" aboveAverage="0" equalAverage="0" bottom="0" percent="0" rank="0" text="" dxfId="0">
      <formula>"KAYBETTİ"</formula>
    </cfRule>
  </conditionalFormatting>
  <conditionalFormatting sqref="G994">
    <cfRule type="cellIs" priority="2968" operator="equal" aboveAverage="0" equalAverage="0" bottom="0" percent="0" rank="0" text="" dxfId="1">
      <formula>"EVET"</formula>
    </cfRule>
  </conditionalFormatting>
  <conditionalFormatting sqref="H995">
    <cfRule type="cellIs" priority="2969" operator="equal" aboveAverage="0" equalAverage="0" bottom="0" percent="0" rank="0" text="" dxfId="2">
      <formula>"KAZANDI"</formula>
    </cfRule>
    <cfRule type="cellIs" priority="2970" operator="equal" aboveAverage="0" equalAverage="0" bottom="0" percent="0" rank="0" text="" dxfId="0">
      <formula>"KAYBETTİ"</formula>
    </cfRule>
  </conditionalFormatting>
  <conditionalFormatting sqref="G995">
    <cfRule type="cellIs" priority="2971" operator="equal" aboveAverage="0" equalAverage="0" bottom="0" percent="0" rank="0" text="" dxfId="1">
      <formula>"EVET"</formula>
    </cfRule>
  </conditionalFormatting>
  <conditionalFormatting sqref="H996">
    <cfRule type="cellIs" priority="2972" operator="equal" aboveAverage="0" equalAverage="0" bottom="0" percent="0" rank="0" text="" dxfId="2">
      <formula>"KAZANDI"</formula>
    </cfRule>
    <cfRule type="cellIs" priority="2973" operator="equal" aboveAverage="0" equalAverage="0" bottom="0" percent="0" rank="0" text="" dxfId="0">
      <formula>"KAYBETTİ"</formula>
    </cfRule>
  </conditionalFormatting>
  <conditionalFormatting sqref="G996">
    <cfRule type="cellIs" priority="2974" operator="equal" aboveAverage="0" equalAverage="0" bottom="0" percent="0" rank="0" text="" dxfId="1">
      <formula>"EVET"</formula>
    </cfRule>
  </conditionalFormatting>
  <conditionalFormatting sqref="H997">
    <cfRule type="cellIs" priority="2975" operator="equal" aboveAverage="0" equalAverage="0" bottom="0" percent="0" rank="0" text="" dxfId="2">
      <formula>"KAZANDI"</formula>
    </cfRule>
    <cfRule type="cellIs" priority="2976" operator="equal" aboveAverage="0" equalAverage="0" bottom="0" percent="0" rank="0" text="" dxfId="0">
      <formula>"KAYBETTİ"</formula>
    </cfRule>
  </conditionalFormatting>
  <conditionalFormatting sqref="G997">
    <cfRule type="cellIs" priority="2977" operator="equal" aboveAverage="0" equalAverage="0" bottom="0" percent="0" rank="0" text="" dxfId="1">
      <formula>"EVET"</formula>
    </cfRule>
  </conditionalFormatting>
  <conditionalFormatting sqref="H998">
    <cfRule type="cellIs" priority="2978" operator="equal" aboveAverage="0" equalAverage="0" bottom="0" percent="0" rank="0" text="" dxfId="2">
      <formula>"KAZANDI"</formula>
    </cfRule>
    <cfRule type="cellIs" priority="2979" operator="equal" aboveAverage="0" equalAverage="0" bottom="0" percent="0" rank="0" text="" dxfId="0">
      <formula>"KAYBETTİ"</formula>
    </cfRule>
  </conditionalFormatting>
  <conditionalFormatting sqref="G998">
    <cfRule type="cellIs" priority="2980" operator="equal" aboveAverage="0" equalAverage="0" bottom="0" percent="0" rank="0" text="" dxfId="1">
      <formula>"EVET"</formula>
    </cfRule>
  </conditionalFormatting>
  <conditionalFormatting sqref="H999">
    <cfRule type="cellIs" priority="2981" operator="equal" aboveAverage="0" equalAverage="0" bottom="0" percent="0" rank="0" text="" dxfId="2">
      <formula>"KAZANDI"</formula>
    </cfRule>
    <cfRule type="cellIs" priority="2982" operator="equal" aboveAverage="0" equalAverage="0" bottom="0" percent="0" rank="0" text="" dxfId="0">
      <formula>"KAYBETTİ"</formula>
    </cfRule>
  </conditionalFormatting>
  <conditionalFormatting sqref="G999">
    <cfRule type="cellIs" priority="2983" operator="equal" aboveAverage="0" equalAverage="0" bottom="0" percent="0" rank="0" text="" dxfId="1">
      <formula>"EVET"</formula>
    </cfRule>
  </conditionalFormatting>
  <conditionalFormatting sqref="H1000">
    <cfRule type="cellIs" priority="2984" operator="equal" aboveAverage="0" equalAverage="0" bottom="0" percent="0" rank="0" text="" dxfId="2">
      <formula>"KAZANDI"</formula>
    </cfRule>
    <cfRule type="cellIs" priority="2985" operator="equal" aboveAverage="0" equalAverage="0" bottom="0" percent="0" rank="0" text="" dxfId="0">
      <formula>"KAYBETTİ"</formula>
    </cfRule>
  </conditionalFormatting>
  <conditionalFormatting sqref="G1000">
    <cfRule type="cellIs" priority="2986" operator="equal" aboveAverage="0" equalAverage="0" bottom="0" percent="0" rank="0" text="" dxfId="1">
      <formula>"EVET"</formula>
    </cfRule>
  </conditionalFormatting>
  <conditionalFormatting sqref="H1001">
    <cfRule type="cellIs" priority="2987" operator="equal" aboveAverage="0" equalAverage="0" bottom="0" percent="0" rank="0" text="" dxfId="2">
      <formula>"KAZANDI"</formula>
    </cfRule>
    <cfRule type="cellIs" priority="2988" operator="equal" aboveAverage="0" equalAverage="0" bottom="0" percent="0" rank="0" text="" dxfId="0">
      <formula>"KAYBETTİ"</formula>
    </cfRule>
  </conditionalFormatting>
  <conditionalFormatting sqref="G1001">
    <cfRule type="cellIs" priority="2989" operator="equal" aboveAverage="0" equalAverage="0" bottom="0" percent="0" rank="0" text="" dxfId="1">
      <formula>"EVET"</formula>
    </cfRule>
  </conditionalFormatting>
  <conditionalFormatting sqref="H1002">
    <cfRule type="cellIs" priority="2990" operator="equal" aboveAverage="0" equalAverage="0" bottom="0" percent="0" rank="0" text="" dxfId="2">
      <formula>"KAZANDI"</formula>
    </cfRule>
    <cfRule type="cellIs" priority="2991" operator="equal" aboveAverage="0" equalAverage="0" bottom="0" percent="0" rank="0" text="" dxfId="0">
      <formula>"KAYBETTİ"</formula>
    </cfRule>
  </conditionalFormatting>
  <conditionalFormatting sqref="G1002">
    <cfRule type="cellIs" priority="2992" operator="equal" aboveAverage="0" equalAverage="0" bottom="0" percent="0" rank="0" text="" dxfId="1">
      <formula>"EVET"</formula>
    </cfRule>
  </conditionalFormatting>
  <conditionalFormatting sqref="H1003">
    <cfRule type="cellIs" priority="2993" operator="equal" aboveAverage="0" equalAverage="0" bottom="0" percent="0" rank="0" text="" dxfId="2">
      <formula>"KAZANDI"</formula>
    </cfRule>
    <cfRule type="cellIs" priority="2994" operator="equal" aboveAverage="0" equalAverage="0" bottom="0" percent="0" rank="0" text="" dxfId="0">
      <formula>"KAYBETTİ"</formula>
    </cfRule>
  </conditionalFormatting>
  <conditionalFormatting sqref="G1003">
    <cfRule type="cellIs" priority="2995" operator="equal" aboveAverage="0" equalAverage="0" bottom="0" percent="0" rank="0" text="" dxfId="1">
      <formula>"EVET"</formula>
    </cfRule>
  </conditionalFormatting>
  <dataValidations count="1">
    <dataValidation allowBlank="true" error="Tutar 1 ₺'den büyük olmalı." errorStyle="stop" errorTitle="Geçersiz tutar" operator="greaterThan" prompt="TL olarak pozitif tutar girin." promptTitle="Tutar (₺)" showDropDown="false" showErrorMessage="true" showInputMessage="true" sqref="C6:F1004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8"/>
  </cols>
  <sheetData>
    <row r="1" customFormat="false" ht="25.5" hidden="false" customHeight="true" outlineLevel="0" collapsed="false">
      <c r="A1" s="12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79</v>
      </c>
    </row>
    <row r="5" customFormat="false" ht="30" hidden="false" customHeight="true" outlineLevel="0" collapsed="false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</row>
    <row r="6" customFormat="false" ht="15" hidden="false" customHeight="false" outlineLevel="0" collapsed="false">
      <c r="A6" s="21" t="s">
        <v>85</v>
      </c>
      <c r="B6" s="21" t="s">
        <v>86</v>
      </c>
      <c r="C6" s="27" t="n">
        <v>15000</v>
      </c>
      <c r="D6" s="22" t="n">
        <v>150</v>
      </c>
      <c r="E6" s="28" t="n">
        <f aca="false">IF(OR($A6="",$C6="",$D6=""),"",$C6*$D6)</f>
        <v>2250000</v>
      </c>
    </row>
    <row r="7" customFormat="false" ht="15" hidden="false" customHeight="false" outlineLevel="0" collapsed="false">
      <c r="A7" s="21" t="s">
        <v>87</v>
      </c>
      <c r="B7" s="21" t="s">
        <v>88</v>
      </c>
      <c r="C7" s="27" t="n">
        <v>20000</v>
      </c>
      <c r="D7" s="22" t="n">
        <v>220</v>
      </c>
      <c r="E7" s="28" t="n">
        <f aca="false">IF(OR($A7="",$C7="",$D7=""),"",$C7*$D7)</f>
        <v>4400000</v>
      </c>
    </row>
    <row r="8" customFormat="false" ht="15" hidden="false" customHeight="false" outlineLevel="0" collapsed="false">
      <c r="A8" s="21" t="s">
        <v>89</v>
      </c>
      <c r="B8" s="21" t="s">
        <v>90</v>
      </c>
      <c r="C8" s="27" t="n">
        <v>8000</v>
      </c>
      <c r="D8" s="22" t="n">
        <v>950</v>
      </c>
      <c r="E8" s="28" t="n">
        <f aca="false">IF(OR($A8="",$C8="",$D8=""),"",$C8*$D8)</f>
        <v>7600000</v>
      </c>
    </row>
    <row r="9" customFormat="false" ht="15" hidden="false" customHeight="false" outlineLevel="0" collapsed="false">
      <c r="A9" s="21" t="s">
        <v>91</v>
      </c>
      <c r="B9" s="21" t="s">
        <v>92</v>
      </c>
      <c r="C9" s="27" t="n">
        <v>2</v>
      </c>
      <c r="D9" s="22" t="n">
        <v>750000</v>
      </c>
      <c r="E9" s="28" t="n">
        <f aca="false">IF(OR($A9="",$C9="",$D9=""),"",$C9*$D9)</f>
        <v>1500000</v>
      </c>
    </row>
    <row r="10" customFormat="false" ht="15" hidden="false" customHeight="false" outlineLevel="0" collapsed="false">
      <c r="A10" s="21" t="s">
        <v>93</v>
      </c>
      <c r="B10" s="21" t="s">
        <v>92</v>
      </c>
      <c r="C10" s="27" t="n">
        <v>30</v>
      </c>
      <c r="D10" s="22" t="n">
        <v>60000</v>
      </c>
      <c r="E10" s="28" t="n">
        <f aca="false">IF(OR($A10="",$C10="",$D10=""),"",$C10*$D10)</f>
        <v>1800000</v>
      </c>
    </row>
    <row r="11" customFormat="false" ht="15" hidden="false" customHeight="false" outlineLevel="0" collapsed="false">
      <c r="A11" s="21" t="s">
        <v>94</v>
      </c>
      <c r="B11" s="21" t="s">
        <v>86</v>
      </c>
      <c r="C11" s="27" t="n">
        <v>12000</v>
      </c>
      <c r="D11" s="22" t="n">
        <v>185</v>
      </c>
      <c r="E11" s="28" t="n">
        <f aca="false">IF(OR($A11="",$C11="",$D11=""),"",$C11*$D11)</f>
        <v>2220000</v>
      </c>
    </row>
    <row r="12" customFormat="false" ht="15" hidden="false" customHeight="false" outlineLevel="0" collapsed="false">
      <c r="A12" s="21" t="s">
        <v>95</v>
      </c>
      <c r="B12" s="21" t="s">
        <v>92</v>
      </c>
      <c r="C12" s="27" t="n">
        <v>260</v>
      </c>
      <c r="D12" s="22" t="n">
        <v>2800</v>
      </c>
      <c r="E12" s="28" t="n">
        <f aca="false">IF(OR($A12="",$C12="",$D12=""),"",$C12*$D12)</f>
        <v>728000</v>
      </c>
    </row>
    <row r="13" customFormat="false" ht="15" hidden="false" customHeight="false" outlineLevel="0" collapsed="false">
      <c r="A13" s="21" t="s">
        <v>96</v>
      </c>
      <c r="B13" s="21" t="s">
        <v>92</v>
      </c>
      <c r="C13" s="27" t="n">
        <v>1500</v>
      </c>
      <c r="D13" s="22" t="n">
        <v>240</v>
      </c>
      <c r="E13" s="28" t="n">
        <f aca="false">IF(OR($A13="",$C13="",$D13=""),"",$C13*$D13)</f>
        <v>360000</v>
      </c>
    </row>
    <row r="14" customFormat="false" ht="15" hidden="false" customHeight="false" outlineLevel="0" collapsed="false">
      <c r="A14" s="21" t="s">
        <v>97</v>
      </c>
      <c r="B14" s="21" t="s">
        <v>86</v>
      </c>
      <c r="C14" s="27" t="n">
        <v>9000</v>
      </c>
      <c r="D14" s="22" t="n">
        <v>320</v>
      </c>
      <c r="E14" s="28" t="n">
        <f aca="false">IF(OR($A14="",$C14="",$D14=""),"",$C14*$D14)</f>
        <v>2880000</v>
      </c>
    </row>
    <row r="15" customFormat="false" ht="15" hidden="false" customHeight="false" outlineLevel="0" collapsed="false">
      <c r="A15" s="21" t="s">
        <v>98</v>
      </c>
      <c r="B15" s="21" t="s">
        <v>92</v>
      </c>
      <c r="C15" s="27" t="n">
        <v>18</v>
      </c>
      <c r="D15" s="22" t="n">
        <v>95000</v>
      </c>
      <c r="E15" s="28" t="n">
        <f aca="false">IF(OR($A15="",$C15="",$D15=""),"",$C15*$D15)</f>
        <v>1710000</v>
      </c>
    </row>
    <row r="16" customFormat="false" ht="15" hidden="false" customHeight="false" outlineLevel="0" collapsed="false">
      <c r="A16" s="21" t="s">
        <v>99</v>
      </c>
      <c r="B16" s="21" t="s">
        <v>100</v>
      </c>
      <c r="C16" s="27" t="n">
        <v>7500</v>
      </c>
      <c r="D16" s="22" t="n">
        <v>145</v>
      </c>
      <c r="E16" s="28" t="n">
        <f aca="false">IF(OR($A16="",$C16="",$D16=""),"",$C16*$D16)</f>
        <v>1087500</v>
      </c>
    </row>
    <row r="17" customFormat="false" ht="15" hidden="false" customHeight="false" outlineLevel="0" collapsed="false">
      <c r="A17" s="21" t="s">
        <v>101</v>
      </c>
      <c r="B17" s="21" t="s">
        <v>86</v>
      </c>
      <c r="C17" s="27" t="n">
        <v>6000</v>
      </c>
      <c r="D17" s="22" t="n">
        <v>210</v>
      </c>
      <c r="E17" s="28" t="n">
        <f aca="false">IF(OR($A17="",$C17="",$D17=""),"",$C17*$D17)</f>
        <v>1260000</v>
      </c>
    </row>
    <row r="18" customFormat="false" ht="15" hidden="false" customHeight="false" outlineLevel="0" collapsed="false">
      <c r="A18" s="23"/>
      <c r="B18" s="23"/>
      <c r="C18" s="23"/>
      <c r="D18" s="23"/>
      <c r="E18" s="28" t="str">
        <f aca="false">IF(OR($A18="",$C18="",$D18=""),"",$C18*$D18)</f>
        <v/>
      </c>
    </row>
    <row r="19" customFormat="false" ht="15" hidden="false" customHeight="false" outlineLevel="0" collapsed="false">
      <c r="A19" s="23"/>
      <c r="B19" s="23"/>
      <c r="C19" s="23"/>
      <c r="D19" s="23"/>
      <c r="E19" s="28" t="str">
        <f aca="false">IF(OR($A19="",$C19="",$D19=""),"",$C19*$D19)</f>
        <v/>
      </c>
    </row>
    <row r="20" customFormat="false" ht="15" hidden="false" customHeight="false" outlineLevel="0" collapsed="false">
      <c r="A20" s="23"/>
      <c r="B20" s="23"/>
      <c r="C20" s="23"/>
      <c r="D20" s="23"/>
      <c r="E20" s="28" t="str">
        <f aca="false">IF(OR($A20="",$C20="",$D20=""),"",$C20*$D20)</f>
        <v/>
      </c>
    </row>
    <row r="21" customFormat="false" ht="15" hidden="false" customHeight="false" outlineLevel="0" collapsed="false">
      <c r="A21" s="23"/>
      <c r="B21" s="23"/>
      <c r="C21" s="23"/>
      <c r="D21" s="23"/>
      <c r="E21" s="28" t="str">
        <f aca="false">IF(OR($A21="",$C21="",$D21=""),"",$C21*$D21)</f>
        <v/>
      </c>
    </row>
    <row r="22" customFormat="false" ht="15" hidden="false" customHeight="false" outlineLevel="0" collapsed="false">
      <c r="A22" s="23"/>
      <c r="B22" s="23"/>
      <c r="C22" s="23"/>
      <c r="D22" s="23"/>
      <c r="E22" s="28" t="str">
        <f aca="false">IF(OR($A22="",$C22="",$D22=""),"",$C22*$D22)</f>
        <v/>
      </c>
    </row>
    <row r="23" customFormat="false" ht="15" hidden="false" customHeight="false" outlineLevel="0" collapsed="false">
      <c r="A23" s="23"/>
      <c r="B23" s="23"/>
      <c r="C23" s="23"/>
      <c r="D23" s="23"/>
      <c r="E23" s="28" t="str">
        <f aca="false">IF(OR($A23="",$C23="",$D23=""),"",$C23*$D23)</f>
        <v/>
      </c>
    </row>
    <row r="24" customFormat="false" ht="15" hidden="false" customHeight="false" outlineLevel="0" collapsed="false">
      <c r="A24" s="23"/>
      <c r="B24" s="23"/>
      <c r="C24" s="23"/>
      <c r="D24" s="23"/>
      <c r="E24" s="28" t="str">
        <f aca="false">IF(OR($A24="",$C24="",$D24=""),"",$C24*$D24)</f>
        <v/>
      </c>
    </row>
    <row r="25" customFormat="false" ht="15" hidden="false" customHeight="false" outlineLevel="0" collapsed="false">
      <c r="A25" s="23"/>
      <c r="B25" s="23"/>
      <c r="C25" s="23"/>
      <c r="D25" s="23"/>
      <c r="E25" s="28" t="str">
        <f aca="false">IF(OR($A25="",$C25="",$D25=""),"",$C25*$D25)</f>
        <v/>
      </c>
    </row>
    <row r="26" customFormat="false" ht="15" hidden="false" customHeight="false" outlineLevel="0" collapsed="false">
      <c r="A26" s="23"/>
      <c r="B26" s="23"/>
      <c r="C26" s="23"/>
      <c r="D26" s="23"/>
      <c r="E26" s="28" t="str">
        <f aca="false">IF(OR($A26="",$C26="",$D26=""),"",$C26*$D26)</f>
        <v/>
      </c>
    </row>
    <row r="27" customFormat="false" ht="15" hidden="false" customHeight="false" outlineLevel="0" collapsed="false">
      <c r="A27" s="23"/>
      <c r="B27" s="23"/>
      <c r="C27" s="23"/>
      <c r="D27" s="23"/>
      <c r="E27" s="28" t="str">
        <f aca="false">IF(OR($A27="",$C27="",$D27=""),"",$C27*$D27)</f>
        <v/>
      </c>
    </row>
    <row r="28" customFormat="false" ht="15" hidden="false" customHeight="false" outlineLevel="0" collapsed="false">
      <c r="A28" s="23"/>
      <c r="B28" s="23"/>
      <c r="C28" s="23"/>
      <c r="D28" s="23"/>
      <c r="E28" s="28" t="str">
        <f aca="false">IF(OR($A28="",$C28="",$D28=""),"",$C28*$D28)</f>
        <v/>
      </c>
    </row>
    <row r="29" customFormat="false" ht="15" hidden="false" customHeight="false" outlineLevel="0" collapsed="false">
      <c r="A29" s="23"/>
      <c r="B29" s="23"/>
      <c r="C29" s="23"/>
      <c r="D29" s="23"/>
      <c r="E29" s="28" t="str">
        <f aca="false">IF(OR($A29="",$C29="",$D29=""),"",$C29*$D29)</f>
        <v/>
      </c>
    </row>
    <row r="30" customFormat="false" ht="15" hidden="false" customHeight="false" outlineLevel="0" collapsed="false">
      <c r="A30" s="23"/>
      <c r="B30" s="23"/>
      <c r="C30" s="23"/>
      <c r="D30" s="23"/>
      <c r="E30" s="28" t="str">
        <f aca="false">IF(OR($A30="",$C30="",$D30=""),"",$C30*$D30)</f>
        <v/>
      </c>
    </row>
    <row r="31" customFormat="false" ht="15" hidden="false" customHeight="false" outlineLevel="0" collapsed="false">
      <c r="A31" s="23"/>
      <c r="B31" s="23"/>
      <c r="C31" s="23"/>
      <c r="D31" s="23"/>
      <c r="E31" s="28" t="str">
        <f aca="false">IF(OR($A31="",$C31="",$D31=""),"",$C31*$D31)</f>
        <v/>
      </c>
    </row>
    <row r="32" customFormat="false" ht="15" hidden="false" customHeight="false" outlineLevel="0" collapsed="false">
      <c r="A32" s="23"/>
      <c r="B32" s="23"/>
      <c r="C32" s="23"/>
      <c r="D32" s="23"/>
      <c r="E32" s="28" t="str">
        <f aca="false">IF(OR($A32="",$C32="",$D32=""),"",$C32*$D32)</f>
        <v/>
      </c>
    </row>
    <row r="33" customFormat="false" ht="15" hidden="false" customHeight="false" outlineLevel="0" collapsed="false">
      <c r="A33" s="23"/>
      <c r="B33" s="23"/>
      <c r="C33" s="23"/>
      <c r="D33" s="23"/>
      <c r="E33" s="28" t="str">
        <f aca="false">IF(OR($A33="",$C33="",$D33=""),"",$C33*$D33)</f>
        <v/>
      </c>
    </row>
    <row r="34" customFormat="false" ht="15" hidden="false" customHeight="false" outlineLevel="0" collapsed="false">
      <c r="A34" s="23"/>
      <c r="B34" s="23"/>
      <c r="C34" s="23"/>
      <c r="D34" s="23"/>
      <c r="E34" s="28" t="str">
        <f aca="false">IF(OR($A34="",$C34="",$D34=""),"",$C34*$D34)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8" t="str">
        <f aca="false">IF(OR($A35="",$C35="",$D35=""),"",$C35*$D35)</f>
        <v/>
      </c>
    </row>
    <row r="36" customFormat="false" ht="15" hidden="false" customHeight="false" outlineLevel="0" collapsed="false">
      <c r="A36" s="23"/>
      <c r="B36" s="23"/>
      <c r="C36" s="23"/>
      <c r="D36" s="23"/>
      <c r="E36" s="28" t="str">
        <f aca="false">IF(OR($A36="",$C36="",$D36=""),"",$C36*$D36)</f>
        <v/>
      </c>
    </row>
    <row r="37" customFormat="false" ht="15" hidden="false" customHeight="false" outlineLevel="0" collapsed="false">
      <c r="A37" s="23"/>
      <c r="B37" s="23"/>
      <c r="C37" s="23"/>
      <c r="D37" s="23"/>
      <c r="E37" s="28" t="str">
        <f aca="false">IF(OR($A37="",$C37="",$D37=""),"",$C37*$D37)</f>
        <v/>
      </c>
    </row>
    <row r="38" customFormat="false" ht="15" hidden="false" customHeight="false" outlineLevel="0" collapsed="false">
      <c r="A38" s="23"/>
      <c r="B38" s="23"/>
      <c r="C38" s="23"/>
      <c r="D38" s="23"/>
      <c r="E38" s="28" t="str">
        <f aca="false">IF(OR($A38="",$C38="",$D38=""),"",$C38*$D38)</f>
        <v/>
      </c>
    </row>
    <row r="39" customFormat="false" ht="15" hidden="false" customHeight="false" outlineLevel="0" collapsed="false">
      <c r="A39" s="23"/>
      <c r="B39" s="23"/>
      <c r="C39" s="23"/>
      <c r="D39" s="23"/>
      <c r="E39" s="28" t="str">
        <f aca="false">IF(OR($A39="",$C39="",$D39=""),"",$C39*$D39)</f>
        <v/>
      </c>
    </row>
    <row r="40" customFormat="false" ht="15" hidden="false" customHeight="false" outlineLevel="0" collapsed="false">
      <c r="A40" s="23"/>
      <c r="B40" s="23"/>
      <c r="C40" s="23"/>
      <c r="D40" s="23"/>
      <c r="E40" s="28" t="str">
        <f aca="false">IF(OR($A40="",$C40="",$D40=""),"",$C40*$D40)</f>
        <v/>
      </c>
    </row>
    <row r="41" customFormat="false" ht="15" hidden="false" customHeight="false" outlineLevel="0" collapsed="false">
      <c r="A41" s="23"/>
      <c r="B41" s="23"/>
      <c r="C41" s="23"/>
      <c r="D41" s="23"/>
      <c r="E41" s="28" t="str">
        <f aca="false">IF(OR($A41="",$C41="",$D41=""),"",$C41*$D41)</f>
        <v/>
      </c>
    </row>
    <row r="42" customFormat="false" ht="15" hidden="false" customHeight="false" outlineLevel="0" collapsed="false">
      <c r="A42" s="23"/>
      <c r="B42" s="23"/>
      <c r="C42" s="23"/>
      <c r="D42" s="23"/>
      <c r="E42" s="28" t="str">
        <f aca="false">IF(OR($A42="",$C42="",$D42=""),"",$C42*$D42)</f>
        <v/>
      </c>
    </row>
    <row r="43" customFormat="false" ht="15" hidden="false" customHeight="false" outlineLevel="0" collapsed="false">
      <c r="A43" s="23"/>
      <c r="B43" s="23"/>
      <c r="C43" s="23"/>
      <c r="D43" s="23"/>
      <c r="E43" s="28" t="str">
        <f aca="false">IF(OR($A43="",$C43="",$D43=""),"",$C43*$D43)</f>
        <v/>
      </c>
    </row>
    <row r="44" customFormat="false" ht="15" hidden="false" customHeight="false" outlineLevel="0" collapsed="false">
      <c r="A44" s="23"/>
      <c r="B44" s="23"/>
      <c r="C44" s="23"/>
      <c r="D44" s="23"/>
      <c r="E44" s="28" t="str">
        <f aca="false">IF(OR($A44="",$C44="",$D44=""),"",$C44*$D44)</f>
        <v/>
      </c>
    </row>
    <row r="45" customFormat="false" ht="15" hidden="false" customHeight="false" outlineLevel="0" collapsed="false">
      <c r="A45" s="23"/>
      <c r="B45" s="23"/>
      <c r="C45" s="23"/>
      <c r="D45" s="23"/>
      <c r="E45" s="28" t="str">
        <f aca="false">IF(OR($A45="",$C45="",$D45=""),"",$C45*$D45)</f>
        <v/>
      </c>
    </row>
    <row r="46" customFormat="false" ht="15" hidden="false" customHeight="false" outlineLevel="0" collapsed="false">
      <c r="A46" s="23"/>
      <c r="B46" s="23"/>
      <c r="C46" s="23"/>
      <c r="D46" s="23"/>
      <c r="E46" s="28" t="str">
        <f aca="false">IF(OR($A46="",$C46="",$D46=""),"",$C46*$D46)</f>
        <v/>
      </c>
    </row>
    <row r="47" customFormat="false" ht="15" hidden="false" customHeight="false" outlineLevel="0" collapsed="false">
      <c r="A47" s="23"/>
      <c r="B47" s="23"/>
      <c r="C47" s="23"/>
      <c r="D47" s="23"/>
      <c r="E47" s="28" t="str">
        <f aca="false">IF(OR($A47="",$C47="",$D47=""),"",$C47*$D47)</f>
        <v/>
      </c>
    </row>
    <row r="48" customFormat="false" ht="15" hidden="false" customHeight="false" outlineLevel="0" collapsed="false">
      <c r="A48" s="23"/>
      <c r="B48" s="23"/>
      <c r="C48" s="23"/>
      <c r="D48" s="23"/>
      <c r="E48" s="28" t="str">
        <f aca="false">IF(OR($A48="",$C48="",$D48=""),"",$C48*$D48)</f>
        <v/>
      </c>
    </row>
    <row r="49" customFormat="false" ht="15" hidden="false" customHeight="false" outlineLevel="0" collapsed="false">
      <c r="A49" s="23"/>
      <c r="B49" s="23"/>
      <c r="C49" s="23"/>
      <c r="D49" s="23"/>
      <c r="E49" s="28" t="str">
        <f aca="false">IF(OR($A49="",$C49="",$D49=""),"",$C49*$D49)</f>
        <v/>
      </c>
    </row>
    <row r="50" customFormat="false" ht="15" hidden="false" customHeight="false" outlineLevel="0" collapsed="false">
      <c r="A50" s="23"/>
      <c r="B50" s="23"/>
      <c r="C50" s="23"/>
      <c r="D50" s="23"/>
      <c r="E50" s="28" t="str">
        <f aca="false">IF(OR($A50="",$C50="",$D50=""),"",$C50*$D50)</f>
        <v/>
      </c>
    </row>
    <row r="51" customFormat="false" ht="15" hidden="false" customHeight="false" outlineLevel="0" collapsed="false">
      <c r="A51" s="23"/>
      <c r="B51" s="23"/>
      <c r="C51" s="23"/>
      <c r="D51" s="23"/>
      <c r="E51" s="28" t="str">
        <f aca="false">IF(OR($A51="",$C51="",$D51=""),"",$C51*$D51)</f>
        <v/>
      </c>
    </row>
    <row r="52" customFormat="false" ht="15" hidden="false" customHeight="false" outlineLevel="0" collapsed="false">
      <c r="A52" s="23"/>
      <c r="B52" s="23"/>
      <c r="C52" s="23"/>
      <c r="D52" s="23"/>
      <c r="E52" s="28" t="str">
        <f aca="false">IF(OR($A52="",$C52="",$D52=""),"",$C52*$D52)</f>
        <v/>
      </c>
    </row>
    <row r="53" customFormat="false" ht="15" hidden="false" customHeight="false" outlineLevel="0" collapsed="false">
      <c r="A53" s="23"/>
      <c r="B53" s="23"/>
      <c r="C53" s="23"/>
      <c r="D53" s="23"/>
      <c r="E53" s="28" t="str">
        <f aca="false">IF(OR($A53="",$C53="",$D53=""),"",$C53*$D53)</f>
        <v/>
      </c>
    </row>
    <row r="54" customFormat="false" ht="15" hidden="false" customHeight="false" outlineLevel="0" collapsed="false">
      <c r="A54" s="23"/>
      <c r="B54" s="23"/>
      <c r="C54" s="23"/>
      <c r="D54" s="23"/>
      <c r="E54" s="28" t="str">
        <f aca="false">IF(OR($A54="",$C54="",$D54=""),"",$C54*$D54)</f>
        <v/>
      </c>
    </row>
    <row r="55" customFormat="false" ht="15" hidden="false" customHeight="false" outlineLevel="0" collapsed="false">
      <c r="A55" s="23"/>
      <c r="B55" s="23"/>
      <c r="C55" s="23"/>
      <c r="D55" s="23"/>
      <c r="E55" s="28" t="str">
        <f aca="false">IF(OR($A55="",$C55="",$D55=""),"",$C55*$D55)</f>
        <v/>
      </c>
    </row>
    <row r="56" customFormat="false" ht="15" hidden="false" customHeight="false" outlineLevel="0" collapsed="false">
      <c r="A56" s="23"/>
      <c r="B56" s="23"/>
      <c r="C56" s="23"/>
      <c r="D56" s="23"/>
      <c r="E56" s="28" t="str">
        <f aca="false">IF(OR($A56="",$C56="",$D56=""),"",$C56*$D56)</f>
        <v/>
      </c>
    </row>
    <row r="57" customFormat="false" ht="15" hidden="false" customHeight="false" outlineLevel="0" collapsed="false">
      <c r="A57" s="23"/>
      <c r="B57" s="23"/>
      <c r="C57" s="23"/>
      <c r="D57" s="23"/>
      <c r="E57" s="28" t="str">
        <f aca="false">IF(OR($A57="",$C57="",$D57=""),"",$C57*$D57)</f>
        <v/>
      </c>
    </row>
    <row r="58" customFormat="false" ht="15" hidden="false" customHeight="false" outlineLevel="0" collapsed="false">
      <c r="A58" s="23"/>
      <c r="B58" s="23"/>
      <c r="C58" s="23"/>
      <c r="D58" s="23"/>
      <c r="E58" s="28" t="str">
        <f aca="false">IF(OR($A58="",$C58="",$D58=""),"",$C58*$D58)</f>
        <v/>
      </c>
    </row>
    <row r="59" customFormat="false" ht="15" hidden="false" customHeight="false" outlineLevel="0" collapsed="false">
      <c r="A59" s="23"/>
      <c r="B59" s="23"/>
      <c r="C59" s="23"/>
      <c r="D59" s="23"/>
      <c r="E59" s="28" t="str">
        <f aca="false">IF(OR($A59="",$C59="",$D59=""),"",$C59*$D59)</f>
        <v/>
      </c>
    </row>
    <row r="60" customFormat="false" ht="15" hidden="false" customHeight="false" outlineLevel="0" collapsed="false">
      <c r="A60" s="23"/>
      <c r="B60" s="23"/>
      <c r="C60" s="23"/>
      <c r="D60" s="23"/>
      <c r="E60" s="28" t="str">
        <f aca="false">IF(OR($A60="",$C60="",$D60=""),"",$C60*$D60)</f>
        <v/>
      </c>
    </row>
    <row r="61" customFormat="false" ht="15" hidden="false" customHeight="false" outlineLevel="0" collapsed="false">
      <c r="A61" s="23"/>
      <c r="B61" s="23"/>
      <c r="C61" s="23"/>
      <c r="D61" s="23"/>
      <c r="E61" s="28" t="str">
        <f aca="false">IF(OR($A61="",$C61="",$D61=""),"",$C61*$D61)</f>
        <v/>
      </c>
    </row>
    <row r="62" customFormat="false" ht="15" hidden="false" customHeight="false" outlineLevel="0" collapsed="false">
      <c r="A62" s="23"/>
      <c r="B62" s="23"/>
      <c r="C62" s="23"/>
      <c r="D62" s="23"/>
      <c r="E62" s="28" t="str">
        <f aca="false">IF(OR($A62="",$C62="",$D62=""),"",$C62*$D62)</f>
        <v/>
      </c>
    </row>
    <row r="63" customFormat="false" ht="15" hidden="false" customHeight="false" outlineLevel="0" collapsed="false">
      <c r="A63" s="23"/>
      <c r="B63" s="23"/>
      <c r="C63" s="23"/>
      <c r="D63" s="23"/>
      <c r="E63" s="28" t="str">
        <f aca="false">IF(OR($A63="",$C63="",$D63=""),"",$C63*$D63)</f>
        <v/>
      </c>
    </row>
    <row r="64" customFormat="false" ht="15" hidden="false" customHeight="false" outlineLevel="0" collapsed="false">
      <c r="A64" s="23"/>
      <c r="B64" s="23"/>
      <c r="C64" s="23"/>
      <c r="D64" s="23"/>
      <c r="E64" s="28" t="str">
        <f aca="false">IF(OR($A64="",$C64="",$D64=""),"",$C64*$D64)</f>
        <v/>
      </c>
    </row>
    <row r="65" customFormat="false" ht="15" hidden="false" customHeight="false" outlineLevel="0" collapsed="false">
      <c r="A65" s="23"/>
      <c r="B65" s="23"/>
      <c r="C65" s="23"/>
      <c r="D65" s="23"/>
      <c r="E65" s="28" t="str">
        <f aca="false">IF(OR($A65="",$C65="",$D65=""),"",$C65*$D65)</f>
        <v/>
      </c>
    </row>
    <row r="66" customFormat="false" ht="15" hidden="false" customHeight="false" outlineLevel="0" collapsed="false">
      <c r="A66" s="23"/>
      <c r="B66" s="23"/>
      <c r="C66" s="23"/>
      <c r="D66" s="23"/>
      <c r="E66" s="28" t="str">
        <f aca="false">IF(OR($A66="",$C66="",$D66=""),"",$C66*$D66)</f>
        <v/>
      </c>
    </row>
    <row r="67" customFormat="false" ht="15" hidden="false" customHeight="false" outlineLevel="0" collapsed="false">
      <c r="A67" s="23"/>
      <c r="B67" s="23"/>
      <c r="C67" s="23"/>
      <c r="D67" s="23"/>
      <c r="E67" s="28" t="str">
        <f aca="false">IF(OR($A67="",$C67="",$D67=""),"",$C67*$D67)</f>
        <v/>
      </c>
    </row>
    <row r="68" customFormat="false" ht="15" hidden="false" customHeight="false" outlineLevel="0" collapsed="false">
      <c r="A68" s="23"/>
      <c r="B68" s="23"/>
      <c r="C68" s="23"/>
      <c r="D68" s="23"/>
      <c r="E68" s="28" t="str">
        <f aca="false">IF(OR($A68="",$C68="",$D68=""),"",$C68*$D68)</f>
        <v/>
      </c>
    </row>
    <row r="69" customFormat="false" ht="15" hidden="false" customHeight="false" outlineLevel="0" collapsed="false">
      <c r="A69" s="23"/>
      <c r="B69" s="23"/>
      <c r="C69" s="23"/>
      <c r="D69" s="23"/>
      <c r="E69" s="28" t="str">
        <f aca="false">IF(OR($A69="",$C69="",$D69=""),"",$C69*$D69)</f>
        <v/>
      </c>
    </row>
    <row r="70" customFormat="false" ht="15" hidden="false" customHeight="false" outlineLevel="0" collapsed="false">
      <c r="A70" s="23"/>
      <c r="B70" s="23"/>
      <c r="C70" s="23"/>
      <c r="D70" s="23"/>
      <c r="E70" s="28" t="str">
        <f aca="false">IF(OR($A70="",$C70="",$D70=""),"",$C70*$D70)</f>
        <v/>
      </c>
    </row>
    <row r="71" customFormat="false" ht="15" hidden="false" customHeight="false" outlineLevel="0" collapsed="false">
      <c r="A71" s="23"/>
      <c r="B71" s="23"/>
      <c r="C71" s="23"/>
      <c r="D71" s="23"/>
      <c r="E71" s="28" t="str">
        <f aca="false">IF(OR($A71="",$C71="",$D71=""),"",$C71*$D71)</f>
        <v/>
      </c>
    </row>
    <row r="72" customFormat="false" ht="15" hidden="false" customHeight="false" outlineLevel="0" collapsed="false">
      <c r="A72" s="23"/>
      <c r="B72" s="23"/>
      <c r="C72" s="23"/>
      <c r="D72" s="23"/>
      <c r="E72" s="28" t="str">
        <f aca="false">IF(OR($A72="",$C72="",$D72=""),"",$C72*$D72)</f>
        <v/>
      </c>
    </row>
    <row r="73" customFormat="false" ht="15" hidden="false" customHeight="false" outlineLevel="0" collapsed="false">
      <c r="A73" s="23"/>
      <c r="B73" s="23"/>
      <c r="C73" s="23"/>
      <c r="D73" s="23"/>
      <c r="E73" s="28" t="str">
        <f aca="false">IF(OR($A73="",$C73="",$D73=""),"",$C73*$D73)</f>
        <v/>
      </c>
    </row>
    <row r="74" customFormat="false" ht="15" hidden="false" customHeight="false" outlineLevel="0" collapsed="false">
      <c r="A74" s="23"/>
      <c r="B74" s="23"/>
      <c r="C74" s="23"/>
      <c r="D74" s="23"/>
      <c r="E74" s="28" t="str">
        <f aca="false">IF(OR($A74="",$C74="",$D74=""),"",$C74*$D74)</f>
        <v/>
      </c>
    </row>
    <row r="75" customFormat="false" ht="15" hidden="false" customHeight="false" outlineLevel="0" collapsed="false">
      <c r="A75" s="23"/>
      <c r="B75" s="23"/>
      <c r="C75" s="23"/>
      <c r="D75" s="23"/>
      <c r="E75" s="28" t="str">
        <f aca="false">IF(OR($A75="",$C75="",$D75=""),"",$C75*$D75)</f>
        <v/>
      </c>
    </row>
    <row r="76" customFormat="false" ht="15" hidden="false" customHeight="false" outlineLevel="0" collapsed="false">
      <c r="A76" s="23"/>
      <c r="B76" s="23"/>
      <c r="C76" s="23"/>
      <c r="D76" s="23"/>
      <c r="E76" s="28" t="str">
        <f aca="false">IF(OR($A76="",$C76="",$D76=""),"",$C76*$D76)</f>
        <v/>
      </c>
    </row>
    <row r="77" customFormat="false" ht="15" hidden="false" customHeight="false" outlineLevel="0" collapsed="false">
      <c r="A77" s="23"/>
      <c r="B77" s="23"/>
      <c r="C77" s="23"/>
      <c r="D77" s="23"/>
      <c r="E77" s="28" t="str">
        <f aca="false">IF(OR($A77="",$C77="",$D77=""),"",$C77*$D77)</f>
        <v/>
      </c>
    </row>
    <row r="78" customFormat="false" ht="15" hidden="false" customHeight="false" outlineLevel="0" collapsed="false">
      <c r="A78" s="23"/>
      <c r="B78" s="23"/>
      <c r="C78" s="23"/>
      <c r="D78" s="23"/>
      <c r="E78" s="28" t="str">
        <f aca="false">IF(OR($A78="",$C78="",$D78=""),"",$C78*$D78)</f>
        <v/>
      </c>
    </row>
    <row r="79" customFormat="false" ht="15" hidden="false" customHeight="false" outlineLevel="0" collapsed="false">
      <c r="A79" s="23"/>
      <c r="B79" s="23"/>
      <c r="C79" s="23"/>
      <c r="D79" s="23"/>
      <c r="E79" s="28" t="str">
        <f aca="false">IF(OR($A79="",$C79="",$D79=""),"",$C79*$D79)</f>
        <v/>
      </c>
    </row>
    <row r="80" customFormat="false" ht="15" hidden="false" customHeight="false" outlineLevel="0" collapsed="false">
      <c r="A80" s="23"/>
      <c r="B80" s="23"/>
      <c r="C80" s="23"/>
      <c r="D80" s="23"/>
      <c r="E80" s="28" t="str">
        <f aca="false">IF(OR($A80="",$C80="",$D80=""),"",$C80*$D80)</f>
        <v/>
      </c>
    </row>
    <row r="81" customFormat="false" ht="15" hidden="false" customHeight="false" outlineLevel="0" collapsed="false">
      <c r="A81" s="23"/>
      <c r="B81" s="23"/>
      <c r="C81" s="23"/>
      <c r="D81" s="23"/>
      <c r="E81" s="28" t="str">
        <f aca="false">IF(OR($A81="",$C81="",$D81=""),"",$C81*$D81)</f>
        <v/>
      </c>
    </row>
    <row r="82" customFormat="false" ht="15" hidden="false" customHeight="false" outlineLevel="0" collapsed="false">
      <c r="A82" s="23"/>
      <c r="B82" s="23"/>
      <c r="C82" s="23"/>
      <c r="D82" s="23"/>
      <c r="E82" s="28" t="str">
        <f aca="false">IF(OR($A82="",$C82="",$D82=""),"",$C82*$D82)</f>
        <v/>
      </c>
    </row>
    <row r="83" customFormat="false" ht="15" hidden="false" customHeight="false" outlineLevel="0" collapsed="false">
      <c r="A83" s="23"/>
      <c r="B83" s="23"/>
      <c r="C83" s="23"/>
      <c r="D83" s="23"/>
      <c r="E83" s="28" t="str">
        <f aca="false">IF(OR($A83="",$C83="",$D83=""),"",$C83*$D83)</f>
        <v/>
      </c>
    </row>
    <row r="84" customFormat="false" ht="15" hidden="false" customHeight="false" outlineLevel="0" collapsed="false">
      <c r="A84" s="23"/>
      <c r="B84" s="23"/>
      <c r="C84" s="23"/>
      <c r="D84" s="23"/>
      <c r="E84" s="28" t="str">
        <f aca="false">IF(OR($A84="",$C84="",$D84=""),"",$C84*$D84)</f>
        <v/>
      </c>
    </row>
    <row r="85" customFormat="false" ht="15" hidden="false" customHeight="false" outlineLevel="0" collapsed="false">
      <c r="A85" s="23"/>
      <c r="B85" s="23"/>
      <c r="C85" s="23"/>
      <c r="D85" s="23"/>
      <c r="E85" s="28" t="str">
        <f aca="false">IF(OR($A85="",$C85="",$D85=""),"",$C85*$D85)</f>
        <v/>
      </c>
    </row>
    <row r="86" customFormat="false" ht="15" hidden="false" customHeight="false" outlineLevel="0" collapsed="false">
      <c r="A86" s="23"/>
      <c r="B86" s="23"/>
      <c r="C86" s="23"/>
      <c r="D86" s="23"/>
      <c r="E86" s="28" t="str">
        <f aca="false">IF(OR($A86="",$C86="",$D86=""),"",$C86*$D86)</f>
        <v/>
      </c>
    </row>
    <row r="87" customFormat="false" ht="15" hidden="false" customHeight="false" outlineLevel="0" collapsed="false">
      <c r="A87" s="23"/>
      <c r="B87" s="23"/>
      <c r="C87" s="23"/>
      <c r="D87" s="23"/>
      <c r="E87" s="28" t="str">
        <f aca="false">IF(OR($A87="",$C87="",$D87=""),"",$C87*$D87)</f>
        <v/>
      </c>
    </row>
    <row r="88" customFormat="false" ht="15" hidden="false" customHeight="false" outlineLevel="0" collapsed="false">
      <c r="A88" s="23"/>
      <c r="B88" s="23"/>
      <c r="C88" s="23"/>
      <c r="D88" s="23"/>
      <c r="E88" s="28" t="str">
        <f aca="false">IF(OR($A88="",$C88="",$D88=""),"",$C88*$D88)</f>
        <v/>
      </c>
    </row>
    <row r="89" customFormat="false" ht="15" hidden="false" customHeight="false" outlineLevel="0" collapsed="false">
      <c r="A89" s="23"/>
      <c r="B89" s="23"/>
      <c r="C89" s="23"/>
      <c r="D89" s="23"/>
      <c r="E89" s="28" t="str">
        <f aca="false">IF(OR($A89="",$C89="",$D89=""),"",$C89*$D89)</f>
        <v/>
      </c>
    </row>
    <row r="90" customFormat="false" ht="15" hidden="false" customHeight="false" outlineLevel="0" collapsed="false">
      <c r="A90" s="23"/>
      <c r="B90" s="23"/>
      <c r="C90" s="23"/>
      <c r="D90" s="23"/>
      <c r="E90" s="28" t="str">
        <f aca="false">IF(OR($A90="",$C90="",$D90=""),"",$C90*$D90)</f>
        <v/>
      </c>
    </row>
    <row r="91" customFormat="false" ht="15" hidden="false" customHeight="false" outlineLevel="0" collapsed="false">
      <c r="A91" s="23"/>
      <c r="B91" s="23"/>
      <c r="C91" s="23"/>
      <c r="D91" s="23"/>
      <c r="E91" s="28" t="str">
        <f aca="false">IF(OR($A91="",$C91="",$D91=""),"",$C91*$D91)</f>
        <v/>
      </c>
    </row>
    <row r="92" customFormat="false" ht="15" hidden="false" customHeight="false" outlineLevel="0" collapsed="false">
      <c r="A92" s="23"/>
      <c r="B92" s="23"/>
      <c r="C92" s="23"/>
      <c r="D92" s="23"/>
      <c r="E92" s="28" t="str">
        <f aca="false">IF(OR($A92="",$C92="",$D92=""),"",$C92*$D92)</f>
        <v/>
      </c>
    </row>
    <row r="93" customFormat="false" ht="15" hidden="false" customHeight="false" outlineLevel="0" collapsed="false">
      <c r="A93" s="23"/>
      <c r="B93" s="23"/>
      <c r="C93" s="23"/>
      <c r="D93" s="23"/>
      <c r="E93" s="28" t="str">
        <f aca="false">IF(OR($A93="",$C93="",$D93=""),"",$C93*$D93)</f>
        <v/>
      </c>
    </row>
    <row r="94" customFormat="false" ht="15" hidden="false" customHeight="false" outlineLevel="0" collapsed="false">
      <c r="A94" s="23"/>
      <c r="B94" s="23"/>
      <c r="C94" s="23"/>
      <c r="D94" s="23"/>
      <c r="E94" s="28" t="str">
        <f aca="false">IF(OR($A94="",$C94="",$D94=""),"",$C94*$D94)</f>
        <v/>
      </c>
    </row>
    <row r="95" customFormat="false" ht="15" hidden="false" customHeight="false" outlineLevel="0" collapsed="false">
      <c r="A95" s="23"/>
      <c r="B95" s="23"/>
      <c r="C95" s="23"/>
      <c r="D95" s="23"/>
      <c r="E95" s="28" t="str">
        <f aca="false">IF(OR($A95="",$C95="",$D95=""),"",$C95*$D95)</f>
        <v/>
      </c>
    </row>
    <row r="96" customFormat="false" ht="15" hidden="false" customHeight="false" outlineLevel="0" collapsed="false">
      <c r="A96" s="23"/>
      <c r="B96" s="23"/>
      <c r="C96" s="23"/>
      <c r="D96" s="23"/>
      <c r="E96" s="28" t="str">
        <f aca="false">IF(OR($A96="",$C96="",$D96=""),"",$C96*$D96)</f>
        <v/>
      </c>
    </row>
    <row r="97" customFormat="false" ht="15" hidden="false" customHeight="false" outlineLevel="0" collapsed="false">
      <c r="A97" s="23"/>
      <c r="B97" s="23"/>
      <c r="C97" s="23"/>
      <c r="D97" s="23"/>
      <c r="E97" s="28" t="str">
        <f aca="false">IF(OR($A97="",$C97="",$D97=""),"",$C97*$D97)</f>
        <v/>
      </c>
    </row>
    <row r="98" customFormat="false" ht="15" hidden="false" customHeight="false" outlineLevel="0" collapsed="false">
      <c r="A98" s="23"/>
      <c r="B98" s="23"/>
      <c r="C98" s="23"/>
      <c r="D98" s="23"/>
      <c r="E98" s="28" t="str">
        <f aca="false">IF(OR($A98="",$C98="",$D98=""),"",$C98*$D98)</f>
        <v/>
      </c>
    </row>
    <row r="99" customFormat="false" ht="15" hidden="false" customHeight="false" outlineLevel="0" collapsed="false">
      <c r="A99" s="23"/>
      <c r="B99" s="23"/>
      <c r="C99" s="23"/>
      <c r="D99" s="23"/>
      <c r="E99" s="28" t="str">
        <f aca="false">IF(OR($A99="",$C99="",$D99=""),"",$C99*$D99)</f>
        <v/>
      </c>
    </row>
    <row r="100" customFormat="false" ht="15" hidden="false" customHeight="false" outlineLevel="0" collapsed="false">
      <c r="A100" s="23"/>
      <c r="B100" s="23"/>
      <c r="C100" s="23"/>
      <c r="D100" s="23"/>
      <c r="E100" s="28" t="str">
        <f aca="false">IF(OR($A100="",$C100="",$D100=""),"",$C100*$D100)</f>
        <v/>
      </c>
    </row>
    <row r="101" customFormat="false" ht="15" hidden="false" customHeight="false" outlineLevel="0" collapsed="false">
      <c r="A101" s="23"/>
      <c r="B101" s="23"/>
      <c r="C101" s="23"/>
      <c r="D101" s="23"/>
      <c r="E101" s="28" t="str">
        <f aca="false">IF(OR($A101="",$C101="",$D101=""),"",$C101*$D101)</f>
        <v/>
      </c>
    </row>
    <row r="102" customFormat="false" ht="15" hidden="false" customHeight="false" outlineLevel="0" collapsed="false">
      <c r="A102" s="23"/>
      <c r="B102" s="23"/>
      <c r="C102" s="23"/>
      <c r="D102" s="23"/>
      <c r="E102" s="28" t="str">
        <f aca="false">IF(OR($A102="",$C102="",$D102=""),"",$C102*$D102)</f>
        <v/>
      </c>
    </row>
    <row r="103" customFormat="false" ht="15" hidden="false" customHeight="false" outlineLevel="0" collapsed="false">
      <c r="A103" s="23"/>
      <c r="B103" s="23"/>
      <c r="C103" s="23"/>
      <c r="D103" s="23"/>
      <c r="E103" s="28" t="str">
        <f aca="false">IF(OR($A103="",$C103="",$D103=""),"",$C103*$D103)</f>
        <v/>
      </c>
    </row>
    <row r="104" customFormat="false" ht="15" hidden="false" customHeight="false" outlineLevel="0" collapsed="false">
      <c r="A104" s="23"/>
      <c r="B104" s="23"/>
      <c r="C104" s="23"/>
      <c r="D104" s="23"/>
      <c r="E104" s="28" t="str">
        <f aca="false">IF(OR($A104="",$C104="",$D104=""),"",$C104*$D104)</f>
        <v/>
      </c>
    </row>
    <row r="105" customFormat="false" ht="15" hidden="false" customHeight="false" outlineLevel="0" collapsed="false">
      <c r="A105" s="23"/>
      <c r="B105" s="23"/>
      <c r="C105" s="23"/>
      <c r="D105" s="23"/>
      <c r="E105" s="28" t="str">
        <f aca="false">IF(OR($A105="",$C105="",$D105=""),"",$C105*$D105)</f>
        <v/>
      </c>
    </row>
    <row r="106" customFormat="false" ht="15" hidden="false" customHeight="false" outlineLevel="0" collapsed="false">
      <c r="A106" s="23"/>
      <c r="B106" s="23"/>
      <c r="C106" s="23"/>
      <c r="D106" s="23"/>
      <c r="E106" s="28" t="str">
        <f aca="false">IF(OR($A106="",$C106="",$D106=""),"",$C106*$D106)</f>
        <v/>
      </c>
    </row>
    <row r="107" customFormat="false" ht="15" hidden="false" customHeight="false" outlineLevel="0" collapsed="false">
      <c r="A107" s="23"/>
      <c r="B107" s="23"/>
      <c r="C107" s="23"/>
      <c r="D107" s="23"/>
      <c r="E107" s="28" t="str">
        <f aca="false">IF(OR($A107="",$C107="",$D107=""),"",$C107*$D107)</f>
        <v/>
      </c>
    </row>
    <row r="108" customFormat="false" ht="15" hidden="false" customHeight="false" outlineLevel="0" collapsed="false">
      <c r="A108" s="23"/>
      <c r="B108" s="23"/>
      <c r="C108" s="23"/>
      <c r="D108" s="23"/>
      <c r="E108" s="28" t="str">
        <f aca="false">IF(OR($A108="",$C108="",$D108=""),"",$C108*$D108)</f>
        <v/>
      </c>
    </row>
    <row r="109" customFormat="false" ht="15" hidden="false" customHeight="false" outlineLevel="0" collapsed="false">
      <c r="A109" s="23"/>
      <c r="B109" s="23"/>
      <c r="C109" s="23"/>
      <c r="D109" s="23"/>
      <c r="E109" s="28" t="str">
        <f aca="false">IF(OR($A109="",$C109="",$D109=""),"",$C109*$D109)</f>
        <v/>
      </c>
    </row>
    <row r="110" customFormat="false" ht="15" hidden="false" customHeight="false" outlineLevel="0" collapsed="false">
      <c r="A110" s="23"/>
      <c r="B110" s="23"/>
      <c r="C110" s="23"/>
      <c r="D110" s="23"/>
      <c r="E110" s="28" t="str">
        <f aca="false">IF(OR($A110="",$C110="",$D110=""),"",$C110*$D110)</f>
        <v/>
      </c>
    </row>
    <row r="111" customFormat="false" ht="15" hidden="false" customHeight="false" outlineLevel="0" collapsed="false">
      <c r="A111" s="23"/>
      <c r="B111" s="23"/>
      <c r="C111" s="23"/>
      <c r="D111" s="23"/>
      <c r="E111" s="28" t="str">
        <f aca="false">IF(OR($A111="",$C111="",$D111=""),"",$C111*$D111)</f>
        <v/>
      </c>
    </row>
    <row r="112" customFormat="false" ht="15" hidden="false" customHeight="false" outlineLevel="0" collapsed="false">
      <c r="A112" s="23"/>
      <c r="B112" s="23"/>
      <c r="C112" s="23"/>
      <c r="D112" s="23"/>
      <c r="E112" s="28" t="str">
        <f aca="false">IF(OR($A112="",$C112="",$D112=""),"",$C112*$D112)</f>
        <v/>
      </c>
    </row>
    <row r="113" customFormat="false" ht="15" hidden="false" customHeight="false" outlineLevel="0" collapsed="false">
      <c r="A113" s="23"/>
      <c r="B113" s="23"/>
      <c r="C113" s="23"/>
      <c r="D113" s="23"/>
      <c r="E113" s="28" t="str">
        <f aca="false">IF(OR($A113="",$C113="",$D113=""),"",$C113*$D113)</f>
        <v/>
      </c>
    </row>
    <row r="114" customFormat="false" ht="15" hidden="false" customHeight="false" outlineLevel="0" collapsed="false">
      <c r="A114" s="23"/>
      <c r="B114" s="23"/>
      <c r="C114" s="23"/>
      <c r="D114" s="23"/>
      <c r="E114" s="28" t="str">
        <f aca="false">IF(OR($A114="",$C114="",$D114=""),"",$C114*$D114)</f>
        <v/>
      </c>
    </row>
    <row r="115" customFormat="false" ht="15" hidden="false" customHeight="false" outlineLevel="0" collapsed="false">
      <c r="A115" s="23"/>
      <c r="B115" s="23"/>
      <c r="C115" s="23"/>
      <c r="D115" s="23"/>
      <c r="E115" s="28" t="str">
        <f aca="false">IF(OR($A115="",$C115="",$D115=""),"",$C115*$D115)</f>
        <v/>
      </c>
    </row>
    <row r="116" customFormat="false" ht="15" hidden="false" customHeight="false" outlineLevel="0" collapsed="false">
      <c r="A116" s="23"/>
      <c r="B116" s="23"/>
      <c r="C116" s="23"/>
      <c r="D116" s="23"/>
      <c r="E116" s="28" t="str">
        <f aca="false">IF(OR($A116="",$C116="",$D116=""),"",$C116*$D116)</f>
        <v/>
      </c>
    </row>
    <row r="117" customFormat="false" ht="15" hidden="false" customHeight="false" outlineLevel="0" collapsed="false">
      <c r="A117" s="23"/>
      <c r="B117" s="23"/>
      <c r="C117" s="23"/>
      <c r="D117" s="23"/>
      <c r="E117" s="28" t="str">
        <f aca="false">IF(OR($A117="",$C117="",$D117=""),"",$C117*$D117)</f>
        <v/>
      </c>
    </row>
    <row r="118" customFormat="false" ht="15" hidden="false" customHeight="false" outlineLevel="0" collapsed="false">
      <c r="A118" s="23"/>
      <c r="B118" s="23"/>
      <c r="C118" s="23"/>
      <c r="D118" s="23"/>
      <c r="E118" s="28" t="str">
        <f aca="false">IF(OR($A118="",$C118="",$D118=""),"",$C118*$D118)</f>
        <v/>
      </c>
    </row>
    <row r="119" customFormat="false" ht="15" hidden="false" customHeight="false" outlineLevel="0" collapsed="false">
      <c r="A119" s="23"/>
      <c r="B119" s="23"/>
      <c r="C119" s="23"/>
      <c r="D119" s="23"/>
      <c r="E119" s="28" t="str">
        <f aca="false">IF(OR($A119="",$C119="",$D119=""),"",$C119*$D119)</f>
        <v/>
      </c>
    </row>
    <row r="120" customFormat="false" ht="15" hidden="false" customHeight="false" outlineLevel="0" collapsed="false">
      <c r="A120" s="23"/>
      <c r="B120" s="23"/>
      <c r="C120" s="23"/>
      <c r="D120" s="23"/>
      <c r="E120" s="28" t="str">
        <f aca="false">IF(OR($A120="",$C120="",$D120=""),"",$C120*$D120)</f>
        <v/>
      </c>
    </row>
    <row r="121" customFormat="false" ht="15" hidden="false" customHeight="false" outlineLevel="0" collapsed="false">
      <c r="A121" s="23"/>
      <c r="B121" s="23"/>
      <c r="C121" s="23"/>
      <c r="D121" s="23"/>
      <c r="E121" s="28" t="str">
        <f aca="false">IF(OR($A121="",$C121="",$D121=""),"",$C121*$D121)</f>
        <v/>
      </c>
    </row>
    <row r="122" customFormat="false" ht="15" hidden="false" customHeight="false" outlineLevel="0" collapsed="false">
      <c r="A122" s="23"/>
      <c r="B122" s="23"/>
      <c r="C122" s="23"/>
      <c r="D122" s="23"/>
      <c r="E122" s="28" t="str">
        <f aca="false">IF(OR($A122="",$C122="",$D122=""),"",$C122*$D122)</f>
        <v/>
      </c>
    </row>
    <row r="123" customFormat="false" ht="15" hidden="false" customHeight="false" outlineLevel="0" collapsed="false">
      <c r="A123" s="23"/>
      <c r="B123" s="23"/>
      <c r="C123" s="23"/>
      <c r="D123" s="23"/>
      <c r="E123" s="28" t="str">
        <f aca="false">IF(OR($A123="",$C123="",$D123=""),"",$C123*$D123)</f>
        <v/>
      </c>
    </row>
    <row r="124" customFormat="false" ht="15" hidden="false" customHeight="false" outlineLevel="0" collapsed="false">
      <c r="A124" s="23"/>
      <c r="B124" s="23"/>
      <c r="C124" s="23"/>
      <c r="D124" s="23"/>
      <c r="E124" s="28" t="str">
        <f aca="false">IF(OR($A124="",$C124="",$D124=""),"",$C124*$D124)</f>
        <v/>
      </c>
    </row>
    <row r="125" customFormat="false" ht="15" hidden="false" customHeight="false" outlineLevel="0" collapsed="false">
      <c r="A125" s="23"/>
      <c r="B125" s="23"/>
      <c r="C125" s="23"/>
      <c r="D125" s="23"/>
      <c r="E125" s="28" t="str">
        <f aca="false">IF(OR($A125="",$C125="",$D125=""),"",$C125*$D125)</f>
        <v/>
      </c>
    </row>
    <row r="126" customFormat="false" ht="15" hidden="false" customHeight="false" outlineLevel="0" collapsed="false">
      <c r="A126" s="23"/>
      <c r="B126" s="23"/>
      <c r="C126" s="23"/>
      <c r="D126" s="23"/>
      <c r="E126" s="28" t="str">
        <f aca="false">IF(OR($A126="",$C126="",$D126=""),"",$C126*$D126)</f>
        <v/>
      </c>
    </row>
    <row r="127" customFormat="false" ht="15" hidden="false" customHeight="false" outlineLevel="0" collapsed="false">
      <c r="A127" s="23"/>
      <c r="B127" s="23"/>
      <c r="C127" s="23"/>
      <c r="D127" s="23"/>
      <c r="E127" s="28" t="str">
        <f aca="false">IF(OR($A127="",$C127="",$D127=""),"",$C127*$D127)</f>
        <v/>
      </c>
    </row>
    <row r="128" customFormat="false" ht="15" hidden="false" customHeight="false" outlineLevel="0" collapsed="false">
      <c r="A128" s="23"/>
      <c r="B128" s="23"/>
      <c r="C128" s="23"/>
      <c r="D128" s="23"/>
      <c r="E128" s="28" t="str">
        <f aca="false">IF(OR($A128="",$C128="",$D128=""),"",$C128*$D128)</f>
        <v/>
      </c>
    </row>
    <row r="129" customFormat="false" ht="15" hidden="false" customHeight="false" outlineLevel="0" collapsed="false">
      <c r="A129" s="23"/>
      <c r="B129" s="23"/>
      <c r="C129" s="23"/>
      <c r="D129" s="23"/>
      <c r="E129" s="28" t="str">
        <f aca="false">IF(OR($A129="",$C129="",$D129=""),"",$C129*$D129)</f>
        <v/>
      </c>
    </row>
    <row r="130" customFormat="false" ht="15" hidden="false" customHeight="false" outlineLevel="0" collapsed="false">
      <c r="A130" s="23"/>
      <c r="B130" s="23"/>
      <c r="C130" s="23"/>
      <c r="D130" s="23"/>
      <c r="E130" s="28" t="str">
        <f aca="false">IF(OR($A130="",$C130="",$D130=""),"",$C130*$D130)</f>
        <v/>
      </c>
    </row>
    <row r="131" customFormat="false" ht="15" hidden="false" customHeight="false" outlineLevel="0" collapsed="false">
      <c r="A131" s="23"/>
      <c r="B131" s="23"/>
      <c r="C131" s="23"/>
      <c r="D131" s="23"/>
      <c r="E131" s="28" t="str">
        <f aca="false">IF(OR($A131="",$C131="",$D131=""),"",$C131*$D131)</f>
        <v/>
      </c>
    </row>
    <row r="132" customFormat="false" ht="15" hidden="false" customHeight="false" outlineLevel="0" collapsed="false">
      <c r="A132" s="23"/>
      <c r="B132" s="23"/>
      <c r="C132" s="23"/>
      <c r="D132" s="23"/>
      <c r="E132" s="28" t="str">
        <f aca="false">IF(OR($A132="",$C132="",$D132=""),"",$C132*$D132)</f>
        <v/>
      </c>
    </row>
    <row r="133" customFormat="false" ht="15" hidden="false" customHeight="false" outlineLevel="0" collapsed="false">
      <c r="A133" s="23"/>
      <c r="B133" s="23"/>
      <c r="C133" s="23"/>
      <c r="D133" s="23"/>
      <c r="E133" s="28" t="str">
        <f aca="false">IF(OR($A133="",$C133="",$D133=""),"",$C133*$D133)</f>
        <v/>
      </c>
    </row>
    <row r="134" customFormat="false" ht="15" hidden="false" customHeight="false" outlineLevel="0" collapsed="false">
      <c r="A134" s="23"/>
      <c r="B134" s="23"/>
      <c r="C134" s="23"/>
      <c r="D134" s="23"/>
      <c r="E134" s="28" t="str">
        <f aca="false">IF(OR($A134="",$C134="",$D134=""),"",$C134*$D134)</f>
        <v/>
      </c>
    </row>
    <row r="135" customFormat="false" ht="15" hidden="false" customHeight="false" outlineLevel="0" collapsed="false">
      <c r="A135" s="23"/>
      <c r="B135" s="23"/>
      <c r="C135" s="23"/>
      <c r="D135" s="23"/>
      <c r="E135" s="28" t="str">
        <f aca="false">IF(OR($A135="",$C135="",$D135=""),"",$C135*$D135)</f>
        <v/>
      </c>
    </row>
    <row r="136" customFormat="false" ht="15" hidden="false" customHeight="false" outlineLevel="0" collapsed="false">
      <c r="A136" s="23"/>
      <c r="B136" s="23"/>
      <c r="C136" s="23"/>
      <c r="D136" s="23"/>
      <c r="E136" s="28" t="str">
        <f aca="false">IF(OR($A136="",$C136="",$D136=""),"",$C136*$D136)</f>
        <v/>
      </c>
    </row>
    <row r="137" customFormat="false" ht="15" hidden="false" customHeight="false" outlineLevel="0" collapsed="false">
      <c r="A137" s="23"/>
      <c r="B137" s="23"/>
      <c r="C137" s="23"/>
      <c r="D137" s="23"/>
      <c r="E137" s="28" t="str">
        <f aca="false">IF(OR($A137="",$C137="",$D137=""),"",$C137*$D137)</f>
        <v/>
      </c>
    </row>
    <row r="138" customFormat="false" ht="15" hidden="false" customHeight="false" outlineLevel="0" collapsed="false">
      <c r="A138" s="23"/>
      <c r="B138" s="23"/>
      <c r="C138" s="23"/>
      <c r="D138" s="23"/>
      <c r="E138" s="28" t="str">
        <f aca="false">IF(OR($A138="",$C138="",$D138=""),"",$C138*$D138)</f>
        <v/>
      </c>
    </row>
    <row r="139" customFormat="false" ht="15" hidden="false" customHeight="false" outlineLevel="0" collapsed="false">
      <c r="A139" s="23"/>
      <c r="B139" s="23"/>
      <c r="C139" s="23"/>
      <c r="D139" s="23"/>
      <c r="E139" s="28" t="str">
        <f aca="false">IF(OR($A139="",$C139="",$D139=""),"",$C139*$D139)</f>
        <v/>
      </c>
    </row>
    <row r="140" customFormat="false" ht="15" hidden="false" customHeight="false" outlineLevel="0" collapsed="false">
      <c r="A140" s="23"/>
      <c r="B140" s="23"/>
      <c r="C140" s="23"/>
      <c r="D140" s="23"/>
      <c r="E140" s="28" t="str">
        <f aca="false">IF(OR($A140="",$C140="",$D140=""),"",$C140*$D140)</f>
        <v/>
      </c>
    </row>
    <row r="141" customFormat="false" ht="15" hidden="false" customHeight="false" outlineLevel="0" collapsed="false">
      <c r="A141" s="23"/>
      <c r="B141" s="23"/>
      <c r="C141" s="23"/>
      <c r="D141" s="23"/>
      <c r="E141" s="28" t="str">
        <f aca="false">IF(OR($A141="",$C141="",$D141=""),"",$C141*$D141)</f>
        <v/>
      </c>
    </row>
    <row r="142" customFormat="false" ht="15" hidden="false" customHeight="false" outlineLevel="0" collapsed="false">
      <c r="A142" s="23"/>
      <c r="B142" s="23"/>
      <c r="C142" s="23"/>
      <c r="D142" s="23"/>
      <c r="E142" s="28" t="str">
        <f aca="false">IF(OR($A142="",$C142="",$D142=""),"",$C142*$D142)</f>
        <v/>
      </c>
    </row>
    <row r="143" customFormat="false" ht="15" hidden="false" customHeight="false" outlineLevel="0" collapsed="false">
      <c r="A143" s="23"/>
      <c r="B143" s="23"/>
      <c r="C143" s="23"/>
      <c r="D143" s="23"/>
      <c r="E143" s="28" t="str">
        <f aca="false">IF(OR($A143="",$C143="",$D143=""),"",$C143*$D143)</f>
        <v/>
      </c>
    </row>
    <row r="144" customFormat="false" ht="15" hidden="false" customHeight="false" outlineLevel="0" collapsed="false">
      <c r="A144" s="23"/>
      <c r="B144" s="23"/>
      <c r="C144" s="23"/>
      <c r="D144" s="23"/>
      <c r="E144" s="28" t="str">
        <f aca="false">IF(OR($A144="",$C144="",$D144=""),"",$C144*$D144)</f>
        <v/>
      </c>
    </row>
    <row r="145" customFormat="false" ht="15" hidden="false" customHeight="false" outlineLevel="0" collapsed="false">
      <c r="A145" s="23"/>
      <c r="B145" s="23"/>
      <c r="C145" s="23"/>
      <c r="D145" s="23"/>
      <c r="E145" s="28" t="str">
        <f aca="false">IF(OR($A145="",$C145="",$D145=""),"",$C145*$D145)</f>
        <v/>
      </c>
    </row>
    <row r="146" customFormat="false" ht="15" hidden="false" customHeight="false" outlineLevel="0" collapsed="false">
      <c r="A146" s="23"/>
      <c r="B146" s="23"/>
      <c r="C146" s="23"/>
      <c r="D146" s="23"/>
      <c r="E146" s="28" t="str">
        <f aca="false">IF(OR($A146="",$C146="",$D146=""),"",$C146*$D146)</f>
        <v/>
      </c>
    </row>
    <row r="147" customFormat="false" ht="15" hidden="false" customHeight="false" outlineLevel="0" collapsed="false">
      <c r="A147" s="23"/>
      <c r="B147" s="23"/>
      <c r="C147" s="23"/>
      <c r="D147" s="23"/>
      <c r="E147" s="28" t="str">
        <f aca="false">IF(OR($A147="",$C147="",$D147=""),"",$C147*$D147)</f>
        <v/>
      </c>
    </row>
    <row r="148" customFormat="false" ht="15" hidden="false" customHeight="false" outlineLevel="0" collapsed="false">
      <c r="A148" s="23"/>
      <c r="B148" s="23"/>
      <c r="C148" s="23"/>
      <c r="D148" s="23"/>
      <c r="E148" s="28" t="str">
        <f aca="false">IF(OR($A148="",$C148="",$D148=""),"",$C148*$D148)</f>
        <v/>
      </c>
    </row>
    <row r="149" customFormat="false" ht="15" hidden="false" customHeight="false" outlineLevel="0" collapsed="false">
      <c r="A149" s="23"/>
      <c r="B149" s="23"/>
      <c r="C149" s="23"/>
      <c r="D149" s="23"/>
      <c r="E149" s="28" t="str">
        <f aca="false">IF(OR($A149="",$C149="",$D149=""),"",$C149*$D149)</f>
        <v/>
      </c>
    </row>
    <row r="150" customFormat="false" ht="15" hidden="false" customHeight="false" outlineLevel="0" collapsed="false">
      <c r="A150" s="23"/>
      <c r="B150" s="23"/>
      <c r="C150" s="23"/>
      <c r="D150" s="23"/>
      <c r="E150" s="28" t="str">
        <f aca="false">IF(OR($A150="",$C150="",$D150=""),"",$C150*$D150)</f>
        <v/>
      </c>
    </row>
    <row r="151" customFormat="false" ht="15" hidden="false" customHeight="false" outlineLevel="0" collapsed="false">
      <c r="A151" s="23"/>
      <c r="B151" s="23"/>
      <c r="C151" s="23"/>
      <c r="D151" s="23"/>
      <c r="E151" s="28" t="str">
        <f aca="false">IF(OR($A151="",$C151="",$D151=""),"",$C151*$D151)</f>
        <v/>
      </c>
    </row>
    <row r="152" customFormat="false" ht="15" hidden="false" customHeight="false" outlineLevel="0" collapsed="false">
      <c r="A152" s="23"/>
      <c r="B152" s="23"/>
      <c r="C152" s="23"/>
      <c r="D152" s="23"/>
      <c r="E152" s="28" t="str">
        <f aca="false">IF(OR($A152="",$C152="",$D152=""),"",$C152*$D152)</f>
        <v/>
      </c>
    </row>
    <row r="153" customFormat="false" ht="15" hidden="false" customHeight="false" outlineLevel="0" collapsed="false">
      <c r="A153" s="23"/>
      <c r="B153" s="23"/>
      <c r="C153" s="23"/>
      <c r="D153" s="23"/>
      <c r="E153" s="28" t="str">
        <f aca="false">IF(OR($A153="",$C153="",$D153=""),"",$C153*$D153)</f>
        <v/>
      </c>
    </row>
    <row r="154" customFormat="false" ht="15" hidden="false" customHeight="false" outlineLevel="0" collapsed="false">
      <c r="A154" s="23"/>
      <c r="B154" s="23"/>
      <c r="C154" s="23"/>
      <c r="D154" s="23"/>
      <c r="E154" s="28" t="str">
        <f aca="false">IF(OR($A154="",$C154="",$D154=""),"",$C154*$D154)</f>
        <v/>
      </c>
    </row>
    <row r="155" customFormat="false" ht="15" hidden="false" customHeight="false" outlineLevel="0" collapsed="false">
      <c r="A155" s="23"/>
      <c r="B155" s="23"/>
      <c r="C155" s="23"/>
      <c r="D155" s="23"/>
      <c r="E155" s="28" t="str">
        <f aca="false">IF(OR($A155="",$C155="",$D155=""),"",$C155*$D155)</f>
        <v/>
      </c>
    </row>
    <row r="156" customFormat="false" ht="15" hidden="false" customHeight="false" outlineLevel="0" collapsed="false">
      <c r="A156" s="23"/>
      <c r="B156" s="23"/>
      <c r="C156" s="23"/>
      <c r="D156" s="23"/>
      <c r="E156" s="28" t="str">
        <f aca="false">IF(OR($A156="",$C156="",$D156=""),"",$C156*$D156)</f>
        <v/>
      </c>
    </row>
    <row r="157" customFormat="false" ht="15" hidden="false" customHeight="false" outlineLevel="0" collapsed="false">
      <c r="A157" s="23"/>
      <c r="B157" s="23"/>
      <c r="C157" s="23"/>
      <c r="D157" s="23"/>
      <c r="E157" s="28" t="str">
        <f aca="false">IF(OR($A157="",$C157="",$D157=""),"",$C157*$D157)</f>
        <v/>
      </c>
    </row>
    <row r="158" customFormat="false" ht="15" hidden="false" customHeight="false" outlineLevel="0" collapsed="false">
      <c r="A158" s="23"/>
      <c r="B158" s="23"/>
      <c r="C158" s="23"/>
      <c r="D158" s="23"/>
      <c r="E158" s="28" t="str">
        <f aca="false">IF(OR($A158="",$C158="",$D158=""),"",$C158*$D158)</f>
        <v/>
      </c>
    </row>
    <row r="159" customFormat="false" ht="15" hidden="false" customHeight="false" outlineLevel="0" collapsed="false">
      <c r="A159" s="23"/>
      <c r="B159" s="23"/>
      <c r="C159" s="23"/>
      <c r="D159" s="23"/>
      <c r="E159" s="28" t="str">
        <f aca="false">IF(OR($A159="",$C159="",$D159=""),"",$C159*$D159)</f>
        <v/>
      </c>
    </row>
    <row r="160" customFormat="false" ht="15" hidden="false" customHeight="false" outlineLevel="0" collapsed="false">
      <c r="A160" s="23"/>
      <c r="B160" s="23"/>
      <c r="C160" s="23"/>
      <c r="D160" s="23"/>
      <c r="E160" s="28" t="str">
        <f aca="false">IF(OR($A160="",$C160="",$D160=""),"",$C160*$D160)</f>
        <v/>
      </c>
    </row>
    <row r="161" customFormat="false" ht="15" hidden="false" customHeight="false" outlineLevel="0" collapsed="false">
      <c r="A161" s="23"/>
      <c r="B161" s="23"/>
      <c r="C161" s="23"/>
      <c r="D161" s="23"/>
      <c r="E161" s="28" t="str">
        <f aca="false">IF(OR($A161="",$C161="",$D161=""),"",$C161*$D161)</f>
        <v/>
      </c>
    </row>
    <row r="162" customFormat="false" ht="15" hidden="false" customHeight="false" outlineLevel="0" collapsed="false">
      <c r="A162" s="23"/>
      <c r="B162" s="23"/>
      <c r="C162" s="23"/>
      <c r="D162" s="23"/>
      <c r="E162" s="28" t="str">
        <f aca="false">IF(OR($A162="",$C162="",$D162=""),"",$C162*$D162)</f>
        <v/>
      </c>
    </row>
    <row r="163" customFormat="false" ht="15" hidden="false" customHeight="false" outlineLevel="0" collapsed="false">
      <c r="A163" s="23"/>
      <c r="B163" s="23"/>
      <c r="C163" s="23"/>
      <c r="D163" s="23"/>
      <c r="E163" s="28" t="str">
        <f aca="false">IF(OR($A163="",$C163="",$D163=""),"",$C163*$D163)</f>
        <v/>
      </c>
    </row>
    <row r="164" customFormat="false" ht="15" hidden="false" customHeight="false" outlineLevel="0" collapsed="false">
      <c r="A164" s="23"/>
      <c r="B164" s="23"/>
      <c r="C164" s="23"/>
      <c r="D164" s="23"/>
      <c r="E164" s="28" t="str">
        <f aca="false">IF(OR($A164="",$C164="",$D164=""),"",$C164*$D164)</f>
        <v/>
      </c>
    </row>
    <row r="165" customFormat="false" ht="15" hidden="false" customHeight="false" outlineLevel="0" collapsed="false">
      <c r="A165" s="23"/>
      <c r="B165" s="23"/>
      <c r="C165" s="23"/>
      <c r="D165" s="23"/>
      <c r="E165" s="28" t="str">
        <f aca="false">IF(OR($A165="",$C165="",$D165=""),"",$C165*$D165)</f>
        <v/>
      </c>
    </row>
    <row r="166" customFormat="false" ht="15" hidden="false" customHeight="false" outlineLevel="0" collapsed="false">
      <c r="A166" s="23"/>
      <c r="B166" s="23"/>
      <c r="C166" s="23"/>
      <c r="D166" s="23"/>
      <c r="E166" s="28" t="str">
        <f aca="false">IF(OR($A166="",$C166="",$D166=""),"",$C166*$D166)</f>
        <v/>
      </c>
    </row>
    <row r="167" customFormat="false" ht="15" hidden="false" customHeight="false" outlineLevel="0" collapsed="false">
      <c r="A167" s="23"/>
      <c r="B167" s="23"/>
      <c r="C167" s="23"/>
      <c r="D167" s="23"/>
      <c r="E167" s="28" t="str">
        <f aca="false">IF(OR($A167="",$C167="",$D167=""),"",$C167*$D167)</f>
        <v/>
      </c>
    </row>
    <row r="168" customFormat="false" ht="15" hidden="false" customHeight="false" outlineLevel="0" collapsed="false">
      <c r="A168" s="23"/>
      <c r="B168" s="23"/>
      <c r="C168" s="23"/>
      <c r="D168" s="23"/>
      <c r="E168" s="28" t="str">
        <f aca="false">IF(OR($A168="",$C168="",$D168=""),"",$C168*$D168)</f>
        <v/>
      </c>
    </row>
    <row r="169" customFormat="false" ht="15" hidden="false" customHeight="false" outlineLevel="0" collapsed="false">
      <c r="A169" s="23"/>
      <c r="B169" s="23"/>
      <c r="C169" s="23"/>
      <c r="D169" s="23"/>
      <c r="E169" s="28" t="str">
        <f aca="false">IF(OR($A169="",$C169="",$D169=""),"",$C169*$D169)</f>
        <v/>
      </c>
    </row>
    <row r="170" customFormat="false" ht="15" hidden="false" customHeight="false" outlineLevel="0" collapsed="false">
      <c r="A170" s="23"/>
      <c r="B170" s="23"/>
      <c r="C170" s="23"/>
      <c r="D170" s="23"/>
      <c r="E170" s="28" t="str">
        <f aca="false">IF(OR($A170="",$C170="",$D170=""),"",$C170*$D170)</f>
        <v/>
      </c>
    </row>
    <row r="171" customFormat="false" ht="15" hidden="false" customHeight="false" outlineLevel="0" collapsed="false">
      <c r="A171" s="23"/>
      <c r="B171" s="23"/>
      <c r="C171" s="23"/>
      <c r="D171" s="23"/>
      <c r="E171" s="28" t="str">
        <f aca="false">IF(OR($A171="",$C171="",$D171=""),"",$C171*$D171)</f>
        <v/>
      </c>
    </row>
    <row r="172" customFormat="false" ht="15" hidden="false" customHeight="false" outlineLevel="0" collapsed="false">
      <c r="A172" s="23"/>
      <c r="B172" s="23"/>
      <c r="C172" s="23"/>
      <c r="D172" s="23"/>
      <c r="E172" s="28" t="str">
        <f aca="false">IF(OR($A172="",$C172="",$D172=""),"",$C172*$D172)</f>
        <v/>
      </c>
    </row>
    <row r="173" customFormat="false" ht="15" hidden="false" customHeight="false" outlineLevel="0" collapsed="false">
      <c r="A173" s="23"/>
      <c r="B173" s="23"/>
      <c r="C173" s="23"/>
      <c r="D173" s="23"/>
      <c r="E173" s="28" t="str">
        <f aca="false">IF(OR($A173="",$C173="",$D173=""),"",$C173*$D173)</f>
        <v/>
      </c>
    </row>
    <row r="174" customFormat="false" ht="15" hidden="false" customHeight="false" outlineLevel="0" collapsed="false">
      <c r="A174" s="23"/>
      <c r="B174" s="23"/>
      <c r="C174" s="23"/>
      <c r="D174" s="23"/>
      <c r="E174" s="28" t="str">
        <f aca="false">IF(OR($A174="",$C174="",$D174=""),"",$C174*$D174)</f>
        <v/>
      </c>
    </row>
    <row r="175" customFormat="false" ht="15" hidden="false" customHeight="false" outlineLevel="0" collapsed="false">
      <c r="A175" s="23"/>
      <c r="B175" s="23"/>
      <c r="C175" s="23"/>
      <c r="D175" s="23"/>
      <c r="E175" s="28" t="str">
        <f aca="false">IF(OR($A175="",$C175="",$D175=""),"",$C175*$D175)</f>
        <v/>
      </c>
    </row>
    <row r="176" customFormat="false" ht="15" hidden="false" customHeight="false" outlineLevel="0" collapsed="false">
      <c r="A176" s="23"/>
      <c r="B176" s="23"/>
      <c r="C176" s="23"/>
      <c r="D176" s="23"/>
      <c r="E176" s="28" t="str">
        <f aca="false">IF(OR($A176="",$C176="",$D176=""),"",$C176*$D176)</f>
        <v/>
      </c>
    </row>
    <row r="177" customFormat="false" ht="15" hidden="false" customHeight="false" outlineLevel="0" collapsed="false">
      <c r="A177" s="23"/>
      <c r="B177" s="23"/>
      <c r="C177" s="23"/>
      <c r="D177" s="23"/>
      <c r="E177" s="28" t="str">
        <f aca="false">IF(OR($A177="",$C177="",$D177=""),"",$C177*$D177)</f>
        <v/>
      </c>
    </row>
    <row r="178" customFormat="false" ht="15" hidden="false" customHeight="false" outlineLevel="0" collapsed="false">
      <c r="A178" s="23"/>
      <c r="B178" s="23"/>
      <c r="C178" s="23"/>
      <c r="D178" s="23"/>
      <c r="E178" s="28" t="str">
        <f aca="false">IF(OR($A178="",$C178="",$D178=""),"",$C178*$D178)</f>
        <v/>
      </c>
    </row>
    <row r="179" customFormat="false" ht="15" hidden="false" customHeight="false" outlineLevel="0" collapsed="false">
      <c r="A179" s="23"/>
      <c r="B179" s="23"/>
      <c r="C179" s="23"/>
      <c r="D179" s="23"/>
      <c r="E179" s="28" t="str">
        <f aca="false">IF(OR($A179="",$C179="",$D179=""),"",$C179*$D179)</f>
        <v/>
      </c>
    </row>
    <row r="180" customFormat="false" ht="15" hidden="false" customHeight="false" outlineLevel="0" collapsed="false">
      <c r="A180" s="23"/>
      <c r="B180" s="23"/>
      <c r="C180" s="23"/>
      <c r="D180" s="23"/>
      <c r="E180" s="28" t="str">
        <f aca="false">IF(OR($A180="",$C180="",$D180=""),"",$C180*$D180)</f>
        <v/>
      </c>
    </row>
    <row r="181" customFormat="false" ht="15" hidden="false" customHeight="false" outlineLevel="0" collapsed="false">
      <c r="A181" s="23"/>
      <c r="B181" s="23"/>
      <c r="C181" s="23"/>
      <c r="D181" s="23"/>
      <c r="E181" s="28" t="str">
        <f aca="false">IF(OR($A181="",$C181="",$D181=""),"",$C181*$D181)</f>
        <v/>
      </c>
    </row>
    <row r="182" customFormat="false" ht="15" hidden="false" customHeight="false" outlineLevel="0" collapsed="false">
      <c r="A182" s="23"/>
      <c r="B182" s="23"/>
      <c r="C182" s="23"/>
      <c r="D182" s="23"/>
      <c r="E182" s="28" t="str">
        <f aca="false">IF(OR($A182="",$C182="",$D182=""),"",$C182*$D182)</f>
        <v/>
      </c>
    </row>
    <row r="183" customFormat="false" ht="15" hidden="false" customHeight="false" outlineLevel="0" collapsed="false">
      <c r="A183" s="23"/>
      <c r="B183" s="23"/>
      <c r="C183" s="23"/>
      <c r="D183" s="23"/>
      <c r="E183" s="28" t="str">
        <f aca="false">IF(OR($A183="",$C183="",$D183=""),"",$C183*$D183)</f>
        <v/>
      </c>
    </row>
    <row r="184" customFormat="false" ht="15" hidden="false" customHeight="false" outlineLevel="0" collapsed="false">
      <c r="A184" s="23"/>
      <c r="B184" s="23"/>
      <c r="C184" s="23"/>
      <c r="D184" s="23"/>
      <c r="E184" s="28" t="str">
        <f aca="false">IF(OR($A184="",$C184="",$D184=""),"",$C184*$D184)</f>
        <v/>
      </c>
    </row>
    <row r="185" customFormat="false" ht="15" hidden="false" customHeight="false" outlineLevel="0" collapsed="false">
      <c r="A185" s="23"/>
      <c r="B185" s="23"/>
      <c r="C185" s="23"/>
      <c r="D185" s="23"/>
      <c r="E185" s="28" t="str">
        <f aca="false">IF(OR($A185="",$C185="",$D185=""),"",$C185*$D185)</f>
        <v/>
      </c>
    </row>
    <row r="186" customFormat="false" ht="15" hidden="false" customHeight="false" outlineLevel="0" collapsed="false">
      <c r="A186" s="23"/>
      <c r="B186" s="23"/>
      <c r="C186" s="23"/>
      <c r="D186" s="23"/>
      <c r="E186" s="28" t="str">
        <f aca="false">IF(OR($A186="",$C186="",$D186=""),"",$C186*$D186)</f>
        <v/>
      </c>
    </row>
    <row r="187" customFormat="false" ht="15" hidden="false" customHeight="false" outlineLevel="0" collapsed="false">
      <c r="A187" s="23"/>
      <c r="B187" s="23"/>
      <c r="C187" s="23"/>
      <c r="D187" s="23"/>
      <c r="E187" s="28" t="str">
        <f aca="false">IF(OR($A187="",$C187="",$D187=""),"",$C187*$D187)</f>
        <v/>
      </c>
    </row>
    <row r="188" customFormat="false" ht="15" hidden="false" customHeight="false" outlineLevel="0" collapsed="false">
      <c r="A188" s="23"/>
      <c r="B188" s="23"/>
      <c r="C188" s="23"/>
      <c r="D188" s="23"/>
      <c r="E188" s="28" t="str">
        <f aca="false">IF(OR($A188="",$C188="",$D188=""),"",$C188*$D188)</f>
        <v/>
      </c>
    </row>
    <row r="189" customFormat="false" ht="15" hidden="false" customHeight="false" outlineLevel="0" collapsed="false">
      <c r="A189" s="23"/>
      <c r="B189" s="23"/>
      <c r="C189" s="23"/>
      <c r="D189" s="23"/>
      <c r="E189" s="28" t="str">
        <f aca="false">IF(OR($A189="",$C189="",$D189=""),"",$C189*$D189)</f>
        <v/>
      </c>
    </row>
    <row r="190" customFormat="false" ht="15" hidden="false" customHeight="false" outlineLevel="0" collapsed="false">
      <c r="A190" s="23"/>
      <c r="B190" s="23"/>
      <c r="C190" s="23"/>
      <c r="D190" s="23"/>
      <c r="E190" s="28" t="str">
        <f aca="false">IF(OR($A190="",$C190="",$D190=""),"",$C190*$D190)</f>
        <v/>
      </c>
    </row>
    <row r="191" customFormat="false" ht="15" hidden="false" customHeight="false" outlineLevel="0" collapsed="false">
      <c r="A191" s="23"/>
      <c r="B191" s="23"/>
      <c r="C191" s="23"/>
      <c r="D191" s="23"/>
      <c r="E191" s="28" t="str">
        <f aca="false">IF(OR($A191="",$C191="",$D191=""),"",$C191*$D191)</f>
        <v/>
      </c>
    </row>
    <row r="192" customFormat="false" ht="15" hidden="false" customHeight="false" outlineLevel="0" collapsed="false">
      <c r="A192" s="23"/>
      <c r="B192" s="23"/>
      <c r="C192" s="23"/>
      <c r="D192" s="23"/>
      <c r="E192" s="28" t="str">
        <f aca="false">IF(OR($A192="",$C192="",$D192=""),"",$C192*$D192)</f>
        <v/>
      </c>
    </row>
    <row r="193" customFormat="false" ht="15" hidden="false" customHeight="false" outlineLevel="0" collapsed="false">
      <c r="A193" s="23"/>
      <c r="B193" s="23"/>
      <c r="C193" s="23"/>
      <c r="D193" s="23"/>
      <c r="E193" s="28" t="str">
        <f aca="false">IF(OR($A193="",$C193="",$D193=""),"",$C193*$D193)</f>
        <v/>
      </c>
    </row>
    <row r="194" customFormat="false" ht="15" hidden="false" customHeight="false" outlineLevel="0" collapsed="false">
      <c r="A194" s="23"/>
      <c r="B194" s="23"/>
      <c r="C194" s="23"/>
      <c r="D194" s="23"/>
      <c r="E194" s="28" t="str">
        <f aca="false">IF(OR($A194="",$C194="",$D194=""),"",$C194*$D194)</f>
        <v/>
      </c>
    </row>
    <row r="195" customFormat="false" ht="15" hidden="false" customHeight="false" outlineLevel="0" collapsed="false">
      <c r="A195" s="23"/>
      <c r="B195" s="23"/>
      <c r="C195" s="23"/>
      <c r="D195" s="23"/>
      <c r="E195" s="28" t="str">
        <f aca="false">IF(OR($A195="",$C195="",$D195=""),"",$C195*$D195)</f>
        <v/>
      </c>
    </row>
    <row r="196" customFormat="false" ht="15" hidden="false" customHeight="false" outlineLevel="0" collapsed="false">
      <c r="A196" s="23"/>
      <c r="B196" s="23"/>
      <c r="C196" s="23"/>
      <c r="D196" s="23"/>
      <c r="E196" s="28" t="str">
        <f aca="false">IF(OR($A196="",$C196="",$D196=""),"",$C196*$D196)</f>
        <v/>
      </c>
    </row>
    <row r="197" customFormat="false" ht="15" hidden="false" customHeight="false" outlineLevel="0" collapsed="false">
      <c r="A197" s="23"/>
      <c r="B197" s="23"/>
      <c r="C197" s="23"/>
      <c r="D197" s="23"/>
      <c r="E197" s="28" t="str">
        <f aca="false">IF(OR($A197="",$C197="",$D197=""),"",$C197*$D197)</f>
        <v/>
      </c>
    </row>
    <row r="198" customFormat="false" ht="15" hidden="false" customHeight="false" outlineLevel="0" collapsed="false">
      <c r="A198" s="23"/>
      <c r="B198" s="23"/>
      <c r="C198" s="23"/>
      <c r="D198" s="23"/>
      <c r="E198" s="28" t="str">
        <f aca="false">IF(OR($A198="",$C198="",$D198=""),"",$C198*$D198)</f>
        <v/>
      </c>
    </row>
    <row r="199" customFormat="false" ht="15" hidden="false" customHeight="false" outlineLevel="0" collapsed="false">
      <c r="A199" s="23"/>
      <c r="B199" s="23"/>
      <c r="C199" s="23"/>
      <c r="D199" s="23"/>
      <c r="E199" s="28" t="str">
        <f aca="false">IF(OR($A199="",$C199="",$D199=""),"",$C199*$D199)</f>
        <v/>
      </c>
    </row>
    <row r="200" customFormat="false" ht="15" hidden="false" customHeight="false" outlineLevel="0" collapsed="false">
      <c r="A200" s="23"/>
      <c r="B200" s="23"/>
      <c r="C200" s="23"/>
      <c r="D200" s="23"/>
      <c r="E200" s="28" t="str">
        <f aca="false">IF(OR($A200="",$C200="",$D200=""),"",$C200*$D200)</f>
        <v/>
      </c>
    </row>
    <row r="201" customFormat="false" ht="15" hidden="false" customHeight="false" outlineLevel="0" collapsed="false">
      <c r="A201" s="23"/>
      <c r="B201" s="23"/>
      <c r="C201" s="23"/>
      <c r="D201" s="23"/>
      <c r="E201" s="28" t="str">
        <f aca="false">IF(OR($A201="",$C201="",$D201=""),"",$C201*$D201)</f>
        <v/>
      </c>
    </row>
    <row r="202" customFormat="false" ht="15" hidden="false" customHeight="false" outlineLevel="0" collapsed="false">
      <c r="A202" s="23"/>
      <c r="B202" s="23"/>
      <c r="C202" s="23"/>
      <c r="D202" s="23"/>
      <c r="E202" s="28" t="str">
        <f aca="false">IF(OR($A202="",$C202="",$D202=""),"",$C202*$D202)</f>
        <v/>
      </c>
    </row>
    <row r="203" customFormat="false" ht="15" hidden="false" customHeight="false" outlineLevel="0" collapsed="false">
      <c r="A203" s="23"/>
      <c r="B203" s="23"/>
      <c r="C203" s="23"/>
      <c r="D203" s="23"/>
      <c r="E203" s="28" t="str">
        <f aca="false">IF(OR($A203="",$C203="",$D203=""),"",$C203*$D203)</f>
        <v/>
      </c>
    </row>
    <row r="204" customFormat="false" ht="15" hidden="false" customHeight="false" outlineLevel="0" collapsed="false">
      <c r="A204" s="23"/>
      <c r="B204" s="23"/>
      <c r="C204" s="23"/>
      <c r="D204" s="23"/>
      <c r="E204" s="28" t="str">
        <f aca="false">IF(OR($A204="",$C204="",$D204=""),"",$C204*$D204)</f>
        <v/>
      </c>
    </row>
    <row r="205" customFormat="false" ht="15" hidden="false" customHeight="false" outlineLevel="0" collapsed="false">
      <c r="A205" s="23"/>
      <c r="B205" s="23"/>
      <c r="C205" s="23"/>
      <c r="D205" s="23"/>
      <c r="E205" s="28" t="str">
        <f aca="false">IF(OR($A205="",$C205="",$D205=""),"",$C205*$D205)</f>
        <v/>
      </c>
    </row>
    <row r="206" customFormat="false" ht="15" hidden="false" customHeight="false" outlineLevel="0" collapsed="false">
      <c r="A206" s="23"/>
      <c r="B206" s="23"/>
      <c r="C206" s="23"/>
      <c r="D206" s="23"/>
      <c r="E206" s="28" t="str">
        <f aca="false">IF(OR($A206="",$C206="",$D206=""),"",$C206*$D206)</f>
        <v/>
      </c>
    </row>
    <row r="207" customFormat="false" ht="15" hidden="false" customHeight="false" outlineLevel="0" collapsed="false">
      <c r="A207" s="23"/>
      <c r="B207" s="23"/>
      <c r="C207" s="23"/>
      <c r="D207" s="23"/>
      <c r="E207" s="28" t="str">
        <f aca="false">IF(OR($A207="",$C207="",$D207=""),"",$C207*$D207)</f>
        <v/>
      </c>
    </row>
    <row r="208" customFormat="false" ht="15" hidden="false" customHeight="false" outlineLevel="0" collapsed="false">
      <c r="A208" s="23"/>
      <c r="B208" s="23"/>
      <c r="C208" s="23"/>
      <c r="D208" s="23"/>
      <c r="E208" s="28" t="str">
        <f aca="false">IF(OR($A208="",$C208="",$D208=""),"",$C208*$D208)</f>
        <v/>
      </c>
    </row>
    <row r="209" customFormat="false" ht="15" hidden="false" customHeight="false" outlineLevel="0" collapsed="false">
      <c r="A209" s="23"/>
      <c r="B209" s="23"/>
      <c r="C209" s="23"/>
      <c r="D209" s="23"/>
      <c r="E209" s="28" t="str">
        <f aca="false">IF(OR($A209="",$C209="",$D209=""),"",$C209*$D209)</f>
        <v/>
      </c>
    </row>
    <row r="210" customFormat="false" ht="15" hidden="false" customHeight="false" outlineLevel="0" collapsed="false">
      <c r="A210" s="23"/>
      <c r="B210" s="23"/>
      <c r="C210" s="23"/>
      <c r="D210" s="23"/>
      <c r="E210" s="28" t="str">
        <f aca="false">IF(OR($A210="",$C210="",$D210=""),"",$C210*$D210)</f>
        <v/>
      </c>
    </row>
    <row r="211" customFormat="false" ht="15" hidden="false" customHeight="false" outlineLevel="0" collapsed="false">
      <c r="A211" s="23"/>
      <c r="B211" s="23"/>
      <c r="C211" s="23"/>
      <c r="D211" s="23"/>
      <c r="E211" s="28" t="str">
        <f aca="false">IF(OR($A211="",$C211="",$D211=""),"",$C211*$D211)</f>
        <v/>
      </c>
    </row>
    <row r="212" customFormat="false" ht="15" hidden="false" customHeight="false" outlineLevel="0" collapsed="false">
      <c r="A212" s="23"/>
      <c r="B212" s="23"/>
      <c r="C212" s="23"/>
      <c r="D212" s="23"/>
      <c r="E212" s="28" t="str">
        <f aca="false">IF(OR($A212="",$C212="",$D212=""),"",$C212*$D212)</f>
        <v/>
      </c>
    </row>
    <row r="213" customFormat="false" ht="15" hidden="false" customHeight="false" outlineLevel="0" collapsed="false">
      <c r="A213" s="23"/>
      <c r="B213" s="23"/>
      <c r="C213" s="23"/>
      <c r="D213" s="23"/>
      <c r="E213" s="28" t="str">
        <f aca="false">IF(OR($A213="",$C213="",$D213=""),"",$C213*$D213)</f>
        <v/>
      </c>
    </row>
    <row r="214" customFormat="false" ht="15" hidden="false" customHeight="false" outlineLevel="0" collapsed="false">
      <c r="A214" s="23"/>
      <c r="B214" s="23"/>
      <c r="C214" s="23"/>
      <c r="D214" s="23"/>
      <c r="E214" s="28" t="str">
        <f aca="false">IF(OR($A214="",$C214="",$D214=""),"",$C214*$D214)</f>
        <v/>
      </c>
    </row>
    <row r="215" customFormat="false" ht="15" hidden="false" customHeight="false" outlineLevel="0" collapsed="false">
      <c r="A215" s="23"/>
      <c r="B215" s="23"/>
      <c r="C215" s="23"/>
      <c r="D215" s="23"/>
      <c r="E215" s="28" t="str">
        <f aca="false">IF(OR($A215="",$C215="",$D215=""),"",$C215*$D215)</f>
        <v/>
      </c>
    </row>
    <row r="216" customFormat="false" ht="15" hidden="false" customHeight="false" outlineLevel="0" collapsed="false">
      <c r="A216" s="23"/>
      <c r="B216" s="23"/>
      <c r="C216" s="23"/>
      <c r="D216" s="23"/>
      <c r="E216" s="28" t="str">
        <f aca="false">IF(OR($A216="",$C216="",$D216=""),"",$C216*$D216)</f>
        <v/>
      </c>
    </row>
    <row r="217" customFormat="false" ht="15" hidden="false" customHeight="false" outlineLevel="0" collapsed="false">
      <c r="A217" s="23"/>
      <c r="B217" s="23"/>
      <c r="C217" s="23"/>
      <c r="D217" s="23"/>
      <c r="E217" s="28" t="str">
        <f aca="false">IF(OR($A217="",$C217="",$D217=""),"",$C217*$D217)</f>
        <v/>
      </c>
    </row>
    <row r="218" customFormat="false" ht="15" hidden="false" customHeight="false" outlineLevel="0" collapsed="false">
      <c r="A218" s="23"/>
      <c r="B218" s="23"/>
      <c r="C218" s="23"/>
      <c r="D218" s="23"/>
      <c r="E218" s="28" t="str">
        <f aca="false">IF(OR($A218="",$C218="",$D218=""),"",$C218*$D218)</f>
        <v/>
      </c>
    </row>
    <row r="219" customFormat="false" ht="15" hidden="false" customHeight="false" outlineLevel="0" collapsed="false">
      <c r="A219" s="23"/>
      <c r="B219" s="23"/>
      <c r="C219" s="23"/>
      <c r="D219" s="23"/>
      <c r="E219" s="28" t="str">
        <f aca="false">IF(OR($A219="",$C219="",$D219=""),"",$C219*$D219)</f>
        <v/>
      </c>
    </row>
    <row r="220" customFormat="false" ht="15" hidden="false" customHeight="false" outlineLevel="0" collapsed="false">
      <c r="A220" s="23"/>
      <c r="B220" s="23"/>
      <c r="C220" s="23"/>
      <c r="D220" s="23"/>
      <c r="E220" s="28" t="str">
        <f aca="false">IF(OR($A220="",$C220="",$D220=""),"",$C220*$D220)</f>
        <v/>
      </c>
    </row>
    <row r="221" customFormat="false" ht="15" hidden="false" customHeight="false" outlineLevel="0" collapsed="false">
      <c r="A221" s="23"/>
      <c r="B221" s="23"/>
      <c r="C221" s="23"/>
      <c r="D221" s="23"/>
      <c r="E221" s="28" t="str">
        <f aca="false">IF(OR($A221="",$C221="",$D221=""),"",$C221*$D221)</f>
        <v/>
      </c>
    </row>
    <row r="222" customFormat="false" ht="15" hidden="false" customHeight="false" outlineLevel="0" collapsed="false">
      <c r="A222" s="23"/>
      <c r="B222" s="23"/>
      <c r="C222" s="23"/>
      <c r="D222" s="23"/>
      <c r="E222" s="28" t="str">
        <f aca="false">IF(OR($A222="",$C222="",$D222=""),"",$C222*$D222)</f>
        <v/>
      </c>
    </row>
    <row r="223" customFormat="false" ht="15" hidden="false" customHeight="false" outlineLevel="0" collapsed="false">
      <c r="A223" s="23"/>
      <c r="B223" s="23"/>
      <c r="C223" s="23"/>
      <c r="D223" s="23"/>
      <c r="E223" s="28" t="str">
        <f aca="false">IF(OR($A223="",$C223="",$D223=""),"",$C223*$D223)</f>
        <v/>
      </c>
    </row>
    <row r="224" customFormat="false" ht="15" hidden="false" customHeight="false" outlineLevel="0" collapsed="false">
      <c r="A224" s="23"/>
      <c r="B224" s="23"/>
      <c r="C224" s="23"/>
      <c r="D224" s="23"/>
      <c r="E224" s="28" t="str">
        <f aca="false">IF(OR($A224="",$C224="",$D224=""),"",$C224*$D224)</f>
        <v/>
      </c>
    </row>
    <row r="225" customFormat="false" ht="15" hidden="false" customHeight="false" outlineLevel="0" collapsed="false">
      <c r="A225" s="23"/>
      <c r="B225" s="23"/>
      <c r="C225" s="23"/>
      <c r="D225" s="23"/>
      <c r="E225" s="28" t="str">
        <f aca="false">IF(OR($A225="",$C225="",$D225=""),"",$C225*$D225)</f>
        <v/>
      </c>
    </row>
    <row r="226" customFormat="false" ht="15" hidden="false" customHeight="false" outlineLevel="0" collapsed="false">
      <c r="A226" s="23"/>
      <c r="B226" s="23"/>
      <c r="C226" s="23"/>
      <c r="D226" s="23"/>
      <c r="E226" s="28" t="str">
        <f aca="false">IF(OR($A226="",$C226="",$D226=""),"",$C226*$D226)</f>
        <v/>
      </c>
    </row>
    <row r="227" customFormat="false" ht="15" hidden="false" customHeight="false" outlineLevel="0" collapsed="false">
      <c r="A227" s="23"/>
      <c r="B227" s="23"/>
      <c r="C227" s="23"/>
      <c r="D227" s="23"/>
      <c r="E227" s="28" t="str">
        <f aca="false">IF(OR($A227="",$C227="",$D227=""),"",$C227*$D227)</f>
        <v/>
      </c>
    </row>
    <row r="228" customFormat="false" ht="15" hidden="false" customHeight="false" outlineLevel="0" collapsed="false">
      <c r="A228" s="23"/>
      <c r="B228" s="23"/>
      <c r="C228" s="23"/>
      <c r="D228" s="23"/>
      <c r="E228" s="28" t="str">
        <f aca="false">IF(OR($A228="",$C228="",$D228=""),"",$C228*$D228)</f>
        <v/>
      </c>
    </row>
    <row r="229" customFormat="false" ht="15" hidden="false" customHeight="false" outlineLevel="0" collapsed="false">
      <c r="A229" s="23"/>
      <c r="B229" s="23"/>
      <c r="C229" s="23"/>
      <c r="D229" s="23"/>
      <c r="E229" s="28" t="str">
        <f aca="false">IF(OR($A229="",$C229="",$D229=""),"",$C229*$D229)</f>
        <v/>
      </c>
    </row>
    <row r="230" customFormat="false" ht="15" hidden="false" customHeight="false" outlineLevel="0" collapsed="false">
      <c r="A230" s="23"/>
      <c r="B230" s="23"/>
      <c r="C230" s="23"/>
      <c r="D230" s="23"/>
      <c r="E230" s="28" t="str">
        <f aca="false">IF(OR($A230="",$C230="",$D230=""),"",$C230*$D230)</f>
        <v/>
      </c>
    </row>
    <row r="231" customFormat="false" ht="15" hidden="false" customHeight="false" outlineLevel="0" collapsed="false">
      <c r="A231" s="23"/>
      <c r="B231" s="23"/>
      <c r="C231" s="23"/>
      <c r="D231" s="23"/>
      <c r="E231" s="28" t="str">
        <f aca="false">IF(OR($A231="",$C231="",$D231=""),"",$C231*$D231)</f>
        <v/>
      </c>
    </row>
    <row r="232" customFormat="false" ht="15" hidden="false" customHeight="false" outlineLevel="0" collapsed="false">
      <c r="A232" s="23"/>
      <c r="B232" s="23"/>
      <c r="C232" s="23"/>
      <c r="D232" s="23"/>
      <c r="E232" s="28" t="str">
        <f aca="false">IF(OR($A232="",$C232="",$D232=""),"",$C232*$D232)</f>
        <v/>
      </c>
    </row>
    <row r="233" customFormat="false" ht="15" hidden="false" customHeight="false" outlineLevel="0" collapsed="false">
      <c r="A233" s="23"/>
      <c r="B233" s="23"/>
      <c r="C233" s="23"/>
      <c r="D233" s="23"/>
      <c r="E233" s="28" t="str">
        <f aca="false">IF(OR($A233="",$C233="",$D233=""),"",$C233*$D233)</f>
        <v/>
      </c>
    </row>
    <row r="234" customFormat="false" ht="15" hidden="false" customHeight="false" outlineLevel="0" collapsed="false">
      <c r="A234" s="23"/>
      <c r="B234" s="23"/>
      <c r="C234" s="23"/>
      <c r="D234" s="23"/>
      <c r="E234" s="28" t="str">
        <f aca="false">IF(OR($A234="",$C234="",$D234=""),"",$C234*$D234)</f>
        <v/>
      </c>
    </row>
    <row r="235" customFormat="false" ht="15" hidden="false" customHeight="false" outlineLevel="0" collapsed="false">
      <c r="A235" s="23"/>
      <c r="B235" s="23"/>
      <c r="C235" s="23"/>
      <c r="D235" s="23"/>
      <c r="E235" s="28" t="str">
        <f aca="false">IF(OR($A235="",$C235="",$D235=""),"",$C235*$D235)</f>
        <v/>
      </c>
    </row>
    <row r="236" customFormat="false" ht="15" hidden="false" customHeight="false" outlineLevel="0" collapsed="false">
      <c r="A236" s="23"/>
      <c r="B236" s="23"/>
      <c r="C236" s="23"/>
      <c r="D236" s="23"/>
      <c r="E236" s="28" t="str">
        <f aca="false">IF(OR($A236="",$C236="",$D236=""),"",$C236*$D236)</f>
        <v/>
      </c>
    </row>
    <row r="237" customFormat="false" ht="15" hidden="false" customHeight="false" outlineLevel="0" collapsed="false">
      <c r="A237" s="23"/>
      <c r="B237" s="23"/>
      <c r="C237" s="23"/>
      <c r="D237" s="23"/>
      <c r="E237" s="28" t="str">
        <f aca="false">IF(OR($A237="",$C237="",$D237=""),"",$C237*$D237)</f>
        <v/>
      </c>
    </row>
    <row r="238" customFormat="false" ht="15" hidden="false" customHeight="false" outlineLevel="0" collapsed="false">
      <c r="A238" s="23"/>
      <c r="B238" s="23"/>
      <c r="C238" s="23"/>
      <c r="D238" s="23"/>
      <c r="E238" s="28" t="str">
        <f aca="false">IF(OR($A238="",$C238="",$D238=""),"",$C238*$D238)</f>
        <v/>
      </c>
    </row>
    <row r="239" customFormat="false" ht="15" hidden="false" customHeight="false" outlineLevel="0" collapsed="false">
      <c r="A239" s="23"/>
      <c r="B239" s="23"/>
      <c r="C239" s="23"/>
      <c r="D239" s="23"/>
      <c r="E239" s="28" t="str">
        <f aca="false">IF(OR($A239="",$C239="",$D239=""),"",$C239*$D239)</f>
        <v/>
      </c>
    </row>
    <row r="240" customFormat="false" ht="15" hidden="false" customHeight="false" outlineLevel="0" collapsed="false">
      <c r="A240" s="23"/>
      <c r="B240" s="23"/>
      <c r="C240" s="23"/>
      <c r="D240" s="23"/>
      <c r="E240" s="28" t="str">
        <f aca="false">IF(OR($A240="",$C240="",$D240=""),"",$C240*$D240)</f>
        <v/>
      </c>
    </row>
    <row r="241" customFormat="false" ht="15" hidden="false" customHeight="false" outlineLevel="0" collapsed="false">
      <c r="A241" s="23"/>
      <c r="B241" s="23"/>
      <c r="C241" s="23"/>
      <c r="D241" s="23"/>
      <c r="E241" s="28" t="str">
        <f aca="false">IF(OR($A241="",$C241="",$D241=""),"",$C241*$D241)</f>
        <v/>
      </c>
    </row>
    <row r="242" customFormat="false" ht="15" hidden="false" customHeight="false" outlineLevel="0" collapsed="false">
      <c r="A242" s="23"/>
      <c r="B242" s="23"/>
      <c r="C242" s="23"/>
      <c r="D242" s="23"/>
      <c r="E242" s="28" t="str">
        <f aca="false">IF(OR($A242="",$C242="",$D242=""),"",$C242*$D242)</f>
        <v/>
      </c>
    </row>
    <row r="243" customFormat="false" ht="15" hidden="false" customHeight="false" outlineLevel="0" collapsed="false">
      <c r="A243" s="23"/>
      <c r="B243" s="23"/>
      <c r="C243" s="23"/>
      <c r="D243" s="23"/>
      <c r="E243" s="28" t="str">
        <f aca="false">IF(OR($A243="",$C243="",$D243=""),"",$C243*$D243)</f>
        <v/>
      </c>
    </row>
    <row r="244" customFormat="false" ht="15" hidden="false" customHeight="false" outlineLevel="0" collapsed="false">
      <c r="A244" s="23"/>
      <c r="B244" s="23"/>
      <c r="C244" s="23"/>
      <c r="D244" s="23"/>
      <c r="E244" s="28" t="str">
        <f aca="false">IF(OR($A244="",$C244="",$D244=""),"",$C244*$D244)</f>
        <v/>
      </c>
    </row>
    <row r="245" customFormat="false" ht="15" hidden="false" customHeight="false" outlineLevel="0" collapsed="false">
      <c r="A245" s="23"/>
      <c r="B245" s="23"/>
      <c r="C245" s="23"/>
      <c r="D245" s="23"/>
      <c r="E245" s="28" t="str">
        <f aca="false">IF(OR($A245="",$C245="",$D245=""),"",$C245*$D245)</f>
        <v/>
      </c>
    </row>
    <row r="246" customFormat="false" ht="15" hidden="false" customHeight="false" outlineLevel="0" collapsed="false">
      <c r="A246" s="23"/>
      <c r="B246" s="23"/>
      <c r="C246" s="23"/>
      <c r="D246" s="23"/>
      <c r="E246" s="28" t="str">
        <f aca="false">IF(OR($A246="",$C246="",$D246=""),"",$C246*$D246)</f>
        <v/>
      </c>
    </row>
    <row r="247" customFormat="false" ht="15" hidden="false" customHeight="false" outlineLevel="0" collapsed="false">
      <c r="A247" s="23"/>
      <c r="B247" s="23"/>
      <c r="C247" s="23"/>
      <c r="D247" s="23"/>
      <c r="E247" s="28" t="str">
        <f aca="false">IF(OR($A247="",$C247="",$D247=""),"",$C247*$D247)</f>
        <v/>
      </c>
    </row>
    <row r="248" customFormat="false" ht="15" hidden="false" customHeight="false" outlineLevel="0" collapsed="false">
      <c r="A248" s="23"/>
      <c r="B248" s="23"/>
      <c r="C248" s="23"/>
      <c r="D248" s="23"/>
      <c r="E248" s="28" t="str">
        <f aca="false">IF(OR($A248="",$C248="",$D248=""),"",$C248*$D248)</f>
        <v/>
      </c>
    </row>
    <row r="249" customFormat="false" ht="15" hidden="false" customHeight="false" outlineLevel="0" collapsed="false">
      <c r="A249" s="23"/>
      <c r="B249" s="23"/>
      <c r="C249" s="23"/>
      <c r="D249" s="23"/>
      <c r="E249" s="28" t="str">
        <f aca="false">IF(OR($A249="",$C249="",$D249=""),"",$C249*$D249)</f>
        <v/>
      </c>
    </row>
    <row r="250" customFormat="false" ht="15" hidden="false" customHeight="false" outlineLevel="0" collapsed="false">
      <c r="A250" s="23"/>
      <c r="B250" s="23"/>
      <c r="C250" s="23"/>
      <c r="D250" s="23"/>
      <c r="E250" s="28" t="str">
        <f aca="false">IF(OR($A250="",$C250="",$D250=""),"",$C250*$D250)</f>
        <v/>
      </c>
    </row>
    <row r="251" customFormat="false" ht="15" hidden="false" customHeight="false" outlineLevel="0" collapsed="false">
      <c r="A251" s="23"/>
      <c r="B251" s="23"/>
      <c r="C251" s="23"/>
      <c r="D251" s="23"/>
      <c r="E251" s="28" t="str">
        <f aca="false">IF(OR($A251="",$C251="",$D251=""),"",$C251*$D251)</f>
        <v/>
      </c>
    </row>
    <row r="252" customFormat="false" ht="15" hidden="false" customHeight="false" outlineLevel="0" collapsed="false">
      <c r="A252" s="23"/>
      <c r="B252" s="23"/>
      <c r="C252" s="23"/>
      <c r="D252" s="23"/>
      <c r="E252" s="28" t="str">
        <f aca="false">IF(OR($A252="",$C252="",$D252=""),"",$C252*$D252)</f>
        <v/>
      </c>
    </row>
    <row r="253" customFormat="false" ht="15" hidden="false" customHeight="false" outlineLevel="0" collapsed="false">
      <c r="A253" s="23"/>
      <c r="B253" s="23"/>
      <c r="C253" s="23"/>
      <c r="D253" s="23"/>
      <c r="E253" s="28" t="str">
        <f aca="false">IF(OR($A253="",$C253="",$D253=""),"",$C253*$D253)</f>
        <v/>
      </c>
    </row>
    <row r="254" customFormat="false" ht="15" hidden="false" customHeight="false" outlineLevel="0" collapsed="false">
      <c r="A254" s="23"/>
      <c r="B254" s="23"/>
      <c r="C254" s="23"/>
      <c r="D254" s="23"/>
      <c r="E254" s="28" t="str">
        <f aca="false">IF(OR($A254="",$C254="",$D254=""),"",$C254*$D254)</f>
        <v/>
      </c>
    </row>
    <row r="255" customFormat="false" ht="15" hidden="false" customHeight="false" outlineLevel="0" collapsed="false">
      <c r="A255" s="23"/>
      <c r="B255" s="23"/>
      <c r="C255" s="23"/>
      <c r="D255" s="23"/>
      <c r="E255" s="28" t="str">
        <f aca="false">IF(OR($A255="",$C255="",$D255=""),"",$C255*$D255)</f>
        <v/>
      </c>
    </row>
    <row r="256" customFormat="false" ht="15" hidden="false" customHeight="false" outlineLevel="0" collapsed="false">
      <c r="A256" s="23"/>
      <c r="B256" s="23"/>
      <c r="C256" s="23"/>
      <c r="D256" s="23"/>
      <c r="E256" s="28" t="str">
        <f aca="false">IF(OR($A256="",$C256="",$D256=""),"",$C256*$D256)</f>
        <v/>
      </c>
    </row>
    <row r="257" customFormat="false" ht="15" hidden="false" customHeight="false" outlineLevel="0" collapsed="false">
      <c r="A257" s="23"/>
      <c r="B257" s="23"/>
      <c r="C257" s="23"/>
      <c r="D257" s="23"/>
      <c r="E257" s="28" t="str">
        <f aca="false">IF(OR($A257="",$C257="",$D257=""),"",$C257*$D257)</f>
        <v/>
      </c>
    </row>
    <row r="258" customFormat="false" ht="15" hidden="false" customHeight="false" outlineLevel="0" collapsed="false">
      <c r="A258" s="23"/>
      <c r="B258" s="23"/>
      <c r="C258" s="23"/>
      <c r="D258" s="23"/>
      <c r="E258" s="28" t="str">
        <f aca="false">IF(OR($A258="",$C258="",$D258=""),"",$C258*$D258)</f>
        <v/>
      </c>
    </row>
    <row r="259" customFormat="false" ht="15" hidden="false" customHeight="false" outlineLevel="0" collapsed="false">
      <c r="A259" s="23"/>
      <c r="B259" s="23"/>
      <c r="C259" s="23"/>
      <c r="D259" s="23"/>
      <c r="E259" s="28" t="str">
        <f aca="false">IF(OR($A259="",$C259="",$D259=""),"",$C259*$D259)</f>
        <v/>
      </c>
    </row>
    <row r="260" customFormat="false" ht="15" hidden="false" customHeight="false" outlineLevel="0" collapsed="false">
      <c r="A260" s="23"/>
      <c r="B260" s="23"/>
      <c r="C260" s="23"/>
      <c r="D260" s="23"/>
      <c r="E260" s="28" t="str">
        <f aca="false">IF(OR($A260="",$C260="",$D260=""),"",$C260*$D260)</f>
        <v/>
      </c>
    </row>
    <row r="261" customFormat="false" ht="15" hidden="false" customHeight="false" outlineLevel="0" collapsed="false">
      <c r="A261" s="23"/>
      <c r="B261" s="23"/>
      <c r="C261" s="23"/>
      <c r="D261" s="23"/>
      <c r="E261" s="28" t="str">
        <f aca="false">IF(OR($A261="",$C261="",$D261=""),"",$C261*$D261)</f>
        <v/>
      </c>
    </row>
    <row r="262" customFormat="false" ht="15" hidden="false" customHeight="false" outlineLevel="0" collapsed="false">
      <c r="A262" s="23"/>
      <c r="B262" s="23"/>
      <c r="C262" s="23"/>
      <c r="D262" s="23"/>
      <c r="E262" s="28" t="str">
        <f aca="false">IF(OR($A262="",$C262="",$D262=""),"",$C262*$D262)</f>
        <v/>
      </c>
    </row>
    <row r="263" customFormat="false" ht="15" hidden="false" customHeight="false" outlineLevel="0" collapsed="false">
      <c r="A263" s="23"/>
      <c r="B263" s="23"/>
      <c r="C263" s="23"/>
      <c r="D263" s="23"/>
      <c r="E263" s="28" t="str">
        <f aca="false">IF(OR($A263="",$C263="",$D263=""),"",$C263*$D263)</f>
        <v/>
      </c>
    </row>
    <row r="264" customFormat="false" ht="15" hidden="false" customHeight="false" outlineLevel="0" collapsed="false">
      <c r="A264" s="23"/>
      <c r="B264" s="23"/>
      <c r="C264" s="23"/>
      <c r="D264" s="23"/>
      <c r="E264" s="28" t="str">
        <f aca="false">IF(OR($A264="",$C264="",$D264=""),"",$C264*$D264)</f>
        <v/>
      </c>
    </row>
    <row r="265" customFormat="false" ht="15" hidden="false" customHeight="false" outlineLevel="0" collapsed="false">
      <c r="A265" s="23"/>
      <c r="B265" s="23"/>
      <c r="C265" s="23"/>
      <c r="D265" s="23"/>
      <c r="E265" s="28" t="str">
        <f aca="false">IF(OR($A265="",$C265="",$D265=""),"",$C265*$D265)</f>
        <v/>
      </c>
    </row>
    <row r="266" customFormat="false" ht="15" hidden="false" customHeight="false" outlineLevel="0" collapsed="false">
      <c r="A266" s="23"/>
      <c r="B266" s="23"/>
      <c r="C266" s="23"/>
      <c r="D266" s="23"/>
      <c r="E266" s="28" t="str">
        <f aca="false">IF(OR($A266="",$C266="",$D266=""),"",$C266*$D266)</f>
        <v/>
      </c>
    </row>
    <row r="267" customFormat="false" ht="15" hidden="false" customHeight="false" outlineLevel="0" collapsed="false">
      <c r="A267" s="23"/>
      <c r="B267" s="23"/>
      <c r="C267" s="23"/>
      <c r="D267" s="23"/>
      <c r="E267" s="28" t="str">
        <f aca="false">IF(OR($A267="",$C267="",$D267=""),"",$C267*$D267)</f>
        <v/>
      </c>
    </row>
    <row r="268" customFormat="false" ht="15" hidden="false" customHeight="false" outlineLevel="0" collapsed="false">
      <c r="A268" s="23"/>
      <c r="B268" s="23"/>
      <c r="C268" s="23"/>
      <c r="D268" s="23"/>
      <c r="E268" s="28" t="str">
        <f aca="false">IF(OR($A268="",$C268="",$D268=""),"",$C268*$D268)</f>
        <v/>
      </c>
    </row>
    <row r="269" customFormat="false" ht="15" hidden="false" customHeight="false" outlineLevel="0" collapsed="false">
      <c r="A269" s="23"/>
      <c r="B269" s="23"/>
      <c r="C269" s="23"/>
      <c r="D269" s="23"/>
      <c r="E269" s="28" t="str">
        <f aca="false">IF(OR($A269="",$C269="",$D269=""),"",$C269*$D269)</f>
        <v/>
      </c>
    </row>
    <row r="270" customFormat="false" ht="15" hidden="false" customHeight="false" outlineLevel="0" collapsed="false">
      <c r="A270" s="23"/>
      <c r="B270" s="23"/>
      <c r="C270" s="23"/>
      <c r="D270" s="23"/>
      <c r="E270" s="28" t="str">
        <f aca="false">IF(OR($A270="",$C270="",$D270=""),"",$C270*$D270)</f>
        <v/>
      </c>
    </row>
    <row r="271" customFormat="false" ht="15" hidden="false" customHeight="false" outlineLevel="0" collapsed="false">
      <c r="A271" s="23"/>
      <c r="B271" s="23"/>
      <c r="C271" s="23"/>
      <c r="D271" s="23"/>
      <c r="E271" s="28" t="str">
        <f aca="false">IF(OR($A271="",$C271="",$D271=""),"",$C271*$D271)</f>
        <v/>
      </c>
    </row>
    <row r="272" customFormat="false" ht="15" hidden="false" customHeight="false" outlineLevel="0" collapsed="false">
      <c r="A272" s="23"/>
      <c r="B272" s="23"/>
      <c r="C272" s="23"/>
      <c r="D272" s="23"/>
      <c r="E272" s="28" t="str">
        <f aca="false">IF(OR($A272="",$C272="",$D272=""),"",$C272*$D272)</f>
        <v/>
      </c>
    </row>
    <row r="273" customFormat="false" ht="15" hidden="false" customHeight="false" outlineLevel="0" collapsed="false">
      <c r="A273" s="23"/>
      <c r="B273" s="23"/>
      <c r="C273" s="23"/>
      <c r="D273" s="23"/>
      <c r="E273" s="28" t="str">
        <f aca="false">IF(OR($A273="",$C273="",$D273=""),"",$C273*$D273)</f>
        <v/>
      </c>
    </row>
    <row r="274" customFormat="false" ht="15" hidden="false" customHeight="false" outlineLevel="0" collapsed="false">
      <c r="A274" s="23"/>
      <c r="B274" s="23"/>
      <c r="C274" s="23"/>
      <c r="D274" s="23"/>
      <c r="E274" s="28" t="str">
        <f aca="false">IF(OR($A274="",$C274="",$D274=""),"",$C274*$D274)</f>
        <v/>
      </c>
    </row>
    <row r="275" customFormat="false" ht="15" hidden="false" customHeight="false" outlineLevel="0" collapsed="false">
      <c r="A275" s="23"/>
      <c r="B275" s="23"/>
      <c r="C275" s="23"/>
      <c r="D275" s="23"/>
      <c r="E275" s="28" t="str">
        <f aca="false">IF(OR($A275="",$C275="",$D275=""),"",$C275*$D275)</f>
        <v/>
      </c>
    </row>
    <row r="276" customFormat="false" ht="15" hidden="false" customHeight="false" outlineLevel="0" collapsed="false">
      <c r="A276" s="23"/>
      <c r="B276" s="23"/>
      <c r="C276" s="23"/>
      <c r="D276" s="23"/>
      <c r="E276" s="28" t="str">
        <f aca="false">IF(OR($A276="",$C276="",$D276=""),"",$C276*$D276)</f>
        <v/>
      </c>
    </row>
    <row r="277" customFormat="false" ht="15" hidden="false" customHeight="false" outlineLevel="0" collapsed="false">
      <c r="A277" s="23"/>
      <c r="B277" s="23"/>
      <c r="C277" s="23"/>
      <c r="D277" s="23"/>
      <c r="E277" s="28" t="str">
        <f aca="false">IF(OR($A277="",$C277="",$D277=""),"",$C277*$D277)</f>
        <v/>
      </c>
    </row>
    <row r="278" customFormat="false" ht="15" hidden="false" customHeight="false" outlineLevel="0" collapsed="false">
      <c r="A278" s="23"/>
      <c r="B278" s="23"/>
      <c r="C278" s="23"/>
      <c r="D278" s="23"/>
      <c r="E278" s="28" t="str">
        <f aca="false">IF(OR($A278="",$C278="",$D278=""),"",$C278*$D278)</f>
        <v/>
      </c>
    </row>
    <row r="279" customFormat="false" ht="15" hidden="false" customHeight="false" outlineLevel="0" collapsed="false">
      <c r="A279" s="23"/>
      <c r="B279" s="23"/>
      <c r="C279" s="23"/>
      <c r="D279" s="23"/>
      <c r="E279" s="28" t="str">
        <f aca="false">IF(OR($A279="",$C279="",$D279=""),"",$C279*$D279)</f>
        <v/>
      </c>
    </row>
    <row r="280" customFormat="false" ht="15" hidden="false" customHeight="false" outlineLevel="0" collapsed="false">
      <c r="A280" s="23"/>
      <c r="B280" s="23"/>
      <c r="C280" s="23"/>
      <c r="D280" s="23"/>
      <c r="E280" s="28" t="str">
        <f aca="false">IF(OR($A280="",$C280="",$D280=""),"",$C280*$D280)</f>
        <v/>
      </c>
    </row>
    <row r="281" customFormat="false" ht="15" hidden="false" customHeight="false" outlineLevel="0" collapsed="false">
      <c r="A281" s="23"/>
      <c r="B281" s="23"/>
      <c r="C281" s="23"/>
      <c r="D281" s="23"/>
      <c r="E281" s="28" t="str">
        <f aca="false">IF(OR($A281="",$C281="",$D281=""),"",$C281*$D281)</f>
        <v/>
      </c>
    </row>
    <row r="282" customFormat="false" ht="15" hidden="false" customHeight="false" outlineLevel="0" collapsed="false">
      <c r="A282" s="23"/>
      <c r="B282" s="23"/>
      <c r="C282" s="23"/>
      <c r="D282" s="23"/>
      <c r="E282" s="28" t="str">
        <f aca="false">IF(OR($A282="",$C282="",$D282=""),"",$C282*$D282)</f>
        <v/>
      </c>
    </row>
    <row r="283" customFormat="false" ht="15" hidden="false" customHeight="false" outlineLevel="0" collapsed="false">
      <c r="A283" s="23"/>
      <c r="B283" s="23"/>
      <c r="C283" s="23"/>
      <c r="D283" s="23"/>
      <c r="E283" s="28" t="str">
        <f aca="false">IF(OR($A283="",$C283="",$D283=""),"",$C283*$D283)</f>
        <v/>
      </c>
    </row>
    <row r="284" customFormat="false" ht="15" hidden="false" customHeight="false" outlineLevel="0" collapsed="false">
      <c r="A284" s="23"/>
      <c r="B284" s="23"/>
      <c r="C284" s="23"/>
      <c r="D284" s="23"/>
      <c r="E284" s="28" t="str">
        <f aca="false">IF(OR($A284="",$C284="",$D284=""),"",$C284*$D284)</f>
        <v/>
      </c>
    </row>
    <row r="285" customFormat="false" ht="15" hidden="false" customHeight="false" outlineLevel="0" collapsed="false">
      <c r="A285" s="23"/>
      <c r="B285" s="23"/>
      <c r="C285" s="23"/>
      <c r="D285" s="23"/>
      <c r="E285" s="28" t="str">
        <f aca="false">IF(OR($A285="",$C285="",$D285=""),"",$C285*$D285)</f>
        <v/>
      </c>
    </row>
    <row r="286" customFormat="false" ht="15" hidden="false" customHeight="false" outlineLevel="0" collapsed="false">
      <c r="A286" s="23"/>
      <c r="B286" s="23"/>
      <c r="C286" s="23"/>
      <c r="D286" s="23"/>
      <c r="E286" s="28" t="str">
        <f aca="false">IF(OR($A286="",$C286="",$D286=""),"",$C286*$D286)</f>
        <v/>
      </c>
    </row>
    <row r="287" customFormat="false" ht="15" hidden="false" customHeight="false" outlineLevel="0" collapsed="false">
      <c r="A287" s="23"/>
      <c r="B287" s="23"/>
      <c r="C287" s="23"/>
      <c r="D287" s="23"/>
      <c r="E287" s="28" t="str">
        <f aca="false">IF(OR($A287="",$C287="",$D287=""),"",$C287*$D287)</f>
        <v/>
      </c>
    </row>
    <row r="288" customFormat="false" ht="15" hidden="false" customHeight="false" outlineLevel="0" collapsed="false">
      <c r="A288" s="23"/>
      <c r="B288" s="23"/>
      <c r="C288" s="23"/>
      <c r="D288" s="23"/>
      <c r="E288" s="28" t="str">
        <f aca="false">IF(OR($A288="",$C288="",$D288=""),"",$C288*$D288)</f>
        <v/>
      </c>
    </row>
    <row r="289" customFormat="false" ht="15" hidden="false" customHeight="false" outlineLevel="0" collapsed="false">
      <c r="A289" s="23"/>
      <c r="B289" s="23"/>
      <c r="C289" s="23"/>
      <c r="D289" s="23"/>
      <c r="E289" s="28" t="str">
        <f aca="false">IF(OR($A289="",$C289="",$D289=""),"",$C289*$D289)</f>
        <v/>
      </c>
    </row>
    <row r="290" customFormat="false" ht="15" hidden="false" customHeight="false" outlineLevel="0" collapsed="false">
      <c r="A290" s="23"/>
      <c r="B290" s="23"/>
      <c r="C290" s="23"/>
      <c r="D290" s="23"/>
      <c r="E290" s="28" t="str">
        <f aca="false">IF(OR($A290="",$C290="",$D290=""),"",$C290*$D290)</f>
        <v/>
      </c>
    </row>
    <row r="291" customFormat="false" ht="15" hidden="false" customHeight="false" outlineLevel="0" collapsed="false">
      <c r="A291" s="23"/>
      <c r="B291" s="23"/>
      <c r="C291" s="23"/>
      <c r="D291" s="23"/>
      <c r="E291" s="28" t="str">
        <f aca="false">IF(OR($A291="",$C291="",$D291=""),"",$C291*$D291)</f>
        <v/>
      </c>
    </row>
    <row r="292" customFormat="false" ht="15" hidden="false" customHeight="false" outlineLevel="0" collapsed="false">
      <c r="A292" s="23"/>
      <c r="B292" s="23"/>
      <c r="C292" s="23"/>
      <c r="D292" s="23"/>
      <c r="E292" s="28" t="str">
        <f aca="false">IF(OR($A292="",$C292="",$D292=""),"",$C292*$D292)</f>
        <v/>
      </c>
    </row>
    <row r="293" customFormat="false" ht="15" hidden="false" customHeight="false" outlineLevel="0" collapsed="false">
      <c r="A293" s="23"/>
      <c r="B293" s="23"/>
      <c r="C293" s="23"/>
      <c r="D293" s="23"/>
      <c r="E293" s="28" t="str">
        <f aca="false">IF(OR($A293="",$C293="",$D293=""),"",$C293*$D293)</f>
        <v/>
      </c>
    </row>
    <row r="294" customFormat="false" ht="15" hidden="false" customHeight="false" outlineLevel="0" collapsed="false">
      <c r="A294" s="23"/>
      <c r="B294" s="23"/>
      <c r="C294" s="23"/>
      <c r="D294" s="23"/>
      <c r="E294" s="28" t="str">
        <f aca="false">IF(OR($A294="",$C294="",$D294=""),"",$C294*$D294)</f>
        <v/>
      </c>
    </row>
    <row r="295" customFormat="false" ht="15" hidden="false" customHeight="false" outlineLevel="0" collapsed="false">
      <c r="A295" s="23"/>
      <c r="B295" s="23"/>
      <c r="C295" s="23"/>
      <c r="D295" s="23"/>
      <c r="E295" s="28" t="str">
        <f aca="false">IF(OR($A295="",$C295="",$D295=""),"",$C295*$D295)</f>
        <v/>
      </c>
    </row>
    <row r="296" customFormat="false" ht="15" hidden="false" customHeight="false" outlineLevel="0" collapsed="false">
      <c r="A296" s="23"/>
      <c r="B296" s="23"/>
      <c r="C296" s="23"/>
      <c r="D296" s="23"/>
      <c r="E296" s="28" t="str">
        <f aca="false">IF(OR($A296="",$C296="",$D296=""),"",$C296*$D296)</f>
        <v/>
      </c>
    </row>
    <row r="297" customFormat="false" ht="15" hidden="false" customHeight="false" outlineLevel="0" collapsed="false">
      <c r="A297" s="23"/>
      <c r="B297" s="23"/>
      <c r="C297" s="23"/>
      <c r="D297" s="23"/>
      <c r="E297" s="28" t="str">
        <f aca="false">IF(OR($A297="",$C297="",$D297=""),"",$C297*$D297)</f>
        <v/>
      </c>
    </row>
    <row r="298" customFormat="false" ht="15" hidden="false" customHeight="false" outlineLevel="0" collapsed="false">
      <c r="A298" s="23"/>
      <c r="B298" s="23"/>
      <c r="C298" s="23"/>
      <c r="D298" s="23"/>
      <c r="E298" s="28" t="str">
        <f aca="false">IF(OR($A298="",$C298="",$D298=""),"",$C298*$D298)</f>
        <v/>
      </c>
    </row>
    <row r="299" customFormat="false" ht="15" hidden="false" customHeight="false" outlineLevel="0" collapsed="false">
      <c r="A299" s="23"/>
      <c r="B299" s="23"/>
      <c r="C299" s="23"/>
      <c r="D299" s="23"/>
      <c r="E299" s="28" t="str">
        <f aca="false">IF(OR($A299="",$C299="",$D299=""),"",$C299*$D299)</f>
        <v/>
      </c>
    </row>
    <row r="300" customFormat="false" ht="15" hidden="false" customHeight="false" outlineLevel="0" collapsed="false">
      <c r="A300" s="23"/>
      <c r="B300" s="23"/>
      <c r="C300" s="23"/>
      <c r="D300" s="23"/>
      <c r="E300" s="28" t="str">
        <f aca="false">IF(OR($A300="",$C300="",$D300=""),"",$C300*$D300)</f>
        <v/>
      </c>
    </row>
    <row r="301" customFormat="false" ht="15" hidden="false" customHeight="false" outlineLevel="0" collapsed="false">
      <c r="A301" s="23"/>
      <c r="B301" s="23"/>
      <c r="C301" s="23"/>
      <c r="D301" s="23"/>
      <c r="E301" s="28" t="str">
        <f aca="false">IF(OR($A301="",$C301="",$D301=""),"",$C301*$D301)</f>
        <v/>
      </c>
    </row>
    <row r="302" customFormat="false" ht="15" hidden="false" customHeight="false" outlineLevel="0" collapsed="false">
      <c r="A302" s="23"/>
      <c r="B302" s="23"/>
      <c r="C302" s="23"/>
      <c r="D302" s="23"/>
      <c r="E302" s="28" t="str">
        <f aca="false">IF(OR($A302="",$C302="",$D302=""),"",$C302*$D302)</f>
        <v/>
      </c>
    </row>
    <row r="303" customFormat="false" ht="15" hidden="false" customHeight="false" outlineLevel="0" collapsed="false">
      <c r="A303" s="23"/>
      <c r="B303" s="23"/>
      <c r="C303" s="23"/>
      <c r="D303" s="23"/>
      <c r="E303" s="28" t="str">
        <f aca="false">IF(OR($A303="",$C303="",$D303=""),"",$C303*$D303)</f>
        <v/>
      </c>
    </row>
    <row r="304" customFormat="false" ht="15" hidden="false" customHeight="false" outlineLevel="0" collapsed="false">
      <c r="A304" s="23"/>
      <c r="B304" s="23"/>
      <c r="C304" s="23"/>
      <c r="D304" s="23"/>
      <c r="E304" s="28" t="str">
        <f aca="false">IF(OR($A304="",$C304="",$D304=""),"",$C304*$D304)</f>
        <v/>
      </c>
    </row>
    <row r="305" customFormat="false" ht="15" hidden="false" customHeight="false" outlineLevel="0" collapsed="false">
      <c r="A305" s="23"/>
      <c r="B305" s="23"/>
      <c r="C305" s="23"/>
      <c r="D305" s="23"/>
      <c r="E305" s="28" t="str">
        <f aca="false">IF(OR($A305="",$C305="",$D305=""),"",$C305*$D305)</f>
        <v/>
      </c>
    </row>
    <row r="306" customFormat="false" ht="15" hidden="false" customHeight="false" outlineLevel="0" collapsed="false">
      <c r="A306" s="23"/>
      <c r="B306" s="23"/>
      <c r="C306" s="23"/>
      <c r="D306" s="23"/>
      <c r="E306" s="28" t="str">
        <f aca="false">IF(OR($A306="",$C306="",$D306=""),"",$C306*$D306)</f>
        <v/>
      </c>
    </row>
    <row r="307" customFormat="false" ht="15" hidden="false" customHeight="false" outlineLevel="0" collapsed="false">
      <c r="A307" s="23"/>
      <c r="B307" s="23"/>
      <c r="C307" s="23"/>
      <c r="D307" s="23"/>
      <c r="E307" s="28" t="str">
        <f aca="false">IF(OR($A307="",$C307="",$D307=""),"",$C307*$D307)</f>
        <v/>
      </c>
    </row>
    <row r="308" customFormat="false" ht="15" hidden="false" customHeight="false" outlineLevel="0" collapsed="false">
      <c r="A308" s="23"/>
      <c r="B308" s="23"/>
      <c r="C308" s="23"/>
      <c r="D308" s="23"/>
      <c r="E308" s="28" t="str">
        <f aca="false">IF(OR($A308="",$C308="",$D308=""),"",$C308*$D308)</f>
        <v/>
      </c>
    </row>
    <row r="309" customFormat="false" ht="15" hidden="false" customHeight="false" outlineLevel="0" collapsed="false">
      <c r="A309" s="23"/>
      <c r="B309" s="23"/>
      <c r="C309" s="23"/>
      <c r="D309" s="23"/>
      <c r="E309" s="28" t="str">
        <f aca="false">IF(OR($A309="",$C309="",$D309=""),"",$C309*$D309)</f>
        <v/>
      </c>
    </row>
    <row r="310" customFormat="false" ht="15" hidden="false" customHeight="false" outlineLevel="0" collapsed="false">
      <c r="A310" s="23"/>
      <c r="B310" s="23"/>
      <c r="C310" s="23"/>
      <c r="D310" s="23"/>
      <c r="E310" s="28" t="str">
        <f aca="false">IF(OR($A310="",$C310="",$D310=""),"",$C310*$D310)</f>
        <v/>
      </c>
    </row>
    <row r="311" customFormat="false" ht="15" hidden="false" customHeight="false" outlineLevel="0" collapsed="false">
      <c r="A311" s="23"/>
      <c r="B311" s="23"/>
      <c r="C311" s="23"/>
      <c r="D311" s="23"/>
      <c r="E311" s="28" t="str">
        <f aca="false">IF(OR($A311="",$C311="",$D311=""),"",$C311*$D311)</f>
        <v/>
      </c>
    </row>
    <row r="312" customFormat="false" ht="15" hidden="false" customHeight="false" outlineLevel="0" collapsed="false">
      <c r="A312" s="23"/>
      <c r="B312" s="23"/>
      <c r="C312" s="23"/>
      <c r="D312" s="23"/>
      <c r="E312" s="28" t="str">
        <f aca="false">IF(OR($A312="",$C312="",$D312=""),"",$C312*$D312)</f>
        <v/>
      </c>
    </row>
    <row r="313" customFormat="false" ht="15" hidden="false" customHeight="false" outlineLevel="0" collapsed="false">
      <c r="A313" s="23"/>
      <c r="B313" s="23"/>
      <c r="C313" s="23"/>
      <c r="D313" s="23"/>
      <c r="E313" s="28" t="str">
        <f aca="false">IF(OR($A313="",$C313="",$D313=""),"",$C313*$D313)</f>
        <v/>
      </c>
    </row>
    <row r="314" customFormat="false" ht="15" hidden="false" customHeight="false" outlineLevel="0" collapsed="false">
      <c r="A314" s="23"/>
      <c r="B314" s="23"/>
      <c r="C314" s="23"/>
      <c r="D314" s="23"/>
      <c r="E314" s="28" t="str">
        <f aca="false">IF(OR($A314="",$C314="",$D314=""),"",$C314*$D314)</f>
        <v/>
      </c>
    </row>
    <row r="315" customFormat="false" ht="15" hidden="false" customHeight="false" outlineLevel="0" collapsed="false">
      <c r="A315" s="23"/>
      <c r="B315" s="23"/>
      <c r="C315" s="23"/>
      <c r="D315" s="23"/>
      <c r="E315" s="28" t="str">
        <f aca="false">IF(OR($A315="",$C315="",$D315=""),"",$C315*$D315)</f>
        <v/>
      </c>
    </row>
    <row r="316" customFormat="false" ht="15" hidden="false" customHeight="false" outlineLevel="0" collapsed="false">
      <c r="A316" s="23"/>
      <c r="B316" s="23"/>
      <c r="C316" s="23"/>
      <c r="D316" s="23"/>
      <c r="E316" s="28" t="str">
        <f aca="false">IF(OR($A316="",$C316="",$D316=""),"",$C316*$D316)</f>
        <v/>
      </c>
    </row>
    <row r="317" customFormat="false" ht="15" hidden="false" customHeight="false" outlineLevel="0" collapsed="false">
      <c r="A317" s="23"/>
      <c r="B317" s="23"/>
      <c r="C317" s="23"/>
      <c r="D317" s="23"/>
      <c r="E317" s="28" t="str">
        <f aca="false">IF(OR($A317="",$C317="",$D317=""),"",$C317*$D317)</f>
        <v/>
      </c>
    </row>
    <row r="318" customFormat="false" ht="15" hidden="false" customHeight="false" outlineLevel="0" collapsed="false">
      <c r="A318" s="23"/>
      <c r="B318" s="23"/>
      <c r="C318" s="23"/>
      <c r="D318" s="23"/>
      <c r="E318" s="28" t="str">
        <f aca="false">IF(OR($A318="",$C318="",$D318=""),"",$C318*$D318)</f>
        <v/>
      </c>
    </row>
    <row r="319" customFormat="false" ht="15" hidden="false" customHeight="false" outlineLevel="0" collapsed="false">
      <c r="A319" s="23"/>
      <c r="B319" s="23"/>
      <c r="C319" s="23"/>
      <c r="D319" s="23"/>
      <c r="E319" s="28" t="str">
        <f aca="false">IF(OR($A319="",$C319="",$D319=""),"",$C319*$D319)</f>
        <v/>
      </c>
    </row>
    <row r="320" customFormat="false" ht="15" hidden="false" customHeight="false" outlineLevel="0" collapsed="false">
      <c r="A320" s="23"/>
      <c r="B320" s="23"/>
      <c r="C320" s="23"/>
      <c r="D320" s="23"/>
      <c r="E320" s="28" t="str">
        <f aca="false">IF(OR($A320="",$C320="",$D320=""),"",$C320*$D320)</f>
        <v/>
      </c>
    </row>
    <row r="321" customFormat="false" ht="15" hidden="false" customHeight="false" outlineLevel="0" collapsed="false">
      <c r="A321" s="23"/>
      <c r="B321" s="23"/>
      <c r="C321" s="23"/>
      <c r="D321" s="23"/>
      <c r="E321" s="28" t="str">
        <f aca="false">IF(OR($A321="",$C321="",$D321=""),"",$C321*$D321)</f>
        <v/>
      </c>
    </row>
    <row r="322" customFormat="false" ht="15" hidden="false" customHeight="false" outlineLevel="0" collapsed="false">
      <c r="A322" s="23"/>
      <c r="B322" s="23"/>
      <c r="C322" s="23"/>
      <c r="D322" s="23"/>
      <c r="E322" s="28" t="str">
        <f aca="false">IF(OR($A322="",$C322="",$D322=""),"",$C322*$D322)</f>
        <v/>
      </c>
    </row>
    <row r="323" customFormat="false" ht="15" hidden="false" customHeight="false" outlineLevel="0" collapsed="false">
      <c r="A323" s="23"/>
      <c r="B323" s="23"/>
      <c r="C323" s="23"/>
      <c r="D323" s="23"/>
      <c r="E323" s="28" t="str">
        <f aca="false">IF(OR($A323="",$C323="",$D323=""),"",$C323*$D323)</f>
        <v/>
      </c>
    </row>
    <row r="324" customFormat="false" ht="15" hidden="false" customHeight="false" outlineLevel="0" collapsed="false">
      <c r="A324" s="23"/>
      <c r="B324" s="23"/>
      <c r="C324" s="23"/>
      <c r="D324" s="23"/>
      <c r="E324" s="28" t="str">
        <f aca="false">IF(OR($A324="",$C324="",$D324=""),"",$C324*$D324)</f>
        <v/>
      </c>
    </row>
    <row r="325" customFormat="false" ht="15" hidden="false" customHeight="false" outlineLevel="0" collapsed="false">
      <c r="A325" s="23"/>
      <c r="B325" s="23"/>
      <c r="C325" s="23"/>
      <c r="D325" s="23"/>
      <c r="E325" s="28" t="str">
        <f aca="false">IF(OR($A325="",$C325="",$D325=""),"",$C325*$D325)</f>
        <v/>
      </c>
    </row>
    <row r="326" customFormat="false" ht="15" hidden="false" customHeight="false" outlineLevel="0" collapsed="false">
      <c r="A326" s="23"/>
      <c r="B326" s="23"/>
      <c r="C326" s="23"/>
      <c r="D326" s="23"/>
      <c r="E326" s="28" t="str">
        <f aca="false">IF(OR($A326="",$C326="",$D326=""),"",$C326*$D326)</f>
        <v/>
      </c>
    </row>
    <row r="327" customFormat="false" ht="15" hidden="false" customHeight="false" outlineLevel="0" collapsed="false">
      <c r="A327" s="23"/>
      <c r="B327" s="23"/>
      <c r="C327" s="23"/>
      <c r="D327" s="23"/>
      <c r="E327" s="28" t="str">
        <f aca="false">IF(OR($A327="",$C327="",$D327=""),"",$C327*$D327)</f>
        <v/>
      </c>
    </row>
    <row r="328" customFormat="false" ht="15" hidden="false" customHeight="false" outlineLevel="0" collapsed="false">
      <c r="A328" s="23"/>
      <c r="B328" s="23"/>
      <c r="C328" s="23"/>
      <c r="D328" s="23"/>
      <c r="E328" s="28" t="str">
        <f aca="false">IF(OR($A328="",$C328="",$D328=""),"",$C328*$D328)</f>
        <v/>
      </c>
    </row>
    <row r="329" customFormat="false" ht="15" hidden="false" customHeight="false" outlineLevel="0" collapsed="false">
      <c r="A329" s="23"/>
      <c r="B329" s="23"/>
      <c r="C329" s="23"/>
      <c r="D329" s="23"/>
      <c r="E329" s="28" t="str">
        <f aca="false">IF(OR($A329="",$C329="",$D329=""),"",$C329*$D329)</f>
        <v/>
      </c>
    </row>
    <row r="330" customFormat="false" ht="15" hidden="false" customHeight="false" outlineLevel="0" collapsed="false">
      <c r="A330" s="23"/>
      <c r="B330" s="23"/>
      <c r="C330" s="23"/>
      <c r="D330" s="23"/>
      <c r="E330" s="28" t="str">
        <f aca="false">IF(OR($A330="",$C330="",$D330=""),"",$C330*$D330)</f>
        <v/>
      </c>
    </row>
    <row r="331" customFormat="false" ht="15" hidden="false" customHeight="false" outlineLevel="0" collapsed="false">
      <c r="A331" s="23"/>
      <c r="B331" s="23"/>
      <c r="C331" s="23"/>
      <c r="D331" s="23"/>
      <c r="E331" s="28" t="str">
        <f aca="false">IF(OR($A331="",$C331="",$D331=""),"",$C331*$D331)</f>
        <v/>
      </c>
    </row>
    <row r="332" customFormat="false" ht="15" hidden="false" customHeight="false" outlineLevel="0" collapsed="false">
      <c r="A332" s="23"/>
      <c r="B332" s="23"/>
      <c r="C332" s="23"/>
      <c r="D332" s="23"/>
      <c r="E332" s="28" t="str">
        <f aca="false">IF(OR($A332="",$C332="",$D332=""),"",$C332*$D332)</f>
        <v/>
      </c>
    </row>
    <row r="333" customFormat="false" ht="15" hidden="false" customHeight="false" outlineLevel="0" collapsed="false">
      <c r="A333" s="23"/>
      <c r="B333" s="23"/>
      <c r="C333" s="23"/>
      <c r="D333" s="23"/>
      <c r="E333" s="28" t="str">
        <f aca="false">IF(OR($A333="",$C333="",$D333=""),"",$C333*$D333)</f>
        <v/>
      </c>
    </row>
    <row r="334" customFormat="false" ht="15" hidden="false" customHeight="false" outlineLevel="0" collapsed="false">
      <c r="A334" s="23"/>
      <c r="B334" s="23"/>
      <c r="C334" s="23"/>
      <c r="D334" s="23"/>
      <c r="E334" s="28" t="str">
        <f aca="false">IF(OR($A334="",$C334="",$D334=""),"",$C334*$D334)</f>
        <v/>
      </c>
    </row>
    <row r="335" customFormat="false" ht="15" hidden="false" customHeight="false" outlineLevel="0" collapsed="false">
      <c r="A335" s="23"/>
      <c r="B335" s="23"/>
      <c r="C335" s="23"/>
      <c r="D335" s="23"/>
      <c r="E335" s="28" t="str">
        <f aca="false">IF(OR($A335="",$C335="",$D335=""),"",$C335*$D335)</f>
        <v/>
      </c>
    </row>
    <row r="336" customFormat="false" ht="15" hidden="false" customHeight="false" outlineLevel="0" collapsed="false">
      <c r="A336" s="23"/>
      <c r="B336" s="23"/>
      <c r="C336" s="23"/>
      <c r="D336" s="23"/>
      <c r="E336" s="28" t="str">
        <f aca="false">IF(OR($A336="",$C336="",$D336=""),"",$C336*$D336)</f>
        <v/>
      </c>
    </row>
    <row r="337" customFormat="false" ht="15" hidden="false" customHeight="false" outlineLevel="0" collapsed="false">
      <c r="A337" s="23"/>
      <c r="B337" s="23"/>
      <c r="C337" s="23"/>
      <c r="D337" s="23"/>
      <c r="E337" s="28" t="str">
        <f aca="false">IF(OR($A337="",$C337="",$D337=""),"",$C337*$D337)</f>
        <v/>
      </c>
    </row>
    <row r="338" customFormat="false" ht="15" hidden="false" customHeight="false" outlineLevel="0" collapsed="false">
      <c r="A338" s="23"/>
      <c r="B338" s="23"/>
      <c r="C338" s="23"/>
      <c r="D338" s="23"/>
      <c r="E338" s="28" t="str">
        <f aca="false">IF(OR($A338="",$C338="",$D338=""),"",$C338*$D338)</f>
        <v/>
      </c>
    </row>
    <row r="339" customFormat="false" ht="15" hidden="false" customHeight="false" outlineLevel="0" collapsed="false">
      <c r="A339" s="23"/>
      <c r="B339" s="23"/>
      <c r="C339" s="23"/>
      <c r="D339" s="23"/>
      <c r="E339" s="28" t="str">
        <f aca="false">IF(OR($A339="",$C339="",$D339=""),"",$C339*$D339)</f>
        <v/>
      </c>
    </row>
    <row r="340" customFormat="false" ht="15" hidden="false" customHeight="false" outlineLevel="0" collapsed="false">
      <c r="A340" s="23"/>
      <c r="B340" s="23"/>
      <c r="C340" s="23"/>
      <c r="D340" s="23"/>
      <c r="E340" s="28" t="str">
        <f aca="false">IF(OR($A340="",$C340="",$D340=""),"",$C340*$D340)</f>
        <v/>
      </c>
    </row>
    <row r="341" customFormat="false" ht="15" hidden="false" customHeight="false" outlineLevel="0" collapsed="false">
      <c r="A341" s="23"/>
      <c r="B341" s="23"/>
      <c r="C341" s="23"/>
      <c r="D341" s="23"/>
      <c r="E341" s="28" t="str">
        <f aca="false">IF(OR($A341="",$C341="",$D341=""),"",$C341*$D341)</f>
        <v/>
      </c>
    </row>
    <row r="342" customFormat="false" ht="15" hidden="false" customHeight="false" outlineLevel="0" collapsed="false">
      <c r="A342" s="23"/>
      <c r="B342" s="23"/>
      <c r="C342" s="23"/>
      <c r="D342" s="23"/>
      <c r="E342" s="28" t="str">
        <f aca="false">IF(OR($A342="",$C342="",$D342=""),"",$C342*$D342)</f>
        <v/>
      </c>
    </row>
    <row r="343" customFormat="false" ht="15" hidden="false" customHeight="false" outlineLevel="0" collapsed="false">
      <c r="A343" s="23"/>
      <c r="B343" s="23"/>
      <c r="C343" s="23"/>
      <c r="D343" s="23"/>
      <c r="E343" s="28" t="str">
        <f aca="false">IF(OR($A343="",$C343="",$D343=""),"",$C343*$D343)</f>
        <v/>
      </c>
    </row>
    <row r="344" customFormat="false" ht="15" hidden="false" customHeight="false" outlineLevel="0" collapsed="false">
      <c r="A344" s="23"/>
      <c r="B344" s="23"/>
      <c r="C344" s="23"/>
      <c r="D344" s="23"/>
      <c r="E344" s="28" t="str">
        <f aca="false">IF(OR($A344="",$C344="",$D344=""),"",$C344*$D344)</f>
        <v/>
      </c>
    </row>
    <row r="345" customFormat="false" ht="15" hidden="false" customHeight="false" outlineLevel="0" collapsed="false">
      <c r="A345" s="23"/>
      <c r="B345" s="23"/>
      <c r="C345" s="23"/>
      <c r="D345" s="23"/>
      <c r="E345" s="28" t="str">
        <f aca="false">IF(OR($A345="",$C345="",$D345=""),"",$C345*$D345)</f>
        <v/>
      </c>
    </row>
    <row r="346" customFormat="false" ht="15" hidden="false" customHeight="false" outlineLevel="0" collapsed="false">
      <c r="A346" s="23"/>
      <c r="B346" s="23"/>
      <c r="C346" s="23"/>
      <c r="D346" s="23"/>
      <c r="E346" s="28" t="str">
        <f aca="false">IF(OR($A346="",$C346="",$D346=""),"",$C346*$D346)</f>
        <v/>
      </c>
    </row>
    <row r="347" customFormat="false" ht="15" hidden="false" customHeight="false" outlineLevel="0" collapsed="false">
      <c r="A347" s="23"/>
      <c r="B347" s="23"/>
      <c r="C347" s="23"/>
      <c r="D347" s="23"/>
      <c r="E347" s="28" t="str">
        <f aca="false">IF(OR($A347="",$C347="",$D347=""),"",$C347*$D347)</f>
        <v/>
      </c>
    </row>
    <row r="348" customFormat="false" ht="15" hidden="false" customHeight="false" outlineLevel="0" collapsed="false">
      <c r="A348" s="23"/>
      <c r="B348" s="23"/>
      <c r="C348" s="23"/>
      <c r="D348" s="23"/>
      <c r="E348" s="28" t="str">
        <f aca="false">IF(OR($A348="",$C348="",$D348=""),"",$C348*$D348)</f>
        <v/>
      </c>
    </row>
    <row r="349" customFormat="false" ht="15" hidden="false" customHeight="false" outlineLevel="0" collapsed="false">
      <c r="A349" s="23"/>
      <c r="B349" s="23"/>
      <c r="C349" s="23"/>
      <c r="D349" s="23"/>
      <c r="E349" s="28" t="str">
        <f aca="false">IF(OR($A349="",$C349="",$D349=""),"",$C349*$D349)</f>
        <v/>
      </c>
    </row>
    <row r="350" customFormat="false" ht="15" hidden="false" customHeight="false" outlineLevel="0" collapsed="false">
      <c r="A350" s="23"/>
      <c r="B350" s="23"/>
      <c r="C350" s="23"/>
      <c r="D350" s="23"/>
      <c r="E350" s="28" t="str">
        <f aca="false">IF(OR($A350="",$C350="",$D350=""),"",$C350*$D350)</f>
        <v/>
      </c>
    </row>
    <row r="351" customFormat="false" ht="15" hidden="false" customHeight="false" outlineLevel="0" collapsed="false">
      <c r="A351" s="23"/>
      <c r="B351" s="23"/>
      <c r="C351" s="23"/>
      <c r="D351" s="23"/>
      <c r="E351" s="28" t="str">
        <f aca="false">IF(OR($A351="",$C351="",$D351=""),"",$C351*$D351)</f>
        <v/>
      </c>
    </row>
    <row r="352" customFormat="false" ht="15" hidden="false" customHeight="false" outlineLevel="0" collapsed="false">
      <c r="A352" s="23"/>
      <c r="B352" s="23"/>
      <c r="C352" s="23"/>
      <c r="D352" s="23"/>
      <c r="E352" s="28" t="str">
        <f aca="false">IF(OR($A352="",$C352="",$D352=""),"",$C352*$D352)</f>
        <v/>
      </c>
    </row>
    <row r="353" customFormat="false" ht="15" hidden="false" customHeight="false" outlineLevel="0" collapsed="false">
      <c r="A353" s="23"/>
      <c r="B353" s="23"/>
      <c r="C353" s="23"/>
      <c r="D353" s="23"/>
      <c r="E353" s="28" t="str">
        <f aca="false">IF(OR($A353="",$C353="",$D353=""),"",$C353*$D353)</f>
        <v/>
      </c>
    </row>
    <row r="354" customFormat="false" ht="15" hidden="false" customHeight="false" outlineLevel="0" collapsed="false">
      <c r="A354" s="23"/>
      <c r="B354" s="23"/>
      <c r="C354" s="23"/>
      <c r="D354" s="23"/>
      <c r="E354" s="28" t="str">
        <f aca="false">IF(OR($A354="",$C354="",$D354=""),"",$C354*$D354)</f>
        <v/>
      </c>
    </row>
    <row r="355" customFormat="false" ht="15" hidden="false" customHeight="false" outlineLevel="0" collapsed="false">
      <c r="A355" s="23"/>
      <c r="B355" s="23"/>
      <c r="C355" s="23"/>
      <c r="D355" s="23"/>
      <c r="E355" s="28" t="str">
        <f aca="false">IF(OR($A355="",$C355="",$D355=""),"",$C355*$D355)</f>
        <v/>
      </c>
    </row>
    <row r="356" customFormat="false" ht="15" hidden="false" customHeight="false" outlineLevel="0" collapsed="false">
      <c r="A356" s="23"/>
      <c r="B356" s="23"/>
      <c r="C356" s="23"/>
      <c r="D356" s="23"/>
      <c r="E356" s="28" t="str">
        <f aca="false">IF(OR($A356="",$C356="",$D356=""),"",$C356*$D356)</f>
        <v/>
      </c>
    </row>
    <row r="357" customFormat="false" ht="15" hidden="false" customHeight="false" outlineLevel="0" collapsed="false">
      <c r="A357" s="23"/>
      <c r="B357" s="23"/>
      <c r="C357" s="23"/>
      <c r="D357" s="23"/>
      <c r="E357" s="28" t="str">
        <f aca="false">IF(OR($A357="",$C357="",$D357=""),"",$C357*$D357)</f>
        <v/>
      </c>
    </row>
    <row r="358" customFormat="false" ht="15" hidden="false" customHeight="false" outlineLevel="0" collapsed="false">
      <c r="A358" s="23"/>
      <c r="B358" s="23"/>
      <c r="C358" s="23"/>
      <c r="D358" s="23"/>
      <c r="E358" s="28" t="str">
        <f aca="false">IF(OR($A358="",$C358="",$D358=""),"",$C358*$D358)</f>
        <v/>
      </c>
    </row>
    <row r="359" customFormat="false" ht="15" hidden="false" customHeight="false" outlineLevel="0" collapsed="false">
      <c r="A359" s="23"/>
      <c r="B359" s="23"/>
      <c r="C359" s="23"/>
      <c r="D359" s="23"/>
      <c r="E359" s="28" t="str">
        <f aca="false">IF(OR($A359="",$C359="",$D359=""),"",$C359*$D359)</f>
        <v/>
      </c>
    </row>
    <row r="360" customFormat="false" ht="15" hidden="false" customHeight="false" outlineLevel="0" collapsed="false">
      <c r="A360" s="23"/>
      <c r="B360" s="23"/>
      <c r="C360" s="23"/>
      <c r="D360" s="23"/>
      <c r="E360" s="28" t="str">
        <f aca="false">IF(OR($A360="",$C360="",$D360=""),"",$C360*$D360)</f>
        <v/>
      </c>
    </row>
    <row r="361" customFormat="false" ht="15" hidden="false" customHeight="false" outlineLevel="0" collapsed="false">
      <c r="A361" s="23"/>
      <c r="B361" s="23"/>
      <c r="C361" s="23"/>
      <c r="D361" s="23"/>
      <c r="E361" s="28" t="str">
        <f aca="false">IF(OR($A361="",$C361="",$D361=""),"",$C361*$D361)</f>
        <v/>
      </c>
    </row>
    <row r="362" customFormat="false" ht="15" hidden="false" customHeight="false" outlineLevel="0" collapsed="false">
      <c r="A362" s="23"/>
      <c r="B362" s="23"/>
      <c r="C362" s="23"/>
      <c r="D362" s="23"/>
      <c r="E362" s="28" t="str">
        <f aca="false">IF(OR($A362="",$C362="",$D362=""),"",$C362*$D362)</f>
        <v/>
      </c>
    </row>
    <row r="363" customFormat="false" ht="15" hidden="false" customHeight="false" outlineLevel="0" collapsed="false">
      <c r="A363" s="23"/>
      <c r="B363" s="23"/>
      <c r="C363" s="23"/>
      <c r="D363" s="23"/>
      <c r="E363" s="28" t="str">
        <f aca="false">IF(OR($A363="",$C363="",$D363=""),"",$C363*$D363)</f>
        <v/>
      </c>
    </row>
    <row r="364" customFormat="false" ht="15" hidden="false" customHeight="false" outlineLevel="0" collapsed="false">
      <c r="A364" s="23"/>
      <c r="B364" s="23"/>
      <c r="C364" s="23"/>
      <c r="D364" s="23"/>
      <c r="E364" s="28" t="str">
        <f aca="false">IF(OR($A364="",$C364="",$D364=""),"",$C364*$D364)</f>
        <v/>
      </c>
    </row>
    <row r="365" customFormat="false" ht="15" hidden="false" customHeight="false" outlineLevel="0" collapsed="false">
      <c r="A365" s="23"/>
      <c r="B365" s="23"/>
      <c r="C365" s="23"/>
      <c r="D365" s="23"/>
      <c r="E365" s="28" t="str">
        <f aca="false">IF(OR($A365="",$C365="",$D365=""),"",$C365*$D365)</f>
        <v/>
      </c>
    </row>
    <row r="366" customFormat="false" ht="15" hidden="false" customHeight="false" outlineLevel="0" collapsed="false">
      <c r="A366" s="23"/>
      <c r="B366" s="23"/>
      <c r="C366" s="23"/>
      <c r="D366" s="23"/>
      <c r="E366" s="28" t="str">
        <f aca="false">IF(OR($A366="",$C366="",$D366=""),"",$C366*$D366)</f>
        <v/>
      </c>
    </row>
    <row r="367" customFormat="false" ht="15" hidden="false" customHeight="false" outlineLevel="0" collapsed="false">
      <c r="A367" s="23"/>
      <c r="B367" s="23"/>
      <c r="C367" s="23"/>
      <c r="D367" s="23"/>
      <c r="E367" s="28" t="str">
        <f aca="false">IF(OR($A367="",$C367="",$D367=""),"",$C367*$D367)</f>
        <v/>
      </c>
    </row>
    <row r="368" customFormat="false" ht="15" hidden="false" customHeight="false" outlineLevel="0" collapsed="false">
      <c r="A368" s="23"/>
      <c r="B368" s="23"/>
      <c r="C368" s="23"/>
      <c r="D368" s="23"/>
      <c r="E368" s="28" t="str">
        <f aca="false">IF(OR($A368="",$C368="",$D368=""),"",$C368*$D368)</f>
        <v/>
      </c>
    </row>
    <row r="369" customFormat="false" ht="15" hidden="false" customHeight="false" outlineLevel="0" collapsed="false">
      <c r="A369" s="23"/>
      <c r="B369" s="23"/>
      <c r="C369" s="23"/>
      <c r="D369" s="23"/>
      <c r="E369" s="28" t="str">
        <f aca="false">IF(OR($A369="",$C369="",$D369=""),"",$C369*$D369)</f>
        <v/>
      </c>
    </row>
    <row r="370" customFormat="false" ht="15" hidden="false" customHeight="false" outlineLevel="0" collapsed="false">
      <c r="A370" s="23"/>
      <c r="B370" s="23"/>
      <c r="C370" s="23"/>
      <c r="D370" s="23"/>
      <c r="E370" s="28" t="str">
        <f aca="false">IF(OR($A370="",$C370="",$D370=""),"",$C370*$D370)</f>
        <v/>
      </c>
    </row>
    <row r="371" customFormat="false" ht="15" hidden="false" customHeight="false" outlineLevel="0" collapsed="false">
      <c r="A371" s="23"/>
      <c r="B371" s="23"/>
      <c r="C371" s="23"/>
      <c r="D371" s="23"/>
      <c r="E371" s="28" t="str">
        <f aca="false">IF(OR($A371="",$C371="",$D371=""),"",$C371*$D371)</f>
        <v/>
      </c>
    </row>
    <row r="372" customFormat="false" ht="15" hidden="false" customHeight="false" outlineLevel="0" collapsed="false">
      <c r="A372" s="23"/>
      <c r="B372" s="23"/>
      <c r="C372" s="23"/>
      <c r="D372" s="23"/>
      <c r="E372" s="28" t="str">
        <f aca="false">IF(OR($A372="",$C372="",$D372=""),"",$C372*$D372)</f>
        <v/>
      </c>
    </row>
    <row r="373" customFormat="false" ht="15" hidden="false" customHeight="false" outlineLevel="0" collapsed="false">
      <c r="A373" s="23"/>
      <c r="B373" s="23"/>
      <c r="C373" s="23"/>
      <c r="D373" s="23"/>
      <c r="E373" s="28" t="str">
        <f aca="false">IF(OR($A373="",$C373="",$D373=""),"",$C373*$D373)</f>
        <v/>
      </c>
    </row>
    <row r="374" customFormat="false" ht="15" hidden="false" customHeight="false" outlineLevel="0" collapsed="false">
      <c r="A374" s="23"/>
      <c r="B374" s="23"/>
      <c r="C374" s="23"/>
      <c r="D374" s="23"/>
      <c r="E374" s="28" t="str">
        <f aca="false">IF(OR($A374="",$C374="",$D374=""),"",$C374*$D374)</f>
        <v/>
      </c>
    </row>
    <row r="375" customFormat="false" ht="15" hidden="false" customHeight="false" outlineLevel="0" collapsed="false">
      <c r="A375" s="23"/>
      <c r="B375" s="23"/>
      <c r="C375" s="23"/>
      <c r="D375" s="23"/>
      <c r="E375" s="28" t="str">
        <f aca="false">IF(OR($A375="",$C375="",$D375=""),"",$C375*$D375)</f>
        <v/>
      </c>
    </row>
    <row r="376" customFormat="false" ht="15" hidden="false" customHeight="false" outlineLevel="0" collapsed="false">
      <c r="A376" s="23"/>
      <c r="B376" s="23"/>
      <c r="C376" s="23"/>
      <c r="D376" s="23"/>
      <c r="E376" s="28" t="str">
        <f aca="false">IF(OR($A376="",$C376="",$D376=""),"",$C376*$D376)</f>
        <v/>
      </c>
    </row>
    <row r="377" customFormat="false" ht="15" hidden="false" customHeight="false" outlineLevel="0" collapsed="false">
      <c r="A377" s="23"/>
      <c r="B377" s="23"/>
      <c r="C377" s="23"/>
      <c r="D377" s="23"/>
      <c r="E377" s="28" t="str">
        <f aca="false">IF(OR($A377="",$C377="",$D377=""),"",$C377*$D377)</f>
        <v/>
      </c>
    </row>
    <row r="378" customFormat="false" ht="15" hidden="false" customHeight="false" outlineLevel="0" collapsed="false">
      <c r="A378" s="23"/>
      <c r="B378" s="23"/>
      <c r="C378" s="23"/>
      <c r="D378" s="23"/>
      <c r="E378" s="28" t="str">
        <f aca="false">IF(OR($A378="",$C378="",$D378=""),"",$C378*$D378)</f>
        <v/>
      </c>
    </row>
    <row r="379" customFormat="false" ht="15" hidden="false" customHeight="false" outlineLevel="0" collapsed="false">
      <c r="A379" s="23"/>
      <c r="B379" s="23"/>
      <c r="C379" s="23"/>
      <c r="D379" s="23"/>
      <c r="E379" s="28" t="str">
        <f aca="false">IF(OR($A379="",$C379="",$D379=""),"",$C379*$D379)</f>
        <v/>
      </c>
    </row>
    <row r="380" customFormat="false" ht="15" hidden="false" customHeight="false" outlineLevel="0" collapsed="false">
      <c r="A380" s="23"/>
      <c r="B380" s="23"/>
      <c r="C380" s="23"/>
      <c r="D380" s="23"/>
      <c r="E380" s="28" t="str">
        <f aca="false">IF(OR($A380="",$C380="",$D380=""),"",$C380*$D380)</f>
        <v/>
      </c>
    </row>
    <row r="381" customFormat="false" ht="15" hidden="false" customHeight="false" outlineLevel="0" collapsed="false">
      <c r="A381" s="23"/>
      <c r="B381" s="23"/>
      <c r="C381" s="23"/>
      <c r="D381" s="23"/>
      <c r="E381" s="28" t="str">
        <f aca="false">IF(OR($A381="",$C381="",$D381=""),"",$C381*$D381)</f>
        <v/>
      </c>
    </row>
    <row r="382" customFormat="false" ht="15" hidden="false" customHeight="false" outlineLevel="0" collapsed="false">
      <c r="A382" s="23"/>
      <c r="B382" s="23"/>
      <c r="C382" s="23"/>
      <c r="D382" s="23"/>
      <c r="E382" s="28" t="str">
        <f aca="false">IF(OR($A382="",$C382="",$D382=""),"",$C382*$D382)</f>
        <v/>
      </c>
    </row>
    <row r="383" customFormat="false" ht="15" hidden="false" customHeight="false" outlineLevel="0" collapsed="false">
      <c r="A383" s="23"/>
      <c r="B383" s="23"/>
      <c r="C383" s="23"/>
      <c r="D383" s="23"/>
      <c r="E383" s="28" t="str">
        <f aca="false">IF(OR($A383="",$C383="",$D383=""),"",$C383*$D383)</f>
        <v/>
      </c>
    </row>
    <row r="384" customFormat="false" ht="15" hidden="false" customHeight="false" outlineLevel="0" collapsed="false">
      <c r="A384" s="23"/>
      <c r="B384" s="23"/>
      <c r="C384" s="23"/>
      <c r="D384" s="23"/>
      <c r="E384" s="28" t="str">
        <f aca="false">IF(OR($A384="",$C384="",$D384=""),"",$C384*$D384)</f>
        <v/>
      </c>
    </row>
    <row r="385" customFormat="false" ht="15" hidden="false" customHeight="false" outlineLevel="0" collapsed="false">
      <c r="A385" s="23"/>
      <c r="B385" s="23"/>
      <c r="C385" s="23"/>
      <c r="D385" s="23"/>
      <c r="E385" s="28" t="str">
        <f aca="false">IF(OR($A385="",$C385="",$D385=""),"",$C385*$D385)</f>
        <v/>
      </c>
    </row>
    <row r="386" customFormat="false" ht="15" hidden="false" customHeight="false" outlineLevel="0" collapsed="false">
      <c r="A386" s="23"/>
      <c r="B386" s="23"/>
      <c r="C386" s="23"/>
      <c r="D386" s="23"/>
      <c r="E386" s="28" t="str">
        <f aca="false">IF(OR($A386="",$C386="",$D386=""),"",$C386*$D386)</f>
        <v/>
      </c>
    </row>
    <row r="387" customFormat="false" ht="15" hidden="false" customHeight="false" outlineLevel="0" collapsed="false">
      <c r="A387" s="23"/>
      <c r="B387" s="23"/>
      <c r="C387" s="23"/>
      <c r="D387" s="23"/>
      <c r="E387" s="28" t="str">
        <f aca="false">IF(OR($A387="",$C387="",$D387=""),"",$C387*$D387)</f>
        <v/>
      </c>
    </row>
    <row r="388" customFormat="false" ht="15" hidden="false" customHeight="false" outlineLevel="0" collapsed="false">
      <c r="A388" s="23"/>
      <c r="B388" s="23"/>
      <c r="C388" s="23"/>
      <c r="D388" s="23"/>
      <c r="E388" s="28" t="str">
        <f aca="false">IF(OR($A388="",$C388="",$D388=""),"",$C388*$D388)</f>
        <v/>
      </c>
    </row>
    <row r="389" customFormat="false" ht="15" hidden="false" customHeight="false" outlineLevel="0" collapsed="false">
      <c r="A389" s="23"/>
      <c r="B389" s="23"/>
      <c r="C389" s="23"/>
      <c r="D389" s="23"/>
      <c r="E389" s="28" t="str">
        <f aca="false">IF(OR($A389="",$C389="",$D389=""),"",$C389*$D389)</f>
        <v/>
      </c>
    </row>
    <row r="390" customFormat="false" ht="15" hidden="false" customHeight="false" outlineLevel="0" collapsed="false">
      <c r="A390" s="23"/>
      <c r="B390" s="23"/>
      <c r="C390" s="23"/>
      <c r="D390" s="23"/>
      <c r="E390" s="28" t="str">
        <f aca="false">IF(OR($A390="",$C390="",$D390=""),"",$C390*$D390)</f>
        <v/>
      </c>
    </row>
    <row r="391" customFormat="false" ht="15" hidden="false" customHeight="false" outlineLevel="0" collapsed="false">
      <c r="A391" s="23"/>
      <c r="B391" s="23"/>
      <c r="C391" s="23"/>
      <c r="D391" s="23"/>
      <c r="E391" s="28" t="str">
        <f aca="false">IF(OR($A391="",$C391="",$D391=""),"",$C391*$D391)</f>
        <v/>
      </c>
    </row>
    <row r="392" customFormat="false" ht="15" hidden="false" customHeight="false" outlineLevel="0" collapsed="false">
      <c r="A392" s="23"/>
      <c r="B392" s="23"/>
      <c r="C392" s="23"/>
      <c r="D392" s="23"/>
      <c r="E392" s="28" t="str">
        <f aca="false">IF(OR($A392="",$C392="",$D392=""),"",$C392*$D392)</f>
        <v/>
      </c>
    </row>
    <row r="393" customFormat="false" ht="15" hidden="false" customHeight="false" outlineLevel="0" collapsed="false">
      <c r="A393" s="23"/>
      <c r="B393" s="23"/>
      <c r="C393" s="23"/>
      <c r="D393" s="23"/>
      <c r="E393" s="28" t="str">
        <f aca="false">IF(OR($A393="",$C393="",$D393=""),"",$C393*$D393)</f>
        <v/>
      </c>
    </row>
    <row r="394" customFormat="false" ht="15" hidden="false" customHeight="false" outlineLevel="0" collapsed="false">
      <c r="A394" s="23"/>
      <c r="B394" s="23"/>
      <c r="C394" s="23"/>
      <c r="D394" s="23"/>
      <c r="E394" s="28" t="str">
        <f aca="false">IF(OR($A394="",$C394="",$D394=""),"",$C394*$D394)</f>
        <v/>
      </c>
    </row>
    <row r="395" customFormat="false" ht="15" hidden="false" customHeight="false" outlineLevel="0" collapsed="false">
      <c r="A395" s="23"/>
      <c r="B395" s="23"/>
      <c r="C395" s="23"/>
      <c r="D395" s="23"/>
      <c r="E395" s="28" t="str">
        <f aca="false">IF(OR($A395="",$C395="",$D395=""),"",$C395*$D395)</f>
        <v/>
      </c>
    </row>
    <row r="396" customFormat="false" ht="15" hidden="false" customHeight="false" outlineLevel="0" collapsed="false">
      <c r="A396" s="23"/>
      <c r="B396" s="23"/>
      <c r="C396" s="23"/>
      <c r="D396" s="23"/>
      <c r="E396" s="28" t="str">
        <f aca="false">IF(OR($A396="",$C396="",$D396=""),"",$C396*$D396)</f>
        <v/>
      </c>
    </row>
    <row r="397" customFormat="false" ht="15" hidden="false" customHeight="false" outlineLevel="0" collapsed="false">
      <c r="A397" s="23"/>
      <c r="B397" s="23"/>
      <c r="C397" s="23"/>
      <c r="D397" s="23"/>
      <c r="E397" s="28" t="str">
        <f aca="false">IF(OR($A397="",$C397="",$D397=""),"",$C397*$D397)</f>
        <v/>
      </c>
    </row>
    <row r="398" customFormat="false" ht="15" hidden="false" customHeight="false" outlineLevel="0" collapsed="false">
      <c r="A398" s="23"/>
      <c r="B398" s="23"/>
      <c r="C398" s="23"/>
      <c r="D398" s="23"/>
      <c r="E398" s="28" t="str">
        <f aca="false">IF(OR($A398="",$C398="",$D398=""),"",$C398*$D398)</f>
        <v/>
      </c>
    </row>
    <row r="399" customFormat="false" ht="15" hidden="false" customHeight="false" outlineLevel="0" collapsed="false">
      <c r="A399" s="23"/>
      <c r="B399" s="23"/>
      <c r="C399" s="23"/>
      <c r="D399" s="23"/>
      <c r="E399" s="28" t="str">
        <f aca="false">IF(OR($A399="",$C399="",$D399=""),"",$C399*$D399)</f>
        <v/>
      </c>
    </row>
    <row r="400" customFormat="false" ht="15" hidden="false" customHeight="false" outlineLevel="0" collapsed="false">
      <c r="A400" s="23"/>
      <c r="B400" s="23"/>
      <c r="C400" s="23"/>
      <c r="D400" s="23"/>
      <c r="E400" s="28" t="str">
        <f aca="false">IF(OR($A400="",$C400="",$D400=""),"",$C400*$D400)</f>
        <v/>
      </c>
    </row>
    <row r="401" customFormat="false" ht="15" hidden="false" customHeight="false" outlineLevel="0" collapsed="false">
      <c r="A401" s="23"/>
      <c r="B401" s="23"/>
      <c r="C401" s="23"/>
      <c r="D401" s="23"/>
      <c r="E401" s="28" t="str">
        <f aca="false">IF(OR($A401="",$C401="",$D401=""),"",$C401*$D401)</f>
        <v/>
      </c>
    </row>
    <row r="402" customFormat="false" ht="15" hidden="false" customHeight="false" outlineLevel="0" collapsed="false">
      <c r="A402" s="23"/>
      <c r="B402" s="23"/>
      <c r="C402" s="23"/>
      <c r="D402" s="23"/>
      <c r="E402" s="28" t="str">
        <f aca="false">IF(OR($A402="",$C402="",$D402=""),"",$C402*$D402)</f>
        <v/>
      </c>
    </row>
    <row r="403" customFormat="false" ht="15" hidden="false" customHeight="false" outlineLevel="0" collapsed="false">
      <c r="A403" s="23"/>
      <c r="B403" s="23"/>
      <c r="C403" s="23"/>
      <c r="D403" s="23"/>
      <c r="E403" s="28" t="str">
        <f aca="false">IF(OR($A403="",$C403="",$D403=""),"",$C403*$D403)</f>
        <v/>
      </c>
    </row>
    <row r="404" customFormat="false" ht="15" hidden="false" customHeight="false" outlineLevel="0" collapsed="false">
      <c r="A404" s="23"/>
      <c r="B404" s="23"/>
      <c r="C404" s="23"/>
      <c r="D404" s="23"/>
      <c r="E404" s="28" t="str">
        <f aca="false">IF(OR($A404="",$C404="",$D404=""),"",$C404*$D404)</f>
        <v/>
      </c>
    </row>
    <row r="405" customFormat="false" ht="15" hidden="false" customHeight="false" outlineLevel="0" collapsed="false">
      <c r="A405" s="23"/>
      <c r="B405" s="23"/>
      <c r="C405" s="23"/>
      <c r="D405" s="23"/>
      <c r="E405" s="28" t="str">
        <f aca="false">IF(OR($A405="",$C405="",$D405=""),"",$C405*$D405)</f>
        <v/>
      </c>
    </row>
    <row r="406" customFormat="false" ht="15" hidden="false" customHeight="false" outlineLevel="0" collapsed="false">
      <c r="A406" s="23"/>
      <c r="B406" s="23"/>
      <c r="C406" s="23"/>
      <c r="D406" s="23"/>
      <c r="E406" s="28" t="str">
        <f aca="false">IF(OR($A406="",$C406="",$D406=""),"",$C406*$D406)</f>
        <v/>
      </c>
    </row>
    <row r="407" customFormat="false" ht="15" hidden="false" customHeight="false" outlineLevel="0" collapsed="false">
      <c r="A407" s="23"/>
      <c r="B407" s="23"/>
      <c r="C407" s="23"/>
      <c r="D407" s="23"/>
      <c r="E407" s="28" t="str">
        <f aca="false">IF(OR($A407="",$C407="",$D407=""),"",$C407*$D407)</f>
        <v/>
      </c>
    </row>
    <row r="408" customFormat="false" ht="15" hidden="false" customHeight="false" outlineLevel="0" collapsed="false">
      <c r="A408" s="23"/>
      <c r="B408" s="23"/>
      <c r="C408" s="23"/>
      <c r="D408" s="23"/>
      <c r="E408" s="28" t="str">
        <f aca="false">IF(OR($A408="",$C408="",$D408=""),"",$C408*$D408)</f>
        <v/>
      </c>
    </row>
    <row r="409" customFormat="false" ht="15" hidden="false" customHeight="false" outlineLevel="0" collapsed="false">
      <c r="A409" s="23"/>
      <c r="B409" s="23"/>
      <c r="C409" s="23"/>
      <c r="D409" s="23"/>
      <c r="E409" s="28" t="str">
        <f aca="false">IF(OR($A409="",$C409="",$D409=""),"",$C409*$D409)</f>
        <v/>
      </c>
    </row>
    <row r="410" customFormat="false" ht="15" hidden="false" customHeight="false" outlineLevel="0" collapsed="false">
      <c r="A410" s="23"/>
      <c r="B410" s="23"/>
      <c r="C410" s="23"/>
      <c r="D410" s="23"/>
      <c r="E410" s="28" t="str">
        <f aca="false">IF(OR($A410="",$C410="",$D410=""),"",$C410*$D410)</f>
        <v/>
      </c>
    </row>
    <row r="411" customFormat="false" ht="15" hidden="false" customHeight="false" outlineLevel="0" collapsed="false">
      <c r="A411" s="23"/>
      <c r="B411" s="23"/>
      <c r="C411" s="23"/>
      <c r="D411" s="23"/>
      <c r="E411" s="28" t="str">
        <f aca="false">IF(OR($A411="",$C411="",$D411=""),"",$C411*$D411)</f>
        <v/>
      </c>
    </row>
    <row r="412" customFormat="false" ht="15" hidden="false" customHeight="false" outlineLevel="0" collapsed="false">
      <c r="A412" s="23"/>
      <c r="B412" s="23"/>
      <c r="C412" s="23"/>
      <c r="D412" s="23"/>
      <c r="E412" s="28" t="str">
        <f aca="false">IF(OR($A412="",$C412="",$D412=""),"",$C412*$D412)</f>
        <v/>
      </c>
    </row>
    <row r="413" customFormat="false" ht="15" hidden="false" customHeight="false" outlineLevel="0" collapsed="false">
      <c r="A413" s="23"/>
      <c r="B413" s="23"/>
      <c r="C413" s="23"/>
      <c r="D413" s="23"/>
      <c r="E413" s="28" t="str">
        <f aca="false">IF(OR($A413="",$C413="",$D413=""),"",$C413*$D413)</f>
        <v/>
      </c>
    </row>
    <row r="414" customFormat="false" ht="15" hidden="false" customHeight="false" outlineLevel="0" collapsed="false">
      <c r="A414" s="23"/>
      <c r="B414" s="23"/>
      <c r="C414" s="23"/>
      <c r="D414" s="23"/>
      <c r="E414" s="28" t="str">
        <f aca="false">IF(OR($A414="",$C414="",$D414=""),"",$C414*$D414)</f>
        <v/>
      </c>
    </row>
    <row r="415" customFormat="false" ht="15" hidden="false" customHeight="false" outlineLevel="0" collapsed="false">
      <c r="A415" s="23"/>
      <c r="B415" s="23"/>
      <c r="C415" s="23"/>
      <c r="D415" s="23"/>
      <c r="E415" s="28" t="str">
        <f aca="false">IF(OR($A415="",$C415="",$D415=""),"",$C415*$D415)</f>
        <v/>
      </c>
    </row>
    <row r="416" customFormat="false" ht="15" hidden="false" customHeight="false" outlineLevel="0" collapsed="false">
      <c r="A416" s="23"/>
      <c r="B416" s="23"/>
      <c r="C416" s="23"/>
      <c r="D416" s="23"/>
      <c r="E416" s="28" t="str">
        <f aca="false">IF(OR($A416="",$C416="",$D416=""),"",$C416*$D416)</f>
        <v/>
      </c>
    </row>
    <row r="417" customFormat="false" ht="15" hidden="false" customHeight="false" outlineLevel="0" collapsed="false">
      <c r="A417" s="23"/>
      <c r="B417" s="23"/>
      <c r="C417" s="23"/>
      <c r="D417" s="23"/>
      <c r="E417" s="28" t="str">
        <f aca="false">IF(OR($A417="",$C417="",$D417=""),"",$C417*$D417)</f>
        <v/>
      </c>
    </row>
    <row r="418" customFormat="false" ht="15" hidden="false" customHeight="false" outlineLevel="0" collapsed="false">
      <c r="A418" s="23"/>
      <c r="B418" s="23"/>
      <c r="C418" s="23"/>
      <c r="D418" s="23"/>
      <c r="E418" s="28" t="str">
        <f aca="false">IF(OR($A418="",$C418="",$D418=""),"",$C418*$D418)</f>
        <v/>
      </c>
    </row>
    <row r="419" customFormat="false" ht="15" hidden="false" customHeight="false" outlineLevel="0" collapsed="false">
      <c r="A419" s="23"/>
      <c r="B419" s="23"/>
      <c r="C419" s="23"/>
      <c r="D419" s="23"/>
      <c r="E419" s="28" t="str">
        <f aca="false">IF(OR($A419="",$C419="",$D419=""),"",$C419*$D419)</f>
        <v/>
      </c>
    </row>
    <row r="420" customFormat="false" ht="15" hidden="false" customHeight="false" outlineLevel="0" collapsed="false">
      <c r="A420" s="23"/>
      <c r="B420" s="23"/>
      <c r="C420" s="23"/>
      <c r="D420" s="23"/>
      <c r="E420" s="28" t="str">
        <f aca="false">IF(OR($A420="",$C420="",$D420=""),"",$C420*$D420)</f>
        <v/>
      </c>
    </row>
    <row r="421" customFormat="false" ht="15" hidden="false" customHeight="false" outlineLevel="0" collapsed="false">
      <c r="A421" s="23"/>
      <c r="B421" s="23"/>
      <c r="C421" s="23"/>
      <c r="D421" s="23"/>
      <c r="E421" s="28" t="str">
        <f aca="false">IF(OR($A421="",$C421="",$D421=""),"",$C421*$D421)</f>
        <v/>
      </c>
    </row>
    <row r="422" customFormat="false" ht="15" hidden="false" customHeight="false" outlineLevel="0" collapsed="false">
      <c r="A422" s="23"/>
      <c r="B422" s="23"/>
      <c r="C422" s="23"/>
      <c r="D422" s="23"/>
      <c r="E422" s="28" t="str">
        <f aca="false">IF(OR($A422="",$C422="",$D422=""),"",$C422*$D422)</f>
        <v/>
      </c>
    </row>
    <row r="423" customFormat="false" ht="15" hidden="false" customHeight="false" outlineLevel="0" collapsed="false">
      <c r="A423" s="23"/>
      <c r="B423" s="23"/>
      <c r="C423" s="23"/>
      <c r="D423" s="23"/>
      <c r="E423" s="28" t="str">
        <f aca="false">IF(OR($A423="",$C423="",$D423=""),"",$C423*$D423)</f>
        <v/>
      </c>
    </row>
    <row r="424" customFormat="false" ht="15" hidden="false" customHeight="false" outlineLevel="0" collapsed="false">
      <c r="A424" s="23"/>
      <c r="B424" s="23"/>
      <c r="C424" s="23"/>
      <c r="D424" s="23"/>
      <c r="E424" s="28" t="str">
        <f aca="false">IF(OR($A424="",$C424="",$D424=""),"",$C424*$D424)</f>
        <v/>
      </c>
    </row>
    <row r="425" customFormat="false" ht="15" hidden="false" customHeight="false" outlineLevel="0" collapsed="false">
      <c r="A425" s="23"/>
      <c r="B425" s="23"/>
      <c r="C425" s="23"/>
      <c r="D425" s="23"/>
      <c r="E425" s="28" t="str">
        <f aca="false">IF(OR($A425="",$C425="",$D425=""),"",$C425*$D425)</f>
        <v/>
      </c>
    </row>
    <row r="426" customFormat="false" ht="15" hidden="false" customHeight="false" outlineLevel="0" collapsed="false">
      <c r="A426" s="23"/>
      <c r="B426" s="23"/>
      <c r="C426" s="23"/>
      <c r="D426" s="23"/>
      <c r="E426" s="28" t="str">
        <f aca="false">IF(OR($A426="",$C426="",$D426=""),"",$C426*$D426)</f>
        <v/>
      </c>
    </row>
    <row r="427" customFormat="false" ht="15" hidden="false" customHeight="false" outlineLevel="0" collapsed="false">
      <c r="A427" s="23"/>
      <c r="B427" s="23"/>
      <c r="C427" s="23"/>
      <c r="D427" s="23"/>
      <c r="E427" s="28" t="str">
        <f aca="false">IF(OR($A427="",$C427="",$D427=""),"",$C427*$D427)</f>
        <v/>
      </c>
    </row>
    <row r="428" customFormat="false" ht="15" hidden="false" customHeight="false" outlineLevel="0" collapsed="false">
      <c r="A428" s="23"/>
      <c r="B428" s="23"/>
      <c r="C428" s="23"/>
      <c r="D428" s="23"/>
      <c r="E428" s="28" t="str">
        <f aca="false">IF(OR($A428="",$C428="",$D428=""),"",$C428*$D428)</f>
        <v/>
      </c>
    </row>
    <row r="429" customFormat="false" ht="15" hidden="false" customHeight="false" outlineLevel="0" collapsed="false">
      <c r="A429" s="23"/>
      <c r="B429" s="23"/>
      <c r="C429" s="23"/>
      <c r="D429" s="23"/>
      <c r="E429" s="28" t="str">
        <f aca="false">IF(OR($A429="",$C429="",$D429=""),"",$C429*$D429)</f>
        <v/>
      </c>
    </row>
    <row r="430" customFormat="false" ht="15" hidden="false" customHeight="false" outlineLevel="0" collapsed="false">
      <c r="A430" s="23"/>
      <c r="B430" s="23"/>
      <c r="C430" s="23"/>
      <c r="D430" s="23"/>
      <c r="E430" s="28" t="str">
        <f aca="false">IF(OR($A430="",$C430="",$D430=""),"",$C430*$D430)</f>
        <v/>
      </c>
    </row>
    <row r="431" customFormat="false" ht="15" hidden="false" customHeight="false" outlineLevel="0" collapsed="false">
      <c r="A431" s="23"/>
      <c r="B431" s="23"/>
      <c r="C431" s="23"/>
      <c r="D431" s="23"/>
      <c r="E431" s="28" t="str">
        <f aca="false">IF(OR($A431="",$C431="",$D431=""),"",$C431*$D431)</f>
        <v/>
      </c>
    </row>
    <row r="432" customFormat="false" ht="15" hidden="false" customHeight="false" outlineLevel="0" collapsed="false">
      <c r="A432" s="23"/>
      <c r="B432" s="23"/>
      <c r="C432" s="23"/>
      <c r="D432" s="23"/>
      <c r="E432" s="28" t="str">
        <f aca="false">IF(OR($A432="",$C432="",$D432=""),"",$C432*$D432)</f>
        <v/>
      </c>
    </row>
    <row r="433" customFormat="false" ht="15" hidden="false" customHeight="false" outlineLevel="0" collapsed="false">
      <c r="A433" s="23"/>
      <c r="B433" s="23"/>
      <c r="C433" s="23"/>
      <c r="D433" s="23"/>
      <c r="E433" s="28" t="str">
        <f aca="false">IF(OR($A433="",$C433="",$D433=""),"",$C433*$D433)</f>
        <v/>
      </c>
    </row>
    <row r="434" customFormat="false" ht="15" hidden="false" customHeight="false" outlineLevel="0" collapsed="false">
      <c r="A434" s="23"/>
      <c r="B434" s="23"/>
      <c r="C434" s="23"/>
      <c r="D434" s="23"/>
      <c r="E434" s="28" t="str">
        <f aca="false">IF(OR($A434="",$C434="",$D434=""),"",$C434*$D434)</f>
        <v/>
      </c>
    </row>
    <row r="435" customFormat="false" ht="15" hidden="false" customHeight="false" outlineLevel="0" collapsed="false">
      <c r="A435" s="23"/>
      <c r="B435" s="23"/>
      <c r="C435" s="23"/>
      <c r="D435" s="23"/>
      <c r="E435" s="28" t="str">
        <f aca="false">IF(OR($A435="",$C435="",$D435=""),"",$C435*$D435)</f>
        <v/>
      </c>
    </row>
    <row r="436" customFormat="false" ht="15" hidden="false" customHeight="false" outlineLevel="0" collapsed="false">
      <c r="A436" s="23"/>
      <c r="B436" s="23"/>
      <c r="C436" s="23"/>
      <c r="D436" s="23"/>
      <c r="E436" s="28" t="str">
        <f aca="false">IF(OR($A436="",$C436="",$D436=""),"",$C436*$D436)</f>
        <v/>
      </c>
    </row>
    <row r="437" customFormat="false" ht="15" hidden="false" customHeight="false" outlineLevel="0" collapsed="false">
      <c r="A437" s="23"/>
      <c r="B437" s="23"/>
      <c r="C437" s="23"/>
      <c r="D437" s="23"/>
      <c r="E437" s="28" t="str">
        <f aca="false">IF(OR($A437="",$C437="",$D437=""),"",$C437*$D437)</f>
        <v/>
      </c>
    </row>
    <row r="438" customFormat="false" ht="15" hidden="false" customHeight="false" outlineLevel="0" collapsed="false">
      <c r="A438" s="23"/>
      <c r="B438" s="23"/>
      <c r="C438" s="23"/>
      <c r="D438" s="23"/>
      <c r="E438" s="28" t="str">
        <f aca="false">IF(OR($A438="",$C438="",$D438=""),"",$C438*$D438)</f>
        <v/>
      </c>
    </row>
    <row r="439" customFormat="false" ht="15" hidden="false" customHeight="false" outlineLevel="0" collapsed="false">
      <c r="A439" s="23"/>
      <c r="B439" s="23"/>
      <c r="C439" s="23"/>
      <c r="D439" s="23"/>
      <c r="E439" s="28" t="str">
        <f aca="false">IF(OR($A439="",$C439="",$D439=""),"",$C439*$D439)</f>
        <v/>
      </c>
    </row>
    <row r="440" customFormat="false" ht="15" hidden="false" customHeight="false" outlineLevel="0" collapsed="false">
      <c r="A440" s="23"/>
      <c r="B440" s="23"/>
      <c r="C440" s="23"/>
      <c r="D440" s="23"/>
      <c r="E440" s="28" t="str">
        <f aca="false">IF(OR($A440="",$C440="",$D440=""),"",$C440*$D440)</f>
        <v/>
      </c>
    </row>
    <row r="441" customFormat="false" ht="15" hidden="false" customHeight="false" outlineLevel="0" collapsed="false">
      <c r="A441" s="23"/>
      <c r="B441" s="23"/>
      <c r="C441" s="23"/>
      <c r="D441" s="23"/>
      <c r="E441" s="28" t="str">
        <f aca="false">IF(OR($A441="",$C441="",$D441=""),"",$C441*$D441)</f>
        <v/>
      </c>
    </row>
    <row r="442" customFormat="false" ht="15" hidden="false" customHeight="false" outlineLevel="0" collapsed="false">
      <c r="A442" s="23"/>
      <c r="B442" s="23"/>
      <c r="C442" s="23"/>
      <c r="D442" s="23"/>
      <c r="E442" s="28" t="str">
        <f aca="false">IF(OR($A442="",$C442="",$D442=""),"",$C442*$D442)</f>
        <v/>
      </c>
    </row>
    <row r="443" customFormat="false" ht="15" hidden="false" customHeight="false" outlineLevel="0" collapsed="false">
      <c r="A443" s="23"/>
      <c r="B443" s="23"/>
      <c r="C443" s="23"/>
      <c r="D443" s="23"/>
      <c r="E443" s="28" t="str">
        <f aca="false">IF(OR($A443="",$C443="",$D443=""),"",$C443*$D443)</f>
        <v/>
      </c>
    </row>
    <row r="444" customFormat="false" ht="15" hidden="false" customHeight="false" outlineLevel="0" collapsed="false">
      <c r="A444" s="23"/>
      <c r="B444" s="23"/>
      <c r="C444" s="23"/>
      <c r="D444" s="23"/>
      <c r="E444" s="28" t="str">
        <f aca="false">IF(OR($A444="",$C444="",$D444=""),"",$C444*$D444)</f>
        <v/>
      </c>
    </row>
    <row r="445" customFormat="false" ht="15" hidden="false" customHeight="false" outlineLevel="0" collapsed="false">
      <c r="A445" s="23"/>
      <c r="B445" s="23"/>
      <c r="C445" s="23"/>
      <c r="D445" s="23"/>
      <c r="E445" s="28" t="str">
        <f aca="false">IF(OR($A445="",$C445="",$D445=""),"",$C445*$D445)</f>
        <v/>
      </c>
    </row>
    <row r="446" customFormat="false" ht="15" hidden="false" customHeight="false" outlineLevel="0" collapsed="false">
      <c r="A446" s="23"/>
      <c r="B446" s="23"/>
      <c r="C446" s="23"/>
      <c r="D446" s="23"/>
      <c r="E446" s="28" t="str">
        <f aca="false">IF(OR($A446="",$C446="",$D446=""),"",$C446*$D446)</f>
        <v/>
      </c>
    </row>
    <row r="447" customFormat="false" ht="15" hidden="false" customHeight="false" outlineLevel="0" collapsed="false">
      <c r="A447" s="23"/>
      <c r="B447" s="23"/>
      <c r="C447" s="23"/>
      <c r="D447" s="23"/>
      <c r="E447" s="28" t="str">
        <f aca="false">IF(OR($A447="",$C447="",$D447=""),"",$C447*$D447)</f>
        <v/>
      </c>
    </row>
    <row r="448" customFormat="false" ht="15" hidden="false" customHeight="false" outlineLevel="0" collapsed="false">
      <c r="A448" s="23"/>
      <c r="B448" s="23"/>
      <c r="C448" s="23"/>
      <c r="D448" s="23"/>
      <c r="E448" s="28" t="str">
        <f aca="false">IF(OR($A448="",$C448="",$D448=""),"",$C448*$D448)</f>
        <v/>
      </c>
    </row>
    <row r="449" customFormat="false" ht="15" hidden="false" customHeight="false" outlineLevel="0" collapsed="false">
      <c r="A449" s="23"/>
      <c r="B449" s="23"/>
      <c r="C449" s="23"/>
      <c r="D449" s="23"/>
      <c r="E449" s="28" t="str">
        <f aca="false">IF(OR($A449="",$C449="",$D449=""),"",$C449*$D449)</f>
        <v/>
      </c>
    </row>
    <row r="450" customFormat="false" ht="15" hidden="false" customHeight="false" outlineLevel="0" collapsed="false">
      <c r="A450" s="23"/>
      <c r="B450" s="23"/>
      <c r="C450" s="23"/>
      <c r="D450" s="23"/>
      <c r="E450" s="28" t="str">
        <f aca="false">IF(OR($A450="",$C450="",$D450=""),"",$C450*$D450)</f>
        <v/>
      </c>
    </row>
    <row r="451" customFormat="false" ht="15" hidden="false" customHeight="false" outlineLevel="0" collapsed="false">
      <c r="A451" s="23"/>
      <c r="B451" s="23"/>
      <c r="C451" s="23"/>
      <c r="D451" s="23"/>
      <c r="E451" s="28" t="str">
        <f aca="false">IF(OR($A451="",$C451="",$D451=""),"",$C451*$D451)</f>
        <v/>
      </c>
    </row>
    <row r="452" customFormat="false" ht="15" hidden="false" customHeight="false" outlineLevel="0" collapsed="false">
      <c r="A452" s="23"/>
      <c r="B452" s="23"/>
      <c r="C452" s="23"/>
      <c r="D452" s="23"/>
      <c r="E452" s="28" t="str">
        <f aca="false">IF(OR($A452="",$C452="",$D452=""),"",$C452*$D452)</f>
        <v/>
      </c>
    </row>
    <row r="453" customFormat="false" ht="15" hidden="false" customHeight="false" outlineLevel="0" collapsed="false">
      <c r="A453" s="23"/>
      <c r="B453" s="23"/>
      <c r="C453" s="23"/>
      <c r="D453" s="23"/>
      <c r="E453" s="28" t="str">
        <f aca="false">IF(OR($A453="",$C453="",$D453=""),"",$C453*$D453)</f>
        <v/>
      </c>
    </row>
    <row r="454" customFormat="false" ht="15" hidden="false" customHeight="false" outlineLevel="0" collapsed="false">
      <c r="A454" s="23"/>
      <c r="B454" s="23"/>
      <c r="C454" s="23"/>
      <c r="D454" s="23"/>
      <c r="E454" s="28" t="str">
        <f aca="false">IF(OR($A454="",$C454="",$D454=""),"",$C454*$D454)</f>
        <v/>
      </c>
    </row>
    <row r="455" customFormat="false" ht="15" hidden="false" customHeight="false" outlineLevel="0" collapsed="false">
      <c r="A455" s="23"/>
      <c r="B455" s="23"/>
      <c r="C455" s="23"/>
      <c r="D455" s="23"/>
      <c r="E455" s="28" t="str">
        <f aca="false">IF(OR($A455="",$C455="",$D455=""),"",$C455*$D455)</f>
        <v/>
      </c>
    </row>
    <row r="456" customFormat="false" ht="15" hidden="false" customHeight="false" outlineLevel="0" collapsed="false">
      <c r="A456" s="23"/>
      <c r="B456" s="23"/>
      <c r="C456" s="23"/>
      <c r="D456" s="23"/>
      <c r="E456" s="28" t="str">
        <f aca="false">IF(OR($A456="",$C456="",$D456=""),"",$C456*$D456)</f>
        <v/>
      </c>
    </row>
    <row r="457" customFormat="false" ht="15" hidden="false" customHeight="false" outlineLevel="0" collapsed="false">
      <c r="A457" s="23"/>
      <c r="B457" s="23"/>
      <c r="C457" s="23"/>
      <c r="D457" s="23"/>
      <c r="E457" s="28" t="str">
        <f aca="false">IF(OR($A457="",$C457="",$D457=""),"",$C457*$D457)</f>
        <v/>
      </c>
    </row>
    <row r="458" customFormat="false" ht="15" hidden="false" customHeight="false" outlineLevel="0" collapsed="false">
      <c r="A458" s="23"/>
      <c r="B458" s="23"/>
      <c r="C458" s="23"/>
      <c r="D458" s="23"/>
      <c r="E458" s="28" t="str">
        <f aca="false">IF(OR($A458="",$C458="",$D458=""),"",$C458*$D458)</f>
        <v/>
      </c>
    </row>
    <row r="459" customFormat="false" ht="15" hidden="false" customHeight="false" outlineLevel="0" collapsed="false">
      <c r="A459" s="23"/>
      <c r="B459" s="23"/>
      <c r="C459" s="23"/>
      <c r="D459" s="23"/>
      <c r="E459" s="28" t="str">
        <f aca="false">IF(OR($A459="",$C459="",$D459=""),"",$C459*$D459)</f>
        <v/>
      </c>
    </row>
    <row r="460" customFormat="false" ht="15" hidden="false" customHeight="false" outlineLevel="0" collapsed="false">
      <c r="A460" s="23"/>
      <c r="B460" s="23"/>
      <c r="C460" s="23"/>
      <c r="D460" s="23"/>
      <c r="E460" s="28" t="str">
        <f aca="false">IF(OR($A460="",$C460="",$D460=""),"",$C460*$D460)</f>
        <v/>
      </c>
    </row>
    <row r="461" customFormat="false" ht="15" hidden="false" customHeight="false" outlineLevel="0" collapsed="false">
      <c r="A461" s="23"/>
      <c r="B461" s="23"/>
      <c r="C461" s="23"/>
      <c r="D461" s="23"/>
      <c r="E461" s="28" t="str">
        <f aca="false">IF(OR($A461="",$C461="",$D461=""),"",$C461*$D461)</f>
        <v/>
      </c>
    </row>
    <row r="462" customFormat="false" ht="15" hidden="false" customHeight="false" outlineLevel="0" collapsed="false">
      <c r="A462" s="23"/>
      <c r="B462" s="23"/>
      <c r="C462" s="23"/>
      <c r="D462" s="23"/>
      <c r="E462" s="28" t="str">
        <f aca="false">IF(OR($A462="",$C462="",$D462=""),"",$C462*$D462)</f>
        <v/>
      </c>
    </row>
    <row r="463" customFormat="false" ht="15" hidden="false" customHeight="false" outlineLevel="0" collapsed="false">
      <c r="A463" s="23"/>
      <c r="B463" s="23"/>
      <c r="C463" s="23"/>
      <c r="D463" s="23"/>
      <c r="E463" s="28" t="str">
        <f aca="false">IF(OR($A463="",$C463="",$D463=""),"",$C463*$D463)</f>
        <v/>
      </c>
    </row>
    <row r="464" customFormat="false" ht="15" hidden="false" customHeight="false" outlineLevel="0" collapsed="false">
      <c r="A464" s="23"/>
      <c r="B464" s="23"/>
      <c r="C464" s="23"/>
      <c r="D464" s="23"/>
      <c r="E464" s="28" t="str">
        <f aca="false">IF(OR($A464="",$C464="",$D464=""),"",$C464*$D464)</f>
        <v/>
      </c>
    </row>
    <row r="465" customFormat="false" ht="15" hidden="false" customHeight="false" outlineLevel="0" collapsed="false">
      <c r="A465" s="23"/>
      <c r="B465" s="23"/>
      <c r="C465" s="23"/>
      <c r="D465" s="23"/>
      <c r="E465" s="28" t="str">
        <f aca="false">IF(OR($A465="",$C465="",$D465=""),"",$C465*$D465)</f>
        <v/>
      </c>
    </row>
    <row r="466" customFormat="false" ht="15" hidden="false" customHeight="false" outlineLevel="0" collapsed="false">
      <c r="A466" s="23"/>
      <c r="B466" s="23"/>
      <c r="C466" s="23"/>
      <c r="D466" s="23"/>
      <c r="E466" s="28" t="str">
        <f aca="false">IF(OR($A466="",$C466="",$D466=""),"",$C466*$D466)</f>
        <v/>
      </c>
    </row>
    <row r="467" customFormat="false" ht="15" hidden="false" customHeight="false" outlineLevel="0" collapsed="false">
      <c r="A467" s="23"/>
      <c r="B467" s="23"/>
      <c r="C467" s="23"/>
      <c r="D467" s="23"/>
      <c r="E467" s="28" t="str">
        <f aca="false">IF(OR($A467="",$C467="",$D467=""),"",$C467*$D467)</f>
        <v/>
      </c>
    </row>
    <row r="468" customFormat="false" ht="15" hidden="false" customHeight="false" outlineLevel="0" collapsed="false">
      <c r="A468" s="23"/>
      <c r="B468" s="23"/>
      <c r="C468" s="23"/>
      <c r="D468" s="23"/>
      <c r="E468" s="28" t="str">
        <f aca="false">IF(OR($A468="",$C468="",$D468=""),"",$C468*$D468)</f>
        <v/>
      </c>
    </row>
    <row r="469" customFormat="false" ht="15" hidden="false" customHeight="false" outlineLevel="0" collapsed="false">
      <c r="A469" s="23"/>
      <c r="B469" s="23"/>
      <c r="C469" s="23"/>
      <c r="D469" s="23"/>
      <c r="E469" s="28" t="str">
        <f aca="false">IF(OR($A469="",$C469="",$D469=""),"",$C469*$D469)</f>
        <v/>
      </c>
    </row>
    <row r="470" customFormat="false" ht="15" hidden="false" customHeight="false" outlineLevel="0" collapsed="false">
      <c r="A470" s="23"/>
      <c r="B470" s="23"/>
      <c r="C470" s="23"/>
      <c r="D470" s="23"/>
      <c r="E470" s="28" t="str">
        <f aca="false">IF(OR($A470="",$C470="",$D470=""),"",$C470*$D470)</f>
        <v/>
      </c>
    </row>
    <row r="471" customFormat="false" ht="15" hidden="false" customHeight="false" outlineLevel="0" collapsed="false">
      <c r="A471" s="23"/>
      <c r="B471" s="23"/>
      <c r="C471" s="23"/>
      <c r="D471" s="23"/>
      <c r="E471" s="28" t="str">
        <f aca="false">IF(OR($A471="",$C471="",$D471=""),"",$C471*$D471)</f>
        <v/>
      </c>
    </row>
    <row r="472" customFormat="false" ht="15" hidden="false" customHeight="false" outlineLevel="0" collapsed="false">
      <c r="A472" s="23"/>
      <c r="B472" s="23"/>
      <c r="C472" s="23"/>
      <c r="D472" s="23"/>
      <c r="E472" s="28" t="str">
        <f aca="false">IF(OR($A472="",$C472="",$D472=""),"",$C472*$D472)</f>
        <v/>
      </c>
    </row>
    <row r="473" customFormat="false" ht="15" hidden="false" customHeight="false" outlineLevel="0" collapsed="false">
      <c r="A473" s="23"/>
      <c r="B473" s="23"/>
      <c r="C473" s="23"/>
      <c r="D473" s="23"/>
      <c r="E473" s="28" t="str">
        <f aca="false">IF(OR($A473="",$C473="",$D473=""),"",$C473*$D473)</f>
        <v/>
      </c>
    </row>
    <row r="474" customFormat="false" ht="15" hidden="false" customHeight="false" outlineLevel="0" collapsed="false">
      <c r="A474" s="23"/>
      <c r="B474" s="23"/>
      <c r="C474" s="23"/>
      <c r="D474" s="23"/>
      <c r="E474" s="28" t="str">
        <f aca="false">IF(OR($A474="",$C474="",$D474=""),"",$C474*$D474)</f>
        <v/>
      </c>
    </row>
    <row r="475" customFormat="false" ht="15" hidden="false" customHeight="false" outlineLevel="0" collapsed="false">
      <c r="A475" s="23"/>
      <c r="B475" s="23"/>
      <c r="C475" s="23"/>
      <c r="D475" s="23"/>
      <c r="E475" s="28" t="str">
        <f aca="false">IF(OR($A475="",$C475="",$D475=""),"",$C475*$D475)</f>
        <v/>
      </c>
    </row>
    <row r="476" customFormat="false" ht="15" hidden="false" customHeight="false" outlineLevel="0" collapsed="false">
      <c r="A476" s="23"/>
      <c r="B476" s="23"/>
      <c r="C476" s="23"/>
      <c r="D476" s="23"/>
      <c r="E476" s="28" t="str">
        <f aca="false">IF(OR($A476="",$C476="",$D476=""),"",$C476*$D476)</f>
        <v/>
      </c>
    </row>
    <row r="477" customFormat="false" ht="15" hidden="false" customHeight="false" outlineLevel="0" collapsed="false">
      <c r="A477" s="23"/>
      <c r="B477" s="23"/>
      <c r="C477" s="23"/>
      <c r="D477" s="23"/>
      <c r="E477" s="28" t="str">
        <f aca="false">IF(OR($A477="",$C477="",$D477=""),"",$C477*$D477)</f>
        <v/>
      </c>
    </row>
    <row r="478" customFormat="false" ht="15" hidden="false" customHeight="false" outlineLevel="0" collapsed="false">
      <c r="A478" s="23"/>
      <c r="B478" s="23"/>
      <c r="C478" s="23"/>
      <c r="D478" s="23"/>
      <c r="E478" s="28" t="str">
        <f aca="false">IF(OR($A478="",$C478="",$D478=""),"",$C478*$D478)</f>
        <v/>
      </c>
    </row>
    <row r="479" customFormat="false" ht="15" hidden="false" customHeight="false" outlineLevel="0" collapsed="false">
      <c r="A479" s="23"/>
      <c r="B479" s="23"/>
      <c r="C479" s="23"/>
      <c r="D479" s="23"/>
      <c r="E479" s="28" t="str">
        <f aca="false">IF(OR($A479="",$C479="",$D479=""),"",$C479*$D479)</f>
        <v/>
      </c>
    </row>
    <row r="480" customFormat="false" ht="15" hidden="false" customHeight="false" outlineLevel="0" collapsed="false">
      <c r="A480" s="23"/>
      <c r="B480" s="23"/>
      <c r="C480" s="23"/>
      <c r="D480" s="23"/>
      <c r="E480" s="28" t="str">
        <f aca="false">IF(OR($A480="",$C480="",$D480=""),"",$C480*$D480)</f>
        <v/>
      </c>
    </row>
    <row r="481" customFormat="false" ht="15" hidden="false" customHeight="false" outlineLevel="0" collapsed="false">
      <c r="A481" s="23"/>
      <c r="B481" s="23"/>
      <c r="C481" s="23"/>
      <c r="D481" s="23"/>
      <c r="E481" s="28" t="str">
        <f aca="false">IF(OR($A481="",$C481="",$D481=""),"",$C481*$D481)</f>
        <v/>
      </c>
    </row>
    <row r="482" customFormat="false" ht="15" hidden="false" customHeight="false" outlineLevel="0" collapsed="false">
      <c r="A482" s="23"/>
      <c r="B482" s="23"/>
      <c r="C482" s="23"/>
      <c r="D482" s="23"/>
      <c r="E482" s="28" t="str">
        <f aca="false">IF(OR($A482="",$C482="",$D482=""),"",$C482*$D482)</f>
        <v/>
      </c>
    </row>
    <row r="483" customFormat="false" ht="15" hidden="false" customHeight="false" outlineLevel="0" collapsed="false">
      <c r="A483" s="23"/>
      <c r="B483" s="23"/>
      <c r="C483" s="23"/>
      <c r="D483" s="23"/>
      <c r="E483" s="28" t="str">
        <f aca="false">IF(OR($A483="",$C483="",$D483=""),"",$C483*$D483)</f>
        <v/>
      </c>
    </row>
    <row r="484" customFormat="false" ht="15" hidden="false" customHeight="false" outlineLevel="0" collapsed="false">
      <c r="A484" s="23"/>
      <c r="B484" s="23"/>
      <c r="C484" s="23"/>
      <c r="D484" s="23"/>
      <c r="E484" s="28" t="str">
        <f aca="false">IF(OR($A484="",$C484="",$D484=""),"",$C484*$D484)</f>
        <v/>
      </c>
    </row>
    <row r="485" customFormat="false" ht="15" hidden="false" customHeight="false" outlineLevel="0" collapsed="false">
      <c r="A485" s="23"/>
      <c r="B485" s="23"/>
      <c r="C485" s="23"/>
      <c r="D485" s="23"/>
      <c r="E485" s="28" t="str">
        <f aca="false">IF(OR($A485="",$C485="",$D485=""),"",$C485*$D485)</f>
        <v/>
      </c>
    </row>
    <row r="486" customFormat="false" ht="15" hidden="false" customHeight="false" outlineLevel="0" collapsed="false">
      <c r="A486" s="23"/>
      <c r="B486" s="23"/>
      <c r="C486" s="23"/>
      <c r="D486" s="23"/>
      <c r="E486" s="28" t="str">
        <f aca="false">IF(OR($A486="",$C486="",$D486=""),"",$C486*$D486)</f>
        <v/>
      </c>
    </row>
    <row r="487" customFormat="false" ht="15" hidden="false" customHeight="false" outlineLevel="0" collapsed="false">
      <c r="A487" s="23"/>
      <c r="B487" s="23"/>
      <c r="C487" s="23"/>
      <c r="D487" s="23"/>
      <c r="E487" s="28" t="str">
        <f aca="false">IF(OR($A487="",$C487="",$D487=""),"",$C487*$D487)</f>
        <v/>
      </c>
    </row>
    <row r="488" customFormat="false" ht="15" hidden="false" customHeight="false" outlineLevel="0" collapsed="false">
      <c r="A488" s="23"/>
      <c r="B488" s="23"/>
      <c r="C488" s="23"/>
      <c r="D488" s="23"/>
      <c r="E488" s="28" t="str">
        <f aca="false">IF(OR($A488="",$C488="",$D488=""),"",$C488*$D488)</f>
        <v/>
      </c>
    </row>
    <row r="489" customFormat="false" ht="15" hidden="false" customHeight="false" outlineLevel="0" collapsed="false">
      <c r="A489" s="23"/>
      <c r="B489" s="23"/>
      <c r="C489" s="23"/>
      <c r="D489" s="23"/>
      <c r="E489" s="28" t="str">
        <f aca="false">IF(OR($A489="",$C489="",$D489=""),"",$C489*$D489)</f>
        <v/>
      </c>
    </row>
    <row r="490" customFormat="false" ht="15" hidden="false" customHeight="false" outlineLevel="0" collapsed="false">
      <c r="A490" s="23"/>
      <c r="B490" s="23"/>
      <c r="C490" s="23"/>
      <c r="D490" s="23"/>
      <c r="E490" s="28" t="str">
        <f aca="false">IF(OR($A490="",$C490="",$D490=""),"",$C490*$D490)</f>
        <v/>
      </c>
    </row>
    <row r="491" customFormat="false" ht="15" hidden="false" customHeight="false" outlineLevel="0" collapsed="false">
      <c r="A491" s="23"/>
      <c r="B491" s="23"/>
      <c r="C491" s="23"/>
      <c r="D491" s="23"/>
      <c r="E491" s="28" t="str">
        <f aca="false">IF(OR($A491="",$C491="",$D491=""),"",$C491*$D491)</f>
        <v/>
      </c>
    </row>
    <row r="492" customFormat="false" ht="15" hidden="false" customHeight="false" outlineLevel="0" collapsed="false">
      <c r="A492" s="23"/>
      <c r="B492" s="23"/>
      <c r="C492" s="23"/>
      <c r="D492" s="23"/>
      <c r="E492" s="28" t="str">
        <f aca="false">IF(OR($A492="",$C492="",$D492=""),"",$C492*$D492)</f>
        <v/>
      </c>
    </row>
    <row r="493" customFormat="false" ht="15" hidden="false" customHeight="false" outlineLevel="0" collapsed="false">
      <c r="A493" s="23"/>
      <c r="B493" s="23"/>
      <c r="C493" s="23"/>
      <c r="D493" s="23"/>
      <c r="E493" s="28" t="str">
        <f aca="false">IF(OR($A493="",$C493="",$D493=""),"",$C493*$D493)</f>
        <v/>
      </c>
    </row>
    <row r="494" customFormat="false" ht="15" hidden="false" customHeight="false" outlineLevel="0" collapsed="false">
      <c r="A494" s="23"/>
      <c r="B494" s="23"/>
      <c r="C494" s="23"/>
      <c r="D494" s="23"/>
      <c r="E494" s="28" t="str">
        <f aca="false">IF(OR($A494="",$C494="",$D494=""),"",$C494*$D494)</f>
        <v/>
      </c>
    </row>
    <row r="495" customFormat="false" ht="15" hidden="false" customHeight="false" outlineLevel="0" collapsed="false">
      <c r="A495" s="23"/>
      <c r="B495" s="23"/>
      <c r="C495" s="23"/>
      <c r="D495" s="23"/>
      <c r="E495" s="28" t="str">
        <f aca="false">IF(OR($A495="",$C495="",$D495=""),"",$C495*$D495)</f>
        <v/>
      </c>
    </row>
    <row r="496" customFormat="false" ht="15" hidden="false" customHeight="false" outlineLevel="0" collapsed="false">
      <c r="A496" s="23"/>
      <c r="B496" s="23"/>
      <c r="C496" s="23"/>
      <c r="D496" s="23"/>
      <c r="E496" s="28" t="str">
        <f aca="false">IF(OR($A496="",$C496="",$D496=""),"",$C496*$D496)</f>
        <v/>
      </c>
    </row>
    <row r="497" customFormat="false" ht="15" hidden="false" customHeight="false" outlineLevel="0" collapsed="false">
      <c r="A497" s="23"/>
      <c r="B497" s="23"/>
      <c r="C497" s="23"/>
      <c r="D497" s="23"/>
      <c r="E497" s="28" t="str">
        <f aca="false">IF(OR($A497="",$C497="",$D497=""),"",$C497*$D497)</f>
        <v/>
      </c>
    </row>
    <row r="498" customFormat="false" ht="15" hidden="false" customHeight="false" outlineLevel="0" collapsed="false">
      <c r="A498" s="23"/>
      <c r="B498" s="23"/>
      <c r="C498" s="23"/>
      <c r="D498" s="23"/>
      <c r="E498" s="28" t="str">
        <f aca="false">IF(OR($A498="",$C498="",$D498=""),"",$C498*$D498)</f>
        <v/>
      </c>
    </row>
    <row r="499" customFormat="false" ht="15" hidden="false" customHeight="false" outlineLevel="0" collapsed="false">
      <c r="A499" s="23"/>
      <c r="B499" s="23"/>
      <c r="C499" s="23"/>
      <c r="D499" s="23"/>
      <c r="E499" s="28" t="str">
        <f aca="false">IF(OR($A499="",$C499="",$D499=""),"",$C499*$D499)</f>
        <v/>
      </c>
    </row>
    <row r="500" customFormat="false" ht="15" hidden="false" customHeight="false" outlineLevel="0" collapsed="false">
      <c r="A500" s="23"/>
      <c r="B500" s="23"/>
      <c r="C500" s="23"/>
      <c r="D500" s="23"/>
      <c r="E500" s="28" t="str">
        <f aca="false">IF(OR($A500="",$C500="",$D500=""),"",$C500*$D500)</f>
        <v/>
      </c>
    </row>
    <row r="501" customFormat="false" ht="15" hidden="false" customHeight="false" outlineLevel="0" collapsed="false">
      <c r="A501" s="23"/>
      <c r="B501" s="23"/>
      <c r="C501" s="23"/>
      <c r="D501" s="23"/>
      <c r="E501" s="28" t="str">
        <f aca="false">IF(OR($A501="",$C501="",$D501=""),"",$C501*$D501)</f>
        <v/>
      </c>
    </row>
    <row r="502" customFormat="false" ht="15" hidden="false" customHeight="false" outlineLevel="0" collapsed="false">
      <c r="A502" s="23"/>
      <c r="B502" s="23"/>
      <c r="C502" s="23"/>
      <c r="D502" s="23"/>
      <c r="E502" s="28" t="str">
        <f aca="false">IF(OR($A502="",$C502="",$D502=""),"",$C502*$D502)</f>
        <v/>
      </c>
    </row>
    <row r="503" customFormat="false" ht="15" hidden="false" customHeight="false" outlineLevel="0" collapsed="false">
      <c r="A503" s="23"/>
      <c r="B503" s="23"/>
      <c r="C503" s="23"/>
      <c r="D503" s="23"/>
      <c r="E503" s="28" t="str">
        <f aca="false">IF(OR($A503="",$C503="",$D503=""),"",$C503*$D503)</f>
        <v/>
      </c>
    </row>
    <row r="504" customFormat="false" ht="15" hidden="false" customHeight="false" outlineLevel="0" collapsed="false">
      <c r="A504" s="23"/>
      <c r="B504" s="23"/>
      <c r="C504" s="23"/>
      <c r="D504" s="23"/>
      <c r="E504" s="28" t="str">
        <f aca="false">IF(OR($A504="",$C504="",$D504=""),"",$C504*$D504)</f>
        <v/>
      </c>
    </row>
    <row r="505" customFormat="false" ht="15" hidden="false" customHeight="false" outlineLevel="0" collapsed="false">
      <c r="A505" s="23"/>
      <c r="B505" s="23"/>
      <c r="C505" s="23"/>
      <c r="D505" s="23"/>
      <c r="E505" s="28" t="str">
        <f aca="false">IF(OR($A505="",$C505="",$D505=""),"",$C505*$D505)</f>
        <v/>
      </c>
    </row>
    <row r="506" customFormat="false" ht="15" hidden="false" customHeight="false" outlineLevel="0" collapsed="false">
      <c r="A506" s="23"/>
      <c r="B506" s="23"/>
      <c r="C506" s="23"/>
      <c r="D506" s="23"/>
      <c r="E506" s="28" t="str">
        <f aca="false">IF(OR($A506="",$C506="",$D506=""),"",$C506*$D506)</f>
        <v/>
      </c>
    </row>
    <row r="507" customFormat="false" ht="15" hidden="false" customHeight="false" outlineLevel="0" collapsed="false">
      <c r="A507" s="23"/>
      <c r="B507" s="23"/>
      <c r="C507" s="23"/>
      <c r="D507" s="23"/>
      <c r="E507" s="28" t="str">
        <f aca="false">IF(OR($A507="",$C507="",$D507=""),"",$C507*$D507)</f>
        <v/>
      </c>
    </row>
    <row r="508" customFormat="false" ht="15" hidden="false" customHeight="false" outlineLevel="0" collapsed="false">
      <c r="A508" s="23"/>
      <c r="B508" s="23"/>
      <c r="C508" s="23"/>
      <c r="D508" s="23"/>
      <c r="E508" s="28" t="str">
        <f aca="false">IF(OR($A508="",$C508="",$D508=""),"",$C508*$D508)</f>
        <v/>
      </c>
    </row>
    <row r="509" customFormat="false" ht="15" hidden="false" customHeight="false" outlineLevel="0" collapsed="false">
      <c r="A509" s="23"/>
      <c r="B509" s="23"/>
      <c r="C509" s="23"/>
      <c r="D509" s="23"/>
      <c r="E509" s="28" t="str">
        <f aca="false">IF(OR($A509="",$C509="",$D509=""),"",$C509*$D509)</f>
        <v/>
      </c>
    </row>
    <row r="510" customFormat="false" ht="15" hidden="false" customHeight="false" outlineLevel="0" collapsed="false">
      <c r="A510" s="23"/>
      <c r="B510" s="23"/>
      <c r="C510" s="23"/>
      <c r="D510" s="23"/>
      <c r="E510" s="28" t="str">
        <f aca="false">IF(OR($A510="",$C510="",$D510=""),"",$C510*$D510)</f>
        <v/>
      </c>
    </row>
    <row r="511" customFormat="false" ht="15" hidden="false" customHeight="false" outlineLevel="0" collapsed="false">
      <c r="A511" s="23"/>
      <c r="B511" s="23"/>
      <c r="C511" s="23"/>
      <c r="D511" s="23"/>
      <c r="E511" s="28" t="str">
        <f aca="false">IF(OR($A511="",$C511="",$D511=""),"",$C511*$D511)</f>
        <v/>
      </c>
    </row>
    <row r="512" customFormat="false" ht="15" hidden="false" customHeight="false" outlineLevel="0" collapsed="false">
      <c r="A512" s="23"/>
      <c r="B512" s="23"/>
      <c r="C512" s="23"/>
      <c r="D512" s="23"/>
      <c r="E512" s="28" t="str">
        <f aca="false">IF(OR($A512="",$C512="",$D512=""),"",$C512*$D512)</f>
        <v/>
      </c>
    </row>
    <row r="513" customFormat="false" ht="15" hidden="false" customHeight="false" outlineLevel="0" collapsed="false">
      <c r="A513" s="23"/>
      <c r="B513" s="23"/>
      <c r="C513" s="23"/>
      <c r="D513" s="23"/>
      <c r="E513" s="28" t="str">
        <f aca="false">IF(OR($A513="",$C513="",$D513=""),"",$C513*$D513)</f>
        <v/>
      </c>
    </row>
    <row r="514" customFormat="false" ht="15" hidden="false" customHeight="false" outlineLevel="0" collapsed="false">
      <c r="A514" s="23"/>
      <c r="B514" s="23"/>
      <c r="C514" s="23"/>
      <c r="D514" s="23"/>
      <c r="E514" s="28" t="str">
        <f aca="false">IF(OR($A514="",$C514="",$D514=""),"",$C514*$D514)</f>
        <v/>
      </c>
    </row>
    <row r="515" customFormat="false" ht="15" hidden="false" customHeight="false" outlineLevel="0" collapsed="false">
      <c r="A515" s="23"/>
      <c r="B515" s="23"/>
      <c r="C515" s="23"/>
      <c r="D515" s="23"/>
      <c r="E515" s="28" t="str">
        <f aca="false">IF(OR($A515="",$C515="",$D515=""),"",$C515*$D515)</f>
        <v/>
      </c>
    </row>
    <row r="516" customFormat="false" ht="15" hidden="false" customHeight="false" outlineLevel="0" collapsed="false">
      <c r="A516" s="23"/>
      <c r="B516" s="23"/>
      <c r="C516" s="23"/>
      <c r="D516" s="23"/>
      <c r="E516" s="28" t="str">
        <f aca="false">IF(OR($A516="",$C516="",$D516=""),"",$C516*$D516)</f>
        <v/>
      </c>
    </row>
    <row r="517" customFormat="false" ht="15" hidden="false" customHeight="false" outlineLevel="0" collapsed="false">
      <c r="A517" s="23"/>
      <c r="B517" s="23"/>
      <c r="C517" s="23"/>
      <c r="D517" s="23"/>
      <c r="E517" s="28" t="str">
        <f aca="false">IF(OR($A517="",$C517="",$D517=""),"",$C517*$D517)</f>
        <v/>
      </c>
    </row>
    <row r="518" customFormat="false" ht="15" hidden="false" customHeight="false" outlineLevel="0" collapsed="false">
      <c r="A518" s="23"/>
      <c r="B518" s="23"/>
      <c r="C518" s="23"/>
      <c r="D518" s="23"/>
      <c r="E518" s="28" t="str">
        <f aca="false">IF(OR($A518="",$C518="",$D518=""),"",$C518*$D518)</f>
        <v/>
      </c>
    </row>
    <row r="519" customFormat="false" ht="15" hidden="false" customHeight="false" outlineLevel="0" collapsed="false">
      <c r="A519" s="23"/>
      <c r="B519" s="23"/>
      <c r="C519" s="23"/>
      <c r="D519" s="23"/>
      <c r="E519" s="28" t="str">
        <f aca="false">IF(OR($A519="",$C519="",$D519=""),"",$C519*$D519)</f>
        <v/>
      </c>
    </row>
    <row r="520" customFormat="false" ht="15" hidden="false" customHeight="false" outlineLevel="0" collapsed="false">
      <c r="A520" s="23"/>
      <c r="B520" s="23"/>
      <c r="C520" s="23"/>
      <c r="D520" s="23"/>
      <c r="E520" s="28" t="str">
        <f aca="false">IF(OR($A520="",$C520="",$D520=""),"",$C520*$D520)</f>
        <v/>
      </c>
    </row>
    <row r="521" customFormat="false" ht="15" hidden="false" customHeight="false" outlineLevel="0" collapsed="false">
      <c r="A521" s="23"/>
      <c r="B521" s="23"/>
      <c r="C521" s="23"/>
      <c r="D521" s="23"/>
      <c r="E521" s="28" t="str">
        <f aca="false">IF(OR($A521="",$C521="",$D521=""),"",$C521*$D521)</f>
        <v/>
      </c>
    </row>
    <row r="522" customFormat="false" ht="15" hidden="false" customHeight="false" outlineLevel="0" collapsed="false">
      <c r="A522" s="23"/>
      <c r="B522" s="23"/>
      <c r="C522" s="23"/>
      <c r="D522" s="23"/>
      <c r="E522" s="28" t="str">
        <f aca="false">IF(OR($A522="",$C522="",$D522=""),"",$C522*$D522)</f>
        <v/>
      </c>
    </row>
    <row r="523" customFormat="false" ht="15" hidden="false" customHeight="false" outlineLevel="0" collapsed="false">
      <c r="A523" s="23"/>
      <c r="B523" s="23"/>
      <c r="C523" s="23"/>
      <c r="D523" s="23"/>
      <c r="E523" s="28" t="str">
        <f aca="false">IF(OR($A523="",$C523="",$D523=""),"",$C523*$D523)</f>
        <v/>
      </c>
    </row>
    <row r="524" customFormat="false" ht="15" hidden="false" customHeight="false" outlineLevel="0" collapsed="false">
      <c r="A524" s="23"/>
      <c r="B524" s="23"/>
      <c r="C524" s="23"/>
      <c r="D524" s="23"/>
      <c r="E524" s="28" t="str">
        <f aca="false">IF(OR($A524="",$C524="",$D524=""),"",$C524*$D524)</f>
        <v/>
      </c>
    </row>
    <row r="525" customFormat="false" ht="15" hidden="false" customHeight="false" outlineLevel="0" collapsed="false">
      <c r="A525" s="23"/>
      <c r="B525" s="23"/>
      <c r="C525" s="23"/>
      <c r="D525" s="23"/>
      <c r="E525" s="28" t="str">
        <f aca="false">IF(OR($A525="",$C525="",$D525=""),"",$C525*$D525)</f>
        <v/>
      </c>
    </row>
    <row r="526" customFormat="false" ht="15" hidden="false" customHeight="false" outlineLevel="0" collapsed="false">
      <c r="A526" s="23"/>
      <c r="B526" s="23"/>
      <c r="C526" s="23"/>
      <c r="D526" s="23"/>
      <c r="E526" s="28" t="str">
        <f aca="false">IF(OR($A526="",$C526="",$D526=""),"",$C526*$D526)</f>
        <v/>
      </c>
    </row>
    <row r="527" customFormat="false" ht="15" hidden="false" customHeight="false" outlineLevel="0" collapsed="false">
      <c r="A527" s="23"/>
      <c r="B527" s="23"/>
      <c r="C527" s="23"/>
      <c r="D527" s="23"/>
      <c r="E527" s="28" t="str">
        <f aca="false">IF(OR($A527="",$C527="",$D527=""),"",$C527*$D527)</f>
        <v/>
      </c>
    </row>
    <row r="528" customFormat="false" ht="15" hidden="false" customHeight="false" outlineLevel="0" collapsed="false">
      <c r="A528" s="23"/>
      <c r="B528" s="23"/>
      <c r="C528" s="23"/>
      <c r="D528" s="23"/>
      <c r="E528" s="28" t="str">
        <f aca="false">IF(OR($A528="",$C528="",$D528=""),"",$C528*$D528)</f>
        <v/>
      </c>
    </row>
    <row r="529" customFormat="false" ht="15" hidden="false" customHeight="false" outlineLevel="0" collapsed="false">
      <c r="A529" s="23"/>
      <c r="B529" s="23"/>
      <c r="C529" s="23"/>
      <c r="D529" s="23"/>
      <c r="E529" s="28" t="str">
        <f aca="false">IF(OR($A529="",$C529="",$D529=""),"",$C529*$D529)</f>
        <v/>
      </c>
    </row>
    <row r="530" customFormat="false" ht="15" hidden="false" customHeight="false" outlineLevel="0" collapsed="false">
      <c r="A530" s="23"/>
      <c r="B530" s="23"/>
      <c r="C530" s="23"/>
      <c r="D530" s="23"/>
      <c r="E530" s="28" t="str">
        <f aca="false">IF(OR($A530="",$C530="",$D530=""),"",$C530*$D530)</f>
        <v/>
      </c>
    </row>
    <row r="531" customFormat="false" ht="15" hidden="false" customHeight="false" outlineLevel="0" collapsed="false">
      <c r="A531" s="23"/>
      <c r="B531" s="23"/>
      <c r="C531" s="23"/>
      <c r="D531" s="23"/>
      <c r="E531" s="28" t="str">
        <f aca="false">IF(OR($A531="",$C531="",$D531=""),"",$C531*$D531)</f>
        <v/>
      </c>
    </row>
    <row r="532" customFormat="false" ht="15" hidden="false" customHeight="false" outlineLevel="0" collapsed="false">
      <c r="A532" s="23"/>
      <c r="B532" s="23"/>
      <c r="C532" s="23"/>
      <c r="D532" s="23"/>
      <c r="E532" s="28" t="str">
        <f aca="false">IF(OR($A532="",$C532="",$D532=""),"",$C532*$D532)</f>
        <v/>
      </c>
    </row>
    <row r="533" customFormat="false" ht="15" hidden="false" customHeight="false" outlineLevel="0" collapsed="false">
      <c r="A533" s="23"/>
      <c r="B533" s="23"/>
      <c r="C533" s="23"/>
      <c r="D533" s="23"/>
      <c r="E533" s="28" t="str">
        <f aca="false">IF(OR($A533="",$C533="",$D533=""),"",$C533*$D533)</f>
        <v/>
      </c>
    </row>
    <row r="534" customFormat="false" ht="15" hidden="false" customHeight="false" outlineLevel="0" collapsed="false">
      <c r="A534" s="23"/>
      <c r="B534" s="23"/>
      <c r="C534" s="23"/>
      <c r="D534" s="23"/>
      <c r="E534" s="28" t="str">
        <f aca="false">IF(OR($A534="",$C534="",$D534=""),"",$C534*$D534)</f>
        <v/>
      </c>
    </row>
    <row r="535" customFormat="false" ht="15" hidden="false" customHeight="false" outlineLevel="0" collapsed="false">
      <c r="A535" s="23"/>
      <c r="B535" s="23"/>
      <c r="C535" s="23"/>
      <c r="D535" s="23"/>
      <c r="E535" s="28" t="str">
        <f aca="false">IF(OR($A535="",$C535="",$D535=""),"",$C535*$D535)</f>
        <v/>
      </c>
    </row>
    <row r="536" customFormat="false" ht="15" hidden="false" customHeight="false" outlineLevel="0" collapsed="false">
      <c r="A536" s="23"/>
      <c r="B536" s="23"/>
      <c r="C536" s="23"/>
      <c r="D536" s="23"/>
      <c r="E536" s="28" t="str">
        <f aca="false">IF(OR($A536="",$C536="",$D536=""),"",$C536*$D536)</f>
        <v/>
      </c>
    </row>
    <row r="537" customFormat="false" ht="15" hidden="false" customHeight="false" outlineLevel="0" collapsed="false">
      <c r="A537" s="23"/>
      <c r="B537" s="23"/>
      <c r="C537" s="23"/>
      <c r="D537" s="23"/>
      <c r="E537" s="28" t="str">
        <f aca="false">IF(OR($A537="",$C537="",$D537=""),"",$C537*$D537)</f>
        <v/>
      </c>
    </row>
    <row r="538" customFormat="false" ht="15" hidden="false" customHeight="false" outlineLevel="0" collapsed="false">
      <c r="A538" s="23"/>
      <c r="B538" s="23"/>
      <c r="C538" s="23"/>
      <c r="D538" s="23"/>
      <c r="E538" s="28" t="str">
        <f aca="false">IF(OR($A538="",$C538="",$D538=""),"",$C538*$D538)</f>
        <v/>
      </c>
    </row>
    <row r="539" customFormat="false" ht="15" hidden="false" customHeight="false" outlineLevel="0" collapsed="false">
      <c r="A539" s="23"/>
      <c r="B539" s="23"/>
      <c r="C539" s="23"/>
      <c r="D539" s="23"/>
      <c r="E539" s="28" t="str">
        <f aca="false">IF(OR($A539="",$C539="",$D539=""),"",$C539*$D539)</f>
        <v/>
      </c>
    </row>
    <row r="540" customFormat="false" ht="15" hidden="false" customHeight="false" outlineLevel="0" collapsed="false">
      <c r="A540" s="23"/>
      <c r="B540" s="23"/>
      <c r="C540" s="23"/>
      <c r="D540" s="23"/>
      <c r="E540" s="28" t="str">
        <f aca="false">IF(OR($A540="",$C540="",$D540=""),"",$C540*$D540)</f>
        <v/>
      </c>
    </row>
    <row r="541" customFormat="false" ht="15" hidden="false" customHeight="false" outlineLevel="0" collapsed="false">
      <c r="A541" s="23"/>
      <c r="B541" s="23"/>
      <c r="C541" s="23"/>
      <c r="D541" s="23"/>
      <c r="E541" s="28" t="str">
        <f aca="false">IF(OR($A541="",$C541="",$D541=""),"",$C541*$D541)</f>
        <v/>
      </c>
    </row>
    <row r="542" customFormat="false" ht="15" hidden="false" customHeight="false" outlineLevel="0" collapsed="false">
      <c r="A542" s="23"/>
      <c r="B542" s="23"/>
      <c r="C542" s="23"/>
      <c r="D542" s="23"/>
      <c r="E542" s="28" t="str">
        <f aca="false">IF(OR($A542="",$C542="",$D542=""),"",$C542*$D542)</f>
        <v/>
      </c>
    </row>
    <row r="543" customFormat="false" ht="15" hidden="false" customHeight="false" outlineLevel="0" collapsed="false">
      <c r="A543" s="23"/>
      <c r="B543" s="23"/>
      <c r="C543" s="23"/>
      <c r="D543" s="23"/>
      <c r="E543" s="28" t="str">
        <f aca="false">IF(OR($A543="",$C543="",$D543=""),"",$C543*$D543)</f>
        <v/>
      </c>
    </row>
    <row r="544" customFormat="false" ht="15" hidden="false" customHeight="false" outlineLevel="0" collapsed="false">
      <c r="A544" s="23"/>
      <c r="B544" s="23"/>
      <c r="C544" s="23"/>
      <c r="D544" s="23"/>
      <c r="E544" s="28" t="str">
        <f aca="false">IF(OR($A544="",$C544="",$D544=""),"",$C544*$D544)</f>
        <v/>
      </c>
    </row>
    <row r="545" customFormat="false" ht="15" hidden="false" customHeight="false" outlineLevel="0" collapsed="false">
      <c r="A545" s="23"/>
      <c r="B545" s="23"/>
      <c r="C545" s="23"/>
      <c r="D545" s="23"/>
      <c r="E545" s="28" t="str">
        <f aca="false">IF(OR($A545="",$C545="",$D545=""),"",$C545*$D545)</f>
        <v/>
      </c>
    </row>
    <row r="546" customFormat="false" ht="15" hidden="false" customHeight="false" outlineLevel="0" collapsed="false">
      <c r="A546" s="23"/>
      <c r="B546" s="23"/>
      <c r="C546" s="23"/>
      <c r="D546" s="23"/>
      <c r="E546" s="28" t="str">
        <f aca="false">IF(OR($A546="",$C546="",$D546=""),"",$C546*$D546)</f>
        <v/>
      </c>
    </row>
    <row r="547" customFormat="false" ht="15" hidden="false" customHeight="false" outlineLevel="0" collapsed="false">
      <c r="A547" s="23"/>
      <c r="B547" s="23"/>
      <c r="C547" s="23"/>
      <c r="D547" s="23"/>
      <c r="E547" s="28" t="str">
        <f aca="false">IF(OR($A547="",$C547="",$D547=""),"",$C547*$D547)</f>
        <v/>
      </c>
    </row>
    <row r="548" customFormat="false" ht="15" hidden="false" customHeight="false" outlineLevel="0" collapsed="false">
      <c r="A548" s="23"/>
      <c r="B548" s="23"/>
      <c r="C548" s="23"/>
      <c r="D548" s="23"/>
      <c r="E548" s="28" t="str">
        <f aca="false">IF(OR($A548="",$C548="",$D548=""),"",$C548*$D548)</f>
        <v/>
      </c>
    </row>
    <row r="549" customFormat="false" ht="15" hidden="false" customHeight="false" outlineLevel="0" collapsed="false">
      <c r="A549" s="23"/>
      <c r="B549" s="23"/>
      <c r="C549" s="23"/>
      <c r="D549" s="23"/>
      <c r="E549" s="28" t="str">
        <f aca="false">IF(OR($A549="",$C549="",$D549=""),"",$C549*$D549)</f>
        <v/>
      </c>
    </row>
    <row r="550" customFormat="false" ht="15" hidden="false" customHeight="false" outlineLevel="0" collapsed="false">
      <c r="A550" s="23"/>
      <c r="B550" s="23"/>
      <c r="C550" s="23"/>
      <c r="D550" s="23"/>
      <c r="E550" s="28" t="str">
        <f aca="false">IF(OR($A550="",$C550="",$D550=""),"",$C550*$D550)</f>
        <v/>
      </c>
    </row>
    <row r="551" customFormat="false" ht="15" hidden="false" customHeight="false" outlineLevel="0" collapsed="false">
      <c r="A551" s="23"/>
      <c r="B551" s="23"/>
      <c r="C551" s="23"/>
      <c r="D551" s="23"/>
      <c r="E551" s="28" t="str">
        <f aca="false">IF(OR($A551="",$C551="",$D551=""),"",$C551*$D551)</f>
        <v/>
      </c>
    </row>
    <row r="552" customFormat="false" ht="15" hidden="false" customHeight="false" outlineLevel="0" collapsed="false">
      <c r="A552" s="23"/>
      <c r="B552" s="23"/>
      <c r="C552" s="23"/>
      <c r="D552" s="23"/>
      <c r="E552" s="28" t="str">
        <f aca="false">IF(OR($A552="",$C552="",$D552=""),"",$C552*$D552)</f>
        <v/>
      </c>
    </row>
    <row r="553" customFormat="false" ht="15" hidden="false" customHeight="false" outlineLevel="0" collapsed="false">
      <c r="A553" s="23"/>
      <c r="B553" s="23"/>
      <c r="C553" s="23"/>
      <c r="D553" s="23"/>
      <c r="E553" s="28" t="str">
        <f aca="false">IF(OR($A553="",$C553="",$D553=""),"",$C553*$D553)</f>
        <v/>
      </c>
    </row>
    <row r="554" customFormat="false" ht="15" hidden="false" customHeight="false" outlineLevel="0" collapsed="false">
      <c r="A554" s="23"/>
      <c r="B554" s="23"/>
      <c r="C554" s="23"/>
      <c r="D554" s="23"/>
      <c r="E554" s="28" t="str">
        <f aca="false">IF(OR($A554="",$C554="",$D554=""),"",$C554*$D554)</f>
        <v/>
      </c>
    </row>
    <row r="555" customFormat="false" ht="15" hidden="false" customHeight="false" outlineLevel="0" collapsed="false">
      <c r="A555" s="23"/>
      <c r="B555" s="23"/>
      <c r="C555" s="23"/>
      <c r="D555" s="23"/>
      <c r="E555" s="28" t="str">
        <f aca="false">IF(OR($A555="",$C555="",$D555=""),"",$C555*$D555)</f>
        <v/>
      </c>
    </row>
    <row r="556" customFormat="false" ht="15" hidden="false" customHeight="false" outlineLevel="0" collapsed="false">
      <c r="A556" s="23"/>
      <c r="B556" s="23"/>
      <c r="C556" s="23"/>
      <c r="D556" s="23"/>
      <c r="E556" s="28" t="str">
        <f aca="false">IF(OR($A556="",$C556="",$D556=""),"",$C556*$D556)</f>
        <v/>
      </c>
    </row>
    <row r="557" customFormat="false" ht="15" hidden="false" customHeight="false" outlineLevel="0" collapsed="false">
      <c r="A557" s="23"/>
      <c r="B557" s="23"/>
      <c r="C557" s="23"/>
      <c r="D557" s="23"/>
      <c r="E557" s="28" t="str">
        <f aca="false">IF(OR($A557="",$C557="",$D557=""),"",$C557*$D557)</f>
        <v/>
      </c>
    </row>
    <row r="558" customFormat="false" ht="15" hidden="false" customHeight="false" outlineLevel="0" collapsed="false">
      <c r="A558" s="23"/>
      <c r="B558" s="23"/>
      <c r="C558" s="23"/>
      <c r="D558" s="23"/>
      <c r="E558" s="28" t="str">
        <f aca="false">IF(OR($A558="",$C558="",$D558=""),"",$C558*$D558)</f>
        <v/>
      </c>
    </row>
    <row r="559" customFormat="false" ht="15" hidden="false" customHeight="false" outlineLevel="0" collapsed="false">
      <c r="A559" s="23"/>
      <c r="B559" s="23"/>
      <c r="C559" s="23"/>
      <c r="D559" s="23"/>
      <c r="E559" s="28" t="str">
        <f aca="false">IF(OR($A559="",$C559="",$D559=""),"",$C559*$D559)</f>
        <v/>
      </c>
    </row>
    <row r="560" customFormat="false" ht="15" hidden="false" customHeight="false" outlineLevel="0" collapsed="false">
      <c r="A560" s="23"/>
      <c r="B560" s="23"/>
      <c r="C560" s="23"/>
      <c r="D560" s="23"/>
      <c r="E560" s="28" t="str">
        <f aca="false">IF(OR($A560="",$C560="",$D560=""),"",$C560*$D560)</f>
        <v/>
      </c>
    </row>
    <row r="561" customFormat="false" ht="15" hidden="false" customHeight="false" outlineLevel="0" collapsed="false">
      <c r="A561" s="23"/>
      <c r="B561" s="23"/>
      <c r="C561" s="23"/>
      <c r="D561" s="23"/>
      <c r="E561" s="28" t="str">
        <f aca="false">IF(OR($A561="",$C561="",$D561=""),"",$C561*$D561)</f>
        <v/>
      </c>
    </row>
    <row r="562" customFormat="false" ht="15" hidden="false" customHeight="false" outlineLevel="0" collapsed="false">
      <c r="A562" s="23"/>
      <c r="B562" s="23"/>
      <c r="C562" s="23"/>
      <c r="D562" s="23"/>
      <c r="E562" s="28" t="str">
        <f aca="false">IF(OR($A562="",$C562="",$D562=""),"",$C562*$D562)</f>
        <v/>
      </c>
    </row>
    <row r="563" customFormat="false" ht="15" hidden="false" customHeight="false" outlineLevel="0" collapsed="false">
      <c r="A563" s="23"/>
      <c r="B563" s="23"/>
      <c r="C563" s="23"/>
      <c r="D563" s="23"/>
      <c r="E563" s="28" t="str">
        <f aca="false">IF(OR($A563="",$C563="",$D563=""),"",$C563*$D563)</f>
        <v/>
      </c>
    </row>
    <row r="564" customFormat="false" ht="15" hidden="false" customHeight="false" outlineLevel="0" collapsed="false">
      <c r="A564" s="23"/>
      <c r="B564" s="23"/>
      <c r="C564" s="23"/>
      <c r="D564" s="23"/>
      <c r="E564" s="28" t="str">
        <f aca="false">IF(OR($A564="",$C564="",$D564=""),"",$C564*$D564)</f>
        <v/>
      </c>
    </row>
    <row r="565" customFormat="false" ht="15" hidden="false" customHeight="false" outlineLevel="0" collapsed="false">
      <c r="A565" s="23"/>
      <c r="B565" s="23"/>
      <c r="C565" s="23"/>
      <c r="D565" s="23"/>
      <c r="E565" s="28" t="str">
        <f aca="false">IF(OR($A565="",$C565="",$D565=""),"",$C565*$D565)</f>
        <v/>
      </c>
    </row>
    <row r="566" customFormat="false" ht="15" hidden="false" customHeight="false" outlineLevel="0" collapsed="false">
      <c r="A566" s="23"/>
      <c r="B566" s="23"/>
      <c r="C566" s="23"/>
      <c r="D566" s="23"/>
      <c r="E566" s="28" t="str">
        <f aca="false">IF(OR($A566="",$C566="",$D566=""),"",$C566*$D566)</f>
        <v/>
      </c>
    </row>
    <row r="567" customFormat="false" ht="15" hidden="false" customHeight="false" outlineLevel="0" collapsed="false">
      <c r="A567" s="23"/>
      <c r="B567" s="23"/>
      <c r="C567" s="23"/>
      <c r="D567" s="23"/>
      <c r="E567" s="28" t="str">
        <f aca="false">IF(OR($A567="",$C567="",$D567=""),"",$C567*$D567)</f>
        <v/>
      </c>
    </row>
    <row r="568" customFormat="false" ht="15" hidden="false" customHeight="false" outlineLevel="0" collapsed="false">
      <c r="A568" s="23"/>
      <c r="B568" s="23"/>
      <c r="C568" s="23"/>
      <c r="D568" s="23"/>
      <c r="E568" s="28" t="str">
        <f aca="false">IF(OR($A568="",$C568="",$D568=""),"",$C568*$D568)</f>
        <v/>
      </c>
    </row>
    <row r="569" customFormat="false" ht="15" hidden="false" customHeight="false" outlineLevel="0" collapsed="false">
      <c r="A569" s="23"/>
      <c r="B569" s="23"/>
      <c r="C569" s="23"/>
      <c r="D569" s="23"/>
      <c r="E569" s="28" t="str">
        <f aca="false">IF(OR($A569="",$C569="",$D569=""),"",$C569*$D569)</f>
        <v/>
      </c>
    </row>
    <row r="570" customFormat="false" ht="15" hidden="false" customHeight="false" outlineLevel="0" collapsed="false">
      <c r="A570" s="23"/>
      <c r="B570" s="23"/>
      <c r="C570" s="23"/>
      <c r="D570" s="23"/>
      <c r="E570" s="28" t="str">
        <f aca="false">IF(OR($A570="",$C570="",$D570=""),"",$C570*$D570)</f>
        <v/>
      </c>
    </row>
    <row r="571" customFormat="false" ht="15" hidden="false" customHeight="false" outlineLevel="0" collapsed="false">
      <c r="A571" s="23"/>
      <c r="B571" s="23"/>
      <c r="C571" s="23"/>
      <c r="D571" s="23"/>
      <c r="E571" s="28" t="str">
        <f aca="false">IF(OR($A571="",$C571="",$D571=""),"",$C571*$D571)</f>
        <v/>
      </c>
    </row>
    <row r="572" customFormat="false" ht="15" hidden="false" customHeight="false" outlineLevel="0" collapsed="false">
      <c r="A572" s="23"/>
      <c r="B572" s="23"/>
      <c r="C572" s="23"/>
      <c r="D572" s="23"/>
      <c r="E572" s="28" t="str">
        <f aca="false">IF(OR($A572="",$C572="",$D572=""),"",$C572*$D572)</f>
        <v/>
      </c>
    </row>
    <row r="573" customFormat="false" ht="15" hidden="false" customHeight="false" outlineLevel="0" collapsed="false">
      <c r="A573" s="23"/>
      <c r="B573" s="23"/>
      <c r="C573" s="23"/>
      <c r="D573" s="23"/>
      <c r="E573" s="28" t="str">
        <f aca="false">IF(OR($A573="",$C573="",$D573=""),"",$C573*$D573)</f>
        <v/>
      </c>
    </row>
    <row r="574" customFormat="false" ht="15" hidden="false" customHeight="false" outlineLevel="0" collapsed="false">
      <c r="A574" s="23"/>
      <c r="B574" s="23"/>
      <c r="C574" s="23"/>
      <c r="D574" s="23"/>
      <c r="E574" s="28" t="str">
        <f aca="false">IF(OR($A574="",$C574="",$D574=""),"",$C574*$D574)</f>
        <v/>
      </c>
    </row>
    <row r="575" customFormat="false" ht="15" hidden="false" customHeight="false" outlineLevel="0" collapsed="false">
      <c r="A575" s="23"/>
      <c r="B575" s="23"/>
      <c r="C575" s="23"/>
      <c r="D575" s="23"/>
      <c r="E575" s="28" t="str">
        <f aca="false">IF(OR($A575="",$C575="",$D575=""),"",$C575*$D575)</f>
        <v/>
      </c>
    </row>
    <row r="576" customFormat="false" ht="15" hidden="false" customHeight="false" outlineLevel="0" collapsed="false">
      <c r="A576" s="23"/>
      <c r="B576" s="23"/>
      <c r="C576" s="23"/>
      <c r="D576" s="23"/>
      <c r="E576" s="28" t="str">
        <f aca="false">IF(OR($A576="",$C576="",$D576=""),"",$C576*$D576)</f>
        <v/>
      </c>
    </row>
    <row r="577" customFormat="false" ht="15" hidden="false" customHeight="false" outlineLevel="0" collapsed="false">
      <c r="A577" s="23"/>
      <c r="B577" s="23"/>
      <c r="C577" s="23"/>
      <c r="D577" s="23"/>
      <c r="E577" s="28" t="str">
        <f aca="false">IF(OR($A577="",$C577="",$D577=""),"",$C577*$D577)</f>
        <v/>
      </c>
    </row>
    <row r="578" customFormat="false" ht="15" hidden="false" customHeight="false" outlineLevel="0" collapsed="false">
      <c r="A578" s="23"/>
      <c r="B578" s="23"/>
      <c r="C578" s="23"/>
      <c r="D578" s="23"/>
      <c r="E578" s="28" t="str">
        <f aca="false">IF(OR($A578="",$C578="",$D578=""),"",$C578*$D578)</f>
        <v/>
      </c>
    </row>
    <row r="579" customFormat="false" ht="15" hidden="false" customHeight="false" outlineLevel="0" collapsed="false">
      <c r="A579" s="23"/>
      <c r="B579" s="23"/>
      <c r="C579" s="23"/>
      <c r="D579" s="23"/>
      <c r="E579" s="28" t="str">
        <f aca="false">IF(OR($A579="",$C579="",$D579=""),"",$C579*$D579)</f>
        <v/>
      </c>
    </row>
    <row r="580" customFormat="false" ht="15" hidden="false" customHeight="false" outlineLevel="0" collapsed="false">
      <c r="A580" s="23"/>
      <c r="B580" s="23"/>
      <c r="C580" s="23"/>
      <c r="D580" s="23"/>
      <c r="E580" s="28" t="str">
        <f aca="false">IF(OR($A580="",$C580="",$D580=""),"",$C580*$D580)</f>
        <v/>
      </c>
    </row>
    <row r="581" customFormat="false" ht="15" hidden="false" customHeight="false" outlineLevel="0" collapsed="false">
      <c r="A581" s="23"/>
      <c r="B581" s="23"/>
      <c r="C581" s="23"/>
      <c r="D581" s="23"/>
      <c r="E581" s="28" t="str">
        <f aca="false">IF(OR($A581="",$C581="",$D581=""),"",$C581*$D581)</f>
        <v/>
      </c>
    </row>
    <row r="582" customFormat="false" ht="15" hidden="false" customHeight="false" outlineLevel="0" collapsed="false">
      <c r="A582" s="23"/>
      <c r="B582" s="23"/>
      <c r="C582" s="23"/>
      <c r="D582" s="23"/>
      <c r="E582" s="28" t="str">
        <f aca="false">IF(OR($A582="",$C582="",$D582=""),"",$C582*$D582)</f>
        <v/>
      </c>
    </row>
    <row r="583" customFormat="false" ht="15" hidden="false" customHeight="false" outlineLevel="0" collapsed="false">
      <c r="A583" s="23"/>
      <c r="B583" s="23"/>
      <c r="C583" s="23"/>
      <c r="D583" s="23"/>
      <c r="E583" s="28" t="str">
        <f aca="false">IF(OR($A583="",$C583="",$D583=""),"",$C583*$D583)</f>
        <v/>
      </c>
    </row>
    <row r="584" customFormat="false" ht="15" hidden="false" customHeight="false" outlineLevel="0" collapsed="false">
      <c r="A584" s="23"/>
      <c r="B584" s="23"/>
      <c r="C584" s="23"/>
      <c r="D584" s="23"/>
      <c r="E584" s="28" t="str">
        <f aca="false">IF(OR($A584="",$C584="",$D584=""),"",$C584*$D584)</f>
        <v/>
      </c>
    </row>
    <row r="585" customFormat="false" ht="15" hidden="false" customHeight="false" outlineLevel="0" collapsed="false">
      <c r="A585" s="23"/>
      <c r="B585" s="23"/>
      <c r="C585" s="23"/>
      <c r="D585" s="23"/>
      <c r="E585" s="28" t="str">
        <f aca="false">IF(OR($A585="",$C585="",$D585=""),"",$C585*$D585)</f>
        <v/>
      </c>
    </row>
    <row r="586" customFormat="false" ht="15" hidden="false" customHeight="false" outlineLevel="0" collapsed="false">
      <c r="A586" s="23"/>
      <c r="B586" s="23"/>
      <c r="C586" s="23"/>
      <c r="D586" s="23"/>
      <c r="E586" s="28" t="str">
        <f aca="false">IF(OR($A586="",$C586="",$D586=""),"",$C586*$D586)</f>
        <v/>
      </c>
    </row>
    <row r="587" customFormat="false" ht="15" hidden="false" customHeight="false" outlineLevel="0" collapsed="false">
      <c r="A587" s="23"/>
      <c r="B587" s="23"/>
      <c r="C587" s="23"/>
      <c r="D587" s="23"/>
      <c r="E587" s="28" t="str">
        <f aca="false">IF(OR($A587="",$C587="",$D587=""),"",$C587*$D587)</f>
        <v/>
      </c>
    </row>
    <row r="588" customFormat="false" ht="15" hidden="false" customHeight="false" outlineLevel="0" collapsed="false">
      <c r="A588" s="23"/>
      <c r="B588" s="23"/>
      <c r="C588" s="23"/>
      <c r="D588" s="23"/>
      <c r="E588" s="28" t="str">
        <f aca="false">IF(OR($A588="",$C588="",$D588=""),"",$C588*$D588)</f>
        <v/>
      </c>
    </row>
    <row r="589" customFormat="false" ht="15" hidden="false" customHeight="false" outlineLevel="0" collapsed="false">
      <c r="A589" s="23"/>
      <c r="B589" s="23"/>
      <c r="C589" s="23"/>
      <c r="D589" s="23"/>
      <c r="E589" s="28" t="str">
        <f aca="false">IF(OR($A589="",$C589="",$D589=""),"",$C589*$D589)</f>
        <v/>
      </c>
    </row>
    <row r="590" customFormat="false" ht="15" hidden="false" customHeight="false" outlineLevel="0" collapsed="false">
      <c r="A590" s="23"/>
      <c r="B590" s="23"/>
      <c r="C590" s="23"/>
      <c r="D590" s="23"/>
      <c r="E590" s="28" t="str">
        <f aca="false">IF(OR($A590="",$C590="",$D590=""),"",$C590*$D590)</f>
        <v/>
      </c>
    </row>
    <row r="591" customFormat="false" ht="15" hidden="false" customHeight="false" outlineLevel="0" collapsed="false">
      <c r="A591" s="23"/>
      <c r="B591" s="23"/>
      <c r="C591" s="23"/>
      <c r="D591" s="23"/>
      <c r="E591" s="28" t="str">
        <f aca="false">IF(OR($A591="",$C591="",$D591=""),"",$C591*$D591)</f>
        <v/>
      </c>
    </row>
    <row r="592" customFormat="false" ht="15" hidden="false" customHeight="false" outlineLevel="0" collapsed="false">
      <c r="A592" s="23"/>
      <c r="B592" s="23"/>
      <c r="C592" s="23"/>
      <c r="D592" s="23"/>
      <c r="E592" s="28" t="str">
        <f aca="false">IF(OR($A592="",$C592="",$D592=""),"",$C592*$D592)</f>
        <v/>
      </c>
    </row>
    <row r="593" customFormat="false" ht="15" hidden="false" customHeight="false" outlineLevel="0" collapsed="false">
      <c r="A593" s="23"/>
      <c r="B593" s="23"/>
      <c r="C593" s="23"/>
      <c r="D593" s="23"/>
      <c r="E593" s="28" t="str">
        <f aca="false">IF(OR($A593="",$C593="",$D593=""),"",$C593*$D593)</f>
        <v/>
      </c>
    </row>
    <row r="594" customFormat="false" ht="15" hidden="false" customHeight="false" outlineLevel="0" collapsed="false">
      <c r="A594" s="23"/>
      <c r="B594" s="23"/>
      <c r="C594" s="23"/>
      <c r="D594" s="23"/>
      <c r="E594" s="28" t="str">
        <f aca="false">IF(OR($A594="",$C594="",$D594=""),"",$C594*$D594)</f>
        <v/>
      </c>
    </row>
    <row r="595" customFormat="false" ht="15" hidden="false" customHeight="false" outlineLevel="0" collapsed="false">
      <c r="A595" s="23"/>
      <c r="B595" s="23"/>
      <c r="C595" s="23"/>
      <c r="D595" s="23"/>
      <c r="E595" s="28" t="str">
        <f aca="false">IF(OR($A595="",$C595="",$D595=""),"",$C595*$D595)</f>
        <v/>
      </c>
    </row>
    <row r="596" customFormat="false" ht="15" hidden="false" customHeight="false" outlineLevel="0" collapsed="false">
      <c r="A596" s="23"/>
      <c r="B596" s="23"/>
      <c r="C596" s="23"/>
      <c r="D596" s="23"/>
      <c r="E596" s="28" t="str">
        <f aca="false">IF(OR($A596="",$C596="",$D596=""),"",$C596*$D596)</f>
        <v/>
      </c>
    </row>
    <row r="597" customFormat="false" ht="15" hidden="false" customHeight="false" outlineLevel="0" collapsed="false">
      <c r="A597" s="23"/>
      <c r="B597" s="23"/>
      <c r="C597" s="23"/>
      <c r="D597" s="23"/>
      <c r="E597" s="28" t="str">
        <f aca="false">IF(OR($A597="",$C597="",$D597=""),"",$C597*$D597)</f>
        <v/>
      </c>
    </row>
    <row r="598" customFormat="false" ht="15" hidden="false" customHeight="false" outlineLevel="0" collapsed="false">
      <c r="A598" s="23"/>
      <c r="B598" s="23"/>
      <c r="C598" s="23"/>
      <c r="D598" s="23"/>
      <c r="E598" s="28" t="str">
        <f aca="false">IF(OR($A598="",$C598="",$D598=""),"",$C598*$D598)</f>
        <v/>
      </c>
    </row>
    <row r="599" customFormat="false" ht="15" hidden="false" customHeight="false" outlineLevel="0" collapsed="false">
      <c r="A599" s="23"/>
      <c r="B599" s="23"/>
      <c r="C599" s="23"/>
      <c r="D599" s="23"/>
      <c r="E599" s="28" t="str">
        <f aca="false">IF(OR($A599="",$C599="",$D599=""),"",$C599*$D599)</f>
        <v/>
      </c>
    </row>
    <row r="600" customFormat="false" ht="15" hidden="false" customHeight="false" outlineLevel="0" collapsed="false">
      <c r="A600" s="23"/>
      <c r="B600" s="23"/>
      <c r="C600" s="23"/>
      <c r="D600" s="23"/>
      <c r="E600" s="28" t="str">
        <f aca="false">IF(OR($A600="",$C600="",$D600=""),"",$C600*$D600)</f>
        <v/>
      </c>
    </row>
    <row r="601" customFormat="false" ht="15" hidden="false" customHeight="false" outlineLevel="0" collapsed="false">
      <c r="A601" s="23"/>
      <c r="B601" s="23"/>
      <c r="C601" s="23"/>
      <c r="D601" s="23"/>
      <c r="E601" s="28" t="str">
        <f aca="false">IF(OR($A601="",$C601="",$D601=""),"",$C601*$D601)</f>
        <v/>
      </c>
    </row>
    <row r="602" customFormat="false" ht="15" hidden="false" customHeight="false" outlineLevel="0" collapsed="false">
      <c r="A602" s="23"/>
      <c r="B602" s="23"/>
      <c r="C602" s="23"/>
      <c r="D602" s="23"/>
      <c r="E602" s="28" t="str">
        <f aca="false">IF(OR($A602="",$C602="",$D602=""),"",$C602*$D602)</f>
        <v/>
      </c>
    </row>
    <row r="603" customFormat="false" ht="15" hidden="false" customHeight="false" outlineLevel="0" collapsed="false">
      <c r="A603" s="23"/>
      <c r="B603" s="23"/>
      <c r="C603" s="23"/>
      <c r="D603" s="23"/>
      <c r="E603" s="28" t="str">
        <f aca="false">IF(OR($A603="",$C603="",$D603=""),"",$C603*$D603)</f>
        <v/>
      </c>
    </row>
    <row r="604" customFormat="false" ht="15" hidden="false" customHeight="false" outlineLevel="0" collapsed="false">
      <c r="A604" s="23"/>
      <c r="B604" s="23"/>
      <c r="C604" s="23"/>
      <c r="D604" s="23"/>
      <c r="E604" s="28" t="str">
        <f aca="false">IF(OR($A604="",$C604="",$D604=""),"",$C604*$D604)</f>
        <v/>
      </c>
    </row>
    <row r="605" customFormat="false" ht="15" hidden="false" customHeight="false" outlineLevel="0" collapsed="false">
      <c r="A605" s="23"/>
      <c r="B605" s="23"/>
      <c r="C605" s="23"/>
      <c r="D605" s="23"/>
      <c r="E605" s="28" t="str">
        <f aca="false">IF(OR($A605="",$C605="",$D605=""),"",$C605*$D605)</f>
        <v/>
      </c>
    </row>
    <row r="606" customFormat="false" ht="15" hidden="false" customHeight="false" outlineLevel="0" collapsed="false">
      <c r="A606" s="23"/>
      <c r="B606" s="23"/>
      <c r="C606" s="23"/>
      <c r="D606" s="23"/>
      <c r="E606" s="28" t="str">
        <f aca="false">IF(OR($A606="",$C606="",$D606=""),"",$C606*$D606)</f>
        <v/>
      </c>
    </row>
    <row r="607" customFormat="false" ht="15" hidden="false" customHeight="false" outlineLevel="0" collapsed="false">
      <c r="A607" s="23"/>
      <c r="B607" s="23"/>
      <c r="C607" s="23"/>
      <c r="D607" s="23"/>
      <c r="E607" s="28" t="str">
        <f aca="false">IF(OR($A607="",$C607="",$D607=""),"",$C607*$D607)</f>
        <v/>
      </c>
    </row>
    <row r="608" customFormat="false" ht="15" hidden="false" customHeight="false" outlineLevel="0" collapsed="false">
      <c r="A608" s="23"/>
      <c r="B608" s="23"/>
      <c r="C608" s="23"/>
      <c r="D608" s="23"/>
      <c r="E608" s="28" t="str">
        <f aca="false">IF(OR($A608="",$C608="",$D608=""),"",$C608*$D608)</f>
        <v/>
      </c>
    </row>
    <row r="609" customFormat="false" ht="15" hidden="false" customHeight="false" outlineLevel="0" collapsed="false">
      <c r="A609" s="23"/>
      <c r="B609" s="23"/>
      <c r="C609" s="23"/>
      <c r="D609" s="23"/>
      <c r="E609" s="28" t="str">
        <f aca="false">IF(OR($A609="",$C609="",$D609=""),"",$C609*$D609)</f>
        <v/>
      </c>
    </row>
    <row r="610" customFormat="false" ht="15" hidden="false" customHeight="false" outlineLevel="0" collapsed="false">
      <c r="A610" s="23"/>
      <c r="B610" s="23"/>
      <c r="C610" s="23"/>
      <c r="D610" s="23"/>
      <c r="E610" s="28" t="str">
        <f aca="false">IF(OR($A610="",$C610="",$D610=""),"",$C610*$D610)</f>
        <v/>
      </c>
    </row>
    <row r="611" customFormat="false" ht="15" hidden="false" customHeight="false" outlineLevel="0" collapsed="false">
      <c r="A611" s="23"/>
      <c r="B611" s="23"/>
      <c r="C611" s="23"/>
      <c r="D611" s="23"/>
      <c r="E611" s="28" t="str">
        <f aca="false">IF(OR($A611="",$C611="",$D611=""),"",$C611*$D611)</f>
        <v/>
      </c>
    </row>
    <row r="612" customFormat="false" ht="15" hidden="false" customHeight="false" outlineLevel="0" collapsed="false">
      <c r="A612" s="23"/>
      <c r="B612" s="23"/>
      <c r="C612" s="23"/>
      <c r="D612" s="23"/>
      <c r="E612" s="28" t="str">
        <f aca="false">IF(OR($A612="",$C612="",$D612=""),"",$C612*$D612)</f>
        <v/>
      </c>
    </row>
    <row r="613" customFormat="false" ht="15" hidden="false" customHeight="false" outlineLevel="0" collapsed="false">
      <c r="A613" s="23"/>
      <c r="B613" s="23"/>
      <c r="C613" s="23"/>
      <c r="D613" s="23"/>
      <c r="E613" s="28" t="str">
        <f aca="false">IF(OR($A613="",$C613="",$D613=""),"",$C613*$D613)</f>
        <v/>
      </c>
    </row>
    <row r="614" customFormat="false" ht="15" hidden="false" customHeight="false" outlineLevel="0" collapsed="false">
      <c r="A614" s="23"/>
      <c r="B614" s="23"/>
      <c r="C614" s="23"/>
      <c r="D614" s="23"/>
      <c r="E614" s="28" t="str">
        <f aca="false">IF(OR($A614="",$C614="",$D614=""),"",$C614*$D614)</f>
        <v/>
      </c>
    </row>
    <row r="615" customFormat="false" ht="15" hidden="false" customHeight="false" outlineLevel="0" collapsed="false">
      <c r="A615" s="23"/>
      <c r="B615" s="23"/>
      <c r="C615" s="23"/>
      <c r="D615" s="23"/>
      <c r="E615" s="28" t="str">
        <f aca="false">IF(OR($A615="",$C615="",$D615=""),"",$C615*$D615)</f>
        <v/>
      </c>
    </row>
    <row r="616" customFormat="false" ht="15" hidden="false" customHeight="false" outlineLevel="0" collapsed="false">
      <c r="A616" s="23"/>
      <c r="B616" s="23"/>
      <c r="C616" s="23"/>
      <c r="D616" s="23"/>
      <c r="E616" s="28" t="str">
        <f aca="false">IF(OR($A616="",$C616="",$D616=""),"",$C616*$D616)</f>
        <v/>
      </c>
    </row>
    <row r="617" customFormat="false" ht="15" hidden="false" customHeight="false" outlineLevel="0" collapsed="false">
      <c r="A617" s="23"/>
      <c r="B617" s="23"/>
      <c r="C617" s="23"/>
      <c r="D617" s="23"/>
      <c r="E617" s="28" t="str">
        <f aca="false">IF(OR($A617="",$C617="",$D617=""),"",$C617*$D617)</f>
        <v/>
      </c>
    </row>
    <row r="618" customFormat="false" ht="15" hidden="false" customHeight="false" outlineLevel="0" collapsed="false">
      <c r="A618" s="23"/>
      <c r="B618" s="23"/>
      <c r="C618" s="23"/>
      <c r="D618" s="23"/>
      <c r="E618" s="28" t="str">
        <f aca="false">IF(OR($A618="",$C618="",$D618=""),"",$C618*$D618)</f>
        <v/>
      </c>
    </row>
    <row r="619" customFormat="false" ht="15" hidden="false" customHeight="false" outlineLevel="0" collapsed="false">
      <c r="A619" s="23"/>
      <c r="B619" s="23"/>
      <c r="C619" s="23"/>
      <c r="D619" s="23"/>
      <c r="E619" s="28" t="str">
        <f aca="false">IF(OR($A619="",$C619="",$D619=""),"",$C619*$D619)</f>
        <v/>
      </c>
    </row>
    <row r="620" customFormat="false" ht="15" hidden="false" customHeight="false" outlineLevel="0" collapsed="false">
      <c r="A620" s="23"/>
      <c r="B620" s="23"/>
      <c r="C620" s="23"/>
      <c r="D620" s="23"/>
      <c r="E620" s="28" t="str">
        <f aca="false">IF(OR($A620="",$C620="",$D620=""),"",$C620*$D620)</f>
        <v/>
      </c>
    </row>
    <row r="621" customFormat="false" ht="15" hidden="false" customHeight="false" outlineLevel="0" collapsed="false">
      <c r="A621" s="23"/>
      <c r="B621" s="23"/>
      <c r="C621" s="23"/>
      <c r="D621" s="23"/>
      <c r="E621" s="28" t="str">
        <f aca="false">IF(OR($A621="",$C621="",$D621=""),"",$C621*$D621)</f>
        <v/>
      </c>
    </row>
    <row r="622" customFormat="false" ht="15" hidden="false" customHeight="false" outlineLevel="0" collapsed="false">
      <c r="A622" s="23"/>
      <c r="B622" s="23"/>
      <c r="C622" s="23"/>
      <c r="D622" s="23"/>
      <c r="E622" s="28" t="str">
        <f aca="false">IF(OR($A622="",$C622="",$D622=""),"",$C622*$D622)</f>
        <v/>
      </c>
    </row>
    <row r="623" customFormat="false" ht="15" hidden="false" customHeight="false" outlineLevel="0" collapsed="false">
      <c r="A623" s="23"/>
      <c r="B623" s="23"/>
      <c r="C623" s="23"/>
      <c r="D623" s="23"/>
      <c r="E623" s="28" t="str">
        <f aca="false">IF(OR($A623="",$C623="",$D623=""),"",$C623*$D623)</f>
        <v/>
      </c>
    </row>
    <row r="624" customFormat="false" ht="15" hidden="false" customHeight="false" outlineLevel="0" collapsed="false">
      <c r="A624" s="23"/>
      <c r="B624" s="23"/>
      <c r="C624" s="23"/>
      <c r="D624" s="23"/>
      <c r="E624" s="28" t="str">
        <f aca="false">IF(OR($A624="",$C624="",$D624=""),"",$C624*$D624)</f>
        <v/>
      </c>
    </row>
    <row r="625" customFormat="false" ht="15" hidden="false" customHeight="false" outlineLevel="0" collapsed="false">
      <c r="A625" s="23"/>
      <c r="B625" s="23"/>
      <c r="C625" s="23"/>
      <c r="D625" s="23"/>
      <c r="E625" s="28" t="str">
        <f aca="false">IF(OR($A625="",$C625="",$D625=""),"",$C625*$D625)</f>
        <v/>
      </c>
    </row>
    <row r="626" customFormat="false" ht="15" hidden="false" customHeight="false" outlineLevel="0" collapsed="false">
      <c r="A626" s="23"/>
      <c r="B626" s="23"/>
      <c r="C626" s="23"/>
      <c r="D626" s="23"/>
      <c r="E626" s="28" t="str">
        <f aca="false">IF(OR($A626="",$C626="",$D626=""),"",$C626*$D626)</f>
        <v/>
      </c>
    </row>
    <row r="627" customFormat="false" ht="15" hidden="false" customHeight="false" outlineLevel="0" collapsed="false">
      <c r="A627" s="23"/>
      <c r="B627" s="23"/>
      <c r="C627" s="23"/>
      <c r="D627" s="23"/>
      <c r="E627" s="28" t="str">
        <f aca="false">IF(OR($A627="",$C627="",$D627=""),"",$C627*$D627)</f>
        <v/>
      </c>
    </row>
    <row r="628" customFormat="false" ht="15" hidden="false" customHeight="false" outlineLevel="0" collapsed="false">
      <c r="A628" s="23"/>
      <c r="B628" s="23"/>
      <c r="C628" s="23"/>
      <c r="D628" s="23"/>
      <c r="E628" s="28" t="str">
        <f aca="false">IF(OR($A628="",$C628="",$D628=""),"",$C628*$D628)</f>
        <v/>
      </c>
    </row>
    <row r="629" customFormat="false" ht="15" hidden="false" customHeight="false" outlineLevel="0" collapsed="false">
      <c r="A629" s="23"/>
      <c r="B629" s="23"/>
      <c r="C629" s="23"/>
      <c r="D629" s="23"/>
      <c r="E629" s="28" t="str">
        <f aca="false">IF(OR($A629="",$C629="",$D629=""),"",$C629*$D629)</f>
        <v/>
      </c>
    </row>
    <row r="630" customFormat="false" ht="15" hidden="false" customHeight="false" outlineLevel="0" collapsed="false">
      <c r="A630" s="23"/>
      <c r="B630" s="23"/>
      <c r="C630" s="23"/>
      <c r="D630" s="23"/>
      <c r="E630" s="28" t="str">
        <f aca="false">IF(OR($A630="",$C630="",$D630=""),"",$C630*$D630)</f>
        <v/>
      </c>
    </row>
    <row r="631" customFormat="false" ht="15" hidden="false" customHeight="false" outlineLevel="0" collapsed="false">
      <c r="A631" s="23"/>
      <c r="B631" s="23"/>
      <c r="C631" s="23"/>
      <c r="D631" s="23"/>
      <c r="E631" s="28" t="str">
        <f aca="false">IF(OR($A631="",$C631="",$D631=""),"",$C631*$D631)</f>
        <v/>
      </c>
    </row>
    <row r="632" customFormat="false" ht="15" hidden="false" customHeight="false" outlineLevel="0" collapsed="false">
      <c r="A632" s="23"/>
      <c r="B632" s="23"/>
      <c r="C632" s="23"/>
      <c r="D632" s="23"/>
      <c r="E632" s="28" t="str">
        <f aca="false">IF(OR($A632="",$C632="",$D632=""),"",$C632*$D632)</f>
        <v/>
      </c>
    </row>
    <row r="633" customFormat="false" ht="15" hidden="false" customHeight="false" outlineLevel="0" collapsed="false">
      <c r="A633" s="23"/>
      <c r="B633" s="23"/>
      <c r="C633" s="23"/>
      <c r="D633" s="23"/>
      <c r="E633" s="28" t="str">
        <f aca="false">IF(OR($A633="",$C633="",$D633=""),"",$C633*$D633)</f>
        <v/>
      </c>
    </row>
    <row r="634" customFormat="false" ht="15" hidden="false" customHeight="false" outlineLevel="0" collapsed="false">
      <c r="A634" s="23"/>
      <c r="B634" s="23"/>
      <c r="C634" s="23"/>
      <c r="D634" s="23"/>
      <c r="E634" s="28" t="str">
        <f aca="false">IF(OR($A634="",$C634="",$D634=""),"",$C634*$D634)</f>
        <v/>
      </c>
    </row>
    <row r="635" customFormat="false" ht="15" hidden="false" customHeight="false" outlineLevel="0" collapsed="false">
      <c r="A635" s="23"/>
      <c r="B635" s="23"/>
      <c r="C635" s="23"/>
      <c r="D635" s="23"/>
      <c r="E635" s="28" t="str">
        <f aca="false">IF(OR($A635="",$C635="",$D635=""),"",$C635*$D635)</f>
        <v/>
      </c>
    </row>
    <row r="636" customFormat="false" ht="15" hidden="false" customHeight="false" outlineLevel="0" collapsed="false">
      <c r="A636" s="23"/>
      <c r="B636" s="23"/>
      <c r="C636" s="23"/>
      <c r="D636" s="23"/>
      <c r="E636" s="28" t="str">
        <f aca="false">IF(OR($A636="",$C636="",$D636=""),"",$C636*$D636)</f>
        <v/>
      </c>
    </row>
    <row r="637" customFormat="false" ht="15" hidden="false" customHeight="false" outlineLevel="0" collapsed="false">
      <c r="A637" s="23"/>
      <c r="B637" s="23"/>
      <c r="C637" s="23"/>
      <c r="D637" s="23"/>
      <c r="E637" s="28" t="str">
        <f aca="false">IF(OR($A637="",$C637="",$D637=""),"",$C637*$D637)</f>
        <v/>
      </c>
    </row>
    <row r="638" customFormat="false" ht="15" hidden="false" customHeight="false" outlineLevel="0" collapsed="false">
      <c r="A638" s="23"/>
      <c r="B638" s="23"/>
      <c r="C638" s="23"/>
      <c r="D638" s="23"/>
      <c r="E638" s="28" t="str">
        <f aca="false">IF(OR($A638="",$C638="",$D638=""),"",$C638*$D638)</f>
        <v/>
      </c>
    </row>
    <row r="639" customFormat="false" ht="15" hidden="false" customHeight="false" outlineLevel="0" collapsed="false">
      <c r="A639" s="23"/>
      <c r="B639" s="23"/>
      <c r="C639" s="23"/>
      <c r="D639" s="23"/>
      <c r="E639" s="28" t="str">
        <f aca="false">IF(OR($A639="",$C639="",$D639=""),"",$C639*$D639)</f>
        <v/>
      </c>
    </row>
    <row r="640" customFormat="false" ht="15" hidden="false" customHeight="false" outlineLevel="0" collapsed="false">
      <c r="A640" s="23"/>
      <c r="B640" s="23"/>
      <c r="C640" s="23"/>
      <c r="D640" s="23"/>
      <c r="E640" s="28" t="str">
        <f aca="false">IF(OR($A640="",$C640="",$D640=""),"",$C640*$D640)</f>
        <v/>
      </c>
    </row>
    <row r="641" customFormat="false" ht="15" hidden="false" customHeight="false" outlineLevel="0" collapsed="false">
      <c r="A641" s="23"/>
      <c r="B641" s="23"/>
      <c r="C641" s="23"/>
      <c r="D641" s="23"/>
      <c r="E641" s="28" t="str">
        <f aca="false">IF(OR($A641="",$C641="",$D641=""),"",$C641*$D641)</f>
        <v/>
      </c>
    </row>
    <row r="642" customFormat="false" ht="15" hidden="false" customHeight="false" outlineLevel="0" collapsed="false">
      <c r="A642" s="23"/>
      <c r="B642" s="23"/>
      <c r="C642" s="23"/>
      <c r="D642" s="23"/>
      <c r="E642" s="28" t="str">
        <f aca="false">IF(OR($A642="",$C642="",$D642=""),"",$C642*$D642)</f>
        <v/>
      </c>
    </row>
    <row r="643" customFormat="false" ht="15" hidden="false" customHeight="false" outlineLevel="0" collapsed="false">
      <c r="A643" s="23"/>
      <c r="B643" s="23"/>
      <c r="C643" s="23"/>
      <c r="D643" s="23"/>
      <c r="E643" s="28" t="str">
        <f aca="false">IF(OR($A643="",$C643="",$D643=""),"",$C643*$D643)</f>
        <v/>
      </c>
    </row>
    <row r="644" customFormat="false" ht="15" hidden="false" customHeight="false" outlineLevel="0" collapsed="false">
      <c r="A644" s="23"/>
      <c r="B644" s="23"/>
      <c r="C644" s="23"/>
      <c r="D644" s="23"/>
      <c r="E644" s="28" t="str">
        <f aca="false">IF(OR($A644="",$C644="",$D644=""),"",$C644*$D644)</f>
        <v/>
      </c>
    </row>
    <row r="645" customFormat="false" ht="15" hidden="false" customHeight="false" outlineLevel="0" collapsed="false">
      <c r="A645" s="23"/>
      <c r="B645" s="23"/>
      <c r="C645" s="23"/>
      <c r="D645" s="23"/>
      <c r="E645" s="28" t="str">
        <f aca="false">IF(OR($A645="",$C645="",$D645=""),"",$C645*$D645)</f>
        <v/>
      </c>
    </row>
    <row r="646" customFormat="false" ht="15" hidden="false" customHeight="false" outlineLevel="0" collapsed="false">
      <c r="A646" s="23"/>
      <c r="B646" s="23"/>
      <c r="C646" s="23"/>
      <c r="D646" s="23"/>
      <c r="E646" s="28" t="str">
        <f aca="false">IF(OR($A646="",$C646="",$D646=""),"",$C646*$D646)</f>
        <v/>
      </c>
    </row>
    <row r="647" customFormat="false" ht="15" hidden="false" customHeight="false" outlineLevel="0" collapsed="false">
      <c r="A647" s="23"/>
      <c r="B647" s="23"/>
      <c r="C647" s="23"/>
      <c r="D647" s="23"/>
      <c r="E647" s="28" t="str">
        <f aca="false">IF(OR($A647="",$C647="",$D647=""),"",$C647*$D647)</f>
        <v/>
      </c>
    </row>
    <row r="648" customFormat="false" ht="15" hidden="false" customHeight="false" outlineLevel="0" collapsed="false">
      <c r="A648" s="23"/>
      <c r="B648" s="23"/>
      <c r="C648" s="23"/>
      <c r="D648" s="23"/>
      <c r="E648" s="28" t="str">
        <f aca="false">IF(OR($A648="",$C648="",$D648=""),"",$C648*$D648)</f>
        <v/>
      </c>
    </row>
    <row r="649" customFormat="false" ht="15" hidden="false" customHeight="false" outlineLevel="0" collapsed="false">
      <c r="A649" s="23"/>
      <c r="B649" s="23"/>
      <c r="C649" s="23"/>
      <c r="D649" s="23"/>
      <c r="E649" s="28" t="str">
        <f aca="false">IF(OR($A649="",$C649="",$D649=""),"",$C649*$D649)</f>
        <v/>
      </c>
    </row>
    <row r="650" customFormat="false" ht="15" hidden="false" customHeight="false" outlineLevel="0" collapsed="false">
      <c r="A650" s="23"/>
      <c r="B650" s="23"/>
      <c r="C650" s="23"/>
      <c r="D650" s="23"/>
      <c r="E650" s="28" t="str">
        <f aca="false">IF(OR($A650="",$C650="",$D650=""),"",$C650*$D650)</f>
        <v/>
      </c>
    </row>
    <row r="651" customFormat="false" ht="15" hidden="false" customHeight="false" outlineLevel="0" collapsed="false">
      <c r="A651" s="23"/>
      <c r="B651" s="23"/>
      <c r="C651" s="23"/>
      <c r="D651" s="23"/>
      <c r="E651" s="28" t="str">
        <f aca="false">IF(OR($A651="",$C651="",$D651=""),"",$C651*$D651)</f>
        <v/>
      </c>
    </row>
    <row r="652" customFormat="false" ht="15" hidden="false" customHeight="false" outlineLevel="0" collapsed="false">
      <c r="A652" s="23"/>
      <c r="B652" s="23"/>
      <c r="C652" s="23"/>
      <c r="D652" s="23"/>
      <c r="E652" s="28" t="str">
        <f aca="false">IF(OR($A652="",$C652="",$D652=""),"",$C652*$D652)</f>
        <v/>
      </c>
    </row>
    <row r="653" customFormat="false" ht="15" hidden="false" customHeight="false" outlineLevel="0" collapsed="false">
      <c r="A653" s="23"/>
      <c r="B653" s="23"/>
      <c r="C653" s="23"/>
      <c r="D653" s="23"/>
      <c r="E653" s="28" t="str">
        <f aca="false">IF(OR($A653="",$C653="",$D653=""),"",$C653*$D653)</f>
        <v/>
      </c>
    </row>
    <row r="654" customFormat="false" ht="15" hidden="false" customHeight="false" outlineLevel="0" collapsed="false">
      <c r="A654" s="23"/>
      <c r="B654" s="23"/>
      <c r="C654" s="23"/>
      <c r="D654" s="23"/>
      <c r="E654" s="28" t="str">
        <f aca="false">IF(OR($A654="",$C654="",$D654=""),"",$C654*$D654)</f>
        <v/>
      </c>
    </row>
    <row r="655" customFormat="false" ht="15" hidden="false" customHeight="false" outlineLevel="0" collapsed="false">
      <c r="A655" s="23"/>
      <c r="B655" s="23"/>
      <c r="C655" s="23"/>
      <c r="D655" s="23"/>
      <c r="E655" s="28" t="str">
        <f aca="false">IF(OR($A655="",$C655="",$D655=""),"",$C655*$D655)</f>
        <v/>
      </c>
    </row>
    <row r="656" customFormat="false" ht="15" hidden="false" customHeight="false" outlineLevel="0" collapsed="false">
      <c r="A656" s="23"/>
      <c r="B656" s="23"/>
      <c r="C656" s="23"/>
      <c r="D656" s="23"/>
      <c r="E656" s="28" t="str">
        <f aca="false">IF(OR($A656="",$C656="",$D656=""),"",$C656*$D656)</f>
        <v/>
      </c>
    </row>
    <row r="657" customFormat="false" ht="15" hidden="false" customHeight="false" outlineLevel="0" collapsed="false">
      <c r="A657" s="23"/>
      <c r="B657" s="23"/>
      <c r="C657" s="23"/>
      <c r="D657" s="23"/>
      <c r="E657" s="28" t="str">
        <f aca="false">IF(OR($A657="",$C657="",$D657=""),"",$C657*$D657)</f>
        <v/>
      </c>
    </row>
    <row r="658" customFormat="false" ht="15" hidden="false" customHeight="false" outlineLevel="0" collapsed="false">
      <c r="A658" s="23"/>
      <c r="B658" s="23"/>
      <c r="C658" s="23"/>
      <c r="D658" s="23"/>
      <c r="E658" s="28" t="str">
        <f aca="false">IF(OR($A658="",$C658="",$D658=""),"",$C658*$D658)</f>
        <v/>
      </c>
    </row>
    <row r="659" customFormat="false" ht="15" hidden="false" customHeight="false" outlineLevel="0" collapsed="false">
      <c r="A659" s="23"/>
      <c r="B659" s="23"/>
      <c r="C659" s="23"/>
      <c r="D659" s="23"/>
      <c r="E659" s="28" t="str">
        <f aca="false">IF(OR($A659="",$C659="",$D659=""),"",$C659*$D659)</f>
        <v/>
      </c>
    </row>
    <row r="660" customFormat="false" ht="15" hidden="false" customHeight="false" outlineLevel="0" collapsed="false">
      <c r="A660" s="23"/>
      <c r="B660" s="23"/>
      <c r="C660" s="23"/>
      <c r="D660" s="23"/>
      <c r="E660" s="28" t="str">
        <f aca="false">IF(OR($A660="",$C660="",$D660=""),"",$C660*$D660)</f>
        <v/>
      </c>
    </row>
    <row r="661" customFormat="false" ht="15" hidden="false" customHeight="false" outlineLevel="0" collapsed="false">
      <c r="A661" s="23"/>
      <c r="B661" s="23"/>
      <c r="C661" s="23"/>
      <c r="D661" s="23"/>
      <c r="E661" s="28" t="str">
        <f aca="false">IF(OR($A661="",$C661="",$D661=""),"",$C661*$D661)</f>
        <v/>
      </c>
    </row>
    <row r="662" customFormat="false" ht="15" hidden="false" customHeight="false" outlineLevel="0" collapsed="false">
      <c r="A662" s="23"/>
      <c r="B662" s="23"/>
      <c r="C662" s="23"/>
      <c r="D662" s="23"/>
      <c r="E662" s="28" t="str">
        <f aca="false">IF(OR($A662="",$C662="",$D662=""),"",$C662*$D662)</f>
        <v/>
      </c>
    </row>
    <row r="663" customFormat="false" ht="15" hidden="false" customHeight="false" outlineLevel="0" collapsed="false">
      <c r="A663" s="23"/>
      <c r="B663" s="23"/>
      <c r="C663" s="23"/>
      <c r="D663" s="23"/>
      <c r="E663" s="28" t="str">
        <f aca="false">IF(OR($A663="",$C663="",$D663=""),"",$C663*$D663)</f>
        <v/>
      </c>
    </row>
    <row r="664" customFormat="false" ht="15" hidden="false" customHeight="false" outlineLevel="0" collapsed="false">
      <c r="A664" s="23"/>
      <c r="B664" s="23"/>
      <c r="C664" s="23"/>
      <c r="D664" s="23"/>
      <c r="E664" s="28" t="str">
        <f aca="false">IF(OR($A664="",$C664="",$D664=""),"",$C664*$D664)</f>
        <v/>
      </c>
    </row>
    <row r="665" customFormat="false" ht="15" hidden="false" customHeight="false" outlineLevel="0" collapsed="false">
      <c r="A665" s="23"/>
      <c r="B665" s="23"/>
      <c r="C665" s="23"/>
      <c r="D665" s="23"/>
      <c r="E665" s="28" t="str">
        <f aca="false">IF(OR($A665="",$C665="",$D665=""),"",$C665*$D665)</f>
        <v/>
      </c>
    </row>
    <row r="666" customFormat="false" ht="15" hidden="false" customHeight="false" outlineLevel="0" collapsed="false">
      <c r="A666" s="23"/>
      <c r="B666" s="23"/>
      <c r="C666" s="23"/>
      <c r="D666" s="23"/>
      <c r="E666" s="28" t="str">
        <f aca="false">IF(OR($A666="",$C666="",$D666=""),"",$C666*$D666)</f>
        <v/>
      </c>
    </row>
    <row r="667" customFormat="false" ht="15" hidden="false" customHeight="false" outlineLevel="0" collapsed="false">
      <c r="A667" s="23"/>
      <c r="B667" s="23"/>
      <c r="C667" s="23"/>
      <c r="D667" s="23"/>
      <c r="E667" s="28" t="str">
        <f aca="false">IF(OR($A667="",$C667="",$D667=""),"",$C667*$D667)</f>
        <v/>
      </c>
    </row>
    <row r="668" customFormat="false" ht="15" hidden="false" customHeight="false" outlineLevel="0" collapsed="false">
      <c r="A668" s="23"/>
      <c r="B668" s="23"/>
      <c r="C668" s="23"/>
      <c r="D668" s="23"/>
      <c r="E668" s="28" t="str">
        <f aca="false">IF(OR($A668="",$C668="",$D668=""),"",$C668*$D668)</f>
        <v/>
      </c>
    </row>
    <row r="669" customFormat="false" ht="15" hidden="false" customHeight="false" outlineLevel="0" collapsed="false">
      <c r="A669" s="23"/>
      <c r="B669" s="23"/>
      <c r="C669" s="23"/>
      <c r="D669" s="23"/>
      <c r="E669" s="28" t="str">
        <f aca="false">IF(OR($A669="",$C669="",$D669=""),"",$C669*$D669)</f>
        <v/>
      </c>
    </row>
    <row r="670" customFormat="false" ht="15" hidden="false" customHeight="false" outlineLevel="0" collapsed="false">
      <c r="A670" s="23"/>
      <c r="B670" s="23"/>
      <c r="C670" s="23"/>
      <c r="D670" s="23"/>
      <c r="E670" s="28" t="str">
        <f aca="false">IF(OR($A670="",$C670="",$D670=""),"",$C670*$D670)</f>
        <v/>
      </c>
    </row>
    <row r="671" customFormat="false" ht="15" hidden="false" customHeight="false" outlineLevel="0" collapsed="false">
      <c r="A671" s="23"/>
      <c r="B671" s="23"/>
      <c r="C671" s="23"/>
      <c r="D671" s="23"/>
      <c r="E671" s="28" t="str">
        <f aca="false">IF(OR($A671="",$C671="",$D671=""),"",$C671*$D671)</f>
        <v/>
      </c>
    </row>
    <row r="672" customFormat="false" ht="15" hidden="false" customHeight="false" outlineLevel="0" collapsed="false">
      <c r="A672" s="23"/>
      <c r="B672" s="23"/>
      <c r="C672" s="23"/>
      <c r="D672" s="23"/>
      <c r="E672" s="28" t="str">
        <f aca="false">IF(OR($A672="",$C672="",$D672=""),"",$C672*$D672)</f>
        <v/>
      </c>
    </row>
    <row r="673" customFormat="false" ht="15" hidden="false" customHeight="false" outlineLevel="0" collapsed="false">
      <c r="A673" s="23"/>
      <c r="B673" s="23"/>
      <c r="C673" s="23"/>
      <c r="D673" s="23"/>
      <c r="E673" s="28" t="str">
        <f aca="false">IF(OR($A673="",$C673="",$D673=""),"",$C673*$D673)</f>
        <v/>
      </c>
    </row>
    <row r="674" customFormat="false" ht="15" hidden="false" customHeight="false" outlineLevel="0" collapsed="false">
      <c r="A674" s="23"/>
      <c r="B674" s="23"/>
      <c r="C674" s="23"/>
      <c r="D674" s="23"/>
      <c r="E674" s="28" t="str">
        <f aca="false">IF(OR($A674="",$C674="",$D674=""),"",$C674*$D674)</f>
        <v/>
      </c>
    </row>
    <row r="675" customFormat="false" ht="15" hidden="false" customHeight="false" outlineLevel="0" collapsed="false">
      <c r="A675" s="23"/>
      <c r="B675" s="23"/>
      <c r="C675" s="23"/>
      <c r="D675" s="23"/>
      <c r="E675" s="28" t="str">
        <f aca="false">IF(OR($A675="",$C675="",$D675=""),"",$C675*$D675)</f>
        <v/>
      </c>
    </row>
    <row r="676" customFormat="false" ht="15" hidden="false" customHeight="false" outlineLevel="0" collapsed="false">
      <c r="A676" s="23"/>
      <c r="B676" s="23"/>
      <c r="C676" s="23"/>
      <c r="D676" s="23"/>
      <c r="E676" s="28" t="str">
        <f aca="false">IF(OR($A676="",$C676="",$D676=""),"",$C676*$D676)</f>
        <v/>
      </c>
    </row>
    <row r="677" customFormat="false" ht="15" hidden="false" customHeight="false" outlineLevel="0" collapsed="false">
      <c r="A677" s="23"/>
      <c r="B677" s="23"/>
      <c r="C677" s="23"/>
      <c r="D677" s="23"/>
      <c r="E677" s="28" t="str">
        <f aca="false">IF(OR($A677="",$C677="",$D677=""),"",$C677*$D677)</f>
        <v/>
      </c>
    </row>
    <row r="678" customFormat="false" ht="15" hidden="false" customHeight="false" outlineLevel="0" collapsed="false">
      <c r="A678" s="23"/>
      <c r="B678" s="23"/>
      <c r="C678" s="23"/>
      <c r="D678" s="23"/>
      <c r="E678" s="28" t="str">
        <f aca="false">IF(OR($A678="",$C678="",$D678=""),"",$C678*$D678)</f>
        <v/>
      </c>
    </row>
    <row r="679" customFormat="false" ht="15" hidden="false" customHeight="false" outlineLevel="0" collapsed="false">
      <c r="A679" s="23"/>
      <c r="B679" s="23"/>
      <c r="C679" s="23"/>
      <c r="D679" s="23"/>
      <c r="E679" s="28" t="str">
        <f aca="false">IF(OR($A679="",$C679="",$D679=""),"",$C679*$D679)</f>
        <v/>
      </c>
    </row>
    <row r="680" customFormat="false" ht="15" hidden="false" customHeight="false" outlineLevel="0" collapsed="false">
      <c r="A680" s="23"/>
      <c r="B680" s="23"/>
      <c r="C680" s="23"/>
      <c r="D680" s="23"/>
      <c r="E680" s="28" t="str">
        <f aca="false">IF(OR($A680="",$C680="",$D680=""),"",$C680*$D680)</f>
        <v/>
      </c>
    </row>
    <row r="681" customFormat="false" ht="15" hidden="false" customHeight="false" outlineLevel="0" collapsed="false">
      <c r="A681" s="23"/>
      <c r="B681" s="23"/>
      <c r="C681" s="23"/>
      <c r="D681" s="23"/>
      <c r="E681" s="28" t="str">
        <f aca="false">IF(OR($A681="",$C681="",$D681=""),"",$C681*$D681)</f>
        <v/>
      </c>
    </row>
    <row r="682" customFormat="false" ht="15" hidden="false" customHeight="false" outlineLevel="0" collapsed="false">
      <c r="A682" s="23"/>
      <c r="B682" s="23"/>
      <c r="C682" s="23"/>
      <c r="D682" s="23"/>
      <c r="E682" s="28" t="str">
        <f aca="false">IF(OR($A682="",$C682="",$D682=""),"",$C682*$D682)</f>
        <v/>
      </c>
    </row>
    <row r="683" customFormat="false" ht="15" hidden="false" customHeight="false" outlineLevel="0" collapsed="false">
      <c r="A683" s="23"/>
      <c r="B683" s="23"/>
      <c r="C683" s="23"/>
      <c r="D683" s="23"/>
      <c r="E683" s="28" t="str">
        <f aca="false">IF(OR($A683="",$C683="",$D683=""),"",$C683*$D683)</f>
        <v/>
      </c>
    </row>
    <row r="684" customFormat="false" ht="15" hidden="false" customHeight="false" outlineLevel="0" collapsed="false">
      <c r="A684" s="23"/>
      <c r="B684" s="23"/>
      <c r="C684" s="23"/>
      <c r="D684" s="23"/>
      <c r="E684" s="28" t="str">
        <f aca="false">IF(OR($A684="",$C684="",$D684=""),"",$C684*$D684)</f>
        <v/>
      </c>
    </row>
    <row r="685" customFormat="false" ht="15" hidden="false" customHeight="false" outlineLevel="0" collapsed="false">
      <c r="A685" s="23"/>
      <c r="B685" s="23"/>
      <c r="C685" s="23"/>
      <c r="D685" s="23"/>
      <c r="E685" s="28" t="str">
        <f aca="false">IF(OR($A685="",$C685="",$D685=""),"",$C685*$D685)</f>
        <v/>
      </c>
    </row>
    <row r="686" customFormat="false" ht="15" hidden="false" customHeight="false" outlineLevel="0" collapsed="false">
      <c r="A686" s="23"/>
      <c r="B686" s="23"/>
      <c r="C686" s="23"/>
      <c r="D686" s="23"/>
      <c r="E686" s="28" t="str">
        <f aca="false">IF(OR($A686="",$C686="",$D686=""),"",$C686*$D686)</f>
        <v/>
      </c>
    </row>
    <row r="687" customFormat="false" ht="15" hidden="false" customHeight="false" outlineLevel="0" collapsed="false">
      <c r="A687" s="23"/>
      <c r="B687" s="23"/>
      <c r="C687" s="23"/>
      <c r="D687" s="23"/>
      <c r="E687" s="28" t="str">
        <f aca="false">IF(OR($A687="",$C687="",$D687=""),"",$C687*$D687)</f>
        <v/>
      </c>
    </row>
    <row r="688" customFormat="false" ht="15" hidden="false" customHeight="false" outlineLevel="0" collapsed="false">
      <c r="A688" s="23"/>
      <c r="B688" s="23"/>
      <c r="C688" s="23"/>
      <c r="D688" s="23"/>
      <c r="E688" s="28" t="str">
        <f aca="false">IF(OR($A688="",$C688="",$D688=""),"",$C688*$D688)</f>
        <v/>
      </c>
    </row>
    <row r="689" customFormat="false" ht="15" hidden="false" customHeight="false" outlineLevel="0" collapsed="false">
      <c r="A689" s="23"/>
      <c r="B689" s="23"/>
      <c r="C689" s="23"/>
      <c r="D689" s="23"/>
      <c r="E689" s="28" t="str">
        <f aca="false">IF(OR($A689="",$C689="",$D689=""),"",$C689*$D689)</f>
        <v/>
      </c>
    </row>
    <row r="690" customFormat="false" ht="15" hidden="false" customHeight="false" outlineLevel="0" collapsed="false">
      <c r="A690" s="23"/>
      <c r="B690" s="23"/>
      <c r="C690" s="23"/>
      <c r="D690" s="23"/>
      <c r="E690" s="28" t="str">
        <f aca="false">IF(OR($A690="",$C690="",$D690=""),"",$C690*$D690)</f>
        <v/>
      </c>
    </row>
    <row r="691" customFormat="false" ht="15" hidden="false" customHeight="false" outlineLevel="0" collapsed="false">
      <c r="A691" s="23"/>
      <c r="B691" s="23"/>
      <c r="C691" s="23"/>
      <c r="D691" s="23"/>
      <c r="E691" s="28" t="str">
        <f aca="false">IF(OR($A691="",$C691="",$D691=""),"",$C691*$D691)</f>
        <v/>
      </c>
    </row>
    <row r="692" customFormat="false" ht="15" hidden="false" customHeight="false" outlineLevel="0" collapsed="false">
      <c r="A692" s="23"/>
      <c r="B692" s="23"/>
      <c r="C692" s="23"/>
      <c r="D692" s="23"/>
      <c r="E692" s="28" t="str">
        <f aca="false">IF(OR($A692="",$C692="",$D692=""),"",$C692*$D692)</f>
        <v/>
      </c>
    </row>
    <row r="693" customFormat="false" ht="15" hidden="false" customHeight="false" outlineLevel="0" collapsed="false">
      <c r="A693" s="23"/>
      <c r="B693" s="23"/>
      <c r="C693" s="23"/>
      <c r="D693" s="23"/>
      <c r="E693" s="28" t="str">
        <f aca="false">IF(OR($A693="",$C693="",$D693=""),"",$C693*$D693)</f>
        <v/>
      </c>
    </row>
    <row r="694" customFormat="false" ht="15" hidden="false" customHeight="false" outlineLevel="0" collapsed="false">
      <c r="A694" s="23"/>
      <c r="B694" s="23"/>
      <c r="C694" s="23"/>
      <c r="D694" s="23"/>
      <c r="E694" s="28" t="str">
        <f aca="false">IF(OR($A694="",$C694="",$D694=""),"",$C694*$D694)</f>
        <v/>
      </c>
    </row>
    <row r="695" customFormat="false" ht="15" hidden="false" customHeight="false" outlineLevel="0" collapsed="false">
      <c r="A695" s="23"/>
      <c r="B695" s="23"/>
      <c r="C695" s="23"/>
      <c r="D695" s="23"/>
      <c r="E695" s="28" t="str">
        <f aca="false">IF(OR($A695="",$C695="",$D695=""),"",$C695*$D695)</f>
        <v/>
      </c>
    </row>
    <row r="696" customFormat="false" ht="15" hidden="false" customHeight="false" outlineLevel="0" collapsed="false">
      <c r="A696" s="23"/>
      <c r="B696" s="23"/>
      <c r="C696" s="23"/>
      <c r="D696" s="23"/>
      <c r="E696" s="28" t="str">
        <f aca="false">IF(OR($A696="",$C696="",$D696=""),"",$C696*$D696)</f>
        <v/>
      </c>
    </row>
    <row r="697" customFormat="false" ht="15" hidden="false" customHeight="false" outlineLevel="0" collapsed="false">
      <c r="A697" s="23"/>
      <c r="B697" s="23"/>
      <c r="C697" s="23"/>
      <c r="D697" s="23"/>
      <c r="E697" s="28" t="str">
        <f aca="false">IF(OR($A697="",$C697="",$D697=""),"",$C697*$D697)</f>
        <v/>
      </c>
    </row>
    <row r="698" customFormat="false" ht="15" hidden="false" customHeight="false" outlineLevel="0" collapsed="false">
      <c r="A698" s="23"/>
      <c r="B698" s="23"/>
      <c r="C698" s="23"/>
      <c r="D698" s="23"/>
      <c r="E698" s="28" t="str">
        <f aca="false">IF(OR($A698="",$C698="",$D698=""),"",$C698*$D698)</f>
        <v/>
      </c>
    </row>
    <row r="699" customFormat="false" ht="15" hidden="false" customHeight="false" outlineLevel="0" collapsed="false">
      <c r="A699" s="23"/>
      <c r="B699" s="23"/>
      <c r="C699" s="23"/>
      <c r="D699" s="23"/>
      <c r="E699" s="28" t="str">
        <f aca="false">IF(OR($A699="",$C699="",$D699=""),"",$C699*$D699)</f>
        <v/>
      </c>
    </row>
    <row r="700" customFormat="false" ht="15" hidden="false" customHeight="false" outlineLevel="0" collapsed="false">
      <c r="A700" s="23"/>
      <c r="B700" s="23"/>
      <c r="C700" s="23"/>
      <c r="D700" s="23"/>
      <c r="E700" s="28" t="str">
        <f aca="false">IF(OR($A700="",$C700="",$D700=""),"",$C700*$D700)</f>
        <v/>
      </c>
    </row>
    <row r="701" customFormat="false" ht="15" hidden="false" customHeight="false" outlineLevel="0" collapsed="false">
      <c r="A701" s="23"/>
      <c r="B701" s="23"/>
      <c r="C701" s="23"/>
      <c r="D701" s="23"/>
      <c r="E701" s="28" t="str">
        <f aca="false">IF(OR($A701="",$C701="",$D701=""),"",$C701*$D701)</f>
        <v/>
      </c>
    </row>
    <row r="702" customFormat="false" ht="15" hidden="false" customHeight="false" outlineLevel="0" collapsed="false">
      <c r="A702" s="23"/>
      <c r="B702" s="23"/>
      <c r="C702" s="23"/>
      <c r="D702" s="23"/>
      <c r="E702" s="28" t="str">
        <f aca="false">IF(OR($A702="",$C702="",$D702=""),"",$C702*$D702)</f>
        <v/>
      </c>
    </row>
    <row r="703" customFormat="false" ht="15" hidden="false" customHeight="false" outlineLevel="0" collapsed="false">
      <c r="A703" s="23"/>
      <c r="B703" s="23"/>
      <c r="C703" s="23"/>
      <c r="D703" s="23"/>
      <c r="E703" s="28" t="str">
        <f aca="false">IF(OR($A703="",$C703="",$D703=""),"",$C703*$D703)</f>
        <v/>
      </c>
    </row>
    <row r="704" customFormat="false" ht="15" hidden="false" customHeight="false" outlineLevel="0" collapsed="false">
      <c r="A704" s="23"/>
      <c r="B704" s="23"/>
      <c r="C704" s="23"/>
      <c r="D704" s="23"/>
      <c r="E704" s="28" t="str">
        <f aca="false">IF(OR($A704="",$C704="",$D704=""),"",$C704*$D704)</f>
        <v/>
      </c>
    </row>
    <row r="705" customFormat="false" ht="15" hidden="false" customHeight="false" outlineLevel="0" collapsed="false">
      <c r="A705" s="23"/>
      <c r="B705" s="23"/>
      <c r="C705" s="23"/>
      <c r="D705" s="23"/>
      <c r="E705" s="28" t="str">
        <f aca="false">IF(OR($A705="",$C705="",$D705=""),"",$C705*$D705)</f>
        <v/>
      </c>
    </row>
    <row r="706" customFormat="false" ht="15" hidden="false" customHeight="false" outlineLevel="0" collapsed="false">
      <c r="A706" s="23"/>
      <c r="B706" s="23"/>
      <c r="C706" s="23"/>
      <c r="D706" s="23"/>
      <c r="E706" s="28" t="str">
        <f aca="false">IF(OR($A706="",$C706="",$D706=""),"",$C706*$D706)</f>
        <v/>
      </c>
    </row>
    <row r="707" customFormat="false" ht="15" hidden="false" customHeight="false" outlineLevel="0" collapsed="false">
      <c r="A707" s="23"/>
      <c r="B707" s="23"/>
      <c r="C707" s="23"/>
      <c r="D707" s="23"/>
      <c r="E707" s="28" t="str">
        <f aca="false">IF(OR($A707="",$C707="",$D707=""),"",$C707*$D707)</f>
        <v/>
      </c>
    </row>
    <row r="708" customFormat="false" ht="15" hidden="false" customHeight="false" outlineLevel="0" collapsed="false">
      <c r="A708" s="23"/>
      <c r="B708" s="23"/>
      <c r="C708" s="23"/>
      <c r="D708" s="23"/>
      <c r="E708" s="28" t="str">
        <f aca="false">IF(OR($A708="",$C708="",$D708=""),"",$C708*$D708)</f>
        <v/>
      </c>
    </row>
    <row r="709" customFormat="false" ht="15" hidden="false" customHeight="false" outlineLevel="0" collapsed="false">
      <c r="A709" s="23"/>
      <c r="B709" s="23"/>
      <c r="C709" s="23"/>
      <c r="D709" s="23"/>
      <c r="E709" s="28" t="str">
        <f aca="false">IF(OR($A709="",$C709="",$D709=""),"",$C709*$D709)</f>
        <v/>
      </c>
    </row>
    <row r="710" customFormat="false" ht="15" hidden="false" customHeight="false" outlineLevel="0" collapsed="false">
      <c r="A710" s="23"/>
      <c r="B710" s="23"/>
      <c r="C710" s="23"/>
      <c r="D710" s="23"/>
      <c r="E710" s="28" t="str">
        <f aca="false">IF(OR($A710="",$C710="",$D710=""),"",$C710*$D710)</f>
        <v/>
      </c>
    </row>
    <row r="711" customFormat="false" ht="15" hidden="false" customHeight="false" outlineLevel="0" collapsed="false">
      <c r="A711" s="23"/>
      <c r="B711" s="23"/>
      <c r="C711" s="23"/>
      <c r="D711" s="23"/>
      <c r="E711" s="28" t="str">
        <f aca="false">IF(OR($A711="",$C711="",$D711=""),"",$C711*$D711)</f>
        <v/>
      </c>
    </row>
    <row r="712" customFormat="false" ht="15" hidden="false" customHeight="false" outlineLevel="0" collapsed="false">
      <c r="A712" s="23"/>
      <c r="B712" s="23"/>
      <c r="C712" s="23"/>
      <c r="D712" s="23"/>
      <c r="E712" s="28" t="str">
        <f aca="false">IF(OR($A712="",$C712="",$D712=""),"",$C712*$D712)</f>
        <v/>
      </c>
    </row>
    <row r="713" customFormat="false" ht="15" hidden="false" customHeight="false" outlineLevel="0" collapsed="false">
      <c r="A713" s="23"/>
      <c r="B713" s="23"/>
      <c r="C713" s="23"/>
      <c r="D713" s="23"/>
      <c r="E713" s="28" t="str">
        <f aca="false">IF(OR($A713="",$C713="",$D713=""),"",$C713*$D713)</f>
        <v/>
      </c>
    </row>
    <row r="714" customFormat="false" ht="15" hidden="false" customHeight="false" outlineLevel="0" collapsed="false">
      <c r="A714" s="23"/>
      <c r="B714" s="23"/>
      <c r="C714" s="23"/>
      <c r="D714" s="23"/>
      <c r="E714" s="28" t="str">
        <f aca="false">IF(OR($A714="",$C714="",$D714=""),"",$C714*$D714)</f>
        <v/>
      </c>
    </row>
    <row r="715" customFormat="false" ht="15" hidden="false" customHeight="false" outlineLevel="0" collapsed="false">
      <c r="A715" s="23"/>
      <c r="B715" s="23"/>
      <c r="C715" s="23"/>
      <c r="D715" s="23"/>
      <c r="E715" s="28" t="str">
        <f aca="false">IF(OR($A715="",$C715="",$D715=""),"",$C715*$D715)</f>
        <v/>
      </c>
    </row>
    <row r="716" customFormat="false" ht="15" hidden="false" customHeight="false" outlineLevel="0" collapsed="false">
      <c r="A716" s="23"/>
      <c r="B716" s="23"/>
      <c r="C716" s="23"/>
      <c r="D716" s="23"/>
      <c r="E716" s="28" t="str">
        <f aca="false">IF(OR($A716="",$C716="",$D716=""),"",$C716*$D716)</f>
        <v/>
      </c>
    </row>
    <row r="717" customFormat="false" ht="15" hidden="false" customHeight="false" outlineLevel="0" collapsed="false">
      <c r="A717" s="23"/>
      <c r="B717" s="23"/>
      <c r="C717" s="23"/>
      <c r="D717" s="23"/>
      <c r="E717" s="28" t="str">
        <f aca="false">IF(OR($A717="",$C717="",$D717=""),"",$C717*$D717)</f>
        <v/>
      </c>
    </row>
    <row r="718" customFormat="false" ht="15" hidden="false" customHeight="false" outlineLevel="0" collapsed="false">
      <c r="A718" s="23"/>
      <c r="B718" s="23"/>
      <c r="C718" s="23"/>
      <c r="D718" s="23"/>
      <c r="E718" s="28" t="str">
        <f aca="false">IF(OR($A718="",$C718="",$D718=""),"",$C718*$D718)</f>
        <v/>
      </c>
    </row>
    <row r="719" customFormat="false" ht="15" hidden="false" customHeight="false" outlineLevel="0" collapsed="false">
      <c r="A719" s="23"/>
      <c r="B719" s="23"/>
      <c r="C719" s="23"/>
      <c r="D719" s="23"/>
      <c r="E719" s="28" t="str">
        <f aca="false">IF(OR($A719="",$C719="",$D719=""),"",$C719*$D719)</f>
        <v/>
      </c>
    </row>
    <row r="720" customFormat="false" ht="15" hidden="false" customHeight="false" outlineLevel="0" collapsed="false">
      <c r="A720" s="23"/>
      <c r="B720" s="23"/>
      <c r="C720" s="23"/>
      <c r="D720" s="23"/>
      <c r="E720" s="28" t="str">
        <f aca="false">IF(OR($A720="",$C720="",$D720=""),"",$C720*$D720)</f>
        <v/>
      </c>
    </row>
    <row r="721" customFormat="false" ht="15" hidden="false" customHeight="false" outlineLevel="0" collapsed="false">
      <c r="A721" s="23"/>
      <c r="B721" s="23"/>
      <c r="C721" s="23"/>
      <c r="D721" s="23"/>
      <c r="E721" s="28" t="str">
        <f aca="false">IF(OR($A721="",$C721="",$D721=""),"",$C721*$D721)</f>
        <v/>
      </c>
    </row>
    <row r="722" customFormat="false" ht="15" hidden="false" customHeight="false" outlineLevel="0" collapsed="false">
      <c r="A722" s="23"/>
      <c r="B722" s="23"/>
      <c r="C722" s="23"/>
      <c r="D722" s="23"/>
      <c r="E722" s="28" t="str">
        <f aca="false">IF(OR($A722="",$C722="",$D722=""),"",$C722*$D722)</f>
        <v/>
      </c>
    </row>
    <row r="723" customFormat="false" ht="15" hidden="false" customHeight="false" outlineLevel="0" collapsed="false">
      <c r="A723" s="23"/>
      <c r="B723" s="23"/>
      <c r="C723" s="23"/>
      <c r="D723" s="23"/>
      <c r="E723" s="28" t="str">
        <f aca="false">IF(OR($A723="",$C723="",$D723=""),"",$C723*$D723)</f>
        <v/>
      </c>
    </row>
    <row r="724" customFormat="false" ht="15" hidden="false" customHeight="false" outlineLevel="0" collapsed="false">
      <c r="A724" s="23"/>
      <c r="B724" s="23"/>
      <c r="C724" s="23"/>
      <c r="D724" s="23"/>
      <c r="E724" s="28" t="str">
        <f aca="false">IF(OR($A724="",$C724="",$D724=""),"",$C724*$D724)</f>
        <v/>
      </c>
    </row>
    <row r="725" customFormat="false" ht="15" hidden="false" customHeight="false" outlineLevel="0" collapsed="false">
      <c r="A725" s="23"/>
      <c r="B725" s="23"/>
      <c r="C725" s="23"/>
      <c r="D725" s="23"/>
      <c r="E725" s="28" t="str">
        <f aca="false">IF(OR($A725="",$C725="",$D725=""),"",$C725*$D725)</f>
        <v/>
      </c>
    </row>
    <row r="726" customFormat="false" ht="15" hidden="false" customHeight="false" outlineLevel="0" collapsed="false">
      <c r="A726" s="23"/>
      <c r="B726" s="23"/>
      <c r="C726" s="23"/>
      <c r="D726" s="23"/>
      <c r="E726" s="28" t="str">
        <f aca="false">IF(OR($A726="",$C726="",$D726=""),"",$C726*$D726)</f>
        <v/>
      </c>
    </row>
    <row r="727" customFormat="false" ht="15" hidden="false" customHeight="false" outlineLevel="0" collapsed="false">
      <c r="A727" s="23"/>
      <c r="B727" s="23"/>
      <c r="C727" s="23"/>
      <c r="D727" s="23"/>
      <c r="E727" s="28" t="str">
        <f aca="false">IF(OR($A727="",$C727="",$D727=""),"",$C727*$D727)</f>
        <v/>
      </c>
    </row>
    <row r="728" customFormat="false" ht="15" hidden="false" customHeight="false" outlineLevel="0" collapsed="false">
      <c r="A728" s="23"/>
      <c r="B728" s="23"/>
      <c r="C728" s="23"/>
      <c r="D728" s="23"/>
      <c r="E728" s="28" t="str">
        <f aca="false">IF(OR($A728="",$C728="",$D728=""),"",$C728*$D728)</f>
        <v/>
      </c>
    </row>
    <row r="729" customFormat="false" ht="15" hidden="false" customHeight="false" outlineLevel="0" collapsed="false">
      <c r="A729" s="23"/>
      <c r="B729" s="23"/>
      <c r="C729" s="23"/>
      <c r="D729" s="23"/>
      <c r="E729" s="28" t="str">
        <f aca="false">IF(OR($A729="",$C729="",$D729=""),"",$C729*$D729)</f>
        <v/>
      </c>
    </row>
    <row r="730" customFormat="false" ht="15" hidden="false" customHeight="false" outlineLevel="0" collapsed="false">
      <c r="A730" s="23"/>
      <c r="B730" s="23"/>
      <c r="C730" s="23"/>
      <c r="D730" s="23"/>
      <c r="E730" s="28" t="str">
        <f aca="false">IF(OR($A730="",$C730="",$D730=""),"",$C730*$D730)</f>
        <v/>
      </c>
    </row>
    <row r="731" customFormat="false" ht="15" hidden="false" customHeight="false" outlineLevel="0" collapsed="false">
      <c r="A731" s="23"/>
      <c r="B731" s="23"/>
      <c r="C731" s="23"/>
      <c r="D731" s="23"/>
      <c r="E731" s="28" t="str">
        <f aca="false">IF(OR($A731="",$C731="",$D731=""),"",$C731*$D731)</f>
        <v/>
      </c>
    </row>
    <row r="732" customFormat="false" ht="15" hidden="false" customHeight="false" outlineLevel="0" collapsed="false">
      <c r="A732" s="23"/>
      <c r="B732" s="23"/>
      <c r="C732" s="23"/>
      <c r="D732" s="23"/>
      <c r="E732" s="28" t="str">
        <f aca="false">IF(OR($A732="",$C732="",$D732=""),"",$C732*$D732)</f>
        <v/>
      </c>
    </row>
    <row r="733" customFormat="false" ht="15" hidden="false" customHeight="false" outlineLevel="0" collapsed="false">
      <c r="A733" s="23"/>
      <c r="B733" s="23"/>
      <c r="C733" s="23"/>
      <c r="D733" s="23"/>
      <c r="E733" s="28" t="str">
        <f aca="false">IF(OR($A733="",$C733="",$D733=""),"",$C733*$D733)</f>
        <v/>
      </c>
    </row>
    <row r="734" customFormat="false" ht="15" hidden="false" customHeight="false" outlineLevel="0" collapsed="false">
      <c r="A734" s="23"/>
      <c r="B734" s="23"/>
      <c r="C734" s="23"/>
      <c r="D734" s="23"/>
      <c r="E734" s="28" t="str">
        <f aca="false">IF(OR($A734="",$C734="",$D734=""),"",$C734*$D734)</f>
        <v/>
      </c>
    </row>
    <row r="735" customFormat="false" ht="15" hidden="false" customHeight="false" outlineLevel="0" collapsed="false">
      <c r="A735" s="23"/>
      <c r="B735" s="23"/>
      <c r="C735" s="23"/>
      <c r="D735" s="23"/>
      <c r="E735" s="28" t="str">
        <f aca="false">IF(OR($A735="",$C735="",$D735=""),"",$C735*$D735)</f>
        <v/>
      </c>
    </row>
    <row r="736" customFormat="false" ht="15" hidden="false" customHeight="false" outlineLevel="0" collapsed="false">
      <c r="A736" s="23"/>
      <c r="B736" s="23"/>
      <c r="C736" s="23"/>
      <c r="D736" s="23"/>
      <c r="E736" s="28" t="str">
        <f aca="false">IF(OR($A736="",$C736="",$D736=""),"",$C736*$D736)</f>
        <v/>
      </c>
    </row>
    <row r="737" customFormat="false" ht="15" hidden="false" customHeight="false" outlineLevel="0" collapsed="false">
      <c r="A737" s="23"/>
      <c r="B737" s="23"/>
      <c r="C737" s="23"/>
      <c r="D737" s="23"/>
      <c r="E737" s="28" t="str">
        <f aca="false">IF(OR($A737="",$C737="",$D737=""),"",$C737*$D737)</f>
        <v/>
      </c>
    </row>
    <row r="738" customFormat="false" ht="15" hidden="false" customHeight="false" outlineLevel="0" collapsed="false">
      <c r="A738" s="23"/>
      <c r="B738" s="23"/>
      <c r="C738" s="23"/>
      <c r="D738" s="23"/>
      <c r="E738" s="28" t="str">
        <f aca="false">IF(OR($A738="",$C738="",$D738=""),"",$C738*$D738)</f>
        <v/>
      </c>
    </row>
    <row r="739" customFormat="false" ht="15" hidden="false" customHeight="false" outlineLevel="0" collapsed="false">
      <c r="A739" s="23"/>
      <c r="B739" s="23"/>
      <c r="C739" s="23"/>
      <c r="D739" s="23"/>
      <c r="E739" s="28" t="str">
        <f aca="false">IF(OR($A739="",$C739="",$D739=""),"",$C739*$D739)</f>
        <v/>
      </c>
    </row>
    <row r="740" customFormat="false" ht="15" hidden="false" customHeight="false" outlineLevel="0" collapsed="false">
      <c r="A740" s="23"/>
      <c r="B740" s="23"/>
      <c r="C740" s="23"/>
      <c r="D740" s="23"/>
      <c r="E740" s="28" t="str">
        <f aca="false">IF(OR($A740="",$C740="",$D740=""),"",$C740*$D740)</f>
        <v/>
      </c>
    </row>
    <row r="741" customFormat="false" ht="15" hidden="false" customHeight="false" outlineLevel="0" collapsed="false">
      <c r="A741" s="23"/>
      <c r="B741" s="23"/>
      <c r="C741" s="23"/>
      <c r="D741" s="23"/>
      <c r="E741" s="28" t="str">
        <f aca="false">IF(OR($A741="",$C741="",$D741=""),"",$C741*$D741)</f>
        <v/>
      </c>
    </row>
    <row r="742" customFormat="false" ht="15" hidden="false" customHeight="false" outlineLevel="0" collapsed="false">
      <c r="A742" s="23"/>
      <c r="B742" s="23"/>
      <c r="C742" s="23"/>
      <c r="D742" s="23"/>
      <c r="E742" s="28" t="str">
        <f aca="false">IF(OR($A742="",$C742="",$D742=""),"",$C742*$D742)</f>
        <v/>
      </c>
    </row>
    <row r="743" customFormat="false" ht="15" hidden="false" customHeight="false" outlineLevel="0" collapsed="false">
      <c r="A743" s="23"/>
      <c r="B743" s="23"/>
      <c r="C743" s="23"/>
      <c r="D743" s="23"/>
      <c r="E743" s="28" t="str">
        <f aca="false">IF(OR($A743="",$C743="",$D743=""),"",$C743*$D743)</f>
        <v/>
      </c>
    </row>
    <row r="744" customFormat="false" ht="15" hidden="false" customHeight="false" outlineLevel="0" collapsed="false">
      <c r="A744" s="23"/>
      <c r="B744" s="23"/>
      <c r="C744" s="23"/>
      <c r="D744" s="23"/>
      <c r="E744" s="28" t="str">
        <f aca="false">IF(OR($A744="",$C744="",$D744=""),"",$C744*$D744)</f>
        <v/>
      </c>
    </row>
    <row r="745" customFormat="false" ht="15" hidden="false" customHeight="false" outlineLevel="0" collapsed="false">
      <c r="A745" s="23"/>
      <c r="B745" s="23"/>
      <c r="C745" s="23"/>
      <c r="D745" s="23"/>
      <c r="E745" s="28" t="str">
        <f aca="false">IF(OR($A745="",$C745="",$D745=""),"",$C745*$D745)</f>
        <v/>
      </c>
    </row>
    <row r="746" customFormat="false" ht="15" hidden="false" customHeight="false" outlineLevel="0" collapsed="false">
      <c r="A746" s="23"/>
      <c r="B746" s="23"/>
      <c r="C746" s="23"/>
      <c r="D746" s="23"/>
      <c r="E746" s="28" t="str">
        <f aca="false">IF(OR($A746="",$C746="",$D746=""),"",$C746*$D746)</f>
        <v/>
      </c>
    </row>
    <row r="747" customFormat="false" ht="15" hidden="false" customHeight="false" outlineLevel="0" collapsed="false">
      <c r="A747" s="23"/>
      <c r="B747" s="23"/>
      <c r="C747" s="23"/>
      <c r="D747" s="23"/>
      <c r="E747" s="28" t="str">
        <f aca="false">IF(OR($A747="",$C747="",$D747=""),"",$C747*$D747)</f>
        <v/>
      </c>
    </row>
    <row r="748" customFormat="false" ht="15" hidden="false" customHeight="false" outlineLevel="0" collapsed="false">
      <c r="A748" s="23"/>
      <c r="B748" s="23"/>
      <c r="C748" s="23"/>
      <c r="D748" s="23"/>
      <c r="E748" s="28" t="str">
        <f aca="false">IF(OR($A748="",$C748="",$D748=""),"",$C748*$D748)</f>
        <v/>
      </c>
    </row>
    <row r="749" customFormat="false" ht="15" hidden="false" customHeight="false" outlineLevel="0" collapsed="false">
      <c r="A749" s="23"/>
      <c r="B749" s="23"/>
      <c r="C749" s="23"/>
      <c r="D749" s="23"/>
      <c r="E749" s="28" t="str">
        <f aca="false">IF(OR($A749="",$C749="",$D749=""),"",$C749*$D749)</f>
        <v/>
      </c>
    </row>
    <row r="750" customFormat="false" ht="15" hidden="false" customHeight="false" outlineLevel="0" collapsed="false">
      <c r="A750" s="23"/>
      <c r="B750" s="23"/>
      <c r="C750" s="23"/>
      <c r="D750" s="23"/>
      <c r="E750" s="28" t="str">
        <f aca="false">IF(OR($A750="",$C750="",$D750=""),"",$C750*$D750)</f>
        <v/>
      </c>
    </row>
    <row r="751" customFormat="false" ht="15" hidden="false" customHeight="false" outlineLevel="0" collapsed="false">
      <c r="A751" s="23"/>
      <c r="B751" s="23"/>
      <c r="C751" s="23"/>
      <c r="D751" s="23"/>
      <c r="E751" s="28" t="str">
        <f aca="false">IF(OR($A751="",$C751="",$D751=""),"",$C751*$D751)</f>
        <v/>
      </c>
    </row>
    <row r="752" customFormat="false" ht="15" hidden="false" customHeight="false" outlineLevel="0" collapsed="false">
      <c r="A752" s="23"/>
      <c r="B752" s="23"/>
      <c r="C752" s="23"/>
      <c r="D752" s="23"/>
      <c r="E752" s="28" t="str">
        <f aca="false">IF(OR($A752="",$C752="",$D752=""),"",$C752*$D752)</f>
        <v/>
      </c>
    </row>
    <row r="753" customFormat="false" ht="15" hidden="false" customHeight="false" outlineLevel="0" collapsed="false">
      <c r="A753" s="23"/>
      <c r="B753" s="23"/>
      <c r="C753" s="23"/>
      <c r="D753" s="23"/>
      <c r="E753" s="28" t="str">
        <f aca="false">IF(OR($A753="",$C753="",$D753=""),"",$C753*$D753)</f>
        <v/>
      </c>
    </row>
    <row r="754" customFormat="false" ht="15" hidden="false" customHeight="false" outlineLevel="0" collapsed="false">
      <c r="A754" s="23"/>
      <c r="B754" s="23"/>
      <c r="C754" s="23"/>
      <c r="D754" s="23"/>
      <c r="E754" s="28" t="str">
        <f aca="false">IF(OR($A754="",$C754="",$D754=""),"",$C754*$D754)</f>
        <v/>
      </c>
    </row>
    <row r="755" customFormat="false" ht="15" hidden="false" customHeight="false" outlineLevel="0" collapsed="false">
      <c r="A755" s="23"/>
      <c r="B755" s="23"/>
      <c r="C755" s="23"/>
      <c r="D755" s="23"/>
      <c r="E755" s="28" t="str">
        <f aca="false">IF(OR($A755="",$C755="",$D755=""),"",$C755*$D755)</f>
        <v/>
      </c>
    </row>
    <row r="756" customFormat="false" ht="15" hidden="false" customHeight="false" outlineLevel="0" collapsed="false">
      <c r="A756" s="23"/>
      <c r="B756" s="23"/>
      <c r="C756" s="23"/>
      <c r="D756" s="23"/>
      <c r="E756" s="28" t="str">
        <f aca="false">IF(OR($A756="",$C756="",$D756=""),"",$C756*$D756)</f>
        <v/>
      </c>
    </row>
    <row r="757" customFormat="false" ht="15" hidden="false" customHeight="false" outlineLevel="0" collapsed="false">
      <c r="A757" s="23"/>
      <c r="B757" s="23"/>
      <c r="C757" s="23"/>
      <c r="D757" s="23"/>
      <c r="E757" s="28" t="str">
        <f aca="false">IF(OR($A757="",$C757="",$D757=""),"",$C757*$D757)</f>
        <v/>
      </c>
    </row>
    <row r="758" customFormat="false" ht="15" hidden="false" customHeight="false" outlineLevel="0" collapsed="false">
      <c r="A758" s="23"/>
      <c r="B758" s="23"/>
      <c r="C758" s="23"/>
      <c r="D758" s="23"/>
      <c r="E758" s="28" t="str">
        <f aca="false">IF(OR($A758="",$C758="",$D758=""),"",$C758*$D758)</f>
        <v/>
      </c>
    </row>
    <row r="759" customFormat="false" ht="15" hidden="false" customHeight="false" outlineLevel="0" collapsed="false">
      <c r="A759" s="23"/>
      <c r="B759" s="23"/>
      <c r="C759" s="23"/>
      <c r="D759" s="23"/>
      <c r="E759" s="28" t="str">
        <f aca="false">IF(OR($A759="",$C759="",$D759=""),"",$C759*$D759)</f>
        <v/>
      </c>
    </row>
    <row r="760" customFormat="false" ht="15" hidden="false" customHeight="false" outlineLevel="0" collapsed="false">
      <c r="A760" s="23"/>
      <c r="B760" s="23"/>
      <c r="C760" s="23"/>
      <c r="D760" s="23"/>
      <c r="E760" s="28" t="str">
        <f aca="false">IF(OR($A760="",$C760="",$D760=""),"",$C760*$D760)</f>
        <v/>
      </c>
    </row>
    <row r="761" customFormat="false" ht="15" hidden="false" customHeight="false" outlineLevel="0" collapsed="false">
      <c r="A761" s="23"/>
      <c r="B761" s="23"/>
      <c r="C761" s="23"/>
      <c r="D761" s="23"/>
      <c r="E761" s="28" t="str">
        <f aca="false">IF(OR($A761="",$C761="",$D761=""),"",$C761*$D761)</f>
        <v/>
      </c>
    </row>
    <row r="762" customFormat="false" ht="15" hidden="false" customHeight="false" outlineLevel="0" collapsed="false">
      <c r="A762" s="23"/>
      <c r="B762" s="23"/>
      <c r="C762" s="23"/>
      <c r="D762" s="23"/>
      <c r="E762" s="28" t="str">
        <f aca="false">IF(OR($A762="",$C762="",$D762=""),"",$C762*$D762)</f>
        <v/>
      </c>
    </row>
    <row r="763" customFormat="false" ht="15" hidden="false" customHeight="false" outlineLevel="0" collapsed="false">
      <c r="A763" s="23"/>
      <c r="B763" s="23"/>
      <c r="C763" s="23"/>
      <c r="D763" s="23"/>
      <c r="E763" s="28" t="str">
        <f aca="false">IF(OR($A763="",$C763="",$D763=""),"",$C763*$D763)</f>
        <v/>
      </c>
    </row>
    <row r="764" customFormat="false" ht="15" hidden="false" customHeight="false" outlineLevel="0" collapsed="false">
      <c r="A764" s="23"/>
      <c r="B764" s="23"/>
      <c r="C764" s="23"/>
      <c r="D764" s="23"/>
      <c r="E764" s="28" t="str">
        <f aca="false">IF(OR($A764="",$C764="",$D764=""),"",$C764*$D764)</f>
        <v/>
      </c>
    </row>
    <row r="765" customFormat="false" ht="15" hidden="false" customHeight="false" outlineLevel="0" collapsed="false">
      <c r="A765" s="23"/>
      <c r="B765" s="23"/>
      <c r="C765" s="23"/>
      <c r="D765" s="23"/>
      <c r="E765" s="28" t="str">
        <f aca="false">IF(OR($A765="",$C765="",$D765=""),"",$C765*$D765)</f>
        <v/>
      </c>
    </row>
    <row r="766" customFormat="false" ht="15" hidden="false" customHeight="false" outlineLevel="0" collapsed="false">
      <c r="A766" s="23"/>
      <c r="B766" s="23"/>
      <c r="C766" s="23"/>
      <c r="D766" s="23"/>
      <c r="E766" s="28" t="str">
        <f aca="false">IF(OR($A766="",$C766="",$D766=""),"",$C766*$D766)</f>
        <v/>
      </c>
    </row>
    <row r="767" customFormat="false" ht="15" hidden="false" customHeight="false" outlineLevel="0" collapsed="false">
      <c r="A767" s="23"/>
      <c r="B767" s="23"/>
      <c r="C767" s="23"/>
      <c r="D767" s="23"/>
      <c r="E767" s="28" t="str">
        <f aca="false">IF(OR($A767="",$C767="",$D767=""),"",$C767*$D767)</f>
        <v/>
      </c>
    </row>
    <row r="768" customFormat="false" ht="15" hidden="false" customHeight="false" outlineLevel="0" collapsed="false">
      <c r="A768" s="23"/>
      <c r="B768" s="23"/>
      <c r="C768" s="23"/>
      <c r="D768" s="23"/>
      <c r="E768" s="28" t="str">
        <f aca="false">IF(OR($A768="",$C768="",$D768=""),"",$C768*$D768)</f>
        <v/>
      </c>
    </row>
    <row r="769" customFormat="false" ht="15" hidden="false" customHeight="false" outlineLevel="0" collapsed="false">
      <c r="A769" s="23"/>
      <c r="B769" s="23"/>
      <c r="C769" s="23"/>
      <c r="D769" s="23"/>
      <c r="E769" s="28" t="str">
        <f aca="false">IF(OR($A769="",$C769="",$D769=""),"",$C769*$D769)</f>
        <v/>
      </c>
    </row>
    <row r="770" customFormat="false" ht="15" hidden="false" customHeight="false" outlineLevel="0" collapsed="false">
      <c r="A770" s="23"/>
      <c r="B770" s="23"/>
      <c r="C770" s="23"/>
      <c r="D770" s="23"/>
      <c r="E770" s="28" t="str">
        <f aca="false">IF(OR($A770="",$C770="",$D770=""),"",$C770*$D770)</f>
        <v/>
      </c>
    </row>
    <row r="771" customFormat="false" ht="15" hidden="false" customHeight="false" outlineLevel="0" collapsed="false">
      <c r="A771" s="23"/>
      <c r="B771" s="23"/>
      <c r="C771" s="23"/>
      <c r="D771" s="23"/>
      <c r="E771" s="28" t="str">
        <f aca="false">IF(OR($A771="",$C771="",$D771=""),"",$C771*$D771)</f>
        <v/>
      </c>
    </row>
    <row r="772" customFormat="false" ht="15" hidden="false" customHeight="false" outlineLevel="0" collapsed="false">
      <c r="A772" s="23"/>
      <c r="B772" s="23"/>
      <c r="C772" s="23"/>
      <c r="D772" s="23"/>
      <c r="E772" s="28" t="str">
        <f aca="false">IF(OR($A772="",$C772="",$D772=""),"",$C772*$D772)</f>
        <v/>
      </c>
    </row>
    <row r="773" customFormat="false" ht="15" hidden="false" customHeight="false" outlineLevel="0" collapsed="false">
      <c r="A773" s="23"/>
      <c r="B773" s="23"/>
      <c r="C773" s="23"/>
      <c r="D773" s="23"/>
      <c r="E773" s="28" t="str">
        <f aca="false">IF(OR($A773="",$C773="",$D773=""),"",$C773*$D773)</f>
        <v/>
      </c>
    </row>
    <row r="774" customFormat="false" ht="15" hidden="false" customHeight="false" outlineLevel="0" collapsed="false">
      <c r="A774" s="23"/>
      <c r="B774" s="23"/>
      <c r="C774" s="23"/>
      <c r="D774" s="23"/>
      <c r="E774" s="28" t="str">
        <f aca="false">IF(OR($A774="",$C774="",$D774=""),"",$C774*$D774)</f>
        <v/>
      </c>
    </row>
    <row r="775" customFormat="false" ht="15" hidden="false" customHeight="false" outlineLevel="0" collapsed="false">
      <c r="A775" s="23"/>
      <c r="B775" s="23"/>
      <c r="C775" s="23"/>
      <c r="D775" s="23"/>
      <c r="E775" s="28" t="str">
        <f aca="false">IF(OR($A775="",$C775="",$D775=""),"",$C775*$D775)</f>
        <v/>
      </c>
    </row>
    <row r="776" customFormat="false" ht="15" hidden="false" customHeight="false" outlineLevel="0" collapsed="false">
      <c r="A776" s="23"/>
      <c r="B776" s="23"/>
      <c r="C776" s="23"/>
      <c r="D776" s="23"/>
      <c r="E776" s="28" t="str">
        <f aca="false">IF(OR($A776="",$C776="",$D776=""),"",$C776*$D776)</f>
        <v/>
      </c>
    </row>
    <row r="777" customFormat="false" ht="15" hidden="false" customHeight="false" outlineLevel="0" collapsed="false">
      <c r="A777" s="23"/>
      <c r="B777" s="23"/>
      <c r="C777" s="23"/>
      <c r="D777" s="23"/>
      <c r="E777" s="28" t="str">
        <f aca="false">IF(OR($A777="",$C777="",$D777=""),"",$C777*$D777)</f>
        <v/>
      </c>
    </row>
    <row r="778" customFormat="false" ht="15" hidden="false" customHeight="false" outlineLevel="0" collapsed="false">
      <c r="A778" s="23"/>
      <c r="B778" s="23"/>
      <c r="C778" s="23"/>
      <c r="D778" s="23"/>
      <c r="E778" s="28" t="str">
        <f aca="false">IF(OR($A778="",$C778="",$D778=""),"",$C778*$D778)</f>
        <v/>
      </c>
    </row>
    <row r="779" customFormat="false" ht="15" hidden="false" customHeight="false" outlineLevel="0" collapsed="false">
      <c r="A779" s="23"/>
      <c r="B779" s="23"/>
      <c r="C779" s="23"/>
      <c r="D779" s="23"/>
      <c r="E779" s="28" t="str">
        <f aca="false">IF(OR($A779="",$C779="",$D779=""),"",$C779*$D779)</f>
        <v/>
      </c>
    </row>
    <row r="780" customFormat="false" ht="15" hidden="false" customHeight="false" outlineLevel="0" collapsed="false">
      <c r="A780" s="23"/>
      <c r="B780" s="23"/>
      <c r="C780" s="23"/>
      <c r="D780" s="23"/>
      <c r="E780" s="28" t="str">
        <f aca="false">IF(OR($A780="",$C780="",$D780=""),"",$C780*$D780)</f>
        <v/>
      </c>
    </row>
    <row r="781" customFormat="false" ht="15" hidden="false" customHeight="false" outlineLevel="0" collapsed="false">
      <c r="A781" s="23"/>
      <c r="B781" s="23"/>
      <c r="C781" s="23"/>
      <c r="D781" s="23"/>
      <c r="E781" s="28" t="str">
        <f aca="false">IF(OR($A781="",$C781="",$D781=""),"",$C781*$D781)</f>
        <v/>
      </c>
    </row>
    <row r="782" customFormat="false" ht="15" hidden="false" customHeight="false" outlineLevel="0" collapsed="false">
      <c r="A782" s="23"/>
      <c r="B782" s="23"/>
      <c r="C782" s="23"/>
      <c r="D782" s="23"/>
      <c r="E782" s="28" t="str">
        <f aca="false">IF(OR($A782="",$C782="",$D782=""),"",$C782*$D782)</f>
        <v/>
      </c>
    </row>
    <row r="783" customFormat="false" ht="15" hidden="false" customHeight="false" outlineLevel="0" collapsed="false">
      <c r="A783" s="23"/>
      <c r="B783" s="23"/>
      <c r="C783" s="23"/>
      <c r="D783" s="23"/>
      <c r="E783" s="28" t="str">
        <f aca="false">IF(OR($A783="",$C783="",$D783=""),"",$C783*$D783)</f>
        <v/>
      </c>
    </row>
    <row r="784" customFormat="false" ht="15" hidden="false" customHeight="false" outlineLevel="0" collapsed="false">
      <c r="A784" s="23"/>
      <c r="B784" s="23"/>
      <c r="C784" s="23"/>
      <c r="D784" s="23"/>
      <c r="E784" s="28" t="str">
        <f aca="false">IF(OR($A784="",$C784="",$D784=""),"",$C784*$D784)</f>
        <v/>
      </c>
    </row>
    <row r="785" customFormat="false" ht="15" hidden="false" customHeight="false" outlineLevel="0" collapsed="false">
      <c r="A785" s="23"/>
      <c r="B785" s="23"/>
      <c r="C785" s="23"/>
      <c r="D785" s="23"/>
      <c r="E785" s="28" t="str">
        <f aca="false">IF(OR($A785="",$C785="",$D785=""),"",$C785*$D785)</f>
        <v/>
      </c>
    </row>
    <row r="786" customFormat="false" ht="15" hidden="false" customHeight="false" outlineLevel="0" collapsed="false">
      <c r="A786" s="23"/>
      <c r="B786" s="23"/>
      <c r="C786" s="23"/>
      <c r="D786" s="23"/>
      <c r="E786" s="28" t="str">
        <f aca="false">IF(OR($A786="",$C786="",$D786=""),"",$C786*$D786)</f>
        <v/>
      </c>
    </row>
    <row r="787" customFormat="false" ht="15" hidden="false" customHeight="false" outlineLevel="0" collapsed="false">
      <c r="A787" s="23"/>
      <c r="B787" s="23"/>
      <c r="C787" s="23"/>
      <c r="D787" s="23"/>
      <c r="E787" s="28" t="str">
        <f aca="false">IF(OR($A787="",$C787="",$D787=""),"",$C787*$D787)</f>
        <v/>
      </c>
    </row>
    <row r="788" customFormat="false" ht="15" hidden="false" customHeight="false" outlineLevel="0" collapsed="false">
      <c r="A788" s="23"/>
      <c r="B788" s="23"/>
      <c r="C788" s="23"/>
      <c r="D788" s="23"/>
      <c r="E788" s="28" t="str">
        <f aca="false">IF(OR($A788="",$C788="",$D788=""),"",$C788*$D788)</f>
        <v/>
      </c>
    </row>
    <row r="789" customFormat="false" ht="15" hidden="false" customHeight="false" outlineLevel="0" collapsed="false">
      <c r="A789" s="23"/>
      <c r="B789" s="23"/>
      <c r="C789" s="23"/>
      <c r="D789" s="23"/>
      <c r="E789" s="28" t="str">
        <f aca="false">IF(OR($A789="",$C789="",$D789=""),"",$C789*$D789)</f>
        <v/>
      </c>
    </row>
    <row r="790" customFormat="false" ht="15" hidden="false" customHeight="false" outlineLevel="0" collapsed="false">
      <c r="A790" s="23"/>
      <c r="B790" s="23"/>
      <c r="C790" s="23"/>
      <c r="D790" s="23"/>
      <c r="E790" s="28" t="str">
        <f aca="false">IF(OR($A790="",$C790="",$D790=""),"",$C790*$D790)</f>
        <v/>
      </c>
    </row>
    <row r="791" customFormat="false" ht="15" hidden="false" customHeight="false" outlineLevel="0" collapsed="false">
      <c r="A791" s="23"/>
      <c r="B791" s="23"/>
      <c r="C791" s="23"/>
      <c r="D791" s="23"/>
      <c r="E791" s="28" t="str">
        <f aca="false">IF(OR($A791="",$C791="",$D791=""),"",$C791*$D791)</f>
        <v/>
      </c>
    </row>
    <row r="792" customFormat="false" ht="15" hidden="false" customHeight="false" outlineLevel="0" collapsed="false">
      <c r="A792" s="23"/>
      <c r="B792" s="23"/>
      <c r="C792" s="23"/>
      <c r="D792" s="23"/>
      <c r="E792" s="28" t="str">
        <f aca="false">IF(OR($A792="",$C792="",$D792=""),"",$C792*$D792)</f>
        <v/>
      </c>
    </row>
    <row r="793" customFormat="false" ht="15" hidden="false" customHeight="false" outlineLevel="0" collapsed="false">
      <c r="A793" s="23"/>
      <c r="B793" s="23"/>
      <c r="C793" s="23"/>
      <c r="D793" s="23"/>
      <c r="E793" s="28" t="str">
        <f aca="false">IF(OR($A793="",$C793="",$D793=""),"",$C793*$D793)</f>
        <v/>
      </c>
    </row>
    <row r="794" customFormat="false" ht="15" hidden="false" customHeight="false" outlineLevel="0" collapsed="false">
      <c r="A794" s="23"/>
      <c r="B794" s="23"/>
      <c r="C794" s="23"/>
      <c r="D794" s="23"/>
      <c r="E794" s="28" t="str">
        <f aca="false">IF(OR($A794="",$C794="",$D794=""),"",$C794*$D794)</f>
        <v/>
      </c>
    </row>
    <row r="795" customFormat="false" ht="15" hidden="false" customHeight="false" outlineLevel="0" collapsed="false">
      <c r="A795" s="23"/>
      <c r="B795" s="23"/>
      <c r="C795" s="23"/>
      <c r="D795" s="23"/>
      <c r="E795" s="28" t="str">
        <f aca="false">IF(OR($A795="",$C795="",$D795=""),"",$C795*$D795)</f>
        <v/>
      </c>
    </row>
    <row r="796" customFormat="false" ht="15" hidden="false" customHeight="false" outlineLevel="0" collapsed="false">
      <c r="A796" s="23"/>
      <c r="B796" s="23"/>
      <c r="C796" s="23"/>
      <c r="D796" s="23"/>
      <c r="E796" s="28" t="str">
        <f aca="false">IF(OR($A796="",$C796="",$D796=""),"",$C796*$D796)</f>
        <v/>
      </c>
    </row>
    <row r="797" customFormat="false" ht="15" hidden="false" customHeight="false" outlineLevel="0" collapsed="false">
      <c r="A797" s="23"/>
      <c r="B797" s="23"/>
      <c r="C797" s="23"/>
      <c r="D797" s="23"/>
      <c r="E797" s="28" t="str">
        <f aca="false">IF(OR($A797="",$C797="",$D797=""),"",$C797*$D797)</f>
        <v/>
      </c>
    </row>
    <row r="798" customFormat="false" ht="15" hidden="false" customHeight="false" outlineLevel="0" collapsed="false">
      <c r="A798" s="23"/>
      <c r="B798" s="23"/>
      <c r="C798" s="23"/>
      <c r="D798" s="23"/>
      <c r="E798" s="28" t="str">
        <f aca="false">IF(OR($A798="",$C798="",$D798=""),"",$C798*$D798)</f>
        <v/>
      </c>
    </row>
    <row r="799" customFormat="false" ht="15" hidden="false" customHeight="false" outlineLevel="0" collapsed="false">
      <c r="A799" s="23"/>
      <c r="B799" s="23"/>
      <c r="C799" s="23"/>
      <c r="D799" s="23"/>
      <c r="E799" s="28" t="str">
        <f aca="false">IF(OR($A799="",$C799="",$D799=""),"",$C799*$D799)</f>
        <v/>
      </c>
    </row>
    <row r="800" customFormat="false" ht="15" hidden="false" customHeight="false" outlineLevel="0" collapsed="false">
      <c r="A800" s="23"/>
      <c r="B800" s="23"/>
      <c r="C800" s="23"/>
      <c r="D800" s="23"/>
      <c r="E800" s="28" t="str">
        <f aca="false">IF(OR($A800="",$C800="",$D800=""),"",$C800*$D800)</f>
        <v/>
      </c>
    </row>
    <row r="801" customFormat="false" ht="15" hidden="false" customHeight="false" outlineLevel="0" collapsed="false">
      <c r="A801" s="23"/>
      <c r="B801" s="23"/>
      <c r="C801" s="23"/>
      <c r="D801" s="23"/>
      <c r="E801" s="28" t="str">
        <f aca="false">IF(OR($A801="",$C801="",$D801=""),"",$C801*$D801)</f>
        <v/>
      </c>
    </row>
    <row r="802" customFormat="false" ht="15" hidden="false" customHeight="false" outlineLevel="0" collapsed="false">
      <c r="A802" s="23"/>
      <c r="B802" s="23"/>
      <c r="C802" s="23"/>
      <c r="D802" s="23"/>
      <c r="E802" s="28" t="str">
        <f aca="false">IF(OR($A802="",$C802="",$D802=""),"",$C802*$D802)</f>
        <v/>
      </c>
    </row>
    <row r="803" customFormat="false" ht="15" hidden="false" customHeight="false" outlineLevel="0" collapsed="false">
      <c r="A803" s="23"/>
      <c r="B803" s="23"/>
      <c r="C803" s="23"/>
      <c r="D803" s="23"/>
      <c r="E803" s="28" t="str">
        <f aca="false">IF(OR($A803="",$C803="",$D803=""),"",$C803*$D803)</f>
        <v/>
      </c>
    </row>
    <row r="804" customFormat="false" ht="15" hidden="false" customHeight="false" outlineLevel="0" collapsed="false">
      <c r="A804" s="23"/>
      <c r="B804" s="23"/>
      <c r="C804" s="23"/>
      <c r="D804" s="23"/>
      <c r="E804" s="28" t="str">
        <f aca="false">IF(OR($A804="",$C804="",$D804=""),"",$C804*$D804)</f>
        <v/>
      </c>
    </row>
    <row r="805" customFormat="false" ht="15" hidden="false" customHeight="false" outlineLevel="0" collapsed="false">
      <c r="A805" s="23"/>
      <c r="B805" s="23"/>
      <c r="C805" s="23"/>
      <c r="D805" s="23"/>
      <c r="E805" s="28" t="str">
        <f aca="false">IF(OR($A805="",$C805="",$D805=""),"",$C805*$D805)</f>
        <v/>
      </c>
    </row>
    <row r="806" customFormat="false" ht="15" hidden="false" customHeight="false" outlineLevel="0" collapsed="false">
      <c r="A806" s="23"/>
      <c r="B806" s="23"/>
      <c r="C806" s="23"/>
      <c r="D806" s="23"/>
      <c r="E806" s="28" t="str">
        <f aca="false">IF(OR($A806="",$C806="",$D806=""),"",$C806*$D806)</f>
        <v/>
      </c>
    </row>
    <row r="807" customFormat="false" ht="15" hidden="false" customHeight="false" outlineLevel="0" collapsed="false">
      <c r="A807" s="23"/>
      <c r="B807" s="23"/>
      <c r="C807" s="23"/>
      <c r="D807" s="23"/>
      <c r="E807" s="28" t="str">
        <f aca="false">IF(OR($A807="",$C807="",$D807=""),"",$C807*$D807)</f>
        <v/>
      </c>
    </row>
    <row r="808" customFormat="false" ht="15" hidden="false" customHeight="false" outlineLevel="0" collapsed="false">
      <c r="A808" s="23"/>
      <c r="B808" s="23"/>
      <c r="C808" s="23"/>
      <c r="D808" s="23"/>
      <c r="E808" s="28" t="str">
        <f aca="false">IF(OR($A808="",$C808="",$D808=""),"",$C808*$D808)</f>
        <v/>
      </c>
    </row>
    <row r="809" customFormat="false" ht="15" hidden="false" customHeight="false" outlineLevel="0" collapsed="false">
      <c r="A809" s="23"/>
      <c r="B809" s="23"/>
      <c r="C809" s="23"/>
      <c r="D809" s="23"/>
      <c r="E809" s="28" t="str">
        <f aca="false">IF(OR($A809="",$C809="",$D809=""),"",$C809*$D809)</f>
        <v/>
      </c>
    </row>
    <row r="810" customFormat="false" ht="15" hidden="false" customHeight="false" outlineLevel="0" collapsed="false">
      <c r="A810" s="23"/>
      <c r="B810" s="23"/>
      <c r="C810" s="23"/>
      <c r="D810" s="23"/>
      <c r="E810" s="28" t="str">
        <f aca="false">IF(OR($A810="",$C810="",$D810=""),"",$C810*$D810)</f>
        <v/>
      </c>
    </row>
    <row r="811" customFormat="false" ht="15" hidden="false" customHeight="false" outlineLevel="0" collapsed="false">
      <c r="A811" s="23"/>
      <c r="B811" s="23"/>
      <c r="C811" s="23"/>
      <c r="D811" s="23"/>
      <c r="E811" s="28" t="str">
        <f aca="false">IF(OR($A811="",$C811="",$D811=""),"",$C811*$D811)</f>
        <v/>
      </c>
    </row>
    <row r="812" customFormat="false" ht="15" hidden="false" customHeight="false" outlineLevel="0" collapsed="false">
      <c r="A812" s="23"/>
      <c r="B812" s="23"/>
      <c r="C812" s="23"/>
      <c r="D812" s="23"/>
      <c r="E812" s="28" t="str">
        <f aca="false">IF(OR($A812="",$C812="",$D812=""),"",$C812*$D812)</f>
        <v/>
      </c>
    </row>
    <row r="813" customFormat="false" ht="15" hidden="false" customHeight="false" outlineLevel="0" collapsed="false">
      <c r="A813" s="23"/>
      <c r="B813" s="23"/>
      <c r="C813" s="23"/>
      <c r="D813" s="23"/>
      <c r="E813" s="28" t="str">
        <f aca="false">IF(OR($A813="",$C813="",$D813=""),"",$C813*$D813)</f>
        <v/>
      </c>
    </row>
    <row r="814" customFormat="false" ht="15" hidden="false" customHeight="false" outlineLevel="0" collapsed="false">
      <c r="A814" s="23"/>
      <c r="B814" s="23"/>
      <c r="C814" s="23"/>
      <c r="D814" s="23"/>
      <c r="E814" s="28" t="str">
        <f aca="false">IF(OR($A814="",$C814="",$D814=""),"",$C814*$D814)</f>
        <v/>
      </c>
    </row>
    <row r="815" customFormat="false" ht="15" hidden="false" customHeight="false" outlineLevel="0" collapsed="false">
      <c r="A815" s="23"/>
      <c r="B815" s="23"/>
      <c r="C815" s="23"/>
      <c r="D815" s="23"/>
      <c r="E815" s="28" t="str">
        <f aca="false">IF(OR($A815="",$C815="",$D815=""),"",$C815*$D815)</f>
        <v/>
      </c>
    </row>
    <row r="816" customFormat="false" ht="15" hidden="false" customHeight="false" outlineLevel="0" collapsed="false">
      <c r="A816" s="23"/>
      <c r="B816" s="23"/>
      <c r="C816" s="23"/>
      <c r="D816" s="23"/>
      <c r="E816" s="28" t="str">
        <f aca="false">IF(OR($A816="",$C816="",$D816=""),"",$C816*$D816)</f>
        <v/>
      </c>
    </row>
    <row r="817" customFormat="false" ht="15" hidden="false" customHeight="false" outlineLevel="0" collapsed="false">
      <c r="A817" s="23"/>
      <c r="B817" s="23"/>
      <c r="C817" s="23"/>
      <c r="D817" s="23"/>
      <c r="E817" s="28" t="str">
        <f aca="false">IF(OR($A817="",$C817="",$D817=""),"",$C817*$D817)</f>
        <v/>
      </c>
    </row>
    <row r="818" customFormat="false" ht="15" hidden="false" customHeight="false" outlineLevel="0" collapsed="false">
      <c r="A818" s="23"/>
      <c r="B818" s="23"/>
      <c r="C818" s="23"/>
      <c r="D818" s="23"/>
      <c r="E818" s="28" t="str">
        <f aca="false">IF(OR($A818="",$C818="",$D818=""),"",$C818*$D818)</f>
        <v/>
      </c>
    </row>
    <row r="819" customFormat="false" ht="15" hidden="false" customHeight="false" outlineLevel="0" collapsed="false">
      <c r="A819" s="23"/>
      <c r="B819" s="23"/>
      <c r="C819" s="23"/>
      <c r="D819" s="23"/>
      <c r="E819" s="28" t="str">
        <f aca="false">IF(OR($A819="",$C819="",$D819=""),"",$C819*$D819)</f>
        <v/>
      </c>
    </row>
    <row r="820" customFormat="false" ht="15" hidden="false" customHeight="false" outlineLevel="0" collapsed="false">
      <c r="A820" s="23"/>
      <c r="B820" s="23"/>
      <c r="C820" s="23"/>
      <c r="D820" s="23"/>
      <c r="E820" s="28" t="str">
        <f aca="false">IF(OR($A820="",$C820="",$D820=""),"",$C820*$D820)</f>
        <v/>
      </c>
    </row>
    <row r="821" customFormat="false" ht="15" hidden="false" customHeight="false" outlineLevel="0" collapsed="false">
      <c r="A821" s="23"/>
      <c r="B821" s="23"/>
      <c r="C821" s="23"/>
      <c r="D821" s="23"/>
      <c r="E821" s="28" t="str">
        <f aca="false">IF(OR($A821="",$C821="",$D821=""),"",$C821*$D821)</f>
        <v/>
      </c>
    </row>
    <row r="822" customFormat="false" ht="15" hidden="false" customHeight="false" outlineLevel="0" collapsed="false">
      <c r="A822" s="23"/>
      <c r="B822" s="23"/>
      <c r="C822" s="23"/>
      <c r="D822" s="23"/>
      <c r="E822" s="28" t="str">
        <f aca="false">IF(OR($A822="",$C822="",$D822=""),"",$C822*$D822)</f>
        <v/>
      </c>
    </row>
    <row r="823" customFormat="false" ht="15" hidden="false" customHeight="false" outlineLevel="0" collapsed="false">
      <c r="A823" s="23"/>
      <c r="B823" s="23"/>
      <c r="C823" s="23"/>
      <c r="D823" s="23"/>
      <c r="E823" s="28" t="str">
        <f aca="false">IF(OR($A823="",$C823="",$D823=""),"",$C823*$D823)</f>
        <v/>
      </c>
    </row>
    <row r="824" customFormat="false" ht="15" hidden="false" customHeight="false" outlineLevel="0" collapsed="false">
      <c r="A824" s="23"/>
      <c r="B824" s="23"/>
      <c r="C824" s="23"/>
      <c r="D824" s="23"/>
      <c r="E824" s="28" t="str">
        <f aca="false">IF(OR($A824="",$C824="",$D824=""),"",$C824*$D824)</f>
        <v/>
      </c>
    </row>
    <row r="825" customFormat="false" ht="15" hidden="false" customHeight="false" outlineLevel="0" collapsed="false">
      <c r="A825" s="23"/>
      <c r="B825" s="23"/>
      <c r="C825" s="23"/>
      <c r="D825" s="23"/>
      <c r="E825" s="28" t="str">
        <f aca="false">IF(OR($A825="",$C825="",$D825=""),"",$C825*$D825)</f>
        <v/>
      </c>
    </row>
    <row r="826" customFormat="false" ht="15" hidden="false" customHeight="false" outlineLevel="0" collapsed="false">
      <c r="A826" s="23"/>
      <c r="B826" s="23"/>
      <c r="C826" s="23"/>
      <c r="D826" s="23"/>
      <c r="E826" s="28" t="str">
        <f aca="false">IF(OR($A826="",$C826="",$D826=""),"",$C826*$D826)</f>
        <v/>
      </c>
    </row>
    <row r="827" customFormat="false" ht="15" hidden="false" customHeight="false" outlineLevel="0" collapsed="false">
      <c r="A827" s="23"/>
      <c r="B827" s="23"/>
      <c r="C827" s="23"/>
      <c r="D827" s="23"/>
      <c r="E827" s="28" t="str">
        <f aca="false">IF(OR($A827="",$C827="",$D827=""),"",$C827*$D827)</f>
        <v/>
      </c>
    </row>
    <row r="828" customFormat="false" ht="15" hidden="false" customHeight="false" outlineLevel="0" collapsed="false">
      <c r="A828" s="23"/>
      <c r="B828" s="23"/>
      <c r="C828" s="23"/>
      <c r="D828" s="23"/>
      <c r="E828" s="28" t="str">
        <f aca="false">IF(OR($A828="",$C828="",$D828=""),"",$C828*$D828)</f>
        <v/>
      </c>
    </row>
    <row r="829" customFormat="false" ht="15" hidden="false" customHeight="false" outlineLevel="0" collapsed="false">
      <c r="A829" s="23"/>
      <c r="B829" s="23"/>
      <c r="C829" s="23"/>
      <c r="D829" s="23"/>
      <c r="E829" s="28" t="str">
        <f aca="false">IF(OR($A829="",$C829="",$D829=""),"",$C829*$D829)</f>
        <v/>
      </c>
    </row>
    <row r="830" customFormat="false" ht="15" hidden="false" customHeight="false" outlineLevel="0" collapsed="false">
      <c r="A830" s="23"/>
      <c r="B830" s="23"/>
      <c r="C830" s="23"/>
      <c r="D830" s="23"/>
      <c r="E830" s="28" t="str">
        <f aca="false">IF(OR($A830="",$C830="",$D830=""),"",$C830*$D830)</f>
        <v/>
      </c>
    </row>
    <row r="831" customFormat="false" ht="15" hidden="false" customHeight="false" outlineLevel="0" collapsed="false">
      <c r="A831" s="23"/>
      <c r="B831" s="23"/>
      <c r="C831" s="23"/>
      <c r="D831" s="23"/>
      <c r="E831" s="28" t="str">
        <f aca="false">IF(OR($A831="",$C831="",$D831=""),"",$C831*$D831)</f>
        <v/>
      </c>
    </row>
    <row r="832" customFormat="false" ht="15" hidden="false" customHeight="false" outlineLevel="0" collapsed="false">
      <c r="A832" s="23"/>
      <c r="B832" s="23"/>
      <c r="C832" s="23"/>
      <c r="D832" s="23"/>
      <c r="E832" s="28" t="str">
        <f aca="false">IF(OR($A832="",$C832="",$D832=""),"",$C832*$D832)</f>
        <v/>
      </c>
    </row>
    <row r="833" customFormat="false" ht="15" hidden="false" customHeight="false" outlineLevel="0" collapsed="false">
      <c r="A833" s="23"/>
      <c r="B833" s="23"/>
      <c r="C833" s="23"/>
      <c r="D833" s="23"/>
      <c r="E833" s="28" t="str">
        <f aca="false">IF(OR($A833="",$C833="",$D833=""),"",$C833*$D833)</f>
        <v/>
      </c>
    </row>
    <row r="834" customFormat="false" ht="15" hidden="false" customHeight="false" outlineLevel="0" collapsed="false">
      <c r="A834" s="23"/>
      <c r="B834" s="23"/>
      <c r="C834" s="23"/>
      <c r="D834" s="23"/>
      <c r="E834" s="28" t="str">
        <f aca="false">IF(OR($A834="",$C834="",$D834=""),"",$C834*$D834)</f>
        <v/>
      </c>
    </row>
    <row r="835" customFormat="false" ht="15" hidden="false" customHeight="false" outlineLevel="0" collapsed="false">
      <c r="A835" s="23"/>
      <c r="B835" s="23"/>
      <c r="C835" s="23"/>
      <c r="D835" s="23"/>
      <c r="E835" s="28" t="str">
        <f aca="false">IF(OR($A835="",$C835="",$D835=""),"",$C835*$D835)</f>
        <v/>
      </c>
    </row>
    <row r="836" customFormat="false" ht="15" hidden="false" customHeight="false" outlineLevel="0" collapsed="false">
      <c r="A836" s="23"/>
      <c r="B836" s="23"/>
      <c r="C836" s="23"/>
      <c r="D836" s="23"/>
      <c r="E836" s="28" t="str">
        <f aca="false">IF(OR($A836="",$C836="",$D836=""),"",$C836*$D836)</f>
        <v/>
      </c>
    </row>
    <row r="837" customFormat="false" ht="15" hidden="false" customHeight="false" outlineLevel="0" collapsed="false">
      <c r="A837" s="23"/>
      <c r="B837" s="23"/>
      <c r="C837" s="23"/>
      <c r="D837" s="23"/>
      <c r="E837" s="28" t="str">
        <f aca="false">IF(OR($A837="",$C837="",$D837=""),"",$C837*$D837)</f>
        <v/>
      </c>
    </row>
    <row r="838" customFormat="false" ht="15" hidden="false" customHeight="false" outlineLevel="0" collapsed="false">
      <c r="A838" s="23"/>
      <c r="B838" s="23"/>
      <c r="C838" s="23"/>
      <c r="D838" s="23"/>
      <c r="E838" s="28" t="str">
        <f aca="false">IF(OR($A838="",$C838="",$D838=""),"",$C838*$D838)</f>
        <v/>
      </c>
    </row>
    <row r="839" customFormat="false" ht="15" hidden="false" customHeight="false" outlineLevel="0" collapsed="false">
      <c r="A839" s="23"/>
      <c r="B839" s="23"/>
      <c r="C839" s="23"/>
      <c r="D839" s="23"/>
      <c r="E839" s="28" t="str">
        <f aca="false">IF(OR($A839="",$C839="",$D839=""),"",$C839*$D839)</f>
        <v/>
      </c>
    </row>
    <row r="840" customFormat="false" ht="15" hidden="false" customHeight="false" outlineLevel="0" collapsed="false">
      <c r="A840" s="23"/>
      <c r="B840" s="23"/>
      <c r="C840" s="23"/>
      <c r="D840" s="23"/>
      <c r="E840" s="28" t="str">
        <f aca="false">IF(OR($A840="",$C840="",$D840=""),"",$C840*$D840)</f>
        <v/>
      </c>
    </row>
    <row r="841" customFormat="false" ht="15" hidden="false" customHeight="false" outlineLevel="0" collapsed="false">
      <c r="A841" s="23"/>
      <c r="B841" s="23"/>
      <c r="C841" s="23"/>
      <c r="D841" s="23"/>
      <c r="E841" s="28" t="str">
        <f aca="false">IF(OR($A841="",$C841="",$D841=""),"",$C841*$D841)</f>
        <v/>
      </c>
    </row>
    <row r="842" customFormat="false" ht="15" hidden="false" customHeight="false" outlineLevel="0" collapsed="false">
      <c r="A842" s="23"/>
      <c r="B842" s="23"/>
      <c r="C842" s="23"/>
      <c r="D842" s="23"/>
      <c r="E842" s="28" t="str">
        <f aca="false">IF(OR($A842="",$C842="",$D842=""),"",$C842*$D842)</f>
        <v/>
      </c>
    </row>
    <row r="843" customFormat="false" ht="15" hidden="false" customHeight="false" outlineLevel="0" collapsed="false">
      <c r="A843" s="23"/>
      <c r="B843" s="23"/>
      <c r="C843" s="23"/>
      <c r="D843" s="23"/>
      <c r="E843" s="28" t="str">
        <f aca="false">IF(OR($A843="",$C843="",$D843=""),"",$C843*$D843)</f>
        <v/>
      </c>
    </row>
    <row r="844" customFormat="false" ht="15" hidden="false" customHeight="false" outlineLevel="0" collapsed="false">
      <c r="A844" s="23"/>
      <c r="B844" s="23"/>
      <c r="C844" s="23"/>
      <c r="D844" s="23"/>
      <c r="E844" s="28" t="str">
        <f aca="false">IF(OR($A844="",$C844="",$D844=""),"",$C844*$D844)</f>
        <v/>
      </c>
    </row>
    <row r="845" customFormat="false" ht="15" hidden="false" customHeight="false" outlineLevel="0" collapsed="false">
      <c r="A845" s="23"/>
      <c r="B845" s="23"/>
      <c r="C845" s="23"/>
      <c r="D845" s="23"/>
      <c r="E845" s="28" t="str">
        <f aca="false">IF(OR($A845="",$C845="",$D845=""),"",$C845*$D845)</f>
        <v/>
      </c>
    </row>
    <row r="846" customFormat="false" ht="15" hidden="false" customHeight="false" outlineLevel="0" collapsed="false">
      <c r="A846" s="23"/>
      <c r="B846" s="23"/>
      <c r="C846" s="23"/>
      <c r="D846" s="23"/>
      <c r="E846" s="28" t="str">
        <f aca="false">IF(OR($A846="",$C846="",$D846=""),"",$C846*$D846)</f>
        <v/>
      </c>
    </row>
    <row r="847" customFormat="false" ht="15" hidden="false" customHeight="false" outlineLevel="0" collapsed="false">
      <c r="A847" s="23"/>
      <c r="B847" s="23"/>
      <c r="C847" s="23"/>
      <c r="D847" s="23"/>
      <c r="E847" s="28" t="str">
        <f aca="false">IF(OR($A847="",$C847="",$D847=""),"",$C847*$D847)</f>
        <v/>
      </c>
    </row>
    <row r="848" customFormat="false" ht="15" hidden="false" customHeight="false" outlineLevel="0" collapsed="false">
      <c r="A848" s="23"/>
      <c r="B848" s="23"/>
      <c r="C848" s="23"/>
      <c r="D848" s="23"/>
      <c r="E848" s="28" t="str">
        <f aca="false">IF(OR($A848="",$C848="",$D848=""),"",$C848*$D848)</f>
        <v/>
      </c>
    </row>
    <row r="849" customFormat="false" ht="15" hidden="false" customHeight="false" outlineLevel="0" collapsed="false">
      <c r="A849" s="23"/>
      <c r="B849" s="23"/>
      <c r="C849" s="23"/>
      <c r="D849" s="23"/>
      <c r="E849" s="28" t="str">
        <f aca="false">IF(OR($A849="",$C849="",$D849=""),"",$C849*$D849)</f>
        <v/>
      </c>
    </row>
    <row r="850" customFormat="false" ht="15" hidden="false" customHeight="false" outlineLevel="0" collapsed="false">
      <c r="A850" s="23"/>
      <c r="B850" s="23"/>
      <c r="C850" s="23"/>
      <c r="D850" s="23"/>
      <c r="E850" s="28" t="str">
        <f aca="false">IF(OR($A850="",$C850="",$D850=""),"",$C850*$D850)</f>
        <v/>
      </c>
    </row>
    <row r="851" customFormat="false" ht="15" hidden="false" customHeight="false" outlineLevel="0" collapsed="false">
      <c r="A851" s="23"/>
      <c r="B851" s="23"/>
      <c r="C851" s="23"/>
      <c r="D851" s="23"/>
      <c r="E851" s="28" t="str">
        <f aca="false">IF(OR($A851="",$C851="",$D851=""),"",$C851*$D851)</f>
        <v/>
      </c>
    </row>
    <row r="852" customFormat="false" ht="15" hidden="false" customHeight="false" outlineLevel="0" collapsed="false">
      <c r="A852" s="23"/>
      <c r="B852" s="23"/>
      <c r="C852" s="23"/>
      <c r="D852" s="23"/>
      <c r="E852" s="28" t="str">
        <f aca="false">IF(OR($A852="",$C852="",$D852=""),"",$C852*$D852)</f>
        <v/>
      </c>
    </row>
    <row r="853" customFormat="false" ht="15" hidden="false" customHeight="false" outlineLevel="0" collapsed="false">
      <c r="A853" s="23"/>
      <c r="B853" s="23"/>
      <c r="C853" s="23"/>
      <c r="D853" s="23"/>
      <c r="E853" s="28" t="str">
        <f aca="false">IF(OR($A853="",$C853="",$D853=""),"",$C853*$D853)</f>
        <v/>
      </c>
    </row>
    <row r="854" customFormat="false" ht="15" hidden="false" customHeight="false" outlineLevel="0" collapsed="false">
      <c r="A854" s="23"/>
      <c r="B854" s="23"/>
      <c r="C854" s="23"/>
      <c r="D854" s="23"/>
      <c r="E854" s="28" t="str">
        <f aca="false">IF(OR($A854="",$C854="",$D854=""),"",$C854*$D854)</f>
        <v/>
      </c>
    </row>
    <row r="855" customFormat="false" ht="15" hidden="false" customHeight="false" outlineLevel="0" collapsed="false">
      <c r="A855" s="23"/>
      <c r="B855" s="23"/>
      <c r="C855" s="23"/>
      <c r="D855" s="23"/>
      <c r="E855" s="28" t="str">
        <f aca="false">IF(OR($A855="",$C855="",$D855=""),"",$C855*$D855)</f>
        <v/>
      </c>
    </row>
    <row r="856" customFormat="false" ht="15" hidden="false" customHeight="false" outlineLevel="0" collapsed="false">
      <c r="A856" s="23"/>
      <c r="B856" s="23"/>
      <c r="C856" s="23"/>
      <c r="D856" s="23"/>
      <c r="E856" s="28" t="str">
        <f aca="false">IF(OR($A856="",$C856="",$D856=""),"",$C856*$D856)</f>
        <v/>
      </c>
    </row>
    <row r="857" customFormat="false" ht="15" hidden="false" customHeight="false" outlineLevel="0" collapsed="false">
      <c r="A857" s="23"/>
      <c r="B857" s="23"/>
      <c r="C857" s="23"/>
      <c r="D857" s="23"/>
      <c r="E857" s="28" t="str">
        <f aca="false">IF(OR($A857="",$C857="",$D857=""),"",$C857*$D857)</f>
        <v/>
      </c>
    </row>
    <row r="858" customFormat="false" ht="15" hidden="false" customHeight="false" outlineLevel="0" collapsed="false">
      <c r="A858" s="23"/>
      <c r="B858" s="23"/>
      <c r="C858" s="23"/>
      <c r="D858" s="23"/>
      <c r="E858" s="28" t="str">
        <f aca="false">IF(OR($A858="",$C858="",$D858=""),"",$C858*$D858)</f>
        <v/>
      </c>
    </row>
    <row r="859" customFormat="false" ht="15" hidden="false" customHeight="false" outlineLevel="0" collapsed="false">
      <c r="A859" s="23"/>
      <c r="B859" s="23"/>
      <c r="C859" s="23"/>
      <c r="D859" s="23"/>
      <c r="E859" s="28" t="str">
        <f aca="false">IF(OR($A859="",$C859="",$D859=""),"",$C859*$D859)</f>
        <v/>
      </c>
    </row>
    <row r="860" customFormat="false" ht="15" hidden="false" customHeight="false" outlineLevel="0" collapsed="false">
      <c r="A860" s="23"/>
      <c r="B860" s="23"/>
      <c r="C860" s="23"/>
      <c r="D860" s="23"/>
      <c r="E860" s="28" t="str">
        <f aca="false">IF(OR($A860="",$C860="",$D860=""),"",$C860*$D860)</f>
        <v/>
      </c>
    </row>
    <row r="861" customFormat="false" ht="15" hidden="false" customHeight="false" outlineLevel="0" collapsed="false">
      <c r="A861" s="23"/>
      <c r="B861" s="23"/>
      <c r="C861" s="23"/>
      <c r="D861" s="23"/>
      <c r="E861" s="28" t="str">
        <f aca="false">IF(OR($A861="",$C861="",$D861=""),"",$C861*$D861)</f>
        <v/>
      </c>
    </row>
    <row r="862" customFormat="false" ht="15" hidden="false" customHeight="false" outlineLevel="0" collapsed="false">
      <c r="A862" s="23"/>
      <c r="B862" s="23"/>
      <c r="C862" s="23"/>
      <c r="D862" s="23"/>
      <c r="E862" s="28" t="str">
        <f aca="false">IF(OR($A862="",$C862="",$D862=""),"",$C862*$D862)</f>
        <v/>
      </c>
    </row>
    <row r="863" customFormat="false" ht="15" hidden="false" customHeight="false" outlineLevel="0" collapsed="false">
      <c r="A863" s="23"/>
      <c r="B863" s="23"/>
      <c r="C863" s="23"/>
      <c r="D863" s="23"/>
      <c r="E863" s="28" t="str">
        <f aca="false">IF(OR($A863="",$C863="",$D863=""),"",$C863*$D863)</f>
        <v/>
      </c>
    </row>
    <row r="864" customFormat="false" ht="15" hidden="false" customHeight="false" outlineLevel="0" collapsed="false">
      <c r="A864" s="23"/>
      <c r="B864" s="23"/>
      <c r="C864" s="23"/>
      <c r="D864" s="23"/>
      <c r="E864" s="28" t="str">
        <f aca="false">IF(OR($A864="",$C864="",$D864=""),"",$C864*$D864)</f>
        <v/>
      </c>
    </row>
    <row r="865" customFormat="false" ht="15" hidden="false" customHeight="false" outlineLevel="0" collapsed="false">
      <c r="A865" s="23"/>
      <c r="B865" s="23"/>
      <c r="C865" s="23"/>
      <c r="D865" s="23"/>
      <c r="E865" s="28" t="str">
        <f aca="false">IF(OR($A865="",$C865="",$D865=""),"",$C865*$D865)</f>
        <v/>
      </c>
    </row>
    <row r="866" customFormat="false" ht="15" hidden="false" customHeight="false" outlineLevel="0" collapsed="false">
      <c r="A866" s="23"/>
      <c r="B866" s="23"/>
      <c r="C866" s="23"/>
      <c r="D866" s="23"/>
      <c r="E866" s="28" t="str">
        <f aca="false">IF(OR($A866="",$C866="",$D866=""),"",$C866*$D866)</f>
        <v/>
      </c>
    </row>
    <row r="867" customFormat="false" ht="15" hidden="false" customHeight="false" outlineLevel="0" collapsed="false">
      <c r="A867" s="23"/>
      <c r="B867" s="23"/>
      <c r="C867" s="23"/>
      <c r="D867" s="23"/>
      <c r="E867" s="28" t="str">
        <f aca="false">IF(OR($A867="",$C867="",$D867=""),"",$C867*$D867)</f>
        <v/>
      </c>
    </row>
    <row r="868" customFormat="false" ht="15" hidden="false" customHeight="false" outlineLevel="0" collapsed="false">
      <c r="A868" s="23"/>
      <c r="B868" s="23"/>
      <c r="C868" s="23"/>
      <c r="D868" s="23"/>
      <c r="E868" s="28" t="str">
        <f aca="false">IF(OR($A868="",$C868="",$D868=""),"",$C868*$D868)</f>
        <v/>
      </c>
    </row>
    <row r="869" customFormat="false" ht="15" hidden="false" customHeight="false" outlineLevel="0" collapsed="false">
      <c r="A869" s="23"/>
      <c r="B869" s="23"/>
      <c r="C869" s="23"/>
      <c r="D869" s="23"/>
      <c r="E869" s="28" t="str">
        <f aca="false">IF(OR($A869="",$C869="",$D869=""),"",$C869*$D869)</f>
        <v/>
      </c>
    </row>
    <row r="870" customFormat="false" ht="15" hidden="false" customHeight="false" outlineLevel="0" collapsed="false">
      <c r="A870" s="23"/>
      <c r="B870" s="23"/>
      <c r="C870" s="23"/>
      <c r="D870" s="23"/>
      <c r="E870" s="28" t="str">
        <f aca="false">IF(OR($A870="",$C870="",$D870=""),"",$C870*$D870)</f>
        <v/>
      </c>
    </row>
    <row r="871" customFormat="false" ht="15" hidden="false" customHeight="false" outlineLevel="0" collapsed="false">
      <c r="A871" s="23"/>
      <c r="B871" s="23"/>
      <c r="C871" s="23"/>
      <c r="D871" s="23"/>
      <c r="E871" s="28" t="str">
        <f aca="false">IF(OR($A871="",$C871="",$D871=""),"",$C871*$D871)</f>
        <v/>
      </c>
    </row>
    <row r="872" customFormat="false" ht="15" hidden="false" customHeight="false" outlineLevel="0" collapsed="false">
      <c r="A872" s="23"/>
      <c r="B872" s="23"/>
      <c r="C872" s="23"/>
      <c r="D872" s="23"/>
      <c r="E872" s="28" t="str">
        <f aca="false">IF(OR($A872="",$C872="",$D872=""),"",$C872*$D872)</f>
        <v/>
      </c>
    </row>
    <row r="873" customFormat="false" ht="15" hidden="false" customHeight="false" outlineLevel="0" collapsed="false">
      <c r="A873" s="23"/>
      <c r="B873" s="23"/>
      <c r="C873" s="23"/>
      <c r="D873" s="23"/>
      <c r="E873" s="28" t="str">
        <f aca="false">IF(OR($A873="",$C873="",$D873=""),"",$C873*$D873)</f>
        <v/>
      </c>
    </row>
    <row r="874" customFormat="false" ht="15" hidden="false" customHeight="false" outlineLevel="0" collapsed="false">
      <c r="A874" s="23"/>
      <c r="B874" s="23"/>
      <c r="C874" s="23"/>
      <c r="D874" s="23"/>
      <c r="E874" s="28" t="str">
        <f aca="false">IF(OR($A874="",$C874="",$D874=""),"",$C874*$D874)</f>
        <v/>
      </c>
    </row>
    <row r="875" customFormat="false" ht="15" hidden="false" customHeight="false" outlineLevel="0" collapsed="false">
      <c r="A875" s="23"/>
      <c r="B875" s="23"/>
      <c r="C875" s="23"/>
      <c r="D875" s="23"/>
      <c r="E875" s="28" t="str">
        <f aca="false">IF(OR($A875="",$C875="",$D875=""),"",$C875*$D875)</f>
        <v/>
      </c>
    </row>
    <row r="876" customFormat="false" ht="15" hidden="false" customHeight="false" outlineLevel="0" collapsed="false">
      <c r="A876" s="23"/>
      <c r="B876" s="23"/>
      <c r="C876" s="23"/>
      <c r="D876" s="23"/>
      <c r="E876" s="28" t="str">
        <f aca="false">IF(OR($A876="",$C876="",$D876=""),"",$C876*$D876)</f>
        <v/>
      </c>
    </row>
    <row r="877" customFormat="false" ht="15" hidden="false" customHeight="false" outlineLevel="0" collapsed="false">
      <c r="A877" s="23"/>
      <c r="B877" s="23"/>
      <c r="C877" s="23"/>
      <c r="D877" s="23"/>
      <c r="E877" s="28" t="str">
        <f aca="false">IF(OR($A877="",$C877="",$D877=""),"",$C877*$D877)</f>
        <v/>
      </c>
    </row>
    <row r="878" customFormat="false" ht="15" hidden="false" customHeight="false" outlineLevel="0" collapsed="false">
      <c r="A878" s="23"/>
      <c r="B878" s="23"/>
      <c r="C878" s="23"/>
      <c r="D878" s="23"/>
      <c r="E878" s="28" t="str">
        <f aca="false">IF(OR($A878="",$C878="",$D878=""),"",$C878*$D878)</f>
        <v/>
      </c>
    </row>
    <row r="879" customFormat="false" ht="15" hidden="false" customHeight="false" outlineLevel="0" collapsed="false">
      <c r="A879" s="23"/>
      <c r="B879" s="23"/>
      <c r="C879" s="23"/>
      <c r="D879" s="23"/>
      <c r="E879" s="28" t="str">
        <f aca="false">IF(OR($A879="",$C879="",$D879=""),"",$C879*$D879)</f>
        <v/>
      </c>
    </row>
    <row r="880" customFormat="false" ht="15" hidden="false" customHeight="false" outlineLevel="0" collapsed="false">
      <c r="A880" s="23"/>
      <c r="B880" s="23"/>
      <c r="C880" s="23"/>
      <c r="D880" s="23"/>
      <c r="E880" s="28" t="str">
        <f aca="false">IF(OR($A880="",$C880="",$D880=""),"",$C880*$D880)</f>
        <v/>
      </c>
    </row>
    <row r="881" customFormat="false" ht="15" hidden="false" customHeight="false" outlineLevel="0" collapsed="false">
      <c r="A881" s="23"/>
      <c r="B881" s="23"/>
      <c r="C881" s="23"/>
      <c r="D881" s="23"/>
      <c r="E881" s="28" t="str">
        <f aca="false">IF(OR($A881="",$C881="",$D881=""),"",$C881*$D881)</f>
        <v/>
      </c>
    </row>
    <row r="882" customFormat="false" ht="15" hidden="false" customHeight="false" outlineLevel="0" collapsed="false">
      <c r="A882" s="23"/>
      <c r="B882" s="23"/>
      <c r="C882" s="23"/>
      <c r="D882" s="23"/>
      <c r="E882" s="28" t="str">
        <f aca="false">IF(OR($A882="",$C882="",$D882=""),"",$C882*$D882)</f>
        <v/>
      </c>
    </row>
    <row r="883" customFormat="false" ht="15" hidden="false" customHeight="false" outlineLevel="0" collapsed="false">
      <c r="A883" s="23"/>
      <c r="B883" s="23"/>
      <c r="C883" s="23"/>
      <c r="D883" s="23"/>
      <c r="E883" s="28" t="str">
        <f aca="false">IF(OR($A883="",$C883="",$D883=""),"",$C883*$D883)</f>
        <v/>
      </c>
    </row>
    <row r="884" customFormat="false" ht="15" hidden="false" customHeight="false" outlineLevel="0" collapsed="false">
      <c r="A884" s="23"/>
      <c r="B884" s="23"/>
      <c r="C884" s="23"/>
      <c r="D884" s="23"/>
      <c r="E884" s="28" t="str">
        <f aca="false">IF(OR($A884="",$C884="",$D884=""),"",$C884*$D884)</f>
        <v/>
      </c>
    </row>
    <row r="885" customFormat="false" ht="15" hidden="false" customHeight="false" outlineLevel="0" collapsed="false">
      <c r="A885" s="23"/>
      <c r="B885" s="23"/>
      <c r="C885" s="23"/>
      <c r="D885" s="23"/>
      <c r="E885" s="28" t="str">
        <f aca="false">IF(OR($A885="",$C885="",$D885=""),"",$C885*$D885)</f>
        <v/>
      </c>
    </row>
    <row r="886" customFormat="false" ht="15" hidden="false" customHeight="false" outlineLevel="0" collapsed="false">
      <c r="A886" s="23"/>
      <c r="B886" s="23"/>
      <c r="C886" s="23"/>
      <c r="D886" s="23"/>
      <c r="E886" s="28" t="str">
        <f aca="false">IF(OR($A886="",$C886="",$D886=""),"",$C886*$D886)</f>
        <v/>
      </c>
    </row>
    <row r="887" customFormat="false" ht="15" hidden="false" customHeight="false" outlineLevel="0" collapsed="false">
      <c r="A887" s="23"/>
      <c r="B887" s="23"/>
      <c r="C887" s="23"/>
      <c r="D887" s="23"/>
      <c r="E887" s="28" t="str">
        <f aca="false">IF(OR($A887="",$C887="",$D887=""),"",$C887*$D887)</f>
        <v/>
      </c>
    </row>
    <row r="888" customFormat="false" ht="15" hidden="false" customHeight="false" outlineLevel="0" collapsed="false">
      <c r="A888" s="23"/>
      <c r="B888" s="23"/>
      <c r="C888" s="23"/>
      <c r="D888" s="23"/>
      <c r="E888" s="28" t="str">
        <f aca="false">IF(OR($A888="",$C888="",$D888=""),"",$C888*$D888)</f>
        <v/>
      </c>
    </row>
    <row r="889" customFormat="false" ht="15" hidden="false" customHeight="false" outlineLevel="0" collapsed="false">
      <c r="A889" s="23"/>
      <c r="B889" s="23"/>
      <c r="C889" s="23"/>
      <c r="D889" s="23"/>
      <c r="E889" s="28" t="str">
        <f aca="false">IF(OR($A889="",$C889="",$D889=""),"",$C889*$D889)</f>
        <v/>
      </c>
    </row>
    <row r="890" customFormat="false" ht="15" hidden="false" customHeight="false" outlineLevel="0" collapsed="false">
      <c r="A890" s="23"/>
      <c r="B890" s="23"/>
      <c r="C890" s="23"/>
      <c r="D890" s="23"/>
      <c r="E890" s="28" t="str">
        <f aca="false">IF(OR($A890="",$C890="",$D890=""),"",$C890*$D890)</f>
        <v/>
      </c>
    </row>
    <row r="891" customFormat="false" ht="15" hidden="false" customHeight="false" outlineLevel="0" collapsed="false">
      <c r="A891" s="23"/>
      <c r="B891" s="23"/>
      <c r="C891" s="23"/>
      <c r="D891" s="23"/>
      <c r="E891" s="28" t="str">
        <f aca="false">IF(OR($A891="",$C891="",$D891=""),"",$C891*$D891)</f>
        <v/>
      </c>
    </row>
    <row r="892" customFormat="false" ht="15" hidden="false" customHeight="false" outlineLevel="0" collapsed="false">
      <c r="A892" s="23"/>
      <c r="B892" s="23"/>
      <c r="C892" s="23"/>
      <c r="D892" s="23"/>
      <c r="E892" s="28" t="str">
        <f aca="false">IF(OR($A892="",$C892="",$D892=""),"",$C892*$D892)</f>
        <v/>
      </c>
    </row>
    <row r="893" customFormat="false" ht="15" hidden="false" customHeight="false" outlineLevel="0" collapsed="false">
      <c r="A893" s="23"/>
      <c r="B893" s="23"/>
      <c r="C893" s="23"/>
      <c r="D893" s="23"/>
      <c r="E893" s="28" t="str">
        <f aca="false">IF(OR($A893="",$C893="",$D893=""),"",$C893*$D893)</f>
        <v/>
      </c>
    </row>
    <row r="894" customFormat="false" ht="15" hidden="false" customHeight="false" outlineLevel="0" collapsed="false">
      <c r="A894" s="23"/>
      <c r="B894" s="23"/>
      <c r="C894" s="23"/>
      <c r="D894" s="23"/>
      <c r="E894" s="28" t="str">
        <f aca="false">IF(OR($A894="",$C894="",$D894=""),"",$C894*$D894)</f>
        <v/>
      </c>
    </row>
    <row r="895" customFormat="false" ht="15" hidden="false" customHeight="false" outlineLevel="0" collapsed="false">
      <c r="A895" s="23"/>
      <c r="B895" s="23"/>
      <c r="C895" s="23"/>
      <c r="D895" s="23"/>
      <c r="E895" s="28" t="str">
        <f aca="false">IF(OR($A895="",$C895="",$D895=""),"",$C895*$D895)</f>
        <v/>
      </c>
    </row>
    <row r="896" customFormat="false" ht="15" hidden="false" customHeight="false" outlineLevel="0" collapsed="false">
      <c r="A896" s="23"/>
      <c r="B896" s="23"/>
      <c r="C896" s="23"/>
      <c r="D896" s="23"/>
      <c r="E896" s="28" t="str">
        <f aca="false">IF(OR($A896="",$C896="",$D896=""),"",$C896*$D896)</f>
        <v/>
      </c>
    </row>
    <row r="897" customFormat="false" ht="15" hidden="false" customHeight="false" outlineLevel="0" collapsed="false">
      <c r="A897" s="23"/>
      <c r="B897" s="23"/>
      <c r="C897" s="23"/>
      <c r="D897" s="23"/>
      <c r="E897" s="28" t="str">
        <f aca="false">IF(OR($A897="",$C897="",$D897=""),"",$C897*$D897)</f>
        <v/>
      </c>
    </row>
    <row r="898" customFormat="false" ht="15" hidden="false" customHeight="false" outlineLevel="0" collapsed="false">
      <c r="A898" s="23"/>
      <c r="B898" s="23"/>
      <c r="C898" s="23"/>
      <c r="D898" s="23"/>
      <c r="E898" s="28" t="str">
        <f aca="false">IF(OR($A898="",$C898="",$D898=""),"",$C898*$D898)</f>
        <v/>
      </c>
    </row>
    <row r="899" customFormat="false" ht="15" hidden="false" customHeight="false" outlineLevel="0" collapsed="false">
      <c r="A899" s="23"/>
      <c r="B899" s="23"/>
      <c r="C899" s="23"/>
      <c r="D899" s="23"/>
      <c r="E899" s="28" t="str">
        <f aca="false">IF(OR($A899="",$C899="",$D899=""),"",$C899*$D899)</f>
        <v/>
      </c>
    </row>
    <row r="900" customFormat="false" ht="15" hidden="false" customHeight="false" outlineLevel="0" collapsed="false">
      <c r="A900" s="23"/>
      <c r="B900" s="23"/>
      <c r="C900" s="23"/>
      <c r="D900" s="23"/>
      <c r="E900" s="28" t="str">
        <f aca="false">IF(OR($A900="",$C900="",$D900=""),"",$C900*$D900)</f>
        <v/>
      </c>
    </row>
    <row r="901" customFormat="false" ht="15" hidden="false" customHeight="false" outlineLevel="0" collapsed="false">
      <c r="A901" s="23"/>
      <c r="B901" s="23"/>
      <c r="C901" s="23"/>
      <c r="D901" s="23"/>
      <c r="E901" s="28" t="str">
        <f aca="false">IF(OR($A901="",$C901="",$D901=""),"",$C901*$D901)</f>
        <v/>
      </c>
    </row>
    <row r="902" customFormat="false" ht="15" hidden="false" customHeight="false" outlineLevel="0" collapsed="false">
      <c r="A902" s="23"/>
      <c r="B902" s="23"/>
      <c r="C902" s="23"/>
      <c r="D902" s="23"/>
      <c r="E902" s="28" t="str">
        <f aca="false">IF(OR($A902="",$C902="",$D902=""),"",$C902*$D902)</f>
        <v/>
      </c>
    </row>
    <row r="903" customFormat="false" ht="15" hidden="false" customHeight="false" outlineLevel="0" collapsed="false">
      <c r="A903" s="23"/>
      <c r="B903" s="23"/>
      <c r="C903" s="23"/>
      <c r="D903" s="23"/>
      <c r="E903" s="28" t="str">
        <f aca="false">IF(OR($A903="",$C903="",$D903=""),"",$C903*$D903)</f>
        <v/>
      </c>
    </row>
    <row r="904" customFormat="false" ht="15" hidden="false" customHeight="false" outlineLevel="0" collapsed="false">
      <c r="A904" s="23"/>
      <c r="B904" s="23"/>
      <c r="C904" s="23"/>
      <c r="D904" s="23"/>
      <c r="E904" s="28" t="str">
        <f aca="false">IF(OR($A904="",$C904="",$D904=""),"",$C904*$D904)</f>
        <v/>
      </c>
    </row>
    <row r="905" customFormat="false" ht="15" hidden="false" customHeight="false" outlineLevel="0" collapsed="false">
      <c r="A905" s="23"/>
      <c r="B905" s="23"/>
      <c r="C905" s="23"/>
      <c r="D905" s="23"/>
      <c r="E905" s="28" t="str">
        <f aca="false">IF(OR($A905="",$C905="",$D905=""),"",$C905*$D905)</f>
        <v/>
      </c>
    </row>
    <row r="906" customFormat="false" ht="15" hidden="false" customHeight="false" outlineLevel="0" collapsed="false">
      <c r="A906" s="23"/>
      <c r="B906" s="23"/>
      <c r="C906" s="23"/>
      <c r="D906" s="23"/>
      <c r="E906" s="28" t="str">
        <f aca="false">IF(OR($A906="",$C906="",$D906=""),"",$C906*$D906)</f>
        <v/>
      </c>
    </row>
    <row r="907" customFormat="false" ht="15" hidden="false" customHeight="false" outlineLevel="0" collapsed="false">
      <c r="A907" s="23"/>
      <c r="B907" s="23"/>
      <c r="C907" s="23"/>
      <c r="D907" s="23"/>
      <c r="E907" s="28" t="str">
        <f aca="false">IF(OR($A907="",$C907="",$D907=""),"",$C907*$D907)</f>
        <v/>
      </c>
    </row>
    <row r="908" customFormat="false" ht="15" hidden="false" customHeight="false" outlineLevel="0" collapsed="false">
      <c r="A908" s="23"/>
      <c r="B908" s="23"/>
      <c r="C908" s="23"/>
      <c r="D908" s="23"/>
      <c r="E908" s="28" t="str">
        <f aca="false">IF(OR($A908="",$C908="",$D908=""),"",$C908*$D908)</f>
        <v/>
      </c>
    </row>
    <row r="909" customFormat="false" ht="15" hidden="false" customHeight="false" outlineLevel="0" collapsed="false">
      <c r="A909" s="23"/>
      <c r="B909" s="23"/>
      <c r="C909" s="23"/>
      <c r="D909" s="23"/>
      <c r="E909" s="28" t="str">
        <f aca="false">IF(OR($A909="",$C909="",$D909=""),"",$C909*$D909)</f>
        <v/>
      </c>
    </row>
    <row r="910" customFormat="false" ht="15" hidden="false" customHeight="false" outlineLevel="0" collapsed="false">
      <c r="A910" s="23"/>
      <c r="B910" s="23"/>
      <c r="C910" s="23"/>
      <c r="D910" s="23"/>
      <c r="E910" s="28" t="str">
        <f aca="false">IF(OR($A910="",$C910="",$D910=""),"",$C910*$D910)</f>
        <v/>
      </c>
    </row>
    <row r="911" customFormat="false" ht="15" hidden="false" customHeight="false" outlineLevel="0" collapsed="false">
      <c r="A911" s="23"/>
      <c r="B911" s="23"/>
      <c r="C911" s="23"/>
      <c r="D911" s="23"/>
      <c r="E911" s="28" t="str">
        <f aca="false">IF(OR($A911="",$C911="",$D911=""),"",$C911*$D911)</f>
        <v/>
      </c>
    </row>
    <row r="912" customFormat="false" ht="15" hidden="false" customHeight="false" outlineLevel="0" collapsed="false">
      <c r="A912" s="23"/>
      <c r="B912" s="23"/>
      <c r="C912" s="23"/>
      <c r="D912" s="23"/>
      <c r="E912" s="28" t="str">
        <f aca="false">IF(OR($A912="",$C912="",$D912=""),"",$C912*$D912)</f>
        <v/>
      </c>
    </row>
    <row r="913" customFormat="false" ht="15" hidden="false" customHeight="false" outlineLevel="0" collapsed="false">
      <c r="A913" s="23"/>
      <c r="B913" s="23"/>
      <c r="C913" s="23"/>
      <c r="D913" s="23"/>
      <c r="E913" s="28" t="str">
        <f aca="false">IF(OR($A913="",$C913="",$D913=""),"",$C913*$D913)</f>
        <v/>
      </c>
    </row>
    <row r="914" customFormat="false" ht="15" hidden="false" customHeight="false" outlineLevel="0" collapsed="false">
      <c r="A914" s="23"/>
      <c r="B914" s="23"/>
      <c r="C914" s="23"/>
      <c r="D914" s="23"/>
      <c r="E914" s="28" t="str">
        <f aca="false">IF(OR($A914="",$C914="",$D914=""),"",$C914*$D914)</f>
        <v/>
      </c>
    </row>
    <row r="915" customFormat="false" ht="15" hidden="false" customHeight="false" outlineLevel="0" collapsed="false">
      <c r="A915" s="23"/>
      <c r="B915" s="23"/>
      <c r="C915" s="23"/>
      <c r="D915" s="23"/>
      <c r="E915" s="28" t="str">
        <f aca="false">IF(OR($A915="",$C915="",$D915=""),"",$C915*$D915)</f>
        <v/>
      </c>
    </row>
    <row r="916" customFormat="false" ht="15" hidden="false" customHeight="false" outlineLevel="0" collapsed="false">
      <c r="A916" s="23"/>
      <c r="B916" s="23"/>
      <c r="C916" s="23"/>
      <c r="D916" s="23"/>
      <c r="E916" s="28" t="str">
        <f aca="false">IF(OR($A916="",$C916="",$D916=""),"",$C916*$D916)</f>
        <v/>
      </c>
    </row>
    <row r="917" customFormat="false" ht="15" hidden="false" customHeight="false" outlineLevel="0" collapsed="false">
      <c r="A917" s="23"/>
      <c r="B917" s="23"/>
      <c r="C917" s="23"/>
      <c r="D917" s="23"/>
      <c r="E917" s="28" t="str">
        <f aca="false">IF(OR($A917="",$C917="",$D917=""),"",$C917*$D917)</f>
        <v/>
      </c>
    </row>
    <row r="918" customFormat="false" ht="15" hidden="false" customHeight="false" outlineLevel="0" collapsed="false">
      <c r="A918" s="23"/>
      <c r="B918" s="23"/>
      <c r="C918" s="23"/>
      <c r="D918" s="23"/>
      <c r="E918" s="28" t="str">
        <f aca="false">IF(OR($A918="",$C918="",$D918=""),"",$C918*$D918)</f>
        <v/>
      </c>
    </row>
    <row r="919" customFormat="false" ht="15" hidden="false" customHeight="false" outlineLevel="0" collapsed="false">
      <c r="A919" s="23"/>
      <c r="B919" s="23"/>
      <c r="C919" s="23"/>
      <c r="D919" s="23"/>
      <c r="E919" s="28" t="str">
        <f aca="false">IF(OR($A919="",$C919="",$D919=""),"",$C919*$D919)</f>
        <v/>
      </c>
    </row>
    <row r="920" customFormat="false" ht="15" hidden="false" customHeight="false" outlineLevel="0" collapsed="false">
      <c r="A920" s="23"/>
      <c r="B920" s="23"/>
      <c r="C920" s="23"/>
      <c r="D920" s="23"/>
      <c r="E920" s="28" t="str">
        <f aca="false">IF(OR($A920="",$C920="",$D920=""),"",$C920*$D920)</f>
        <v/>
      </c>
    </row>
    <row r="921" customFormat="false" ht="15" hidden="false" customHeight="false" outlineLevel="0" collapsed="false">
      <c r="A921" s="23"/>
      <c r="B921" s="23"/>
      <c r="C921" s="23"/>
      <c r="D921" s="23"/>
      <c r="E921" s="28" t="str">
        <f aca="false">IF(OR($A921="",$C921="",$D921=""),"",$C921*$D921)</f>
        <v/>
      </c>
    </row>
    <row r="922" customFormat="false" ht="15" hidden="false" customHeight="false" outlineLevel="0" collapsed="false">
      <c r="A922" s="23"/>
      <c r="B922" s="23"/>
      <c r="C922" s="23"/>
      <c r="D922" s="23"/>
      <c r="E922" s="28" t="str">
        <f aca="false">IF(OR($A922="",$C922="",$D922=""),"",$C922*$D922)</f>
        <v/>
      </c>
    </row>
    <row r="923" customFormat="false" ht="15" hidden="false" customHeight="false" outlineLevel="0" collapsed="false">
      <c r="A923" s="23"/>
      <c r="B923" s="23"/>
      <c r="C923" s="23"/>
      <c r="D923" s="23"/>
      <c r="E923" s="28" t="str">
        <f aca="false">IF(OR($A923="",$C923="",$D923=""),"",$C923*$D923)</f>
        <v/>
      </c>
    </row>
    <row r="924" customFormat="false" ht="15" hidden="false" customHeight="false" outlineLevel="0" collapsed="false">
      <c r="A924" s="23"/>
      <c r="B924" s="23"/>
      <c r="C924" s="23"/>
      <c r="D924" s="23"/>
      <c r="E924" s="28" t="str">
        <f aca="false">IF(OR($A924="",$C924="",$D924=""),"",$C924*$D924)</f>
        <v/>
      </c>
    </row>
    <row r="925" customFormat="false" ht="15" hidden="false" customHeight="false" outlineLevel="0" collapsed="false">
      <c r="A925" s="23"/>
      <c r="B925" s="23"/>
      <c r="C925" s="23"/>
      <c r="D925" s="23"/>
      <c r="E925" s="28" t="str">
        <f aca="false">IF(OR($A925="",$C925="",$D925=""),"",$C925*$D925)</f>
        <v/>
      </c>
    </row>
    <row r="926" customFormat="false" ht="15" hidden="false" customHeight="false" outlineLevel="0" collapsed="false">
      <c r="A926" s="23"/>
      <c r="B926" s="23"/>
      <c r="C926" s="23"/>
      <c r="D926" s="23"/>
      <c r="E926" s="28" t="str">
        <f aca="false">IF(OR($A926="",$C926="",$D926=""),"",$C926*$D926)</f>
        <v/>
      </c>
    </row>
    <row r="927" customFormat="false" ht="15" hidden="false" customHeight="false" outlineLevel="0" collapsed="false">
      <c r="A927" s="23"/>
      <c r="B927" s="23"/>
      <c r="C927" s="23"/>
      <c r="D927" s="23"/>
      <c r="E927" s="28" t="str">
        <f aca="false">IF(OR($A927="",$C927="",$D927=""),"",$C927*$D927)</f>
        <v/>
      </c>
    </row>
    <row r="928" customFormat="false" ht="15" hidden="false" customHeight="false" outlineLevel="0" collapsed="false">
      <c r="A928" s="23"/>
      <c r="B928" s="23"/>
      <c r="C928" s="23"/>
      <c r="D928" s="23"/>
      <c r="E928" s="28" t="str">
        <f aca="false">IF(OR($A928="",$C928="",$D928=""),"",$C928*$D928)</f>
        <v/>
      </c>
    </row>
    <row r="929" customFormat="false" ht="15" hidden="false" customHeight="false" outlineLevel="0" collapsed="false">
      <c r="A929" s="23"/>
      <c r="B929" s="23"/>
      <c r="C929" s="23"/>
      <c r="D929" s="23"/>
      <c r="E929" s="28" t="str">
        <f aca="false">IF(OR($A929="",$C929="",$D929=""),"",$C929*$D929)</f>
        <v/>
      </c>
    </row>
    <row r="930" customFormat="false" ht="15" hidden="false" customHeight="false" outlineLevel="0" collapsed="false">
      <c r="A930" s="23"/>
      <c r="B930" s="23"/>
      <c r="C930" s="23"/>
      <c r="D930" s="23"/>
      <c r="E930" s="28" t="str">
        <f aca="false">IF(OR($A930="",$C930="",$D930=""),"",$C930*$D930)</f>
        <v/>
      </c>
    </row>
    <row r="931" customFormat="false" ht="15" hidden="false" customHeight="false" outlineLevel="0" collapsed="false">
      <c r="A931" s="23"/>
      <c r="B931" s="23"/>
      <c r="C931" s="23"/>
      <c r="D931" s="23"/>
      <c r="E931" s="28" t="str">
        <f aca="false">IF(OR($A931="",$C931="",$D931=""),"",$C931*$D931)</f>
        <v/>
      </c>
    </row>
    <row r="932" customFormat="false" ht="15" hidden="false" customHeight="false" outlineLevel="0" collapsed="false">
      <c r="A932" s="23"/>
      <c r="B932" s="23"/>
      <c r="C932" s="23"/>
      <c r="D932" s="23"/>
      <c r="E932" s="28" t="str">
        <f aca="false">IF(OR($A932="",$C932="",$D932=""),"",$C932*$D932)</f>
        <v/>
      </c>
    </row>
    <row r="933" customFormat="false" ht="15" hidden="false" customHeight="false" outlineLevel="0" collapsed="false">
      <c r="A933" s="23"/>
      <c r="B933" s="23"/>
      <c r="C933" s="23"/>
      <c r="D933" s="23"/>
      <c r="E933" s="28" t="str">
        <f aca="false">IF(OR($A933="",$C933="",$D933=""),"",$C933*$D933)</f>
        <v/>
      </c>
    </row>
    <row r="934" customFormat="false" ht="15" hidden="false" customHeight="false" outlineLevel="0" collapsed="false">
      <c r="A934" s="23"/>
      <c r="B934" s="23"/>
      <c r="C934" s="23"/>
      <c r="D934" s="23"/>
      <c r="E934" s="28" t="str">
        <f aca="false">IF(OR($A934="",$C934="",$D934=""),"",$C934*$D934)</f>
        <v/>
      </c>
    </row>
    <row r="935" customFormat="false" ht="15" hidden="false" customHeight="false" outlineLevel="0" collapsed="false">
      <c r="A935" s="23"/>
      <c r="B935" s="23"/>
      <c r="C935" s="23"/>
      <c r="D935" s="23"/>
      <c r="E935" s="28" t="str">
        <f aca="false">IF(OR($A935="",$C935="",$D935=""),"",$C935*$D935)</f>
        <v/>
      </c>
    </row>
    <row r="936" customFormat="false" ht="15" hidden="false" customHeight="false" outlineLevel="0" collapsed="false">
      <c r="A936" s="23"/>
      <c r="B936" s="23"/>
      <c r="C936" s="23"/>
      <c r="D936" s="23"/>
      <c r="E936" s="28" t="str">
        <f aca="false">IF(OR($A936="",$C936="",$D936=""),"",$C936*$D936)</f>
        <v/>
      </c>
    </row>
    <row r="937" customFormat="false" ht="15" hidden="false" customHeight="false" outlineLevel="0" collapsed="false">
      <c r="A937" s="23"/>
      <c r="B937" s="23"/>
      <c r="C937" s="23"/>
      <c r="D937" s="23"/>
      <c r="E937" s="28" t="str">
        <f aca="false">IF(OR($A937="",$C937="",$D937=""),"",$C937*$D937)</f>
        <v/>
      </c>
    </row>
    <row r="938" customFormat="false" ht="15" hidden="false" customHeight="false" outlineLevel="0" collapsed="false">
      <c r="A938" s="23"/>
      <c r="B938" s="23"/>
      <c r="C938" s="23"/>
      <c r="D938" s="23"/>
      <c r="E938" s="28" t="str">
        <f aca="false">IF(OR($A938="",$C938="",$D938=""),"",$C938*$D938)</f>
        <v/>
      </c>
    </row>
    <row r="939" customFormat="false" ht="15" hidden="false" customHeight="false" outlineLevel="0" collapsed="false">
      <c r="A939" s="23"/>
      <c r="B939" s="23"/>
      <c r="C939" s="23"/>
      <c r="D939" s="23"/>
      <c r="E939" s="28" t="str">
        <f aca="false">IF(OR($A939="",$C939="",$D939=""),"",$C939*$D939)</f>
        <v/>
      </c>
    </row>
    <row r="940" customFormat="false" ht="15" hidden="false" customHeight="false" outlineLevel="0" collapsed="false">
      <c r="A940" s="23"/>
      <c r="B940" s="23"/>
      <c r="C940" s="23"/>
      <c r="D940" s="23"/>
      <c r="E940" s="28" t="str">
        <f aca="false">IF(OR($A940="",$C940="",$D940=""),"",$C940*$D940)</f>
        <v/>
      </c>
    </row>
    <row r="941" customFormat="false" ht="15" hidden="false" customHeight="false" outlineLevel="0" collapsed="false">
      <c r="A941" s="23"/>
      <c r="B941" s="23"/>
      <c r="C941" s="23"/>
      <c r="D941" s="23"/>
      <c r="E941" s="28" t="str">
        <f aca="false">IF(OR($A941="",$C941="",$D941=""),"",$C941*$D941)</f>
        <v/>
      </c>
    </row>
    <row r="942" customFormat="false" ht="15" hidden="false" customHeight="false" outlineLevel="0" collapsed="false">
      <c r="A942" s="23"/>
      <c r="B942" s="23"/>
      <c r="C942" s="23"/>
      <c r="D942" s="23"/>
      <c r="E942" s="28" t="str">
        <f aca="false">IF(OR($A942="",$C942="",$D942=""),"",$C942*$D942)</f>
        <v/>
      </c>
    </row>
    <row r="943" customFormat="false" ht="15" hidden="false" customHeight="false" outlineLevel="0" collapsed="false">
      <c r="A943" s="23"/>
      <c r="B943" s="23"/>
      <c r="C943" s="23"/>
      <c r="D943" s="23"/>
      <c r="E943" s="28" t="str">
        <f aca="false">IF(OR($A943="",$C943="",$D943=""),"",$C943*$D943)</f>
        <v/>
      </c>
    </row>
    <row r="944" customFormat="false" ht="15" hidden="false" customHeight="false" outlineLevel="0" collapsed="false">
      <c r="A944" s="23"/>
      <c r="B944" s="23"/>
      <c r="C944" s="23"/>
      <c r="D944" s="23"/>
      <c r="E944" s="28" t="str">
        <f aca="false">IF(OR($A944="",$C944="",$D944=""),"",$C944*$D944)</f>
        <v/>
      </c>
    </row>
    <row r="945" customFormat="false" ht="15" hidden="false" customHeight="false" outlineLevel="0" collapsed="false">
      <c r="A945" s="23"/>
      <c r="B945" s="23"/>
      <c r="C945" s="23"/>
      <c r="D945" s="23"/>
      <c r="E945" s="28" t="str">
        <f aca="false">IF(OR($A945="",$C945="",$D945=""),"",$C945*$D945)</f>
        <v/>
      </c>
    </row>
    <row r="946" customFormat="false" ht="15" hidden="false" customHeight="false" outlineLevel="0" collapsed="false">
      <c r="A946" s="23"/>
      <c r="B946" s="23"/>
      <c r="C946" s="23"/>
      <c r="D946" s="23"/>
      <c r="E946" s="28" t="str">
        <f aca="false">IF(OR($A946="",$C946="",$D946=""),"",$C946*$D946)</f>
        <v/>
      </c>
    </row>
    <row r="947" customFormat="false" ht="15" hidden="false" customHeight="false" outlineLevel="0" collapsed="false">
      <c r="A947" s="23"/>
      <c r="B947" s="23"/>
      <c r="C947" s="23"/>
      <c r="D947" s="23"/>
      <c r="E947" s="28" t="str">
        <f aca="false">IF(OR($A947="",$C947="",$D947=""),"",$C947*$D947)</f>
        <v/>
      </c>
    </row>
    <row r="948" customFormat="false" ht="15" hidden="false" customHeight="false" outlineLevel="0" collapsed="false">
      <c r="A948" s="23"/>
      <c r="B948" s="23"/>
      <c r="C948" s="23"/>
      <c r="D948" s="23"/>
      <c r="E948" s="28" t="str">
        <f aca="false">IF(OR($A948="",$C948="",$D948=""),"",$C948*$D948)</f>
        <v/>
      </c>
    </row>
    <row r="949" customFormat="false" ht="15" hidden="false" customHeight="false" outlineLevel="0" collapsed="false">
      <c r="A949" s="23"/>
      <c r="B949" s="23"/>
      <c r="C949" s="23"/>
      <c r="D949" s="23"/>
      <c r="E949" s="28" t="str">
        <f aca="false">IF(OR($A949="",$C949="",$D949=""),"",$C949*$D949)</f>
        <v/>
      </c>
    </row>
    <row r="950" customFormat="false" ht="15" hidden="false" customHeight="false" outlineLevel="0" collapsed="false">
      <c r="A950" s="23"/>
      <c r="B950" s="23"/>
      <c r="C950" s="23"/>
      <c r="D950" s="23"/>
      <c r="E950" s="28" t="str">
        <f aca="false">IF(OR($A950="",$C950="",$D950=""),"",$C950*$D950)</f>
        <v/>
      </c>
    </row>
    <row r="951" customFormat="false" ht="15" hidden="false" customHeight="false" outlineLevel="0" collapsed="false">
      <c r="A951" s="23"/>
      <c r="B951" s="23"/>
      <c r="C951" s="23"/>
      <c r="D951" s="23"/>
      <c r="E951" s="28" t="str">
        <f aca="false">IF(OR($A951="",$C951="",$D951=""),"",$C951*$D951)</f>
        <v/>
      </c>
    </row>
    <row r="952" customFormat="false" ht="15" hidden="false" customHeight="false" outlineLevel="0" collapsed="false">
      <c r="A952" s="23"/>
      <c r="B952" s="23"/>
      <c r="C952" s="23"/>
      <c r="D952" s="23"/>
      <c r="E952" s="28" t="str">
        <f aca="false">IF(OR($A952="",$C952="",$D952=""),"",$C952*$D952)</f>
        <v/>
      </c>
    </row>
    <row r="953" customFormat="false" ht="15" hidden="false" customHeight="false" outlineLevel="0" collapsed="false">
      <c r="A953" s="23"/>
      <c r="B953" s="23"/>
      <c r="C953" s="23"/>
      <c r="D953" s="23"/>
      <c r="E953" s="28" t="str">
        <f aca="false">IF(OR($A953="",$C953="",$D953=""),"",$C953*$D953)</f>
        <v/>
      </c>
    </row>
    <row r="954" customFormat="false" ht="15" hidden="false" customHeight="false" outlineLevel="0" collapsed="false">
      <c r="A954" s="23"/>
      <c r="B954" s="23"/>
      <c r="C954" s="23"/>
      <c r="D954" s="23"/>
      <c r="E954" s="28" t="str">
        <f aca="false">IF(OR($A954="",$C954="",$D954=""),"",$C954*$D954)</f>
        <v/>
      </c>
    </row>
    <row r="955" customFormat="false" ht="15" hidden="false" customHeight="false" outlineLevel="0" collapsed="false">
      <c r="A955" s="23"/>
      <c r="B955" s="23"/>
      <c r="C955" s="23"/>
      <c r="D955" s="23"/>
      <c r="E955" s="28" t="str">
        <f aca="false">IF(OR($A955="",$C955="",$D955=""),"",$C955*$D955)</f>
        <v/>
      </c>
    </row>
    <row r="956" customFormat="false" ht="15" hidden="false" customHeight="false" outlineLevel="0" collapsed="false">
      <c r="A956" s="23"/>
      <c r="B956" s="23"/>
      <c r="C956" s="23"/>
      <c r="D956" s="23"/>
      <c r="E956" s="28" t="str">
        <f aca="false">IF(OR($A956="",$C956="",$D956=""),"",$C956*$D956)</f>
        <v/>
      </c>
    </row>
    <row r="957" customFormat="false" ht="15" hidden="false" customHeight="false" outlineLevel="0" collapsed="false">
      <c r="A957" s="23"/>
      <c r="B957" s="23"/>
      <c r="C957" s="23"/>
      <c r="D957" s="23"/>
      <c r="E957" s="28" t="str">
        <f aca="false">IF(OR($A957="",$C957="",$D957=""),"",$C957*$D957)</f>
        <v/>
      </c>
    </row>
    <row r="958" customFormat="false" ht="15" hidden="false" customHeight="false" outlineLevel="0" collapsed="false">
      <c r="A958" s="23"/>
      <c r="B958" s="23"/>
      <c r="C958" s="23"/>
      <c r="D958" s="23"/>
      <c r="E958" s="28" t="str">
        <f aca="false">IF(OR($A958="",$C958="",$D958=""),"",$C958*$D958)</f>
        <v/>
      </c>
    </row>
    <row r="959" customFormat="false" ht="15" hidden="false" customHeight="false" outlineLevel="0" collapsed="false">
      <c r="A959" s="23"/>
      <c r="B959" s="23"/>
      <c r="C959" s="23"/>
      <c r="D959" s="23"/>
      <c r="E959" s="28" t="str">
        <f aca="false">IF(OR($A959="",$C959="",$D959=""),"",$C959*$D959)</f>
        <v/>
      </c>
    </row>
    <row r="960" customFormat="false" ht="15" hidden="false" customHeight="false" outlineLevel="0" collapsed="false">
      <c r="A960" s="23"/>
      <c r="B960" s="23"/>
      <c r="C960" s="23"/>
      <c r="D960" s="23"/>
      <c r="E960" s="28" t="str">
        <f aca="false">IF(OR($A960="",$C960="",$D960=""),"",$C960*$D960)</f>
        <v/>
      </c>
    </row>
    <row r="961" customFormat="false" ht="15" hidden="false" customHeight="false" outlineLevel="0" collapsed="false">
      <c r="A961" s="23"/>
      <c r="B961" s="23"/>
      <c r="C961" s="23"/>
      <c r="D961" s="23"/>
      <c r="E961" s="28" t="str">
        <f aca="false">IF(OR($A961="",$C961="",$D961=""),"",$C961*$D961)</f>
        <v/>
      </c>
    </row>
    <row r="962" customFormat="false" ht="15" hidden="false" customHeight="false" outlineLevel="0" collapsed="false">
      <c r="A962" s="23"/>
      <c r="B962" s="23"/>
      <c r="C962" s="23"/>
      <c r="D962" s="23"/>
      <c r="E962" s="28" t="str">
        <f aca="false">IF(OR($A962="",$C962="",$D962=""),"",$C962*$D962)</f>
        <v/>
      </c>
    </row>
    <row r="963" customFormat="false" ht="15" hidden="false" customHeight="false" outlineLevel="0" collapsed="false">
      <c r="A963" s="23"/>
      <c r="B963" s="23"/>
      <c r="C963" s="23"/>
      <c r="D963" s="23"/>
      <c r="E963" s="28" t="str">
        <f aca="false">IF(OR($A963="",$C963="",$D963=""),"",$C963*$D963)</f>
        <v/>
      </c>
    </row>
    <row r="964" customFormat="false" ht="15" hidden="false" customHeight="false" outlineLevel="0" collapsed="false">
      <c r="A964" s="23"/>
      <c r="B964" s="23"/>
      <c r="C964" s="23"/>
      <c r="D964" s="23"/>
      <c r="E964" s="28" t="str">
        <f aca="false">IF(OR($A964="",$C964="",$D964=""),"",$C964*$D964)</f>
        <v/>
      </c>
    </row>
    <row r="965" customFormat="false" ht="15" hidden="false" customHeight="false" outlineLevel="0" collapsed="false">
      <c r="A965" s="23"/>
      <c r="B965" s="23"/>
      <c r="C965" s="23"/>
      <c r="D965" s="23"/>
      <c r="E965" s="28" t="str">
        <f aca="false">IF(OR($A965="",$C965="",$D965=""),"",$C965*$D965)</f>
        <v/>
      </c>
    </row>
    <row r="966" customFormat="false" ht="15" hidden="false" customHeight="false" outlineLevel="0" collapsed="false">
      <c r="A966" s="23"/>
      <c r="B966" s="23"/>
      <c r="C966" s="23"/>
      <c r="D966" s="23"/>
      <c r="E966" s="28" t="str">
        <f aca="false">IF(OR($A966="",$C966="",$D966=""),"",$C966*$D966)</f>
        <v/>
      </c>
    </row>
    <row r="967" customFormat="false" ht="15" hidden="false" customHeight="false" outlineLevel="0" collapsed="false">
      <c r="A967" s="23"/>
      <c r="B967" s="23"/>
      <c r="C967" s="23"/>
      <c r="D967" s="23"/>
      <c r="E967" s="28" t="str">
        <f aca="false">IF(OR($A967="",$C967="",$D967=""),"",$C967*$D967)</f>
        <v/>
      </c>
    </row>
    <row r="968" customFormat="false" ht="15" hidden="false" customHeight="false" outlineLevel="0" collapsed="false">
      <c r="A968" s="23"/>
      <c r="B968" s="23"/>
      <c r="C968" s="23"/>
      <c r="D968" s="23"/>
      <c r="E968" s="28" t="str">
        <f aca="false">IF(OR($A968="",$C968="",$D968=""),"",$C968*$D968)</f>
        <v/>
      </c>
    </row>
    <row r="969" customFormat="false" ht="15" hidden="false" customHeight="false" outlineLevel="0" collapsed="false">
      <c r="A969" s="23"/>
      <c r="B969" s="23"/>
      <c r="C969" s="23"/>
      <c r="D969" s="23"/>
      <c r="E969" s="28" t="str">
        <f aca="false">IF(OR($A969="",$C969="",$D969=""),"",$C969*$D969)</f>
        <v/>
      </c>
    </row>
    <row r="970" customFormat="false" ht="15" hidden="false" customHeight="false" outlineLevel="0" collapsed="false">
      <c r="A970" s="23"/>
      <c r="B970" s="23"/>
      <c r="C970" s="23"/>
      <c r="D970" s="23"/>
      <c r="E970" s="28" t="str">
        <f aca="false">IF(OR($A970="",$C970="",$D970=""),"",$C970*$D970)</f>
        <v/>
      </c>
    </row>
    <row r="971" customFormat="false" ht="15" hidden="false" customHeight="false" outlineLevel="0" collapsed="false">
      <c r="A971" s="23"/>
      <c r="B971" s="23"/>
      <c r="C971" s="23"/>
      <c r="D971" s="23"/>
      <c r="E971" s="28" t="str">
        <f aca="false">IF(OR($A971="",$C971="",$D971=""),"",$C971*$D971)</f>
        <v/>
      </c>
    </row>
    <row r="972" customFormat="false" ht="15" hidden="false" customHeight="false" outlineLevel="0" collapsed="false">
      <c r="A972" s="23"/>
      <c r="B972" s="23"/>
      <c r="C972" s="23"/>
      <c r="D972" s="23"/>
      <c r="E972" s="28" t="str">
        <f aca="false">IF(OR($A972="",$C972="",$D972=""),"",$C972*$D972)</f>
        <v/>
      </c>
    </row>
    <row r="973" customFormat="false" ht="15" hidden="false" customHeight="false" outlineLevel="0" collapsed="false">
      <c r="A973" s="23"/>
      <c r="B973" s="23"/>
      <c r="C973" s="23"/>
      <c r="D973" s="23"/>
      <c r="E973" s="28" t="str">
        <f aca="false">IF(OR($A973="",$C973="",$D973=""),"",$C973*$D973)</f>
        <v/>
      </c>
    </row>
    <row r="974" customFormat="false" ht="15" hidden="false" customHeight="false" outlineLevel="0" collapsed="false">
      <c r="A974" s="23"/>
      <c r="B974" s="23"/>
      <c r="C974" s="23"/>
      <c r="D974" s="23"/>
      <c r="E974" s="28" t="str">
        <f aca="false">IF(OR($A974="",$C974="",$D974=""),"",$C974*$D974)</f>
        <v/>
      </c>
    </row>
    <row r="975" customFormat="false" ht="15" hidden="false" customHeight="false" outlineLevel="0" collapsed="false">
      <c r="A975" s="23"/>
      <c r="B975" s="23"/>
      <c r="C975" s="23"/>
      <c r="D975" s="23"/>
      <c r="E975" s="28" t="str">
        <f aca="false">IF(OR($A975="",$C975="",$D975=""),"",$C975*$D975)</f>
        <v/>
      </c>
    </row>
    <row r="976" customFormat="false" ht="15" hidden="false" customHeight="false" outlineLevel="0" collapsed="false">
      <c r="A976" s="23"/>
      <c r="B976" s="23"/>
      <c r="C976" s="23"/>
      <c r="D976" s="23"/>
      <c r="E976" s="28" t="str">
        <f aca="false">IF(OR($A976="",$C976="",$D976=""),"",$C976*$D976)</f>
        <v/>
      </c>
    </row>
    <row r="977" customFormat="false" ht="15" hidden="false" customHeight="false" outlineLevel="0" collapsed="false">
      <c r="A977" s="23"/>
      <c r="B977" s="23"/>
      <c r="C977" s="23"/>
      <c r="D977" s="23"/>
      <c r="E977" s="28" t="str">
        <f aca="false">IF(OR($A977="",$C977="",$D977=""),"",$C977*$D977)</f>
        <v/>
      </c>
    </row>
    <row r="978" customFormat="false" ht="15" hidden="false" customHeight="false" outlineLevel="0" collapsed="false">
      <c r="A978" s="23"/>
      <c r="B978" s="23"/>
      <c r="C978" s="23"/>
      <c r="D978" s="23"/>
      <c r="E978" s="28" t="str">
        <f aca="false">IF(OR($A978="",$C978="",$D978=""),"",$C978*$D978)</f>
        <v/>
      </c>
    </row>
    <row r="979" customFormat="false" ht="15" hidden="false" customHeight="false" outlineLevel="0" collapsed="false">
      <c r="A979" s="23"/>
      <c r="B979" s="23"/>
      <c r="C979" s="23"/>
      <c r="D979" s="23"/>
      <c r="E979" s="28" t="str">
        <f aca="false">IF(OR($A979="",$C979="",$D979=""),"",$C979*$D979)</f>
        <v/>
      </c>
    </row>
    <row r="980" customFormat="false" ht="15" hidden="false" customHeight="false" outlineLevel="0" collapsed="false">
      <c r="A980" s="23"/>
      <c r="B980" s="23"/>
      <c r="C980" s="23"/>
      <c r="D980" s="23"/>
      <c r="E980" s="28" t="str">
        <f aca="false">IF(OR($A980="",$C980="",$D980=""),"",$C980*$D980)</f>
        <v/>
      </c>
    </row>
    <row r="981" customFormat="false" ht="15" hidden="false" customHeight="false" outlineLevel="0" collapsed="false">
      <c r="A981" s="23"/>
      <c r="B981" s="23"/>
      <c r="C981" s="23"/>
      <c r="D981" s="23"/>
      <c r="E981" s="28" t="str">
        <f aca="false">IF(OR($A981="",$C981="",$D981=""),"",$C981*$D981)</f>
        <v/>
      </c>
    </row>
    <row r="982" customFormat="false" ht="15" hidden="false" customHeight="false" outlineLevel="0" collapsed="false">
      <c r="A982" s="23"/>
      <c r="B982" s="23"/>
      <c r="C982" s="23"/>
      <c r="D982" s="23"/>
      <c r="E982" s="28" t="str">
        <f aca="false">IF(OR($A982="",$C982="",$D982=""),"",$C982*$D982)</f>
        <v/>
      </c>
    </row>
    <row r="983" customFormat="false" ht="15" hidden="false" customHeight="false" outlineLevel="0" collapsed="false">
      <c r="A983" s="23"/>
      <c r="B983" s="23"/>
      <c r="C983" s="23"/>
      <c r="D983" s="23"/>
      <c r="E983" s="28" t="str">
        <f aca="false">IF(OR($A983="",$C983="",$D983=""),"",$C983*$D983)</f>
        <v/>
      </c>
    </row>
    <row r="984" customFormat="false" ht="15" hidden="false" customHeight="false" outlineLevel="0" collapsed="false">
      <c r="A984" s="23"/>
      <c r="B984" s="23"/>
      <c r="C984" s="23"/>
      <c r="D984" s="23"/>
      <c r="E984" s="28" t="str">
        <f aca="false">IF(OR($A984="",$C984="",$D984=""),"",$C984*$D984)</f>
        <v/>
      </c>
    </row>
    <row r="985" customFormat="false" ht="15" hidden="false" customHeight="false" outlineLevel="0" collapsed="false">
      <c r="A985" s="23"/>
      <c r="B985" s="23"/>
      <c r="C985" s="23"/>
      <c r="D985" s="23"/>
      <c r="E985" s="28" t="str">
        <f aca="false">IF(OR($A985="",$C985="",$D985=""),"",$C985*$D985)</f>
        <v/>
      </c>
    </row>
    <row r="986" customFormat="false" ht="15" hidden="false" customHeight="false" outlineLevel="0" collapsed="false">
      <c r="A986" s="23"/>
      <c r="B986" s="23"/>
      <c r="C986" s="23"/>
      <c r="D986" s="23"/>
      <c r="E986" s="28" t="str">
        <f aca="false">IF(OR($A986="",$C986="",$D986=""),"",$C986*$D986)</f>
        <v/>
      </c>
    </row>
    <row r="987" customFormat="false" ht="15" hidden="false" customHeight="false" outlineLevel="0" collapsed="false">
      <c r="A987" s="23"/>
      <c r="B987" s="23"/>
      <c r="C987" s="23"/>
      <c r="D987" s="23"/>
      <c r="E987" s="28" t="str">
        <f aca="false">IF(OR($A987="",$C987="",$D987=""),"",$C987*$D987)</f>
        <v/>
      </c>
    </row>
    <row r="988" customFormat="false" ht="15" hidden="false" customHeight="false" outlineLevel="0" collapsed="false">
      <c r="A988" s="23"/>
      <c r="B988" s="23"/>
      <c r="C988" s="23"/>
      <c r="D988" s="23"/>
      <c r="E988" s="28" t="str">
        <f aca="false">IF(OR($A988="",$C988="",$D988=""),"",$C988*$D988)</f>
        <v/>
      </c>
    </row>
    <row r="989" customFormat="false" ht="15" hidden="false" customHeight="false" outlineLevel="0" collapsed="false">
      <c r="A989" s="23"/>
      <c r="B989" s="23"/>
      <c r="C989" s="23"/>
      <c r="D989" s="23"/>
      <c r="E989" s="28" t="str">
        <f aca="false">IF(OR($A989="",$C989="",$D989=""),"",$C989*$D989)</f>
        <v/>
      </c>
    </row>
    <row r="990" customFormat="false" ht="15" hidden="false" customHeight="false" outlineLevel="0" collapsed="false">
      <c r="A990" s="23"/>
      <c r="B990" s="23"/>
      <c r="C990" s="23"/>
      <c r="D990" s="23"/>
      <c r="E990" s="28" t="str">
        <f aca="false">IF(OR($A990="",$C990="",$D990=""),"",$C990*$D990)</f>
        <v/>
      </c>
    </row>
    <row r="991" customFormat="false" ht="15" hidden="false" customHeight="false" outlineLevel="0" collapsed="false">
      <c r="A991" s="23"/>
      <c r="B991" s="23"/>
      <c r="C991" s="23"/>
      <c r="D991" s="23"/>
      <c r="E991" s="28" t="str">
        <f aca="false">IF(OR($A991="",$C991="",$D991=""),"",$C991*$D991)</f>
        <v/>
      </c>
    </row>
    <row r="992" customFormat="false" ht="15" hidden="false" customHeight="false" outlineLevel="0" collapsed="false">
      <c r="A992" s="23"/>
      <c r="B992" s="23"/>
      <c r="C992" s="23"/>
      <c r="D992" s="23"/>
      <c r="E992" s="28" t="str">
        <f aca="false">IF(OR($A992="",$C992="",$D992=""),"",$C992*$D992)</f>
        <v/>
      </c>
    </row>
    <row r="993" customFormat="false" ht="15" hidden="false" customHeight="false" outlineLevel="0" collapsed="false">
      <c r="A993" s="23"/>
      <c r="B993" s="23"/>
      <c r="C993" s="23"/>
      <c r="D993" s="23"/>
      <c r="E993" s="28" t="str">
        <f aca="false">IF(OR($A993="",$C993="",$D993=""),"",$C993*$D993)</f>
        <v/>
      </c>
    </row>
    <row r="994" customFormat="false" ht="15" hidden="false" customHeight="false" outlineLevel="0" collapsed="false">
      <c r="A994" s="23"/>
      <c r="B994" s="23"/>
      <c r="C994" s="23"/>
      <c r="D994" s="23"/>
      <c r="E994" s="28" t="str">
        <f aca="false">IF(OR($A994="",$C994="",$D994=""),"",$C994*$D994)</f>
        <v/>
      </c>
    </row>
    <row r="995" customFormat="false" ht="15" hidden="false" customHeight="false" outlineLevel="0" collapsed="false">
      <c r="A995" s="23"/>
      <c r="B995" s="23"/>
      <c r="C995" s="23"/>
      <c r="D995" s="23"/>
      <c r="E995" s="28" t="str">
        <f aca="false">IF(OR($A995="",$C995="",$D995=""),"",$C995*$D995)</f>
        <v/>
      </c>
    </row>
    <row r="996" customFormat="false" ht="15" hidden="false" customHeight="false" outlineLevel="0" collapsed="false">
      <c r="A996" s="23"/>
      <c r="B996" s="23"/>
      <c r="C996" s="23"/>
      <c r="D996" s="23"/>
      <c r="E996" s="28" t="str">
        <f aca="false">IF(OR($A996="",$C996="",$D996=""),"",$C996*$D996)</f>
        <v/>
      </c>
    </row>
    <row r="997" customFormat="false" ht="15" hidden="false" customHeight="false" outlineLevel="0" collapsed="false">
      <c r="A997" s="23"/>
      <c r="B997" s="23"/>
      <c r="C997" s="23"/>
      <c r="D997" s="23"/>
      <c r="E997" s="28" t="str">
        <f aca="false">IF(OR($A997="",$C997="",$D997=""),"",$C997*$D997)</f>
        <v/>
      </c>
    </row>
    <row r="998" customFormat="false" ht="15" hidden="false" customHeight="false" outlineLevel="0" collapsed="false">
      <c r="A998" s="23"/>
      <c r="B998" s="23"/>
      <c r="C998" s="23"/>
      <c r="D998" s="23"/>
      <c r="E998" s="28" t="str">
        <f aca="false">IF(OR($A998="",$C998="",$D998=""),"",$C998*$D998)</f>
        <v/>
      </c>
    </row>
    <row r="999" customFormat="false" ht="15" hidden="false" customHeight="false" outlineLevel="0" collapsed="false">
      <c r="A999" s="23"/>
      <c r="B999" s="23"/>
      <c r="C999" s="23"/>
      <c r="D999" s="23"/>
      <c r="E999" s="28" t="str">
        <f aca="false">IF(OR($A999="",$C999="",$D999=""),"",$C999*$D999)</f>
        <v/>
      </c>
    </row>
    <row r="1000" customFormat="false" ht="15" hidden="false" customHeight="false" outlineLevel="0" collapsed="false">
      <c r="A1000" s="23"/>
      <c r="B1000" s="23"/>
      <c r="C1000" s="23"/>
      <c r="D1000" s="23"/>
      <c r="E1000" s="28" t="str">
        <f aca="false">IF(OR($A1000="",$C1000="",$D1000=""),"",$C1000*$D1000)</f>
        <v/>
      </c>
    </row>
    <row r="1001" customFormat="false" ht="15" hidden="false" customHeight="false" outlineLevel="0" collapsed="false">
      <c r="A1001" s="23"/>
      <c r="B1001" s="23"/>
      <c r="C1001" s="23"/>
      <c r="D1001" s="23"/>
      <c r="E1001" s="28" t="str">
        <f aca="false">IF(OR($A1001="",$C1001="",$D1001=""),"",$C1001*$D1001)</f>
        <v/>
      </c>
    </row>
    <row r="1002" customFormat="false" ht="15" hidden="false" customHeight="false" outlineLevel="0" collapsed="false">
      <c r="A1002" s="23"/>
      <c r="B1002" s="23"/>
      <c r="C1002" s="23"/>
      <c r="D1002" s="23"/>
      <c r="E1002" s="28" t="str">
        <f aca="false">IF(OR($A1002="",$C1002="",$D1002=""),"",$C1002*$D1002)</f>
        <v/>
      </c>
    </row>
    <row r="1003" customFormat="false" ht="15" hidden="false" customHeight="false" outlineLevel="0" collapsed="false">
      <c r="A1003" s="23"/>
      <c r="B1003" s="23"/>
      <c r="C1003" s="23"/>
      <c r="D1003" s="23"/>
      <c r="E1003" s="28" t="str">
        <f aca="false">IF(OR($A1003="",$C1003="",$D1003=""),"",$C1003*$D1003)</f>
        <v/>
      </c>
    </row>
    <row r="1004" customFormat="false" ht="15" hidden="false" customHeight="false" outlineLevel="0" collapsed="false">
      <c r="A1004" s="23"/>
      <c r="B1004" s="23"/>
      <c r="C1004" s="23"/>
      <c r="D1004" s="23"/>
      <c r="E1004" s="28" t="str">
        <f aca="false">IF(OR($A1004="",$C1004="",$D1004=""),"",$C1004*$D1004)</f>
        <v/>
      </c>
    </row>
    <row r="1006" customFormat="false" ht="19.5" hidden="false" customHeight="true" outlineLevel="0" collapsed="false">
      <c r="A1006" s="11" t="s">
        <v>102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E6">
    <cfRule type="cellIs" priority="2" operator="greaterThan" aboveAverage="0" equalAverage="0" bottom="0" percent="0" rank="0" text="" dxfId="2">
      <formula>10000</formula>
    </cfRule>
  </conditionalFormatting>
  <conditionalFormatting sqref="E7">
    <cfRule type="cellIs" priority="3" operator="greaterThan" aboveAverage="0" equalAverage="0" bottom="0" percent="0" rank="0" text="" dxfId="2">
      <formula>10000</formula>
    </cfRule>
  </conditionalFormatting>
  <conditionalFormatting sqref="E8">
    <cfRule type="cellIs" priority="4" operator="greaterThan" aboveAverage="0" equalAverage="0" bottom="0" percent="0" rank="0" text="" dxfId="2">
      <formula>10000</formula>
    </cfRule>
  </conditionalFormatting>
  <conditionalFormatting sqref="E9">
    <cfRule type="cellIs" priority="5" operator="greaterThan" aboveAverage="0" equalAverage="0" bottom="0" percent="0" rank="0" text="" dxfId="2">
      <formula>10000</formula>
    </cfRule>
  </conditionalFormatting>
  <conditionalFormatting sqref="E10">
    <cfRule type="cellIs" priority="6" operator="greaterThan" aboveAverage="0" equalAverage="0" bottom="0" percent="0" rank="0" text="" dxfId="2">
      <formula>10000</formula>
    </cfRule>
  </conditionalFormatting>
  <conditionalFormatting sqref="E11">
    <cfRule type="cellIs" priority="7" operator="greaterThan" aboveAverage="0" equalAverage="0" bottom="0" percent="0" rank="0" text="" dxfId="2">
      <formula>10000</formula>
    </cfRule>
  </conditionalFormatting>
  <conditionalFormatting sqref="E12">
    <cfRule type="cellIs" priority="8" operator="greaterThan" aboveAverage="0" equalAverage="0" bottom="0" percent="0" rank="0" text="" dxfId="2">
      <formula>10000</formula>
    </cfRule>
  </conditionalFormatting>
  <conditionalFormatting sqref="E13">
    <cfRule type="cellIs" priority="9" operator="greaterThan" aboveAverage="0" equalAverage="0" bottom="0" percent="0" rank="0" text="" dxfId="2">
      <formula>10000</formula>
    </cfRule>
  </conditionalFormatting>
  <conditionalFormatting sqref="E14">
    <cfRule type="cellIs" priority="10" operator="greaterThan" aboveAverage="0" equalAverage="0" bottom="0" percent="0" rank="0" text="" dxfId="2">
      <formula>10000</formula>
    </cfRule>
  </conditionalFormatting>
  <conditionalFormatting sqref="E15">
    <cfRule type="cellIs" priority="11" operator="greaterThan" aboveAverage="0" equalAverage="0" bottom="0" percent="0" rank="0" text="" dxfId="2">
      <formula>10000</formula>
    </cfRule>
  </conditionalFormatting>
  <conditionalFormatting sqref="E16">
    <cfRule type="cellIs" priority="12" operator="greaterThan" aboveAverage="0" equalAverage="0" bottom="0" percent="0" rank="0" text="" dxfId="2">
      <formula>10000</formula>
    </cfRule>
  </conditionalFormatting>
  <conditionalFormatting sqref="E17">
    <cfRule type="cellIs" priority="13" operator="greaterThan" aboveAverage="0" equalAverage="0" bottom="0" percent="0" rank="0" text="" dxfId="2">
      <formula>10000</formula>
    </cfRule>
  </conditionalFormatting>
  <conditionalFormatting sqref="E18">
    <cfRule type="cellIs" priority="14" operator="greaterThan" aboveAverage="0" equalAverage="0" bottom="0" percent="0" rank="0" text="" dxfId="2">
      <formula>10000</formula>
    </cfRule>
  </conditionalFormatting>
  <conditionalFormatting sqref="E19">
    <cfRule type="cellIs" priority="15" operator="greaterThan" aboveAverage="0" equalAverage="0" bottom="0" percent="0" rank="0" text="" dxfId="2">
      <formula>10000</formula>
    </cfRule>
  </conditionalFormatting>
  <conditionalFormatting sqref="E20">
    <cfRule type="cellIs" priority="16" operator="greaterThan" aboveAverage="0" equalAverage="0" bottom="0" percent="0" rank="0" text="" dxfId="2">
      <formula>10000</formula>
    </cfRule>
  </conditionalFormatting>
  <conditionalFormatting sqref="E21">
    <cfRule type="cellIs" priority="17" operator="greaterThan" aboveAverage="0" equalAverage="0" bottom="0" percent="0" rank="0" text="" dxfId="2">
      <formula>10000</formula>
    </cfRule>
  </conditionalFormatting>
  <conditionalFormatting sqref="E22">
    <cfRule type="cellIs" priority="18" operator="greaterThan" aboveAverage="0" equalAverage="0" bottom="0" percent="0" rank="0" text="" dxfId="2">
      <formula>10000</formula>
    </cfRule>
  </conditionalFormatting>
  <conditionalFormatting sqref="E23">
    <cfRule type="cellIs" priority="19" operator="greaterThan" aboveAverage="0" equalAverage="0" bottom="0" percent="0" rank="0" text="" dxfId="2">
      <formula>10000</formula>
    </cfRule>
  </conditionalFormatting>
  <conditionalFormatting sqref="E24">
    <cfRule type="cellIs" priority="20" operator="greaterThan" aboveAverage="0" equalAverage="0" bottom="0" percent="0" rank="0" text="" dxfId="2">
      <formula>10000</formula>
    </cfRule>
  </conditionalFormatting>
  <conditionalFormatting sqref="E25">
    <cfRule type="cellIs" priority="21" operator="greaterThan" aboveAverage="0" equalAverage="0" bottom="0" percent="0" rank="0" text="" dxfId="2">
      <formula>10000</formula>
    </cfRule>
  </conditionalFormatting>
  <conditionalFormatting sqref="E26">
    <cfRule type="cellIs" priority="22" operator="greaterThan" aboveAverage="0" equalAverage="0" bottom="0" percent="0" rank="0" text="" dxfId="2">
      <formula>10000</formula>
    </cfRule>
  </conditionalFormatting>
  <conditionalFormatting sqref="E27">
    <cfRule type="cellIs" priority="23" operator="greaterThan" aboveAverage="0" equalAverage="0" bottom="0" percent="0" rank="0" text="" dxfId="2">
      <formula>10000</formula>
    </cfRule>
  </conditionalFormatting>
  <conditionalFormatting sqref="E28">
    <cfRule type="cellIs" priority="24" operator="greaterThan" aboveAverage="0" equalAverage="0" bottom="0" percent="0" rank="0" text="" dxfId="2">
      <formula>10000</formula>
    </cfRule>
  </conditionalFormatting>
  <conditionalFormatting sqref="E29">
    <cfRule type="cellIs" priority="25" operator="greaterThan" aboveAverage="0" equalAverage="0" bottom="0" percent="0" rank="0" text="" dxfId="2">
      <formula>10000</formula>
    </cfRule>
  </conditionalFormatting>
  <conditionalFormatting sqref="E30">
    <cfRule type="cellIs" priority="26" operator="greaterThan" aboveAverage="0" equalAverage="0" bottom="0" percent="0" rank="0" text="" dxfId="2">
      <formula>10000</formula>
    </cfRule>
  </conditionalFormatting>
  <conditionalFormatting sqref="E31">
    <cfRule type="cellIs" priority="27" operator="greaterThan" aboveAverage="0" equalAverage="0" bottom="0" percent="0" rank="0" text="" dxfId="2">
      <formula>10000</formula>
    </cfRule>
  </conditionalFormatting>
  <conditionalFormatting sqref="E32">
    <cfRule type="cellIs" priority="28" operator="greaterThan" aboveAverage="0" equalAverage="0" bottom="0" percent="0" rank="0" text="" dxfId="2">
      <formula>10000</formula>
    </cfRule>
  </conditionalFormatting>
  <conditionalFormatting sqref="E33">
    <cfRule type="cellIs" priority="29" operator="greaterThan" aboveAverage="0" equalAverage="0" bottom="0" percent="0" rank="0" text="" dxfId="2">
      <formula>10000</formula>
    </cfRule>
  </conditionalFormatting>
  <conditionalFormatting sqref="E34">
    <cfRule type="cellIs" priority="30" operator="greaterThan" aboveAverage="0" equalAverage="0" bottom="0" percent="0" rank="0" text="" dxfId="2">
      <formula>10000</formula>
    </cfRule>
  </conditionalFormatting>
  <conditionalFormatting sqref="E35">
    <cfRule type="cellIs" priority="31" operator="greaterThan" aboveAverage="0" equalAverage="0" bottom="0" percent="0" rank="0" text="" dxfId="2">
      <formula>10000</formula>
    </cfRule>
  </conditionalFormatting>
  <conditionalFormatting sqref="E36">
    <cfRule type="cellIs" priority="32" operator="greaterThan" aboveAverage="0" equalAverage="0" bottom="0" percent="0" rank="0" text="" dxfId="2">
      <formula>10000</formula>
    </cfRule>
  </conditionalFormatting>
  <conditionalFormatting sqref="E37">
    <cfRule type="cellIs" priority="33" operator="greaterThan" aboveAverage="0" equalAverage="0" bottom="0" percent="0" rank="0" text="" dxfId="2">
      <formula>10000</formula>
    </cfRule>
  </conditionalFormatting>
  <conditionalFormatting sqref="E38">
    <cfRule type="cellIs" priority="34" operator="greaterThan" aboveAverage="0" equalAverage="0" bottom="0" percent="0" rank="0" text="" dxfId="2">
      <formula>10000</formula>
    </cfRule>
  </conditionalFormatting>
  <conditionalFormatting sqref="E39">
    <cfRule type="cellIs" priority="35" operator="greaterThan" aboveAverage="0" equalAverage="0" bottom="0" percent="0" rank="0" text="" dxfId="2">
      <formula>10000</formula>
    </cfRule>
  </conditionalFormatting>
  <conditionalFormatting sqref="E40">
    <cfRule type="cellIs" priority="36" operator="greaterThan" aboveAverage="0" equalAverage="0" bottom="0" percent="0" rank="0" text="" dxfId="2">
      <formula>10000</formula>
    </cfRule>
  </conditionalFormatting>
  <conditionalFormatting sqref="E41">
    <cfRule type="cellIs" priority="37" operator="greaterThan" aboveAverage="0" equalAverage="0" bottom="0" percent="0" rank="0" text="" dxfId="2">
      <formula>10000</formula>
    </cfRule>
  </conditionalFormatting>
  <conditionalFormatting sqref="E42">
    <cfRule type="cellIs" priority="38" operator="greaterThan" aboveAverage="0" equalAverage="0" bottom="0" percent="0" rank="0" text="" dxfId="2">
      <formula>10000</formula>
    </cfRule>
  </conditionalFormatting>
  <conditionalFormatting sqref="E43">
    <cfRule type="cellIs" priority="39" operator="greaterThan" aboveAverage="0" equalAverage="0" bottom="0" percent="0" rank="0" text="" dxfId="2">
      <formula>10000</formula>
    </cfRule>
  </conditionalFormatting>
  <conditionalFormatting sqref="E44">
    <cfRule type="cellIs" priority="40" operator="greaterThan" aboveAverage="0" equalAverage="0" bottom="0" percent="0" rank="0" text="" dxfId="2">
      <formula>10000</formula>
    </cfRule>
  </conditionalFormatting>
  <conditionalFormatting sqref="E45">
    <cfRule type="cellIs" priority="41" operator="greaterThan" aboveAverage="0" equalAverage="0" bottom="0" percent="0" rank="0" text="" dxfId="2">
      <formula>10000</formula>
    </cfRule>
  </conditionalFormatting>
  <conditionalFormatting sqref="E46">
    <cfRule type="cellIs" priority="42" operator="greaterThan" aboveAverage="0" equalAverage="0" bottom="0" percent="0" rank="0" text="" dxfId="2">
      <formula>10000</formula>
    </cfRule>
  </conditionalFormatting>
  <conditionalFormatting sqref="E47">
    <cfRule type="cellIs" priority="43" operator="greaterThan" aboveAverage="0" equalAverage="0" bottom="0" percent="0" rank="0" text="" dxfId="2">
      <formula>10000</formula>
    </cfRule>
  </conditionalFormatting>
  <conditionalFormatting sqref="E48">
    <cfRule type="cellIs" priority="44" operator="greaterThan" aboveAverage="0" equalAverage="0" bottom="0" percent="0" rank="0" text="" dxfId="2">
      <formula>10000</formula>
    </cfRule>
  </conditionalFormatting>
  <conditionalFormatting sqref="E49">
    <cfRule type="cellIs" priority="45" operator="greaterThan" aboveAverage="0" equalAverage="0" bottom="0" percent="0" rank="0" text="" dxfId="2">
      <formula>10000</formula>
    </cfRule>
  </conditionalFormatting>
  <conditionalFormatting sqref="E50">
    <cfRule type="cellIs" priority="46" operator="greaterThan" aboveAverage="0" equalAverage="0" bottom="0" percent="0" rank="0" text="" dxfId="2">
      <formula>10000</formula>
    </cfRule>
  </conditionalFormatting>
  <conditionalFormatting sqref="E51">
    <cfRule type="cellIs" priority="47" operator="greaterThan" aboveAverage="0" equalAverage="0" bottom="0" percent="0" rank="0" text="" dxfId="2">
      <formula>10000</formula>
    </cfRule>
  </conditionalFormatting>
  <conditionalFormatting sqref="E52">
    <cfRule type="cellIs" priority="48" operator="greaterThan" aboveAverage="0" equalAverage="0" bottom="0" percent="0" rank="0" text="" dxfId="2">
      <formula>10000</formula>
    </cfRule>
  </conditionalFormatting>
  <conditionalFormatting sqref="E53">
    <cfRule type="cellIs" priority="49" operator="greaterThan" aboveAverage="0" equalAverage="0" bottom="0" percent="0" rank="0" text="" dxfId="2">
      <formula>10000</formula>
    </cfRule>
  </conditionalFormatting>
  <conditionalFormatting sqref="E54">
    <cfRule type="cellIs" priority="50" operator="greaterThan" aboveAverage="0" equalAverage="0" bottom="0" percent="0" rank="0" text="" dxfId="2">
      <formula>10000</formula>
    </cfRule>
  </conditionalFormatting>
  <conditionalFormatting sqref="E55">
    <cfRule type="cellIs" priority="51" operator="greaterThan" aboveAverage="0" equalAverage="0" bottom="0" percent="0" rank="0" text="" dxfId="2">
      <formula>10000</formula>
    </cfRule>
  </conditionalFormatting>
  <conditionalFormatting sqref="E56">
    <cfRule type="cellIs" priority="52" operator="greaterThan" aboveAverage="0" equalAverage="0" bottom="0" percent="0" rank="0" text="" dxfId="2">
      <formula>10000</formula>
    </cfRule>
  </conditionalFormatting>
  <conditionalFormatting sqref="E57">
    <cfRule type="cellIs" priority="53" operator="greaterThan" aboveAverage="0" equalAverage="0" bottom="0" percent="0" rank="0" text="" dxfId="2">
      <formula>10000</formula>
    </cfRule>
  </conditionalFormatting>
  <conditionalFormatting sqref="E58">
    <cfRule type="cellIs" priority="54" operator="greaterThan" aboveAverage="0" equalAverage="0" bottom="0" percent="0" rank="0" text="" dxfId="2">
      <formula>10000</formula>
    </cfRule>
  </conditionalFormatting>
  <conditionalFormatting sqref="E59">
    <cfRule type="cellIs" priority="55" operator="greaterThan" aboveAverage="0" equalAverage="0" bottom="0" percent="0" rank="0" text="" dxfId="2">
      <formula>10000</formula>
    </cfRule>
  </conditionalFormatting>
  <conditionalFormatting sqref="E60">
    <cfRule type="cellIs" priority="56" operator="greaterThan" aboveAverage="0" equalAverage="0" bottom="0" percent="0" rank="0" text="" dxfId="2">
      <formula>10000</formula>
    </cfRule>
  </conditionalFormatting>
  <conditionalFormatting sqref="E61">
    <cfRule type="cellIs" priority="57" operator="greaterThan" aboveAverage="0" equalAverage="0" bottom="0" percent="0" rank="0" text="" dxfId="2">
      <formula>10000</formula>
    </cfRule>
  </conditionalFormatting>
  <conditionalFormatting sqref="E62">
    <cfRule type="cellIs" priority="58" operator="greaterThan" aboveAverage="0" equalAverage="0" bottom="0" percent="0" rank="0" text="" dxfId="2">
      <formula>10000</formula>
    </cfRule>
  </conditionalFormatting>
  <conditionalFormatting sqref="E63">
    <cfRule type="cellIs" priority="59" operator="greaterThan" aboveAverage="0" equalAverage="0" bottom="0" percent="0" rank="0" text="" dxfId="2">
      <formula>10000</formula>
    </cfRule>
  </conditionalFormatting>
  <conditionalFormatting sqref="E64">
    <cfRule type="cellIs" priority="60" operator="greaterThan" aboveAverage="0" equalAverage="0" bottom="0" percent="0" rank="0" text="" dxfId="2">
      <formula>10000</formula>
    </cfRule>
  </conditionalFormatting>
  <conditionalFormatting sqref="E65">
    <cfRule type="cellIs" priority="61" operator="greaterThan" aboveAverage="0" equalAverage="0" bottom="0" percent="0" rank="0" text="" dxfId="2">
      <formula>10000</formula>
    </cfRule>
  </conditionalFormatting>
  <conditionalFormatting sqref="E66">
    <cfRule type="cellIs" priority="62" operator="greaterThan" aboveAverage="0" equalAverage="0" bottom="0" percent="0" rank="0" text="" dxfId="2">
      <formula>10000</formula>
    </cfRule>
  </conditionalFormatting>
  <conditionalFormatting sqref="E67">
    <cfRule type="cellIs" priority="63" operator="greaterThan" aboveAverage="0" equalAverage="0" bottom="0" percent="0" rank="0" text="" dxfId="2">
      <formula>10000</formula>
    </cfRule>
  </conditionalFormatting>
  <conditionalFormatting sqref="E68">
    <cfRule type="cellIs" priority="64" operator="greaterThan" aboveAverage="0" equalAverage="0" bottom="0" percent="0" rank="0" text="" dxfId="2">
      <formula>10000</formula>
    </cfRule>
  </conditionalFormatting>
  <conditionalFormatting sqref="E69">
    <cfRule type="cellIs" priority="65" operator="greaterThan" aboveAverage="0" equalAverage="0" bottom="0" percent="0" rank="0" text="" dxfId="2">
      <formula>10000</formula>
    </cfRule>
  </conditionalFormatting>
  <conditionalFormatting sqref="E70">
    <cfRule type="cellIs" priority="66" operator="greaterThan" aboveAverage="0" equalAverage="0" bottom="0" percent="0" rank="0" text="" dxfId="2">
      <formula>10000</formula>
    </cfRule>
  </conditionalFormatting>
  <conditionalFormatting sqref="E71">
    <cfRule type="cellIs" priority="67" operator="greaterThan" aboveAverage="0" equalAverage="0" bottom="0" percent="0" rank="0" text="" dxfId="2">
      <formula>10000</formula>
    </cfRule>
  </conditionalFormatting>
  <conditionalFormatting sqref="E72">
    <cfRule type="cellIs" priority="68" operator="greaterThan" aboveAverage="0" equalAverage="0" bottom="0" percent="0" rank="0" text="" dxfId="2">
      <formula>10000</formula>
    </cfRule>
  </conditionalFormatting>
  <conditionalFormatting sqref="E73">
    <cfRule type="cellIs" priority="69" operator="greaterThan" aboveAverage="0" equalAverage="0" bottom="0" percent="0" rank="0" text="" dxfId="2">
      <formula>10000</formula>
    </cfRule>
  </conditionalFormatting>
  <conditionalFormatting sqref="E74">
    <cfRule type="cellIs" priority="70" operator="greaterThan" aboveAverage="0" equalAverage="0" bottom="0" percent="0" rank="0" text="" dxfId="2">
      <formula>10000</formula>
    </cfRule>
  </conditionalFormatting>
  <conditionalFormatting sqref="E75">
    <cfRule type="cellIs" priority="71" operator="greaterThan" aboveAverage="0" equalAverage="0" bottom="0" percent="0" rank="0" text="" dxfId="2">
      <formula>10000</formula>
    </cfRule>
  </conditionalFormatting>
  <conditionalFormatting sqref="E76">
    <cfRule type="cellIs" priority="72" operator="greaterThan" aboveAverage="0" equalAverage="0" bottom="0" percent="0" rank="0" text="" dxfId="2">
      <formula>10000</formula>
    </cfRule>
  </conditionalFormatting>
  <conditionalFormatting sqref="E77">
    <cfRule type="cellIs" priority="73" operator="greaterThan" aboveAverage="0" equalAverage="0" bottom="0" percent="0" rank="0" text="" dxfId="2">
      <formula>10000</formula>
    </cfRule>
  </conditionalFormatting>
  <conditionalFormatting sqref="E78">
    <cfRule type="cellIs" priority="74" operator="greaterThan" aboveAverage="0" equalAverage="0" bottom="0" percent="0" rank="0" text="" dxfId="2">
      <formula>10000</formula>
    </cfRule>
  </conditionalFormatting>
  <conditionalFormatting sqref="E79">
    <cfRule type="cellIs" priority="75" operator="greaterThan" aboveAverage="0" equalAverage="0" bottom="0" percent="0" rank="0" text="" dxfId="2">
      <formula>10000</formula>
    </cfRule>
  </conditionalFormatting>
  <conditionalFormatting sqref="E80">
    <cfRule type="cellIs" priority="76" operator="greaterThan" aboveAverage="0" equalAverage="0" bottom="0" percent="0" rank="0" text="" dxfId="2">
      <formula>10000</formula>
    </cfRule>
  </conditionalFormatting>
  <conditionalFormatting sqref="E81">
    <cfRule type="cellIs" priority="77" operator="greaterThan" aboveAverage="0" equalAverage="0" bottom="0" percent="0" rank="0" text="" dxfId="2">
      <formula>10000</formula>
    </cfRule>
  </conditionalFormatting>
  <conditionalFormatting sqref="E82">
    <cfRule type="cellIs" priority="78" operator="greaterThan" aboveAverage="0" equalAverage="0" bottom="0" percent="0" rank="0" text="" dxfId="2">
      <formula>10000</formula>
    </cfRule>
  </conditionalFormatting>
  <conditionalFormatting sqref="E83">
    <cfRule type="cellIs" priority="79" operator="greaterThan" aboveAverage="0" equalAverage="0" bottom="0" percent="0" rank="0" text="" dxfId="2">
      <formula>10000</formula>
    </cfRule>
  </conditionalFormatting>
  <conditionalFormatting sqref="E84">
    <cfRule type="cellIs" priority="80" operator="greaterThan" aboveAverage="0" equalAverage="0" bottom="0" percent="0" rank="0" text="" dxfId="2">
      <formula>10000</formula>
    </cfRule>
  </conditionalFormatting>
  <conditionalFormatting sqref="E85">
    <cfRule type="cellIs" priority="81" operator="greaterThan" aboveAverage="0" equalAverage="0" bottom="0" percent="0" rank="0" text="" dxfId="2">
      <formula>10000</formula>
    </cfRule>
  </conditionalFormatting>
  <conditionalFormatting sqref="E86">
    <cfRule type="cellIs" priority="82" operator="greaterThan" aboveAverage="0" equalAverage="0" bottom="0" percent="0" rank="0" text="" dxfId="2">
      <formula>10000</formula>
    </cfRule>
  </conditionalFormatting>
  <conditionalFormatting sqref="E87">
    <cfRule type="cellIs" priority="83" operator="greaterThan" aboveAverage="0" equalAverage="0" bottom="0" percent="0" rank="0" text="" dxfId="2">
      <formula>10000</formula>
    </cfRule>
  </conditionalFormatting>
  <conditionalFormatting sqref="E88">
    <cfRule type="cellIs" priority="84" operator="greaterThan" aboveAverage="0" equalAverage="0" bottom="0" percent="0" rank="0" text="" dxfId="2">
      <formula>10000</formula>
    </cfRule>
  </conditionalFormatting>
  <conditionalFormatting sqref="E89">
    <cfRule type="cellIs" priority="85" operator="greaterThan" aboveAverage="0" equalAverage="0" bottom="0" percent="0" rank="0" text="" dxfId="2">
      <formula>10000</formula>
    </cfRule>
  </conditionalFormatting>
  <conditionalFormatting sqref="E90">
    <cfRule type="cellIs" priority="86" operator="greaterThan" aboveAverage="0" equalAverage="0" bottom="0" percent="0" rank="0" text="" dxfId="2">
      <formula>10000</formula>
    </cfRule>
  </conditionalFormatting>
  <conditionalFormatting sqref="E91">
    <cfRule type="cellIs" priority="87" operator="greaterThan" aboveAverage="0" equalAverage="0" bottom="0" percent="0" rank="0" text="" dxfId="2">
      <formula>10000</formula>
    </cfRule>
  </conditionalFormatting>
  <conditionalFormatting sqref="E92">
    <cfRule type="cellIs" priority="88" operator="greaterThan" aboveAverage="0" equalAverage="0" bottom="0" percent="0" rank="0" text="" dxfId="2">
      <formula>10000</formula>
    </cfRule>
  </conditionalFormatting>
  <conditionalFormatting sqref="E93">
    <cfRule type="cellIs" priority="89" operator="greaterThan" aboveAverage="0" equalAverage="0" bottom="0" percent="0" rank="0" text="" dxfId="2">
      <formula>10000</formula>
    </cfRule>
  </conditionalFormatting>
  <conditionalFormatting sqref="E94">
    <cfRule type="cellIs" priority="90" operator="greaterThan" aboveAverage="0" equalAverage="0" bottom="0" percent="0" rank="0" text="" dxfId="2">
      <formula>10000</formula>
    </cfRule>
  </conditionalFormatting>
  <conditionalFormatting sqref="E95">
    <cfRule type="cellIs" priority="91" operator="greaterThan" aboveAverage="0" equalAverage="0" bottom="0" percent="0" rank="0" text="" dxfId="2">
      <formula>10000</formula>
    </cfRule>
  </conditionalFormatting>
  <conditionalFormatting sqref="E96">
    <cfRule type="cellIs" priority="92" operator="greaterThan" aboveAverage="0" equalAverage="0" bottom="0" percent="0" rank="0" text="" dxfId="2">
      <formula>10000</formula>
    </cfRule>
  </conditionalFormatting>
  <conditionalFormatting sqref="E97">
    <cfRule type="cellIs" priority="93" operator="greaterThan" aboveAverage="0" equalAverage="0" bottom="0" percent="0" rank="0" text="" dxfId="2">
      <formula>10000</formula>
    </cfRule>
  </conditionalFormatting>
  <conditionalFormatting sqref="E98">
    <cfRule type="cellIs" priority="94" operator="greaterThan" aboveAverage="0" equalAverage="0" bottom="0" percent="0" rank="0" text="" dxfId="2">
      <formula>10000</formula>
    </cfRule>
  </conditionalFormatting>
  <conditionalFormatting sqref="E99">
    <cfRule type="cellIs" priority="95" operator="greaterThan" aboveAverage="0" equalAverage="0" bottom="0" percent="0" rank="0" text="" dxfId="2">
      <formula>10000</formula>
    </cfRule>
  </conditionalFormatting>
  <conditionalFormatting sqref="E100">
    <cfRule type="cellIs" priority="96" operator="greaterThan" aboveAverage="0" equalAverage="0" bottom="0" percent="0" rank="0" text="" dxfId="2">
      <formula>10000</formula>
    </cfRule>
  </conditionalFormatting>
  <conditionalFormatting sqref="E101">
    <cfRule type="cellIs" priority="97" operator="greaterThan" aboveAverage="0" equalAverage="0" bottom="0" percent="0" rank="0" text="" dxfId="2">
      <formula>10000</formula>
    </cfRule>
  </conditionalFormatting>
  <conditionalFormatting sqref="E102">
    <cfRule type="cellIs" priority="98" operator="greaterThan" aboveAverage="0" equalAverage="0" bottom="0" percent="0" rank="0" text="" dxfId="2">
      <formula>10000</formula>
    </cfRule>
  </conditionalFormatting>
  <conditionalFormatting sqref="E103">
    <cfRule type="cellIs" priority="99" operator="greaterThan" aboveAverage="0" equalAverage="0" bottom="0" percent="0" rank="0" text="" dxfId="2">
      <formula>10000</formula>
    </cfRule>
  </conditionalFormatting>
  <conditionalFormatting sqref="E104">
    <cfRule type="cellIs" priority="100" operator="greaterThan" aboveAverage="0" equalAverage="0" bottom="0" percent="0" rank="0" text="" dxfId="2">
      <formula>10000</formula>
    </cfRule>
  </conditionalFormatting>
  <conditionalFormatting sqref="E105">
    <cfRule type="cellIs" priority="101" operator="greaterThan" aboveAverage="0" equalAverage="0" bottom="0" percent="0" rank="0" text="" dxfId="2">
      <formula>10000</formula>
    </cfRule>
  </conditionalFormatting>
  <conditionalFormatting sqref="E106">
    <cfRule type="cellIs" priority="102" operator="greaterThan" aboveAverage="0" equalAverage="0" bottom="0" percent="0" rank="0" text="" dxfId="2">
      <formula>10000</formula>
    </cfRule>
  </conditionalFormatting>
  <conditionalFormatting sqref="E107">
    <cfRule type="cellIs" priority="103" operator="greaterThan" aboveAverage="0" equalAverage="0" bottom="0" percent="0" rank="0" text="" dxfId="2">
      <formula>10000</formula>
    </cfRule>
  </conditionalFormatting>
  <conditionalFormatting sqref="E108">
    <cfRule type="cellIs" priority="104" operator="greaterThan" aboveAverage="0" equalAverage="0" bottom="0" percent="0" rank="0" text="" dxfId="2">
      <formula>10000</formula>
    </cfRule>
  </conditionalFormatting>
  <conditionalFormatting sqref="E109">
    <cfRule type="cellIs" priority="105" operator="greaterThan" aboveAverage="0" equalAverage="0" bottom="0" percent="0" rank="0" text="" dxfId="2">
      <formula>10000</formula>
    </cfRule>
  </conditionalFormatting>
  <conditionalFormatting sqref="E110">
    <cfRule type="cellIs" priority="106" operator="greaterThan" aboveAverage="0" equalAverage="0" bottom="0" percent="0" rank="0" text="" dxfId="2">
      <formula>10000</formula>
    </cfRule>
  </conditionalFormatting>
  <conditionalFormatting sqref="E111">
    <cfRule type="cellIs" priority="107" operator="greaterThan" aboveAverage="0" equalAverage="0" bottom="0" percent="0" rank="0" text="" dxfId="2">
      <formula>10000</formula>
    </cfRule>
  </conditionalFormatting>
  <conditionalFormatting sqref="E112">
    <cfRule type="cellIs" priority="108" operator="greaterThan" aboveAverage="0" equalAverage="0" bottom="0" percent="0" rank="0" text="" dxfId="2">
      <formula>10000</formula>
    </cfRule>
  </conditionalFormatting>
  <conditionalFormatting sqref="E113">
    <cfRule type="cellIs" priority="109" operator="greaterThan" aboveAverage="0" equalAverage="0" bottom="0" percent="0" rank="0" text="" dxfId="2">
      <formula>10000</formula>
    </cfRule>
  </conditionalFormatting>
  <conditionalFormatting sqref="E114">
    <cfRule type="cellIs" priority="110" operator="greaterThan" aboveAverage="0" equalAverage="0" bottom="0" percent="0" rank="0" text="" dxfId="2">
      <formula>10000</formula>
    </cfRule>
  </conditionalFormatting>
  <conditionalFormatting sqref="E115">
    <cfRule type="cellIs" priority="111" operator="greaterThan" aboveAverage="0" equalAverage="0" bottom="0" percent="0" rank="0" text="" dxfId="2">
      <formula>10000</formula>
    </cfRule>
  </conditionalFormatting>
  <conditionalFormatting sqref="E116">
    <cfRule type="cellIs" priority="112" operator="greaterThan" aboveAverage="0" equalAverage="0" bottom="0" percent="0" rank="0" text="" dxfId="2">
      <formula>10000</formula>
    </cfRule>
  </conditionalFormatting>
  <conditionalFormatting sqref="E117">
    <cfRule type="cellIs" priority="113" operator="greaterThan" aboveAverage="0" equalAverage="0" bottom="0" percent="0" rank="0" text="" dxfId="2">
      <formula>10000</formula>
    </cfRule>
  </conditionalFormatting>
  <conditionalFormatting sqref="E118">
    <cfRule type="cellIs" priority="114" operator="greaterThan" aboveAverage="0" equalAverage="0" bottom="0" percent="0" rank="0" text="" dxfId="2">
      <formula>10000</formula>
    </cfRule>
  </conditionalFormatting>
  <conditionalFormatting sqref="E119">
    <cfRule type="cellIs" priority="115" operator="greaterThan" aboveAverage="0" equalAverage="0" bottom="0" percent="0" rank="0" text="" dxfId="2">
      <formula>10000</formula>
    </cfRule>
  </conditionalFormatting>
  <conditionalFormatting sqref="E120">
    <cfRule type="cellIs" priority="116" operator="greaterThan" aboveAverage="0" equalAverage="0" bottom="0" percent="0" rank="0" text="" dxfId="2">
      <formula>10000</formula>
    </cfRule>
  </conditionalFormatting>
  <conditionalFormatting sqref="E121">
    <cfRule type="cellIs" priority="117" operator="greaterThan" aboveAverage="0" equalAverage="0" bottom="0" percent="0" rank="0" text="" dxfId="2">
      <formula>10000</formula>
    </cfRule>
  </conditionalFormatting>
  <conditionalFormatting sqref="E122">
    <cfRule type="cellIs" priority="118" operator="greaterThan" aboveAverage="0" equalAverage="0" bottom="0" percent="0" rank="0" text="" dxfId="2">
      <formula>10000</formula>
    </cfRule>
  </conditionalFormatting>
  <conditionalFormatting sqref="E123">
    <cfRule type="cellIs" priority="119" operator="greaterThan" aboveAverage="0" equalAverage="0" bottom="0" percent="0" rank="0" text="" dxfId="2">
      <formula>10000</formula>
    </cfRule>
  </conditionalFormatting>
  <conditionalFormatting sqref="E124">
    <cfRule type="cellIs" priority="120" operator="greaterThan" aboveAverage="0" equalAverage="0" bottom="0" percent="0" rank="0" text="" dxfId="2">
      <formula>10000</formula>
    </cfRule>
  </conditionalFormatting>
  <conditionalFormatting sqref="E125">
    <cfRule type="cellIs" priority="121" operator="greaterThan" aboveAverage="0" equalAverage="0" bottom="0" percent="0" rank="0" text="" dxfId="2">
      <formula>10000</formula>
    </cfRule>
  </conditionalFormatting>
  <conditionalFormatting sqref="E126">
    <cfRule type="cellIs" priority="122" operator="greaterThan" aboveAverage="0" equalAverage="0" bottom="0" percent="0" rank="0" text="" dxfId="2">
      <formula>10000</formula>
    </cfRule>
  </conditionalFormatting>
  <conditionalFormatting sqref="E127">
    <cfRule type="cellIs" priority="123" operator="greaterThan" aboveAverage="0" equalAverage="0" bottom="0" percent="0" rank="0" text="" dxfId="2">
      <formula>10000</formula>
    </cfRule>
  </conditionalFormatting>
  <conditionalFormatting sqref="E128">
    <cfRule type="cellIs" priority="124" operator="greaterThan" aboveAverage="0" equalAverage="0" bottom="0" percent="0" rank="0" text="" dxfId="2">
      <formula>10000</formula>
    </cfRule>
  </conditionalFormatting>
  <conditionalFormatting sqref="E129">
    <cfRule type="cellIs" priority="125" operator="greaterThan" aboveAverage="0" equalAverage="0" bottom="0" percent="0" rank="0" text="" dxfId="2">
      <formula>10000</formula>
    </cfRule>
  </conditionalFormatting>
  <conditionalFormatting sqref="E130">
    <cfRule type="cellIs" priority="126" operator="greaterThan" aboveAverage="0" equalAverage="0" bottom="0" percent="0" rank="0" text="" dxfId="2">
      <formula>10000</formula>
    </cfRule>
  </conditionalFormatting>
  <conditionalFormatting sqref="E131">
    <cfRule type="cellIs" priority="127" operator="greaterThan" aboveAverage="0" equalAverage="0" bottom="0" percent="0" rank="0" text="" dxfId="2">
      <formula>10000</formula>
    </cfRule>
  </conditionalFormatting>
  <conditionalFormatting sqref="E132">
    <cfRule type="cellIs" priority="128" operator="greaterThan" aboveAverage="0" equalAverage="0" bottom="0" percent="0" rank="0" text="" dxfId="2">
      <formula>10000</formula>
    </cfRule>
  </conditionalFormatting>
  <conditionalFormatting sqref="E133">
    <cfRule type="cellIs" priority="129" operator="greaterThan" aboveAverage="0" equalAverage="0" bottom="0" percent="0" rank="0" text="" dxfId="2">
      <formula>10000</formula>
    </cfRule>
  </conditionalFormatting>
  <conditionalFormatting sqref="E134">
    <cfRule type="cellIs" priority="130" operator="greaterThan" aboveAverage="0" equalAverage="0" bottom="0" percent="0" rank="0" text="" dxfId="2">
      <formula>10000</formula>
    </cfRule>
  </conditionalFormatting>
  <conditionalFormatting sqref="E135">
    <cfRule type="cellIs" priority="131" operator="greaterThan" aboveAverage="0" equalAverage="0" bottom="0" percent="0" rank="0" text="" dxfId="2">
      <formula>10000</formula>
    </cfRule>
  </conditionalFormatting>
  <conditionalFormatting sqref="E136">
    <cfRule type="cellIs" priority="132" operator="greaterThan" aboveAverage="0" equalAverage="0" bottom="0" percent="0" rank="0" text="" dxfId="2">
      <formula>10000</formula>
    </cfRule>
  </conditionalFormatting>
  <conditionalFormatting sqref="E137">
    <cfRule type="cellIs" priority="133" operator="greaterThan" aboveAverage="0" equalAverage="0" bottom="0" percent="0" rank="0" text="" dxfId="2">
      <formula>10000</formula>
    </cfRule>
  </conditionalFormatting>
  <conditionalFormatting sqref="E138">
    <cfRule type="cellIs" priority="134" operator="greaterThan" aboveAverage="0" equalAverage="0" bottom="0" percent="0" rank="0" text="" dxfId="2">
      <formula>10000</formula>
    </cfRule>
  </conditionalFormatting>
  <conditionalFormatting sqref="E139">
    <cfRule type="cellIs" priority="135" operator="greaterThan" aboveAverage="0" equalAverage="0" bottom="0" percent="0" rank="0" text="" dxfId="2">
      <formula>10000</formula>
    </cfRule>
  </conditionalFormatting>
  <conditionalFormatting sqref="E140">
    <cfRule type="cellIs" priority="136" operator="greaterThan" aboveAverage="0" equalAverage="0" bottom="0" percent="0" rank="0" text="" dxfId="2">
      <formula>10000</formula>
    </cfRule>
  </conditionalFormatting>
  <conditionalFormatting sqref="E141">
    <cfRule type="cellIs" priority="137" operator="greaterThan" aboveAverage="0" equalAverage="0" bottom="0" percent="0" rank="0" text="" dxfId="2">
      <formula>10000</formula>
    </cfRule>
  </conditionalFormatting>
  <conditionalFormatting sqref="E142">
    <cfRule type="cellIs" priority="138" operator="greaterThan" aboveAverage="0" equalAverage="0" bottom="0" percent="0" rank="0" text="" dxfId="2">
      <formula>10000</formula>
    </cfRule>
  </conditionalFormatting>
  <conditionalFormatting sqref="E143">
    <cfRule type="cellIs" priority="139" operator="greaterThan" aboveAverage="0" equalAverage="0" bottom="0" percent="0" rank="0" text="" dxfId="2">
      <formula>10000</formula>
    </cfRule>
  </conditionalFormatting>
  <conditionalFormatting sqref="E144">
    <cfRule type="cellIs" priority="140" operator="greaterThan" aboveAverage="0" equalAverage="0" bottom="0" percent="0" rank="0" text="" dxfId="2">
      <formula>10000</formula>
    </cfRule>
  </conditionalFormatting>
  <conditionalFormatting sqref="E145">
    <cfRule type="cellIs" priority="141" operator="greaterThan" aboveAverage="0" equalAverage="0" bottom="0" percent="0" rank="0" text="" dxfId="2">
      <formula>10000</formula>
    </cfRule>
  </conditionalFormatting>
  <conditionalFormatting sqref="E146">
    <cfRule type="cellIs" priority="142" operator="greaterThan" aboveAverage="0" equalAverage="0" bottom="0" percent="0" rank="0" text="" dxfId="2">
      <formula>10000</formula>
    </cfRule>
  </conditionalFormatting>
  <conditionalFormatting sqref="E147">
    <cfRule type="cellIs" priority="143" operator="greaterThan" aboveAverage="0" equalAverage="0" bottom="0" percent="0" rank="0" text="" dxfId="2">
      <formula>10000</formula>
    </cfRule>
  </conditionalFormatting>
  <conditionalFormatting sqref="E148">
    <cfRule type="cellIs" priority="144" operator="greaterThan" aboveAverage="0" equalAverage="0" bottom="0" percent="0" rank="0" text="" dxfId="2">
      <formula>10000</formula>
    </cfRule>
  </conditionalFormatting>
  <conditionalFormatting sqref="E149">
    <cfRule type="cellIs" priority="145" operator="greaterThan" aboveAverage="0" equalAverage="0" bottom="0" percent="0" rank="0" text="" dxfId="2">
      <formula>10000</formula>
    </cfRule>
  </conditionalFormatting>
  <conditionalFormatting sqref="E150">
    <cfRule type="cellIs" priority="146" operator="greaterThan" aboveAverage="0" equalAverage="0" bottom="0" percent="0" rank="0" text="" dxfId="2">
      <formula>10000</formula>
    </cfRule>
  </conditionalFormatting>
  <conditionalFormatting sqref="E151">
    <cfRule type="cellIs" priority="147" operator="greaterThan" aboveAverage="0" equalAverage="0" bottom="0" percent="0" rank="0" text="" dxfId="2">
      <formula>10000</formula>
    </cfRule>
  </conditionalFormatting>
  <conditionalFormatting sqref="E152">
    <cfRule type="cellIs" priority="148" operator="greaterThan" aboveAverage="0" equalAverage="0" bottom="0" percent="0" rank="0" text="" dxfId="2">
      <formula>10000</formula>
    </cfRule>
  </conditionalFormatting>
  <conditionalFormatting sqref="E153">
    <cfRule type="cellIs" priority="149" operator="greaterThan" aboveAverage="0" equalAverage="0" bottom="0" percent="0" rank="0" text="" dxfId="2">
      <formula>10000</formula>
    </cfRule>
  </conditionalFormatting>
  <conditionalFormatting sqref="E154">
    <cfRule type="cellIs" priority="150" operator="greaterThan" aboveAverage="0" equalAverage="0" bottom="0" percent="0" rank="0" text="" dxfId="2">
      <formula>10000</formula>
    </cfRule>
  </conditionalFormatting>
  <conditionalFormatting sqref="E155">
    <cfRule type="cellIs" priority="151" operator="greaterThan" aboveAverage="0" equalAverage="0" bottom="0" percent="0" rank="0" text="" dxfId="2">
      <formula>10000</formula>
    </cfRule>
  </conditionalFormatting>
  <conditionalFormatting sqref="E156">
    <cfRule type="cellIs" priority="152" operator="greaterThan" aboveAverage="0" equalAverage="0" bottom="0" percent="0" rank="0" text="" dxfId="2">
      <formula>10000</formula>
    </cfRule>
  </conditionalFormatting>
  <conditionalFormatting sqref="E157">
    <cfRule type="cellIs" priority="153" operator="greaterThan" aboveAverage="0" equalAverage="0" bottom="0" percent="0" rank="0" text="" dxfId="2">
      <formula>10000</formula>
    </cfRule>
  </conditionalFormatting>
  <conditionalFormatting sqref="E158">
    <cfRule type="cellIs" priority="154" operator="greaterThan" aboveAverage="0" equalAverage="0" bottom="0" percent="0" rank="0" text="" dxfId="2">
      <formula>10000</formula>
    </cfRule>
  </conditionalFormatting>
  <conditionalFormatting sqref="E159">
    <cfRule type="cellIs" priority="155" operator="greaterThan" aboveAverage="0" equalAverage="0" bottom="0" percent="0" rank="0" text="" dxfId="2">
      <formula>10000</formula>
    </cfRule>
  </conditionalFormatting>
  <conditionalFormatting sqref="E160">
    <cfRule type="cellIs" priority="156" operator="greaterThan" aboveAverage="0" equalAverage="0" bottom="0" percent="0" rank="0" text="" dxfId="2">
      <formula>10000</formula>
    </cfRule>
  </conditionalFormatting>
  <conditionalFormatting sqref="E161">
    <cfRule type="cellIs" priority="157" operator="greaterThan" aboveAverage="0" equalAverage="0" bottom="0" percent="0" rank="0" text="" dxfId="2">
      <formula>10000</formula>
    </cfRule>
  </conditionalFormatting>
  <conditionalFormatting sqref="E162">
    <cfRule type="cellIs" priority="158" operator="greaterThan" aboveAverage="0" equalAverage="0" bottom="0" percent="0" rank="0" text="" dxfId="2">
      <formula>10000</formula>
    </cfRule>
  </conditionalFormatting>
  <conditionalFormatting sqref="E163">
    <cfRule type="cellIs" priority="159" operator="greaterThan" aboveAverage="0" equalAverage="0" bottom="0" percent="0" rank="0" text="" dxfId="2">
      <formula>10000</formula>
    </cfRule>
  </conditionalFormatting>
  <conditionalFormatting sqref="E164">
    <cfRule type="cellIs" priority="160" operator="greaterThan" aboveAverage="0" equalAverage="0" bottom="0" percent="0" rank="0" text="" dxfId="2">
      <formula>10000</formula>
    </cfRule>
  </conditionalFormatting>
  <conditionalFormatting sqref="E165">
    <cfRule type="cellIs" priority="161" operator="greaterThan" aboveAverage="0" equalAverage="0" bottom="0" percent="0" rank="0" text="" dxfId="2">
      <formula>10000</formula>
    </cfRule>
  </conditionalFormatting>
  <conditionalFormatting sqref="E166">
    <cfRule type="cellIs" priority="162" operator="greaterThan" aboveAverage="0" equalAverage="0" bottom="0" percent="0" rank="0" text="" dxfId="2">
      <formula>10000</formula>
    </cfRule>
  </conditionalFormatting>
  <conditionalFormatting sqref="E167">
    <cfRule type="cellIs" priority="163" operator="greaterThan" aboveAverage="0" equalAverage="0" bottom="0" percent="0" rank="0" text="" dxfId="2">
      <formula>10000</formula>
    </cfRule>
  </conditionalFormatting>
  <conditionalFormatting sqref="E168">
    <cfRule type="cellIs" priority="164" operator="greaterThan" aboveAverage="0" equalAverage="0" bottom="0" percent="0" rank="0" text="" dxfId="2">
      <formula>10000</formula>
    </cfRule>
  </conditionalFormatting>
  <conditionalFormatting sqref="E169">
    <cfRule type="cellIs" priority="165" operator="greaterThan" aboveAverage="0" equalAverage="0" bottom="0" percent="0" rank="0" text="" dxfId="2">
      <formula>10000</formula>
    </cfRule>
  </conditionalFormatting>
  <conditionalFormatting sqref="E170">
    <cfRule type="cellIs" priority="166" operator="greaterThan" aboveAverage="0" equalAverage="0" bottom="0" percent="0" rank="0" text="" dxfId="2">
      <formula>10000</formula>
    </cfRule>
  </conditionalFormatting>
  <conditionalFormatting sqref="E171">
    <cfRule type="cellIs" priority="167" operator="greaterThan" aboveAverage="0" equalAverage="0" bottom="0" percent="0" rank="0" text="" dxfId="2">
      <formula>10000</formula>
    </cfRule>
  </conditionalFormatting>
  <conditionalFormatting sqref="E172">
    <cfRule type="cellIs" priority="168" operator="greaterThan" aboveAverage="0" equalAverage="0" bottom="0" percent="0" rank="0" text="" dxfId="2">
      <formula>10000</formula>
    </cfRule>
  </conditionalFormatting>
  <conditionalFormatting sqref="E173">
    <cfRule type="cellIs" priority="169" operator="greaterThan" aboveAverage="0" equalAverage="0" bottom="0" percent="0" rank="0" text="" dxfId="2">
      <formula>10000</formula>
    </cfRule>
  </conditionalFormatting>
  <conditionalFormatting sqref="E174">
    <cfRule type="cellIs" priority="170" operator="greaterThan" aboveAverage="0" equalAverage="0" bottom="0" percent="0" rank="0" text="" dxfId="2">
      <formula>10000</formula>
    </cfRule>
  </conditionalFormatting>
  <conditionalFormatting sqref="E175">
    <cfRule type="cellIs" priority="171" operator="greaterThan" aboveAverage="0" equalAverage="0" bottom="0" percent="0" rank="0" text="" dxfId="2">
      <formula>10000</formula>
    </cfRule>
  </conditionalFormatting>
  <conditionalFormatting sqref="E176">
    <cfRule type="cellIs" priority="172" operator="greaterThan" aboveAverage="0" equalAverage="0" bottom="0" percent="0" rank="0" text="" dxfId="2">
      <formula>10000</formula>
    </cfRule>
  </conditionalFormatting>
  <conditionalFormatting sqref="E177">
    <cfRule type="cellIs" priority="173" operator="greaterThan" aboveAverage="0" equalAverage="0" bottom="0" percent="0" rank="0" text="" dxfId="2">
      <formula>10000</formula>
    </cfRule>
  </conditionalFormatting>
  <conditionalFormatting sqref="E178">
    <cfRule type="cellIs" priority="174" operator="greaterThan" aboveAverage="0" equalAverage="0" bottom="0" percent="0" rank="0" text="" dxfId="2">
      <formula>10000</formula>
    </cfRule>
  </conditionalFormatting>
  <conditionalFormatting sqref="E179">
    <cfRule type="cellIs" priority="175" operator="greaterThan" aboveAverage="0" equalAverage="0" bottom="0" percent="0" rank="0" text="" dxfId="2">
      <formula>10000</formula>
    </cfRule>
  </conditionalFormatting>
  <conditionalFormatting sqref="E180">
    <cfRule type="cellIs" priority="176" operator="greaterThan" aboveAverage="0" equalAverage="0" bottom="0" percent="0" rank="0" text="" dxfId="2">
      <formula>10000</formula>
    </cfRule>
  </conditionalFormatting>
  <conditionalFormatting sqref="E181">
    <cfRule type="cellIs" priority="177" operator="greaterThan" aboveAverage="0" equalAverage="0" bottom="0" percent="0" rank="0" text="" dxfId="2">
      <formula>10000</formula>
    </cfRule>
  </conditionalFormatting>
  <conditionalFormatting sqref="E182">
    <cfRule type="cellIs" priority="178" operator="greaterThan" aboveAverage="0" equalAverage="0" bottom="0" percent="0" rank="0" text="" dxfId="2">
      <formula>10000</formula>
    </cfRule>
  </conditionalFormatting>
  <conditionalFormatting sqref="E183">
    <cfRule type="cellIs" priority="179" operator="greaterThan" aboveAverage="0" equalAverage="0" bottom="0" percent="0" rank="0" text="" dxfId="2">
      <formula>10000</formula>
    </cfRule>
  </conditionalFormatting>
  <conditionalFormatting sqref="E184">
    <cfRule type="cellIs" priority="180" operator="greaterThan" aboveAverage="0" equalAverage="0" bottom="0" percent="0" rank="0" text="" dxfId="2">
      <formula>10000</formula>
    </cfRule>
  </conditionalFormatting>
  <conditionalFormatting sqref="E185">
    <cfRule type="cellIs" priority="181" operator="greaterThan" aboveAverage="0" equalAverage="0" bottom="0" percent="0" rank="0" text="" dxfId="2">
      <formula>10000</formula>
    </cfRule>
  </conditionalFormatting>
  <conditionalFormatting sqref="E186">
    <cfRule type="cellIs" priority="182" operator="greaterThan" aboveAverage="0" equalAverage="0" bottom="0" percent="0" rank="0" text="" dxfId="2">
      <formula>10000</formula>
    </cfRule>
  </conditionalFormatting>
  <conditionalFormatting sqref="E187">
    <cfRule type="cellIs" priority="183" operator="greaterThan" aboveAverage="0" equalAverage="0" bottom="0" percent="0" rank="0" text="" dxfId="2">
      <formula>10000</formula>
    </cfRule>
  </conditionalFormatting>
  <conditionalFormatting sqref="E188">
    <cfRule type="cellIs" priority="184" operator="greaterThan" aboveAverage="0" equalAverage="0" bottom="0" percent="0" rank="0" text="" dxfId="2">
      <formula>10000</formula>
    </cfRule>
  </conditionalFormatting>
  <conditionalFormatting sqref="E189">
    <cfRule type="cellIs" priority="185" operator="greaterThan" aboveAverage="0" equalAverage="0" bottom="0" percent="0" rank="0" text="" dxfId="2">
      <formula>10000</formula>
    </cfRule>
  </conditionalFormatting>
  <conditionalFormatting sqref="E190">
    <cfRule type="cellIs" priority="186" operator="greaterThan" aboveAverage="0" equalAverage="0" bottom="0" percent="0" rank="0" text="" dxfId="2">
      <formula>10000</formula>
    </cfRule>
  </conditionalFormatting>
  <conditionalFormatting sqref="E191">
    <cfRule type="cellIs" priority="187" operator="greaterThan" aboveAverage="0" equalAverage="0" bottom="0" percent="0" rank="0" text="" dxfId="2">
      <formula>10000</formula>
    </cfRule>
  </conditionalFormatting>
  <conditionalFormatting sqref="E192">
    <cfRule type="cellIs" priority="188" operator="greaterThan" aboveAverage="0" equalAverage="0" bottom="0" percent="0" rank="0" text="" dxfId="2">
      <formula>10000</formula>
    </cfRule>
  </conditionalFormatting>
  <conditionalFormatting sqref="E193">
    <cfRule type="cellIs" priority="189" operator="greaterThan" aboveAverage="0" equalAverage="0" bottom="0" percent="0" rank="0" text="" dxfId="2">
      <formula>10000</formula>
    </cfRule>
  </conditionalFormatting>
  <conditionalFormatting sqref="E194">
    <cfRule type="cellIs" priority="190" operator="greaterThan" aboveAverage="0" equalAverage="0" bottom="0" percent="0" rank="0" text="" dxfId="2">
      <formula>10000</formula>
    </cfRule>
  </conditionalFormatting>
  <conditionalFormatting sqref="E195">
    <cfRule type="cellIs" priority="191" operator="greaterThan" aboveAverage="0" equalAverage="0" bottom="0" percent="0" rank="0" text="" dxfId="2">
      <formula>10000</formula>
    </cfRule>
  </conditionalFormatting>
  <conditionalFormatting sqref="E196">
    <cfRule type="cellIs" priority="192" operator="greaterThan" aboveAverage="0" equalAverage="0" bottom="0" percent="0" rank="0" text="" dxfId="2">
      <formula>10000</formula>
    </cfRule>
  </conditionalFormatting>
  <conditionalFormatting sqref="E197">
    <cfRule type="cellIs" priority="193" operator="greaterThan" aboveAverage="0" equalAverage="0" bottom="0" percent="0" rank="0" text="" dxfId="2">
      <formula>10000</formula>
    </cfRule>
  </conditionalFormatting>
  <conditionalFormatting sqref="E198">
    <cfRule type="cellIs" priority="194" operator="greaterThan" aboveAverage="0" equalAverage="0" bottom="0" percent="0" rank="0" text="" dxfId="2">
      <formula>10000</formula>
    </cfRule>
  </conditionalFormatting>
  <conditionalFormatting sqref="E199">
    <cfRule type="cellIs" priority="195" operator="greaterThan" aboveAverage="0" equalAverage="0" bottom="0" percent="0" rank="0" text="" dxfId="2">
      <formula>10000</formula>
    </cfRule>
  </conditionalFormatting>
  <conditionalFormatting sqref="E200">
    <cfRule type="cellIs" priority="196" operator="greaterThan" aboveAverage="0" equalAverage="0" bottom="0" percent="0" rank="0" text="" dxfId="2">
      <formula>10000</formula>
    </cfRule>
  </conditionalFormatting>
  <conditionalFormatting sqref="E201">
    <cfRule type="cellIs" priority="197" operator="greaterThan" aboveAverage="0" equalAverage="0" bottom="0" percent="0" rank="0" text="" dxfId="2">
      <formula>10000</formula>
    </cfRule>
  </conditionalFormatting>
  <conditionalFormatting sqref="E202">
    <cfRule type="cellIs" priority="198" operator="greaterThan" aboveAverage="0" equalAverage="0" bottom="0" percent="0" rank="0" text="" dxfId="2">
      <formula>10000</formula>
    </cfRule>
  </conditionalFormatting>
  <conditionalFormatting sqref="E203">
    <cfRule type="cellIs" priority="199" operator="greaterThan" aboveAverage="0" equalAverage="0" bottom="0" percent="0" rank="0" text="" dxfId="2">
      <formula>10000</formula>
    </cfRule>
  </conditionalFormatting>
  <conditionalFormatting sqref="E204">
    <cfRule type="cellIs" priority="200" operator="greaterThan" aboveAverage="0" equalAverage="0" bottom="0" percent="0" rank="0" text="" dxfId="2">
      <formula>10000</formula>
    </cfRule>
  </conditionalFormatting>
  <conditionalFormatting sqref="E205">
    <cfRule type="cellIs" priority="201" operator="greaterThan" aboveAverage="0" equalAverage="0" bottom="0" percent="0" rank="0" text="" dxfId="2">
      <formula>10000</formula>
    </cfRule>
  </conditionalFormatting>
  <conditionalFormatting sqref="E206">
    <cfRule type="cellIs" priority="202" operator="greaterThan" aboveAverage="0" equalAverage="0" bottom="0" percent="0" rank="0" text="" dxfId="2">
      <formula>10000</formula>
    </cfRule>
  </conditionalFormatting>
  <conditionalFormatting sqref="E207">
    <cfRule type="cellIs" priority="203" operator="greaterThan" aboveAverage="0" equalAverage="0" bottom="0" percent="0" rank="0" text="" dxfId="2">
      <formula>10000</formula>
    </cfRule>
  </conditionalFormatting>
  <conditionalFormatting sqref="E208">
    <cfRule type="cellIs" priority="204" operator="greaterThan" aboveAverage="0" equalAverage="0" bottom="0" percent="0" rank="0" text="" dxfId="2">
      <formula>10000</formula>
    </cfRule>
  </conditionalFormatting>
  <conditionalFormatting sqref="E209">
    <cfRule type="cellIs" priority="205" operator="greaterThan" aboveAverage="0" equalAverage="0" bottom="0" percent="0" rank="0" text="" dxfId="2">
      <formula>10000</formula>
    </cfRule>
  </conditionalFormatting>
  <conditionalFormatting sqref="E210">
    <cfRule type="cellIs" priority="206" operator="greaterThan" aboveAverage="0" equalAverage="0" bottom="0" percent="0" rank="0" text="" dxfId="2">
      <formula>10000</formula>
    </cfRule>
  </conditionalFormatting>
  <conditionalFormatting sqref="E211">
    <cfRule type="cellIs" priority="207" operator="greaterThan" aboveAverage="0" equalAverage="0" bottom="0" percent="0" rank="0" text="" dxfId="2">
      <formula>10000</formula>
    </cfRule>
  </conditionalFormatting>
  <conditionalFormatting sqref="E212">
    <cfRule type="cellIs" priority="208" operator="greaterThan" aboveAverage="0" equalAverage="0" bottom="0" percent="0" rank="0" text="" dxfId="2">
      <formula>10000</formula>
    </cfRule>
  </conditionalFormatting>
  <conditionalFormatting sqref="E213">
    <cfRule type="cellIs" priority="209" operator="greaterThan" aboveAverage="0" equalAverage="0" bottom="0" percent="0" rank="0" text="" dxfId="2">
      <formula>10000</formula>
    </cfRule>
  </conditionalFormatting>
  <conditionalFormatting sqref="E214">
    <cfRule type="cellIs" priority="210" operator="greaterThan" aboveAverage="0" equalAverage="0" bottom="0" percent="0" rank="0" text="" dxfId="2">
      <formula>10000</formula>
    </cfRule>
  </conditionalFormatting>
  <conditionalFormatting sqref="E215">
    <cfRule type="cellIs" priority="211" operator="greaterThan" aboveAverage="0" equalAverage="0" bottom="0" percent="0" rank="0" text="" dxfId="2">
      <formula>10000</formula>
    </cfRule>
  </conditionalFormatting>
  <conditionalFormatting sqref="E216">
    <cfRule type="cellIs" priority="212" operator="greaterThan" aboveAverage="0" equalAverage="0" bottom="0" percent="0" rank="0" text="" dxfId="2">
      <formula>10000</formula>
    </cfRule>
  </conditionalFormatting>
  <conditionalFormatting sqref="E217">
    <cfRule type="cellIs" priority="213" operator="greaterThan" aboveAverage="0" equalAverage="0" bottom="0" percent="0" rank="0" text="" dxfId="2">
      <formula>10000</formula>
    </cfRule>
  </conditionalFormatting>
  <conditionalFormatting sqref="E218">
    <cfRule type="cellIs" priority="214" operator="greaterThan" aboveAverage="0" equalAverage="0" bottom="0" percent="0" rank="0" text="" dxfId="2">
      <formula>10000</formula>
    </cfRule>
  </conditionalFormatting>
  <conditionalFormatting sqref="E219">
    <cfRule type="cellIs" priority="215" operator="greaterThan" aboveAverage="0" equalAverage="0" bottom="0" percent="0" rank="0" text="" dxfId="2">
      <formula>10000</formula>
    </cfRule>
  </conditionalFormatting>
  <conditionalFormatting sqref="E220">
    <cfRule type="cellIs" priority="216" operator="greaterThan" aboveAverage="0" equalAverage="0" bottom="0" percent="0" rank="0" text="" dxfId="2">
      <formula>10000</formula>
    </cfRule>
  </conditionalFormatting>
  <conditionalFormatting sqref="E221">
    <cfRule type="cellIs" priority="217" operator="greaterThan" aboveAverage="0" equalAverage="0" bottom="0" percent="0" rank="0" text="" dxfId="2">
      <formula>10000</formula>
    </cfRule>
  </conditionalFormatting>
  <conditionalFormatting sqref="E222">
    <cfRule type="cellIs" priority="218" operator="greaterThan" aboveAverage="0" equalAverage="0" bottom="0" percent="0" rank="0" text="" dxfId="2">
      <formula>10000</formula>
    </cfRule>
  </conditionalFormatting>
  <conditionalFormatting sqref="E223">
    <cfRule type="cellIs" priority="219" operator="greaterThan" aboveAverage="0" equalAverage="0" bottom="0" percent="0" rank="0" text="" dxfId="2">
      <formula>10000</formula>
    </cfRule>
  </conditionalFormatting>
  <conditionalFormatting sqref="E224">
    <cfRule type="cellIs" priority="220" operator="greaterThan" aboveAverage="0" equalAverage="0" bottom="0" percent="0" rank="0" text="" dxfId="2">
      <formula>10000</formula>
    </cfRule>
  </conditionalFormatting>
  <conditionalFormatting sqref="E225">
    <cfRule type="cellIs" priority="221" operator="greaterThan" aboveAverage="0" equalAverage="0" bottom="0" percent="0" rank="0" text="" dxfId="2">
      <formula>10000</formula>
    </cfRule>
  </conditionalFormatting>
  <conditionalFormatting sqref="E226">
    <cfRule type="cellIs" priority="222" operator="greaterThan" aboveAverage="0" equalAverage="0" bottom="0" percent="0" rank="0" text="" dxfId="2">
      <formula>10000</formula>
    </cfRule>
  </conditionalFormatting>
  <conditionalFormatting sqref="E227">
    <cfRule type="cellIs" priority="223" operator="greaterThan" aboveAverage="0" equalAverage="0" bottom="0" percent="0" rank="0" text="" dxfId="2">
      <formula>10000</formula>
    </cfRule>
  </conditionalFormatting>
  <conditionalFormatting sqref="E228">
    <cfRule type="cellIs" priority="224" operator="greaterThan" aboveAverage="0" equalAverage="0" bottom="0" percent="0" rank="0" text="" dxfId="2">
      <formula>10000</formula>
    </cfRule>
  </conditionalFormatting>
  <conditionalFormatting sqref="E229">
    <cfRule type="cellIs" priority="225" operator="greaterThan" aboveAverage="0" equalAverage="0" bottom="0" percent="0" rank="0" text="" dxfId="2">
      <formula>10000</formula>
    </cfRule>
  </conditionalFormatting>
  <conditionalFormatting sqref="E230">
    <cfRule type="cellIs" priority="226" operator="greaterThan" aboveAverage="0" equalAverage="0" bottom="0" percent="0" rank="0" text="" dxfId="2">
      <formula>10000</formula>
    </cfRule>
  </conditionalFormatting>
  <conditionalFormatting sqref="E231">
    <cfRule type="cellIs" priority="227" operator="greaterThan" aboveAverage="0" equalAverage="0" bottom="0" percent="0" rank="0" text="" dxfId="2">
      <formula>10000</formula>
    </cfRule>
  </conditionalFormatting>
  <conditionalFormatting sqref="E232">
    <cfRule type="cellIs" priority="228" operator="greaterThan" aboveAverage="0" equalAverage="0" bottom="0" percent="0" rank="0" text="" dxfId="2">
      <formula>10000</formula>
    </cfRule>
  </conditionalFormatting>
  <conditionalFormatting sqref="E233">
    <cfRule type="cellIs" priority="229" operator="greaterThan" aboveAverage="0" equalAverage="0" bottom="0" percent="0" rank="0" text="" dxfId="2">
      <formula>10000</formula>
    </cfRule>
  </conditionalFormatting>
  <conditionalFormatting sqref="E234">
    <cfRule type="cellIs" priority="230" operator="greaterThan" aboveAverage="0" equalAverage="0" bottom="0" percent="0" rank="0" text="" dxfId="2">
      <formula>10000</formula>
    </cfRule>
  </conditionalFormatting>
  <conditionalFormatting sqref="E235">
    <cfRule type="cellIs" priority="231" operator="greaterThan" aboveAverage="0" equalAverage="0" bottom="0" percent="0" rank="0" text="" dxfId="2">
      <formula>10000</formula>
    </cfRule>
  </conditionalFormatting>
  <conditionalFormatting sqref="E236">
    <cfRule type="cellIs" priority="232" operator="greaterThan" aboveAverage="0" equalAverage="0" bottom="0" percent="0" rank="0" text="" dxfId="2">
      <formula>10000</formula>
    </cfRule>
  </conditionalFormatting>
  <conditionalFormatting sqref="E237">
    <cfRule type="cellIs" priority="233" operator="greaterThan" aboveAverage="0" equalAverage="0" bottom="0" percent="0" rank="0" text="" dxfId="2">
      <formula>10000</formula>
    </cfRule>
  </conditionalFormatting>
  <conditionalFormatting sqref="E238">
    <cfRule type="cellIs" priority="234" operator="greaterThan" aboveAverage="0" equalAverage="0" bottom="0" percent="0" rank="0" text="" dxfId="2">
      <formula>10000</formula>
    </cfRule>
  </conditionalFormatting>
  <conditionalFormatting sqref="E239">
    <cfRule type="cellIs" priority="235" operator="greaterThan" aboveAverage="0" equalAverage="0" bottom="0" percent="0" rank="0" text="" dxfId="2">
      <formula>10000</formula>
    </cfRule>
  </conditionalFormatting>
  <conditionalFormatting sqref="E240">
    <cfRule type="cellIs" priority="236" operator="greaterThan" aboveAverage="0" equalAverage="0" bottom="0" percent="0" rank="0" text="" dxfId="2">
      <formula>10000</formula>
    </cfRule>
  </conditionalFormatting>
  <conditionalFormatting sqref="E241">
    <cfRule type="cellIs" priority="237" operator="greaterThan" aboveAverage="0" equalAverage="0" bottom="0" percent="0" rank="0" text="" dxfId="2">
      <formula>10000</formula>
    </cfRule>
  </conditionalFormatting>
  <conditionalFormatting sqref="E242">
    <cfRule type="cellIs" priority="238" operator="greaterThan" aboveAverage="0" equalAverage="0" bottom="0" percent="0" rank="0" text="" dxfId="2">
      <formula>10000</formula>
    </cfRule>
  </conditionalFormatting>
  <conditionalFormatting sqref="E243">
    <cfRule type="cellIs" priority="239" operator="greaterThan" aboveAverage="0" equalAverage="0" bottom="0" percent="0" rank="0" text="" dxfId="2">
      <formula>10000</formula>
    </cfRule>
  </conditionalFormatting>
  <conditionalFormatting sqref="E244">
    <cfRule type="cellIs" priority="240" operator="greaterThan" aboveAverage="0" equalAverage="0" bottom="0" percent="0" rank="0" text="" dxfId="2">
      <formula>10000</formula>
    </cfRule>
  </conditionalFormatting>
  <conditionalFormatting sqref="E245">
    <cfRule type="cellIs" priority="241" operator="greaterThan" aboveAverage="0" equalAverage="0" bottom="0" percent="0" rank="0" text="" dxfId="2">
      <formula>10000</formula>
    </cfRule>
  </conditionalFormatting>
  <conditionalFormatting sqref="E246">
    <cfRule type="cellIs" priority="242" operator="greaterThan" aboveAverage="0" equalAverage="0" bottom="0" percent="0" rank="0" text="" dxfId="2">
      <formula>10000</formula>
    </cfRule>
  </conditionalFormatting>
  <conditionalFormatting sqref="E247">
    <cfRule type="cellIs" priority="243" operator="greaterThan" aboveAverage="0" equalAverage="0" bottom="0" percent="0" rank="0" text="" dxfId="2">
      <formula>10000</formula>
    </cfRule>
  </conditionalFormatting>
  <conditionalFormatting sqref="E248">
    <cfRule type="cellIs" priority="244" operator="greaterThan" aboveAverage="0" equalAverage="0" bottom="0" percent="0" rank="0" text="" dxfId="2">
      <formula>10000</formula>
    </cfRule>
  </conditionalFormatting>
  <conditionalFormatting sqref="E249">
    <cfRule type="cellIs" priority="245" operator="greaterThan" aboveAverage="0" equalAverage="0" bottom="0" percent="0" rank="0" text="" dxfId="2">
      <formula>10000</formula>
    </cfRule>
  </conditionalFormatting>
  <conditionalFormatting sqref="E250">
    <cfRule type="cellIs" priority="246" operator="greaterThan" aboveAverage="0" equalAverage="0" bottom="0" percent="0" rank="0" text="" dxfId="2">
      <formula>10000</formula>
    </cfRule>
  </conditionalFormatting>
  <conditionalFormatting sqref="E251">
    <cfRule type="cellIs" priority="247" operator="greaterThan" aboveAverage="0" equalAverage="0" bottom="0" percent="0" rank="0" text="" dxfId="2">
      <formula>10000</formula>
    </cfRule>
  </conditionalFormatting>
  <conditionalFormatting sqref="E252">
    <cfRule type="cellIs" priority="248" operator="greaterThan" aboveAverage="0" equalAverage="0" bottom="0" percent="0" rank="0" text="" dxfId="2">
      <formula>10000</formula>
    </cfRule>
  </conditionalFormatting>
  <conditionalFormatting sqref="E253">
    <cfRule type="cellIs" priority="249" operator="greaterThan" aboveAverage="0" equalAverage="0" bottom="0" percent="0" rank="0" text="" dxfId="2">
      <formula>10000</formula>
    </cfRule>
  </conditionalFormatting>
  <conditionalFormatting sqref="E254">
    <cfRule type="cellIs" priority="250" operator="greaterThan" aboveAverage="0" equalAverage="0" bottom="0" percent="0" rank="0" text="" dxfId="2">
      <formula>10000</formula>
    </cfRule>
  </conditionalFormatting>
  <conditionalFormatting sqref="E255">
    <cfRule type="cellIs" priority="251" operator="greaterThan" aboveAverage="0" equalAverage="0" bottom="0" percent="0" rank="0" text="" dxfId="2">
      <formula>10000</formula>
    </cfRule>
  </conditionalFormatting>
  <conditionalFormatting sqref="E256">
    <cfRule type="cellIs" priority="252" operator="greaterThan" aboveAverage="0" equalAverage="0" bottom="0" percent="0" rank="0" text="" dxfId="2">
      <formula>10000</formula>
    </cfRule>
  </conditionalFormatting>
  <conditionalFormatting sqref="E257">
    <cfRule type="cellIs" priority="253" operator="greaterThan" aboveAverage="0" equalAverage="0" bottom="0" percent="0" rank="0" text="" dxfId="2">
      <formula>10000</formula>
    </cfRule>
  </conditionalFormatting>
  <conditionalFormatting sqref="E258">
    <cfRule type="cellIs" priority="254" operator="greaterThan" aboveAverage="0" equalAverage="0" bottom="0" percent="0" rank="0" text="" dxfId="2">
      <formula>10000</formula>
    </cfRule>
  </conditionalFormatting>
  <conditionalFormatting sqref="E259">
    <cfRule type="cellIs" priority="255" operator="greaterThan" aboveAverage="0" equalAverage="0" bottom="0" percent="0" rank="0" text="" dxfId="2">
      <formula>10000</formula>
    </cfRule>
  </conditionalFormatting>
  <conditionalFormatting sqref="E260">
    <cfRule type="cellIs" priority="256" operator="greaterThan" aboveAverage="0" equalAverage="0" bottom="0" percent="0" rank="0" text="" dxfId="2">
      <formula>10000</formula>
    </cfRule>
  </conditionalFormatting>
  <conditionalFormatting sqref="E261">
    <cfRule type="cellIs" priority="257" operator="greaterThan" aboveAverage="0" equalAverage="0" bottom="0" percent="0" rank="0" text="" dxfId="2">
      <formula>10000</formula>
    </cfRule>
  </conditionalFormatting>
  <conditionalFormatting sqref="E262">
    <cfRule type="cellIs" priority="258" operator="greaterThan" aboveAverage="0" equalAverage="0" bottom="0" percent="0" rank="0" text="" dxfId="2">
      <formula>10000</formula>
    </cfRule>
  </conditionalFormatting>
  <conditionalFormatting sqref="E263">
    <cfRule type="cellIs" priority="259" operator="greaterThan" aboveAverage="0" equalAverage="0" bottom="0" percent="0" rank="0" text="" dxfId="2">
      <formula>10000</formula>
    </cfRule>
  </conditionalFormatting>
  <conditionalFormatting sqref="E264">
    <cfRule type="cellIs" priority="260" operator="greaterThan" aboveAverage="0" equalAverage="0" bottom="0" percent="0" rank="0" text="" dxfId="2">
      <formula>10000</formula>
    </cfRule>
  </conditionalFormatting>
  <conditionalFormatting sqref="E265">
    <cfRule type="cellIs" priority="261" operator="greaterThan" aboveAverage="0" equalAverage="0" bottom="0" percent="0" rank="0" text="" dxfId="2">
      <formula>10000</formula>
    </cfRule>
  </conditionalFormatting>
  <conditionalFormatting sqref="E266">
    <cfRule type="cellIs" priority="262" operator="greaterThan" aboveAverage="0" equalAverage="0" bottom="0" percent="0" rank="0" text="" dxfId="2">
      <formula>10000</formula>
    </cfRule>
  </conditionalFormatting>
  <conditionalFormatting sqref="E267">
    <cfRule type="cellIs" priority="263" operator="greaterThan" aboveAverage="0" equalAverage="0" bottom="0" percent="0" rank="0" text="" dxfId="2">
      <formula>10000</formula>
    </cfRule>
  </conditionalFormatting>
  <conditionalFormatting sqref="E268">
    <cfRule type="cellIs" priority="264" operator="greaterThan" aboveAverage="0" equalAverage="0" bottom="0" percent="0" rank="0" text="" dxfId="2">
      <formula>10000</formula>
    </cfRule>
  </conditionalFormatting>
  <conditionalFormatting sqref="E269">
    <cfRule type="cellIs" priority="265" operator="greaterThan" aboveAverage="0" equalAverage="0" bottom="0" percent="0" rank="0" text="" dxfId="2">
      <formula>10000</formula>
    </cfRule>
  </conditionalFormatting>
  <conditionalFormatting sqref="E270">
    <cfRule type="cellIs" priority="266" operator="greaterThan" aboveAverage="0" equalAverage="0" bottom="0" percent="0" rank="0" text="" dxfId="2">
      <formula>10000</formula>
    </cfRule>
  </conditionalFormatting>
  <conditionalFormatting sqref="E271">
    <cfRule type="cellIs" priority="267" operator="greaterThan" aboveAverage="0" equalAverage="0" bottom="0" percent="0" rank="0" text="" dxfId="2">
      <formula>10000</formula>
    </cfRule>
  </conditionalFormatting>
  <conditionalFormatting sqref="E272">
    <cfRule type="cellIs" priority="268" operator="greaterThan" aboveAverage="0" equalAverage="0" bottom="0" percent="0" rank="0" text="" dxfId="2">
      <formula>10000</formula>
    </cfRule>
  </conditionalFormatting>
  <conditionalFormatting sqref="E273">
    <cfRule type="cellIs" priority="269" operator="greaterThan" aboveAverage="0" equalAverage="0" bottom="0" percent="0" rank="0" text="" dxfId="2">
      <formula>10000</formula>
    </cfRule>
  </conditionalFormatting>
  <conditionalFormatting sqref="E274">
    <cfRule type="cellIs" priority="270" operator="greaterThan" aboveAverage="0" equalAverage="0" bottom="0" percent="0" rank="0" text="" dxfId="2">
      <formula>10000</formula>
    </cfRule>
  </conditionalFormatting>
  <conditionalFormatting sqref="E275">
    <cfRule type="cellIs" priority="271" operator="greaterThan" aboveAverage="0" equalAverage="0" bottom="0" percent="0" rank="0" text="" dxfId="2">
      <formula>10000</formula>
    </cfRule>
  </conditionalFormatting>
  <conditionalFormatting sqref="E276">
    <cfRule type="cellIs" priority="272" operator="greaterThan" aboveAverage="0" equalAverage="0" bottom="0" percent="0" rank="0" text="" dxfId="2">
      <formula>10000</formula>
    </cfRule>
  </conditionalFormatting>
  <conditionalFormatting sqref="E277">
    <cfRule type="cellIs" priority="273" operator="greaterThan" aboveAverage="0" equalAverage="0" bottom="0" percent="0" rank="0" text="" dxfId="2">
      <formula>10000</formula>
    </cfRule>
  </conditionalFormatting>
  <conditionalFormatting sqref="E278">
    <cfRule type="cellIs" priority="274" operator="greaterThan" aboveAverage="0" equalAverage="0" bottom="0" percent="0" rank="0" text="" dxfId="2">
      <formula>10000</formula>
    </cfRule>
  </conditionalFormatting>
  <conditionalFormatting sqref="E279">
    <cfRule type="cellIs" priority="275" operator="greaterThan" aboveAverage="0" equalAverage="0" bottom="0" percent="0" rank="0" text="" dxfId="2">
      <formula>10000</formula>
    </cfRule>
  </conditionalFormatting>
  <conditionalFormatting sqref="E280">
    <cfRule type="cellIs" priority="276" operator="greaterThan" aboveAverage="0" equalAverage="0" bottom="0" percent="0" rank="0" text="" dxfId="2">
      <formula>10000</formula>
    </cfRule>
  </conditionalFormatting>
  <conditionalFormatting sqref="E281">
    <cfRule type="cellIs" priority="277" operator="greaterThan" aboveAverage="0" equalAverage="0" bottom="0" percent="0" rank="0" text="" dxfId="2">
      <formula>10000</formula>
    </cfRule>
  </conditionalFormatting>
  <conditionalFormatting sqref="E282">
    <cfRule type="cellIs" priority="278" operator="greaterThan" aboveAverage="0" equalAverage="0" bottom="0" percent="0" rank="0" text="" dxfId="2">
      <formula>10000</formula>
    </cfRule>
  </conditionalFormatting>
  <conditionalFormatting sqref="E283">
    <cfRule type="cellIs" priority="279" operator="greaterThan" aboveAverage="0" equalAverage="0" bottom="0" percent="0" rank="0" text="" dxfId="2">
      <formula>10000</formula>
    </cfRule>
  </conditionalFormatting>
  <conditionalFormatting sqref="E284">
    <cfRule type="cellIs" priority="280" operator="greaterThan" aboveAverage="0" equalAverage="0" bottom="0" percent="0" rank="0" text="" dxfId="2">
      <formula>10000</formula>
    </cfRule>
  </conditionalFormatting>
  <conditionalFormatting sqref="E285">
    <cfRule type="cellIs" priority="281" operator="greaterThan" aboveAverage="0" equalAverage="0" bottom="0" percent="0" rank="0" text="" dxfId="2">
      <formula>10000</formula>
    </cfRule>
  </conditionalFormatting>
  <conditionalFormatting sqref="E286">
    <cfRule type="cellIs" priority="282" operator="greaterThan" aboveAverage="0" equalAverage="0" bottom="0" percent="0" rank="0" text="" dxfId="2">
      <formula>10000</formula>
    </cfRule>
  </conditionalFormatting>
  <conditionalFormatting sqref="E287">
    <cfRule type="cellIs" priority="283" operator="greaterThan" aboveAverage="0" equalAverage="0" bottom="0" percent="0" rank="0" text="" dxfId="2">
      <formula>10000</formula>
    </cfRule>
  </conditionalFormatting>
  <conditionalFormatting sqref="E288">
    <cfRule type="cellIs" priority="284" operator="greaterThan" aboveAverage="0" equalAverage="0" bottom="0" percent="0" rank="0" text="" dxfId="2">
      <formula>10000</formula>
    </cfRule>
  </conditionalFormatting>
  <conditionalFormatting sqref="E289">
    <cfRule type="cellIs" priority="285" operator="greaterThan" aboveAverage="0" equalAverage="0" bottom="0" percent="0" rank="0" text="" dxfId="2">
      <formula>10000</formula>
    </cfRule>
  </conditionalFormatting>
  <conditionalFormatting sqref="E290">
    <cfRule type="cellIs" priority="286" operator="greaterThan" aboveAverage="0" equalAverage="0" bottom="0" percent="0" rank="0" text="" dxfId="2">
      <formula>10000</formula>
    </cfRule>
  </conditionalFormatting>
  <conditionalFormatting sqref="E291">
    <cfRule type="cellIs" priority="287" operator="greaterThan" aboveAverage="0" equalAverage="0" bottom="0" percent="0" rank="0" text="" dxfId="2">
      <formula>10000</formula>
    </cfRule>
  </conditionalFormatting>
  <conditionalFormatting sqref="E292">
    <cfRule type="cellIs" priority="288" operator="greaterThan" aboveAverage="0" equalAverage="0" bottom="0" percent="0" rank="0" text="" dxfId="2">
      <formula>10000</formula>
    </cfRule>
  </conditionalFormatting>
  <conditionalFormatting sqref="E293">
    <cfRule type="cellIs" priority="289" operator="greaterThan" aboveAverage="0" equalAverage="0" bottom="0" percent="0" rank="0" text="" dxfId="2">
      <formula>10000</formula>
    </cfRule>
  </conditionalFormatting>
  <conditionalFormatting sqref="E294">
    <cfRule type="cellIs" priority="290" operator="greaterThan" aboveAverage="0" equalAverage="0" bottom="0" percent="0" rank="0" text="" dxfId="2">
      <formula>10000</formula>
    </cfRule>
  </conditionalFormatting>
  <conditionalFormatting sqref="E295">
    <cfRule type="cellIs" priority="291" operator="greaterThan" aboveAverage="0" equalAverage="0" bottom="0" percent="0" rank="0" text="" dxfId="2">
      <formula>10000</formula>
    </cfRule>
  </conditionalFormatting>
  <conditionalFormatting sqref="E296">
    <cfRule type="cellIs" priority="292" operator="greaterThan" aboveAverage="0" equalAverage="0" bottom="0" percent="0" rank="0" text="" dxfId="2">
      <formula>10000</formula>
    </cfRule>
  </conditionalFormatting>
  <conditionalFormatting sqref="E297">
    <cfRule type="cellIs" priority="293" operator="greaterThan" aboveAverage="0" equalAverage="0" bottom="0" percent="0" rank="0" text="" dxfId="2">
      <formula>10000</formula>
    </cfRule>
  </conditionalFormatting>
  <conditionalFormatting sqref="E298">
    <cfRule type="cellIs" priority="294" operator="greaterThan" aboveAverage="0" equalAverage="0" bottom="0" percent="0" rank="0" text="" dxfId="2">
      <formula>10000</formula>
    </cfRule>
  </conditionalFormatting>
  <conditionalFormatting sqref="E299">
    <cfRule type="cellIs" priority="295" operator="greaterThan" aboveAverage="0" equalAverage="0" bottom="0" percent="0" rank="0" text="" dxfId="2">
      <formula>10000</formula>
    </cfRule>
  </conditionalFormatting>
  <conditionalFormatting sqref="E300">
    <cfRule type="cellIs" priority="296" operator="greaterThan" aboveAverage="0" equalAverage="0" bottom="0" percent="0" rank="0" text="" dxfId="2">
      <formula>10000</formula>
    </cfRule>
  </conditionalFormatting>
  <conditionalFormatting sqref="E301">
    <cfRule type="cellIs" priority="297" operator="greaterThan" aboveAverage="0" equalAverage="0" bottom="0" percent="0" rank="0" text="" dxfId="2">
      <formula>10000</formula>
    </cfRule>
  </conditionalFormatting>
  <conditionalFormatting sqref="E302">
    <cfRule type="cellIs" priority="298" operator="greaterThan" aboveAverage="0" equalAverage="0" bottom="0" percent="0" rank="0" text="" dxfId="2">
      <formula>10000</formula>
    </cfRule>
  </conditionalFormatting>
  <conditionalFormatting sqref="E303">
    <cfRule type="cellIs" priority="299" operator="greaterThan" aboveAverage="0" equalAverage="0" bottom="0" percent="0" rank="0" text="" dxfId="2">
      <formula>10000</formula>
    </cfRule>
  </conditionalFormatting>
  <conditionalFormatting sqref="E304">
    <cfRule type="cellIs" priority="300" operator="greaterThan" aboveAverage="0" equalAverage="0" bottom="0" percent="0" rank="0" text="" dxfId="2">
      <formula>10000</formula>
    </cfRule>
  </conditionalFormatting>
  <conditionalFormatting sqref="E305">
    <cfRule type="cellIs" priority="301" operator="greaterThan" aboveAverage="0" equalAverage="0" bottom="0" percent="0" rank="0" text="" dxfId="2">
      <formula>10000</formula>
    </cfRule>
  </conditionalFormatting>
  <conditionalFormatting sqref="E306">
    <cfRule type="cellIs" priority="302" operator="greaterThan" aboveAverage="0" equalAverage="0" bottom="0" percent="0" rank="0" text="" dxfId="2">
      <formula>10000</formula>
    </cfRule>
  </conditionalFormatting>
  <conditionalFormatting sqref="E307">
    <cfRule type="cellIs" priority="303" operator="greaterThan" aboveAverage="0" equalAverage="0" bottom="0" percent="0" rank="0" text="" dxfId="2">
      <formula>10000</formula>
    </cfRule>
  </conditionalFormatting>
  <conditionalFormatting sqref="E308">
    <cfRule type="cellIs" priority="304" operator="greaterThan" aboveAverage="0" equalAverage="0" bottom="0" percent="0" rank="0" text="" dxfId="2">
      <formula>10000</formula>
    </cfRule>
  </conditionalFormatting>
  <conditionalFormatting sqref="E309">
    <cfRule type="cellIs" priority="305" operator="greaterThan" aboveAverage="0" equalAverage="0" bottom="0" percent="0" rank="0" text="" dxfId="2">
      <formula>10000</formula>
    </cfRule>
  </conditionalFormatting>
  <conditionalFormatting sqref="E310">
    <cfRule type="cellIs" priority="306" operator="greaterThan" aboveAverage="0" equalAverage="0" bottom="0" percent="0" rank="0" text="" dxfId="2">
      <formula>10000</formula>
    </cfRule>
  </conditionalFormatting>
  <conditionalFormatting sqref="E311">
    <cfRule type="cellIs" priority="307" operator="greaterThan" aboveAverage="0" equalAverage="0" bottom="0" percent="0" rank="0" text="" dxfId="2">
      <formula>10000</formula>
    </cfRule>
  </conditionalFormatting>
  <conditionalFormatting sqref="E312">
    <cfRule type="cellIs" priority="308" operator="greaterThan" aboveAverage="0" equalAverage="0" bottom="0" percent="0" rank="0" text="" dxfId="2">
      <formula>10000</formula>
    </cfRule>
  </conditionalFormatting>
  <conditionalFormatting sqref="E313">
    <cfRule type="cellIs" priority="309" operator="greaterThan" aboveAverage="0" equalAverage="0" bottom="0" percent="0" rank="0" text="" dxfId="2">
      <formula>10000</formula>
    </cfRule>
  </conditionalFormatting>
  <conditionalFormatting sqref="E314">
    <cfRule type="cellIs" priority="310" operator="greaterThan" aboveAverage="0" equalAverage="0" bottom="0" percent="0" rank="0" text="" dxfId="2">
      <formula>10000</formula>
    </cfRule>
  </conditionalFormatting>
  <conditionalFormatting sqref="E315">
    <cfRule type="cellIs" priority="311" operator="greaterThan" aboveAverage="0" equalAverage="0" bottom="0" percent="0" rank="0" text="" dxfId="2">
      <formula>10000</formula>
    </cfRule>
  </conditionalFormatting>
  <conditionalFormatting sqref="E316">
    <cfRule type="cellIs" priority="312" operator="greaterThan" aboveAverage="0" equalAverage="0" bottom="0" percent="0" rank="0" text="" dxfId="2">
      <formula>10000</formula>
    </cfRule>
  </conditionalFormatting>
  <conditionalFormatting sqref="E317">
    <cfRule type="cellIs" priority="313" operator="greaterThan" aboveAverage="0" equalAverage="0" bottom="0" percent="0" rank="0" text="" dxfId="2">
      <formula>10000</formula>
    </cfRule>
  </conditionalFormatting>
  <conditionalFormatting sqref="E318">
    <cfRule type="cellIs" priority="314" operator="greaterThan" aboveAverage="0" equalAverage="0" bottom="0" percent="0" rank="0" text="" dxfId="2">
      <formula>10000</formula>
    </cfRule>
  </conditionalFormatting>
  <conditionalFormatting sqref="E319">
    <cfRule type="cellIs" priority="315" operator="greaterThan" aboveAverage="0" equalAverage="0" bottom="0" percent="0" rank="0" text="" dxfId="2">
      <formula>10000</formula>
    </cfRule>
  </conditionalFormatting>
  <conditionalFormatting sqref="E320">
    <cfRule type="cellIs" priority="316" operator="greaterThan" aboveAverage="0" equalAverage="0" bottom="0" percent="0" rank="0" text="" dxfId="2">
      <formula>10000</formula>
    </cfRule>
  </conditionalFormatting>
  <conditionalFormatting sqref="E321">
    <cfRule type="cellIs" priority="317" operator="greaterThan" aboveAverage="0" equalAverage="0" bottom="0" percent="0" rank="0" text="" dxfId="2">
      <formula>10000</formula>
    </cfRule>
  </conditionalFormatting>
  <conditionalFormatting sqref="E322">
    <cfRule type="cellIs" priority="318" operator="greaterThan" aboveAverage="0" equalAverage="0" bottom="0" percent="0" rank="0" text="" dxfId="2">
      <formula>10000</formula>
    </cfRule>
  </conditionalFormatting>
  <conditionalFormatting sqref="E323">
    <cfRule type="cellIs" priority="319" operator="greaterThan" aboveAverage="0" equalAverage="0" bottom="0" percent="0" rank="0" text="" dxfId="2">
      <formula>10000</formula>
    </cfRule>
  </conditionalFormatting>
  <conditionalFormatting sqref="E324">
    <cfRule type="cellIs" priority="320" operator="greaterThan" aboveAverage="0" equalAverage="0" bottom="0" percent="0" rank="0" text="" dxfId="2">
      <formula>10000</formula>
    </cfRule>
  </conditionalFormatting>
  <conditionalFormatting sqref="E325">
    <cfRule type="cellIs" priority="321" operator="greaterThan" aboveAverage="0" equalAverage="0" bottom="0" percent="0" rank="0" text="" dxfId="2">
      <formula>10000</formula>
    </cfRule>
  </conditionalFormatting>
  <conditionalFormatting sqref="E326">
    <cfRule type="cellIs" priority="322" operator="greaterThan" aboveAverage="0" equalAverage="0" bottom="0" percent="0" rank="0" text="" dxfId="2">
      <formula>10000</formula>
    </cfRule>
  </conditionalFormatting>
  <conditionalFormatting sqref="E327">
    <cfRule type="cellIs" priority="323" operator="greaterThan" aboveAverage="0" equalAverage="0" bottom="0" percent="0" rank="0" text="" dxfId="2">
      <formula>10000</formula>
    </cfRule>
  </conditionalFormatting>
  <conditionalFormatting sqref="E328">
    <cfRule type="cellIs" priority="324" operator="greaterThan" aboveAverage="0" equalAverage="0" bottom="0" percent="0" rank="0" text="" dxfId="2">
      <formula>10000</formula>
    </cfRule>
  </conditionalFormatting>
  <conditionalFormatting sqref="E329">
    <cfRule type="cellIs" priority="325" operator="greaterThan" aboveAverage="0" equalAverage="0" bottom="0" percent="0" rank="0" text="" dxfId="2">
      <formula>10000</formula>
    </cfRule>
  </conditionalFormatting>
  <conditionalFormatting sqref="E330">
    <cfRule type="cellIs" priority="326" operator="greaterThan" aboveAverage="0" equalAverage="0" bottom="0" percent="0" rank="0" text="" dxfId="2">
      <formula>10000</formula>
    </cfRule>
  </conditionalFormatting>
  <conditionalFormatting sqref="E331">
    <cfRule type="cellIs" priority="327" operator="greaterThan" aboveAverage="0" equalAverage="0" bottom="0" percent="0" rank="0" text="" dxfId="2">
      <formula>10000</formula>
    </cfRule>
  </conditionalFormatting>
  <conditionalFormatting sqref="E332">
    <cfRule type="cellIs" priority="328" operator="greaterThan" aboveAverage="0" equalAverage="0" bottom="0" percent="0" rank="0" text="" dxfId="2">
      <formula>10000</formula>
    </cfRule>
  </conditionalFormatting>
  <conditionalFormatting sqref="E333">
    <cfRule type="cellIs" priority="329" operator="greaterThan" aboveAverage="0" equalAverage="0" bottom="0" percent="0" rank="0" text="" dxfId="2">
      <formula>10000</formula>
    </cfRule>
  </conditionalFormatting>
  <conditionalFormatting sqref="E334">
    <cfRule type="cellIs" priority="330" operator="greaterThan" aboveAverage="0" equalAverage="0" bottom="0" percent="0" rank="0" text="" dxfId="2">
      <formula>10000</formula>
    </cfRule>
  </conditionalFormatting>
  <conditionalFormatting sqref="E335">
    <cfRule type="cellIs" priority="331" operator="greaterThan" aboveAverage="0" equalAverage="0" bottom="0" percent="0" rank="0" text="" dxfId="2">
      <formula>10000</formula>
    </cfRule>
  </conditionalFormatting>
  <conditionalFormatting sqref="E336">
    <cfRule type="cellIs" priority="332" operator="greaterThan" aboveAverage="0" equalAverage="0" bottom="0" percent="0" rank="0" text="" dxfId="2">
      <formula>10000</formula>
    </cfRule>
  </conditionalFormatting>
  <conditionalFormatting sqref="E337">
    <cfRule type="cellIs" priority="333" operator="greaterThan" aboveAverage="0" equalAverage="0" bottom="0" percent="0" rank="0" text="" dxfId="2">
      <formula>10000</formula>
    </cfRule>
  </conditionalFormatting>
  <conditionalFormatting sqref="E338">
    <cfRule type="cellIs" priority="334" operator="greaterThan" aboveAverage="0" equalAverage="0" bottom="0" percent="0" rank="0" text="" dxfId="2">
      <formula>10000</formula>
    </cfRule>
  </conditionalFormatting>
  <conditionalFormatting sqref="E339">
    <cfRule type="cellIs" priority="335" operator="greaterThan" aboveAverage="0" equalAverage="0" bottom="0" percent="0" rank="0" text="" dxfId="2">
      <formula>10000</formula>
    </cfRule>
  </conditionalFormatting>
  <conditionalFormatting sqref="E340">
    <cfRule type="cellIs" priority="336" operator="greaterThan" aboveAverage="0" equalAverage="0" bottom="0" percent="0" rank="0" text="" dxfId="2">
      <formula>10000</formula>
    </cfRule>
  </conditionalFormatting>
  <conditionalFormatting sqref="E341">
    <cfRule type="cellIs" priority="337" operator="greaterThan" aboveAverage="0" equalAverage="0" bottom="0" percent="0" rank="0" text="" dxfId="2">
      <formula>10000</formula>
    </cfRule>
  </conditionalFormatting>
  <conditionalFormatting sqref="E342">
    <cfRule type="cellIs" priority="338" operator="greaterThan" aboveAverage="0" equalAverage="0" bottom="0" percent="0" rank="0" text="" dxfId="2">
      <formula>10000</formula>
    </cfRule>
  </conditionalFormatting>
  <conditionalFormatting sqref="E343">
    <cfRule type="cellIs" priority="339" operator="greaterThan" aboveAverage="0" equalAverage="0" bottom="0" percent="0" rank="0" text="" dxfId="2">
      <formula>10000</formula>
    </cfRule>
  </conditionalFormatting>
  <conditionalFormatting sqref="E344">
    <cfRule type="cellIs" priority="340" operator="greaterThan" aboveAverage="0" equalAverage="0" bottom="0" percent="0" rank="0" text="" dxfId="2">
      <formula>10000</formula>
    </cfRule>
  </conditionalFormatting>
  <conditionalFormatting sqref="E345">
    <cfRule type="cellIs" priority="341" operator="greaterThan" aboveAverage="0" equalAverage="0" bottom="0" percent="0" rank="0" text="" dxfId="2">
      <formula>10000</formula>
    </cfRule>
  </conditionalFormatting>
  <conditionalFormatting sqref="E346">
    <cfRule type="cellIs" priority="342" operator="greaterThan" aboveAverage="0" equalAverage="0" bottom="0" percent="0" rank="0" text="" dxfId="2">
      <formula>10000</formula>
    </cfRule>
  </conditionalFormatting>
  <conditionalFormatting sqref="E347">
    <cfRule type="cellIs" priority="343" operator="greaterThan" aboveAverage="0" equalAverage="0" bottom="0" percent="0" rank="0" text="" dxfId="2">
      <formula>10000</formula>
    </cfRule>
  </conditionalFormatting>
  <conditionalFormatting sqref="E348">
    <cfRule type="cellIs" priority="344" operator="greaterThan" aboveAverage="0" equalAverage="0" bottom="0" percent="0" rank="0" text="" dxfId="2">
      <formula>10000</formula>
    </cfRule>
  </conditionalFormatting>
  <conditionalFormatting sqref="E349">
    <cfRule type="cellIs" priority="345" operator="greaterThan" aboveAverage="0" equalAverage="0" bottom="0" percent="0" rank="0" text="" dxfId="2">
      <formula>10000</formula>
    </cfRule>
  </conditionalFormatting>
  <conditionalFormatting sqref="E350">
    <cfRule type="cellIs" priority="346" operator="greaterThan" aboveAverage="0" equalAverage="0" bottom="0" percent="0" rank="0" text="" dxfId="2">
      <formula>10000</formula>
    </cfRule>
  </conditionalFormatting>
  <conditionalFormatting sqref="E351">
    <cfRule type="cellIs" priority="347" operator="greaterThan" aboveAverage="0" equalAverage="0" bottom="0" percent="0" rank="0" text="" dxfId="2">
      <formula>10000</formula>
    </cfRule>
  </conditionalFormatting>
  <conditionalFormatting sqref="E352">
    <cfRule type="cellIs" priority="348" operator="greaterThan" aboveAverage="0" equalAverage="0" bottom="0" percent="0" rank="0" text="" dxfId="2">
      <formula>10000</formula>
    </cfRule>
  </conditionalFormatting>
  <conditionalFormatting sqref="E353">
    <cfRule type="cellIs" priority="349" operator="greaterThan" aboveAverage="0" equalAverage="0" bottom="0" percent="0" rank="0" text="" dxfId="2">
      <formula>10000</formula>
    </cfRule>
  </conditionalFormatting>
  <conditionalFormatting sqref="E354">
    <cfRule type="cellIs" priority="350" operator="greaterThan" aboveAverage="0" equalAverage="0" bottom="0" percent="0" rank="0" text="" dxfId="2">
      <formula>10000</formula>
    </cfRule>
  </conditionalFormatting>
  <conditionalFormatting sqref="E355">
    <cfRule type="cellIs" priority="351" operator="greaterThan" aboveAverage="0" equalAverage="0" bottom="0" percent="0" rank="0" text="" dxfId="2">
      <formula>10000</formula>
    </cfRule>
  </conditionalFormatting>
  <conditionalFormatting sqref="E356">
    <cfRule type="cellIs" priority="352" operator="greaterThan" aboveAverage="0" equalAverage="0" bottom="0" percent="0" rank="0" text="" dxfId="2">
      <formula>10000</formula>
    </cfRule>
  </conditionalFormatting>
  <conditionalFormatting sqref="E357">
    <cfRule type="cellIs" priority="353" operator="greaterThan" aboveAverage="0" equalAverage="0" bottom="0" percent="0" rank="0" text="" dxfId="2">
      <formula>10000</formula>
    </cfRule>
  </conditionalFormatting>
  <conditionalFormatting sqref="E358">
    <cfRule type="cellIs" priority="354" operator="greaterThan" aboveAverage="0" equalAverage="0" bottom="0" percent="0" rank="0" text="" dxfId="2">
      <formula>10000</formula>
    </cfRule>
  </conditionalFormatting>
  <conditionalFormatting sqref="E359">
    <cfRule type="cellIs" priority="355" operator="greaterThan" aboveAverage="0" equalAverage="0" bottom="0" percent="0" rank="0" text="" dxfId="2">
      <formula>10000</formula>
    </cfRule>
  </conditionalFormatting>
  <conditionalFormatting sqref="E360">
    <cfRule type="cellIs" priority="356" operator="greaterThan" aboveAverage="0" equalAverage="0" bottom="0" percent="0" rank="0" text="" dxfId="2">
      <formula>10000</formula>
    </cfRule>
  </conditionalFormatting>
  <conditionalFormatting sqref="E361">
    <cfRule type="cellIs" priority="357" operator="greaterThan" aboveAverage="0" equalAverage="0" bottom="0" percent="0" rank="0" text="" dxfId="2">
      <formula>10000</formula>
    </cfRule>
  </conditionalFormatting>
  <conditionalFormatting sqref="E362">
    <cfRule type="cellIs" priority="358" operator="greaterThan" aboveAverage="0" equalAverage="0" bottom="0" percent="0" rank="0" text="" dxfId="2">
      <formula>10000</formula>
    </cfRule>
  </conditionalFormatting>
  <conditionalFormatting sqref="E363">
    <cfRule type="cellIs" priority="359" operator="greaterThan" aboveAverage="0" equalAverage="0" bottom="0" percent="0" rank="0" text="" dxfId="2">
      <formula>10000</formula>
    </cfRule>
  </conditionalFormatting>
  <conditionalFormatting sqref="E364">
    <cfRule type="cellIs" priority="360" operator="greaterThan" aboveAverage="0" equalAverage="0" bottom="0" percent="0" rank="0" text="" dxfId="2">
      <formula>10000</formula>
    </cfRule>
  </conditionalFormatting>
  <conditionalFormatting sqref="E365">
    <cfRule type="cellIs" priority="361" operator="greaterThan" aboveAverage="0" equalAverage="0" bottom="0" percent="0" rank="0" text="" dxfId="2">
      <formula>10000</formula>
    </cfRule>
  </conditionalFormatting>
  <conditionalFormatting sqref="E366">
    <cfRule type="cellIs" priority="362" operator="greaterThan" aboveAverage="0" equalAverage="0" bottom="0" percent="0" rank="0" text="" dxfId="2">
      <formula>10000</formula>
    </cfRule>
  </conditionalFormatting>
  <conditionalFormatting sqref="E367">
    <cfRule type="cellIs" priority="363" operator="greaterThan" aboveAverage="0" equalAverage="0" bottom="0" percent="0" rank="0" text="" dxfId="2">
      <formula>10000</formula>
    </cfRule>
  </conditionalFormatting>
  <conditionalFormatting sqref="E368">
    <cfRule type="cellIs" priority="364" operator="greaterThan" aboveAverage="0" equalAverage="0" bottom="0" percent="0" rank="0" text="" dxfId="2">
      <formula>10000</formula>
    </cfRule>
  </conditionalFormatting>
  <conditionalFormatting sqref="E369">
    <cfRule type="cellIs" priority="365" operator="greaterThan" aboveAverage="0" equalAverage="0" bottom="0" percent="0" rank="0" text="" dxfId="2">
      <formula>10000</formula>
    </cfRule>
  </conditionalFormatting>
  <conditionalFormatting sqref="E370">
    <cfRule type="cellIs" priority="366" operator="greaterThan" aboveAverage="0" equalAverage="0" bottom="0" percent="0" rank="0" text="" dxfId="2">
      <formula>10000</formula>
    </cfRule>
  </conditionalFormatting>
  <conditionalFormatting sqref="E371">
    <cfRule type="cellIs" priority="367" operator="greaterThan" aboveAverage="0" equalAverage="0" bottom="0" percent="0" rank="0" text="" dxfId="2">
      <formula>10000</formula>
    </cfRule>
  </conditionalFormatting>
  <conditionalFormatting sqref="E372">
    <cfRule type="cellIs" priority="368" operator="greaterThan" aboveAverage="0" equalAverage="0" bottom="0" percent="0" rank="0" text="" dxfId="2">
      <formula>10000</formula>
    </cfRule>
  </conditionalFormatting>
  <conditionalFormatting sqref="E373">
    <cfRule type="cellIs" priority="369" operator="greaterThan" aboveAverage="0" equalAverage="0" bottom="0" percent="0" rank="0" text="" dxfId="2">
      <formula>10000</formula>
    </cfRule>
  </conditionalFormatting>
  <conditionalFormatting sqref="E374">
    <cfRule type="cellIs" priority="370" operator="greaterThan" aboveAverage="0" equalAverage="0" bottom="0" percent="0" rank="0" text="" dxfId="2">
      <formula>10000</formula>
    </cfRule>
  </conditionalFormatting>
  <conditionalFormatting sqref="E375">
    <cfRule type="cellIs" priority="371" operator="greaterThan" aboveAverage="0" equalAverage="0" bottom="0" percent="0" rank="0" text="" dxfId="2">
      <formula>10000</formula>
    </cfRule>
  </conditionalFormatting>
  <conditionalFormatting sqref="E376">
    <cfRule type="cellIs" priority="372" operator="greaterThan" aboveAverage="0" equalAverage="0" bottom="0" percent="0" rank="0" text="" dxfId="2">
      <formula>10000</formula>
    </cfRule>
  </conditionalFormatting>
  <conditionalFormatting sqref="E377">
    <cfRule type="cellIs" priority="373" operator="greaterThan" aboveAverage="0" equalAverage="0" bottom="0" percent="0" rank="0" text="" dxfId="2">
      <formula>10000</formula>
    </cfRule>
  </conditionalFormatting>
  <conditionalFormatting sqref="E378">
    <cfRule type="cellIs" priority="374" operator="greaterThan" aboveAverage="0" equalAverage="0" bottom="0" percent="0" rank="0" text="" dxfId="2">
      <formula>10000</formula>
    </cfRule>
  </conditionalFormatting>
  <conditionalFormatting sqref="E379">
    <cfRule type="cellIs" priority="375" operator="greaterThan" aboveAverage="0" equalAverage="0" bottom="0" percent="0" rank="0" text="" dxfId="2">
      <formula>10000</formula>
    </cfRule>
  </conditionalFormatting>
  <conditionalFormatting sqref="E380">
    <cfRule type="cellIs" priority="376" operator="greaterThan" aboveAverage="0" equalAverage="0" bottom="0" percent="0" rank="0" text="" dxfId="2">
      <formula>10000</formula>
    </cfRule>
  </conditionalFormatting>
  <conditionalFormatting sqref="E381">
    <cfRule type="cellIs" priority="377" operator="greaterThan" aboveAverage="0" equalAverage="0" bottom="0" percent="0" rank="0" text="" dxfId="2">
      <formula>10000</formula>
    </cfRule>
  </conditionalFormatting>
  <conditionalFormatting sqref="E382">
    <cfRule type="cellIs" priority="378" operator="greaterThan" aboveAverage="0" equalAverage="0" bottom="0" percent="0" rank="0" text="" dxfId="2">
      <formula>10000</formula>
    </cfRule>
  </conditionalFormatting>
  <conditionalFormatting sqref="E383">
    <cfRule type="cellIs" priority="379" operator="greaterThan" aboveAverage="0" equalAverage="0" bottom="0" percent="0" rank="0" text="" dxfId="2">
      <formula>10000</formula>
    </cfRule>
  </conditionalFormatting>
  <conditionalFormatting sqref="E384">
    <cfRule type="cellIs" priority="380" operator="greaterThan" aboveAverage="0" equalAverage="0" bottom="0" percent="0" rank="0" text="" dxfId="2">
      <formula>10000</formula>
    </cfRule>
  </conditionalFormatting>
  <conditionalFormatting sqref="E385">
    <cfRule type="cellIs" priority="381" operator="greaterThan" aboveAverage="0" equalAverage="0" bottom="0" percent="0" rank="0" text="" dxfId="2">
      <formula>10000</formula>
    </cfRule>
  </conditionalFormatting>
  <conditionalFormatting sqref="E386">
    <cfRule type="cellIs" priority="382" operator="greaterThan" aboveAverage="0" equalAverage="0" bottom="0" percent="0" rank="0" text="" dxfId="2">
      <formula>10000</formula>
    </cfRule>
  </conditionalFormatting>
  <conditionalFormatting sqref="E387">
    <cfRule type="cellIs" priority="383" operator="greaterThan" aboveAverage="0" equalAverage="0" bottom="0" percent="0" rank="0" text="" dxfId="2">
      <formula>10000</formula>
    </cfRule>
  </conditionalFormatting>
  <conditionalFormatting sqref="E388">
    <cfRule type="cellIs" priority="384" operator="greaterThan" aboveAverage="0" equalAverage="0" bottom="0" percent="0" rank="0" text="" dxfId="2">
      <formula>10000</formula>
    </cfRule>
  </conditionalFormatting>
  <conditionalFormatting sqref="E389">
    <cfRule type="cellIs" priority="385" operator="greaterThan" aboveAverage="0" equalAverage="0" bottom="0" percent="0" rank="0" text="" dxfId="2">
      <formula>10000</formula>
    </cfRule>
  </conditionalFormatting>
  <conditionalFormatting sqref="E390">
    <cfRule type="cellIs" priority="386" operator="greaterThan" aboveAverage="0" equalAverage="0" bottom="0" percent="0" rank="0" text="" dxfId="2">
      <formula>10000</formula>
    </cfRule>
  </conditionalFormatting>
  <conditionalFormatting sqref="E391">
    <cfRule type="cellIs" priority="387" operator="greaterThan" aboveAverage="0" equalAverage="0" bottom="0" percent="0" rank="0" text="" dxfId="2">
      <formula>10000</formula>
    </cfRule>
  </conditionalFormatting>
  <conditionalFormatting sqref="E392">
    <cfRule type="cellIs" priority="388" operator="greaterThan" aboveAverage="0" equalAverage="0" bottom="0" percent="0" rank="0" text="" dxfId="2">
      <formula>10000</formula>
    </cfRule>
  </conditionalFormatting>
  <conditionalFormatting sqref="E393">
    <cfRule type="cellIs" priority="389" operator="greaterThan" aboveAverage="0" equalAverage="0" bottom="0" percent="0" rank="0" text="" dxfId="2">
      <formula>10000</formula>
    </cfRule>
  </conditionalFormatting>
  <conditionalFormatting sqref="E394">
    <cfRule type="cellIs" priority="390" operator="greaterThan" aboveAverage="0" equalAverage="0" bottom="0" percent="0" rank="0" text="" dxfId="2">
      <formula>10000</formula>
    </cfRule>
  </conditionalFormatting>
  <conditionalFormatting sqref="E395">
    <cfRule type="cellIs" priority="391" operator="greaterThan" aboveAverage="0" equalAverage="0" bottom="0" percent="0" rank="0" text="" dxfId="2">
      <formula>10000</formula>
    </cfRule>
  </conditionalFormatting>
  <conditionalFormatting sqref="E396">
    <cfRule type="cellIs" priority="392" operator="greaterThan" aboveAverage="0" equalAverage="0" bottom="0" percent="0" rank="0" text="" dxfId="2">
      <formula>10000</formula>
    </cfRule>
  </conditionalFormatting>
  <conditionalFormatting sqref="E397">
    <cfRule type="cellIs" priority="393" operator="greaterThan" aboveAverage="0" equalAverage="0" bottom="0" percent="0" rank="0" text="" dxfId="2">
      <formula>10000</formula>
    </cfRule>
  </conditionalFormatting>
  <conditionalFormatting sqref="E398">
    <cfRule type="cellIs" priority="394" operator="greaterThan" aboveAverage="0" equalAverage="0" bottom="0" percent="0" rank="0" text="" dxfId="2">
      <formula>10000</formula>
    </cfRule>
  </conditionalFormatting>
  <conditionalFormatting sqref="E399">
    <cfRule type="cellIs" priority="395" operator="greaterThan" aboveAverage="0" equalAverage="0" bottom="0" percent="0" rank="0" text="" dxfId="2">
      <formula>10000</formula>
    </cfRule>
  </conditionalFormatting>
  <conditionalFormatting sqref="E400">
    <cfRule type="cellIs" priority="396" operator="greaterThan" aboveAverage="0" equalAverage="0" bottom="0" percent="0" rank="0" text="" dxfId="2">
      <formula>10000</formula>
    </cfRule>
  </conditionalFormatting>
  <conditionalFormatting sqref="E401">
    <cfRule type="cellIs" priority="397" operator="greaterThan" aboveAverage="0" equalAverage="0" bottom="0" percent="0" rank="0" text="" dxfId="2">
      <formula>10000</formula>
    </cfRule>
  </conditionalFormatting>
  <conditionalFormatting sqref="E402">
    <cfRule type="cellIs" priority="398" operator="greaterThan" aboveAverage="0" equalAverage="0" bottom="0" percent="0" rank="0" text="" dxfId="2">
      <formula>10000</formula>
    </cfRule>
  </conditionalFormatting>
  <conditionalFormatting sqref="E403">
    <cfRule type="cellIs" priority="399" operator="greaterThan" aboveAverage="0" equalAverage="0" bottom="0" percent="0" rank="0" text="" dxfId="2">
      <formula>10000</formula>
    </cfRule>
  </conditionalFormatting>
  <conditionalFormatting sqref="E404">
    <cfRule type="cellIs" priority="400" operator="greaterThan" aboveAverage="0" equalAverage="0" bottom="0" percent="0" rank="0" text="" dxfId="2">
      <formula>10000</formula>
    </cfRule>
  </conditionalFormatting>
  <conditionalFormatting sqref="E405">
    <cfRule type="cellIs" priority="401" operator="greaterThan" aboveAverage="0" equalAverage="0" bottom="0" percent="0" rank="0" text="" dxfId="2">
      <formula>10000</formula>
    </cfRule>
  </conditionalFormatting>
  <conditionalFormatting sqref="E406">
    <cfRule type="cellIs" priority="402" operator="greaterThan" aboveAverage="0" equalAverage="0" bottom="0" percent="0" rank="0" text="" dxfId="2">
      <formula>10000</formula>
    </cfRule>
  </conditionalFormatting>
  <conditionalFormatting sqref="E407">
    <cfRule type="cellIs" priority="403" operator="greaterThan" aboveAverage="0" equalAverage="0" bottom="0" percent="0" rank="0" text="" dxfId="2">
      <formula>10000</formula>
    </cfRule>
  </conditionalFormatting>
  <conditionalFormatting sqref="E408">
    <cfRule type="cellIs" priority="404" operator="greaterThan" aboveAverage="0" equalAverage="0" bottom="0" percent="0" rank="0" text="" dxfId="2">
      <formula>10000</formula>
    </cfRule>
  </conditionalFormatting>
  <conditionalFormatting sqref="E409">
    <cfRule type="cellIs" priority="405" operator="greaterThan" aboveAverage="0" equalAverage="0" bottom="0" percent="0" rank="0" text="" dxfId="2">
      <formula>10000</formula>
    </cfRule>
  </conditionalFormatting>
  <conditionalFormatting sqref="E410">
    <cfRule type="cellIs" priority="406" operator="greaterThan" aboveAverage="0" equalAverage="0" bottom="0" percent="0" rank="0" text="" dxfId="2">
      <formula>10000</formula>
    </cfRule>
  </conditionalFormatting>
  <conditionalFormatting sqref="E411">
    <cfRule type="cellIs" priority="407" operator="greaterThan" aboveAverage="0" equalAverage="0" bottom="0" percent="0" rank="0" text="" dxfId="2">
      <formula>10000</formula>
    </cfRule>
  </conditionalFormatting>
  <conditionalFormatting sqref="E412">
    <cfRule type="cellIs" priority="408" operator="greaterThan" aboveAverage="0" equalAverage="0" bottom="0" percent="0" rank="0" text="" dxfId="2">
      <formula>10000</formula>
    </cfRule>
  </conditionalFormatting>
  <conditionalFormatting sqref="E413">
    <cfRule type="cellIs" priority="409" operator="greaterThan" aboveAverage="0" equalAverage="0" bottom="0" percent="0" rank="0" text="" dxfId="2">
      <formula>10000</formula>
    </cfRule>
  </conditionalFormatting>
  <conditionalFormatting sqref="E414">
    <cfRule type="cellIs" priority="410" operator="greaterThan" aboveAverage="0" equalAverage="0" bottom="0" percent="0" rank="0" text="" dxfId="2">
      <formula>10000</formula>
    </cfRule>
  </conditionalFormatting>
  <conditionalFormatting sqref="E415">
    <cfRule type="cellIs" priority="411" operator="greaterThan" aboveAverage="0" equalAverage="0" bottom="0" percent="0" rank="0" text="" dxfId="2">
      <formula>10000</formula>
    </cfRule>
  </conditionalFormatting>
  <conditionalFormatting sqref="E416">
    <cfRule type="cellIs" priority="412" operator="greaterThan" aboveAverage="0" equalAverage="0" bottom="0" percent="0" rank="0" text="" dxfId="2">
      <formula>10000</formula>
    </cfRule>
  </conditionalFormatting>
  <conditionalFormatting sqref="E417">
    <cfRule type="cellIs" priority="413" operator="greaterThan" aboveAverage="0" equalAverage="0" bottom="0" percent="0" rank="0" text="" dxfId="2">
      <formula>10000</formula>
    </cfRule>
  </conditionalFormatting>
  <conditionalFormatting sqref="E418">
    <cfRule type="cellIs" priority="414" operator="greaterThan" aboveAverage="0" equalAverage="0" bottom="0" percent="0" rank="0" text="" dxfId="2">
      <formula>10000</formula>
    </cfRule>
  </conditionalFormatting>
  <conditionalFormatting sqref="E419">
    <cfRule type="cellIs" priority="415" operator="greaterThan" aboveAverage="0" equalAverage="0" bottom="0" percent="0" rank="0" text="" dxfId="2">
      <formula>10000</formula>
    </cfRule>
  </conditionalFormatting>
  <conditionalFormatting sqref="E420">
    <cfRule type="cellIs" priority="416" operator="greaterThan" aboveAverage="0" equalAverage="0" bottom="0" percent="0" rank="0" text="" dxfId="2">
      <formula>10000</formula>
    </cfRule>
  </conditionalFormatting>
  <conditionalFormatting sqref="E421">
    <cfRule type="cellIs" priority="417" operator="greaterThan" aboveAverage="0" equalAverage="0" bottom="0" percent="0" rank="0" text="" dxfId="2">
      <formula>10000</formula>
    </cfRule>
  </conditionalFormatting>
  <conditionalFormatting sqref="E422">
    <cfRule type="cellIs" priority="418" operator="greaterThan" aboveAverage="0" equalAverage="0" bottom="0" percent="0" rank="0" text="" dxfId="2">
      <formula>10000</formula>
    </cfRule>
  </conditionalFormatting>
  <conditionalFormatting sqref="E423">
    <cfRule type="cellIs" priority="419" operator="greaterThan" aboveAverage="0" equalAverage="0" bottom="0" percent="0" rank="0" text="" dxfId="2">
      <formula>10000</formula>
    </cfRule>
  </conditionalFormatting>
  <conditionalFormatting sqref="E424">
    <cfRule type="cellIs" priority="420" operator="greaterThan" aboveAverage="0" equalAverage="0" bottom="0" percent="0" rank="0" text="" dxfId="2">
      <formula>10000</formula>
    </cfRule>
  </conditionalFormatting>
  <conditionalFormatting sqref="E425">
    <cfRule type="cellIs" priority="421" operator="greaterThan" aboveAverage="0" equalAverage="0" bottom="0" percent="0" rank="0" text="" dxfId="2">
      <formula>10000</formula>
    </cfRule>
  </conditionalFormatting>
  <conditionalFormatting sqref="E426">
    <cfRule type="cellIs" priority="422" operator="greaterThan" aboveAverage="0" equalAverage="0" bottom="0" percent="0" rank="0" text="" dxfId="2">
      <formula>10000</formula>
    </cfRule>
  </conditionalFormatting>
  <conditionalFormatting sqref="E427">
    <cfRule type="cellIs" priority="423" operator="greaterThan" aboveAverage="0" equalAverage="0" bottom="0" percent="0" rank="0" text="" dxfId="2">
      <formula>10000</formula>
    </cfRule>
  </conditionalFormatting>
  <conditionalFormatting sqref="E428">
    <cfRule type="cellIs" priority="424" operator="greaterThan" aboveAverage="0" equalAverage="0" bottom="0" percent="0" rank="0" text="" dxfId="2">
      <formula>10000</formula>
    </cfRule>
  </conditionalFormatting>
  <conditionalFormatting sqref="E429">
    <cfRule type="cellIs" priority="425" operator="greaterThan" aboveAverage="0" equalAverage="0" bottom="0" percent="0" rank="0" text="" dxfId="2">
      <formula>10000</formula>
    </cfRule>
  </conditionalFormatting>
  <conditionalFormatting sqref="E430">
    <cfRule type="cellIs" priority="426" operator="greaterThan" aboveAverage="0" equalAverage="0" bottom="0" percent="0" rank="0" text="" dxfId="2">
      <formula>10000</formula>
    </cfRule>
  </conditionalFormatting>
  <conditionalFormatting sqref="E431">
    <cfRule type="cellIs" priority="427" operator="greaterThan" aboveAverage="0" equalAverage="0" bottom="0" percent="0" rank="0" text="" dxfId="2">
      <formula>10000</formula>
    </cfRule>
  </conditionalFormatting>
  <conditionalFormatting sqref="E432">
    <cfRule type="cellIs" priority="428" operator="greaterThan" aboveAverage="0" equalAverage="0" bottom="0" percent="0" rank="0" text="" dxfId="2">
      <formula>10000</formula>
    </cfRule>
  </conditionalFormatting>
  <conditionalFormatting sqref="E433">
    <cfRule type="cellIs" priority="429" operator="greaterThan" aboveAverage="0" equalAverage="0" bottom="0" percent="0" rank="0" text="" dxfId="2">
      <formula>10000</formula>
    </cfRule>
  </conditionalFormatting>
  <conditionalFormatting sqref="E434">
    <cfRule type="cellIs" priority="430" operator="greaterThan" aboveAverage="0" equalAverage="0" bottom="0" percent="0" rank="0" text="" dxfId="2">
      <formula>10000</formula>
    </cfRule>
  </conditionalFormatting>
  <conditionalFormatting sqref="E435">
    <cfRule type="cellIs" priority="431" operator="greaterThan" aboveAverage="0" equalAverage="0" bottom="0" percent="0" rank="0" text="" dxfId="2">
      <formula>10000</formula>
    </cfRule>
  </conditionalFormatting>
  <conditionalFormatting sqref="E436">
    <cfRule type="cellIs" priority="432" operator="greaterThan" aboveAverage="0" equalAverage="0" bottom="0" percent="0" rank="0" text="" dxfId="2">
      <formula>10000</formula>
    </cfRule>
  </conditionalFormatting>
  <conditionalFormatting sqref="E437">
    <cfRule type="cellIs" priority="433" operator="greaterThan" aboveAverage="0" equalAverage="0" bottom="0" percent="0" rank="0" text="" dxfId="2">
      <formula>10000</formula>
    </cfRule>
  </conditionalFormatting>
  <conditionalFormatting sqref="E438">
    <cfRule type="cellIs" priority="434" operator="greaterThan" aboveAverage="0" equalAverage="0" bottom="0" percent="0" rank="0" text="" dxfId="2">
      <formula>10000</formula>
    </cfRule>
  </conditionalFormatting>
  <conditionalFormatting sqref="E439">
    <cfRule type="cellIs" priority="435" operator="greaterThan" aboveAverage="0" equalAverage="0" bottom="0" percent="0" rank="0" text="" dxfId="2">
      <formula>10000</formula>
    </cfRule>
  </conditionalFormatting>
  <conditionalFormatting sqref="E440">
    <cfRule type="cellIs" priority="436" operator="greaterThan" aboveAverage="0" equalAverage="0" bottom="0" percent="0" rank="0" text="" dxfId="2">
      <formula>10000</formula>
    </cfRule>
  </conditionalFormatting>
  <conditionalFormatting sqref="E441">
    <cfRule type="cellIs" priority="437" operator="greaterThan" aboveAverage="0" equalAverage="0" bottom="0" percent="0" rank="0" text="" dxfId="2">
      <formula>10000</formula>
    </cfRule>
  </conditionalFormatting>
  <conditionalFormatting sqref="E442">
    <cfRule type="cellIs" priority="438" operator="greaterThan" aboveAverage="0" equalAverage="0" bottom="0" percent="0" rank="0" text="" dxfId="2">
      <formula>10000</formula>
    </cfRule>
  </conditionalFormatting>
  <conditionalFormatting sqref="E443">
    <cfRule type="cellIs" priority="439" operator="greaterThan" aboveAverage="0" equalAverage="0" bottom="0" percent="0" rank="0" text="" dxfId="2">
      <formula>10000</formula>
    </cfRule>
  </conditionalFormatting>
  <conditionalFormatting sqref="E444">
    <cfRule type="cellIs" priority="440" operator="greaterThan" aboveAverage="0" equalAverage="0" bottom="0" percent="0" rank="0" text="" dxfId="2">
      <formula>10000</formula>
    </cfRule>
  </conditionalFormatting>
  <conditionalFormatting sqref="E445">
    <cfRule type="cellIs" priority="441" operator="greaterThan" aboveAverage="0" equalAverage="0" bottom="0" percent="0" rank="0" text="" dxfId="2">
      <formula>10000</formula>
    </cfRule>
  </conditionalFormatting>
  <conditionalFormatting sqref="E446">
    <cfRule type="cellIs" priority="442" operator="greaterThan" aboveAverage="0" equalAverage="0" bottom="0" percent="0" rank="0" text="" dxfId="2">
      <formula>10000</formula>
    </cfRule>
  </conditionalFormatting>
  <conditionalFormatting sqref="E447">
    <cfRule type="cellIs" priority="443" operator="greaterThan" aboveAverage="0" equalAverage="0" bottom="0" percent="0" rank="0" text="" dxfId="2">
      <formula>10000</formula>
    </cfRule>
  </conditionalFormatting>
  <conditionalFormatting sqref="E448">
    <cfRule type="cellIs" priority="444" operator="greaterThan" aboveAverage="0" equalAverage="0" bottom="0" percent="0" rank="0" text="" dxfId="2">
      <formula>10000</formula>
    </cfRule>
  </conditionalFormatting>
  <conditionalFormatting sqref="E449">
    <cfRule type="cellIs" priority="445" operator="greaterThan" aboveAverage="0" equalAverage="0" bottom="0" percent="0" rank="0" text="" dxfId="2">
      <formula>10000</formula>
    </cfRule>
  </conditionalFormatting>
  <conditionalFormatting sqref="E450">
    <cfRule type="cellIs" priority="446" operator="greaterThan" aboveAverage="0" equalAverage="0" bottom="0" percent="0" rank="0" text="" dxfId="2">
      <formula>10000</formula>
    </cfRule>
  </conditionalFormatting>
  <conditionalFormatting sqref="E451">
    <cfRule type="cellIs" priority="447" operator="greaterThan" aboveAverage="0" equalAverage="0" bottom="0" percent="0" rank="0" text="" dxfId="2">
      <formula>10000</formula>
    </cfRule>
  </conditionalFormatting>
  <conditionalFormatting sqref="E452">
    <cfRule type="cellIs" priority="448" operator="greaterThan" aboveAverage="0" equalAverage="0" bottom="0" percent="0" rank="0" text="" dxfId="2">
      <formula>10000</formula>
    </cfRule>
  </conditionalFormatting>
  <conditionalFormatting sqref="E453">
    <cfRule type="cellIs" priority="449" operator="greaterThan" aboveAverage="0" equalAverage="0" bottom="0" percent="0" rank="0" text="" dxfId="2">
      <formula>10000</formula>
    </cfRule>
  </conditionalFormatting>
  <conditionalFormatting sqref="E454">
    <cfRule type="cellIs" priority="450" operator="greaterThan" aboveAverage="0" equalAverage="0" bottom="0" percent="0" rank="0" text="" dxfId="2">
      <formula>10000</formula>
    </cfRule>
  </conditionalFormatting>
  <conditionalFormatting sqref="E455">
    <cfRule type="cellIs" priority="451" operator="greaterThan" aboveAverage="0" equalAverage="0" bottom="0" percent="0" rank="0" text="" dxfId="2">
      <formula>10000</formula>
    </cfRule>
  </conditionalFormatting>
  <conditionalFormatting sqref="E456">
    <cfRule type="cellIs" priority="452" operator="greaterThan" aboveAverage="0" equalAverage="0" bottom="0" percent="0" rank="0" text="" dxfId="2">
      <formula>10000</formula>
    </cfRule>
  </conditionalFormatting>
  <conditionalFormatting sqref="E457">
    <cfRule type="cellIs" priority="453" operator="greaterThan" aboveAverage="0" equalAverage="0" bottom="0" percent="0" rank="0" text="" dxfId="2">
      <formula>10000</formula>
    </cfRule>
  </conditionalFormatting>
  <conditionalFormatting sqref="E458">
    <cfRule type="cellIs" priority="454" operator="greaterThan" aboveAverage="0" equalAverage="0" bottom="0" percent="0" rank="0" text="" dxfId="2">
      <formula>10000</formula>
    </cfRule>
  </conditionalFormatting>
  <conditionalFormatting sqref="E459">
    <cfRule type="cellIs" priority="455" operator="greaterThan" aboveAverage="0" equalAverage="0" bottom="0" percent="0" rank="0" text="" dxfId="2">
      <formula>10000</formula>
    </cfRule>
  </conditionalFormatting>
  <conditionalFormatting sqref="E460">
    <cfRule type="cellIs" priority="456" operator="greaterThan" aboveAverage="0" equalAverage="0" bottom="0" percent="0" rank="0" text="" dxfId="2">
      <formula>10000</formula>
    </cfRule>
  </conditionalFormatting>
  <conditionalFormatting sqref="E461">
    <cfRule type="cellIs" priority="457" operator="greaterThan" aboveAverage="0" equalAverage="0" bottom="0" percent="0" rank="0" text="" dxfId="2">
      <formula>10000</formula>
    </cfRule>
  </conditionalFormatting>
  <conditionalFormatting sqref="E462">
    <cfRule type="cellIs" priority="458" operator="greaterThan" aboveAverage="0" equalAverage="0" bottom="0" percent="0" rank="0" text="" dxfId="2">
      <formula>10000</formula>
    </cfRule>
  </conditionalFormatting>
  <conditionalFormatting sqref="E463">
    <cfRule type="cellIs" priority="459" operator="greaterThan" aboveAverage="0" equalAverage="0" bottom="0" percent="0" rank="0" text="" dxfId="2">
      <formula>10000</formula>
    </cfRule>
  </conditionalFormatting>
  <conditionalFormatting sqref="E464">
    <cfRule type="cellIs" priority="460" operator="greaterThan" aboveAverage="0" equalAverage="0" bottom="0" percent="0" rank="0" text="" dxfId="2">
      <formula>10000</formula>
    </cfRule>
  </conditionalFormatting>
  <conditionalFormatting sqref="E465">
    <cfRule type="cellIs" priority="461" operator="greaterThan" aboveAverage="0" equalAverage="0" bottom="0" percent="0" rank="0" text="" dxfId="2">
      <formula>10000</formula>
    </cfRule>
  </conditionalFormatting>
  <conditionalFormatting sqref="E466">
    <cfRule type="cellIs" priority="462" operator="greaterThan" aboveAverage="0" equalAverage="0" bottom="0" percent="0" rank="0" text="" dxfId="2">
      <formula>10000</formula>
    </cfRule>
  </conditionalFormatting>
  <conditionalFormatting sqref="E467">
    <cfRule type="cellIs" priority="463" operator="greaterThan" aboveAverage="0" equalAverage="0" bottom="0" percent="0" rank="0" text="" dxfId="2">
      <formula>10000</formula>
    </cfRule>
  </conditionalFormatting>
  <conditionalFormatting sqref="E468">
    <cfRule type="cellIs" priority="464" operator="greaterThan" aboveAverage="0" equalAverage="0" bottom="0" percent="0" rank="0" text="" dxfId="2">
      <formula>10000</formula>
    </cfRule>
  </conditionalFormatting>
  <conditionalFormatting sqref="E469">
    <cfRule type="cellIs" priority="465" operator="greaterThan" aboveAverage="0" equalAverage="0" bottom="0" percent="0" rank="0" text="" dxfId="2">
      <formula>10000</formula>
    </cfRule>
  </conditionalFormatting>
  <conditionalFormatting sqref="E470">
    <cfRule type="cellIs" priority="466" operator="greaterThan" aboveAverage="0" equalAverage="0" bottom="0" percent="0" rank="0" text="" dxfId="2">
      <formula>10000</formula>
    </cfRule>
  </conditionalFormatting>
  <conditionalFormatting sqref="E471">
    <cfRule type="cellIs" priority="467" operator="greaterThan" aboveAverage="0" equalAverage="0" bottom="0" percent="0" rank="0" text="" dxfId="2">
      <formula>10000</formula>
    </cfRule>
  </conditionalFormatting>
  <conditionalFormatting sqref="E472">
    <cfRule type="cellIs" priority="468" operator="greaterThan" aboveAverage="0" equalAverage="0" bottom="0" percent="0" rank="0" text="" dxfId="2">
      <formula>10000</formula>
    </cfRule>
  </conditionalFormatting>
  <conditionalFormatting sqref="E473">
    <cfRule type="cellIs" priority="469" operator="greaterThan" aboveAverage="0" equalAverage="0" bottom="0" percent="0" rank="0" text="" dxfId="2">
      <formula>10000</formula>
    </cfRule>
  </conditionalFormatting>
  <conditionalFormatting sqref="E474">
    <cfRule type="cellIs" priority="470" operator="greaterThan" aboveAverage="0" equalAverage="0" bottom="0" percent="0" rank="0" text="" dxfId="2">
      <formula>10000</formula>
    </cfRule>
  </conditionalFormatting>
  <conditionalFormatting sqref="E475">
    <cfRule type="cellIs" priority="471" operator="greaterThan" aboveAverage="0" equalAverage="0" bottom="0" percent="0" rank="0" text="" dxfId="2">
      <formula>10000</formula>
    </cfRule>
  </conditionalFormatting>
  <conditionalFormatting sqref="E476">
    <cfRule type="cellIs" priority="472" operator="greaterThan" aboveAverage="0" equalAverage="0" bottom="0" percent="0" rank="0" text="" dxfId="2">
      <formula>10000</formula>
    </cfRule>
  </conditionalFormatting>
  <conditionalFormatting sqref="E477">
    <cfRule type="cellIs" priority="473" operator="greaterThan" aboveAverage="0" equalAverage="0" bottom="0" percent="0" rank="0" text="" dxfId="2">
      <formula>10000</formula>
    </cfRule>
  </conditionalFormatting>
  <conditionalFormatting sqref="E478">
    <cfRule type="cellIs" priority="474" operator="greaterThan" aboveAverage="0" equalAverage="0" bottom="0" percent="0" rank="0" text="" dxfId="2">
      <formula>10000</formula>
    </cfRule>
  </conditionalFormatting>
  <conditionalFormatting sqref="E479">
    <cfRule type="cellIs" priority="475" operator="greaterThan" aboveAverage="0" equalAverage="0" bottom="0" percent="0" rank="0" text="" dxfId="2">
      <formula>10000</formula>
    </cfRule>
  </conditionalFormatting>
  <conditionalFormatting sqref="E480">
    <cfRule type="cellIs" priority="476" operator="greaterThan" aboveAverage="0" equalAverage="0" bottom="0" percent="0" rank="0" text="" dxfId="2">
      <formula>10000</formula>
    </cfRule>
  </conditionalFormatting>
  <conditionalFormatting sqref="E481">
    <cfRule type="cellIs" priority="477" operator="greaterThan" aboveAverage="0" equalAverage="0" bottom="0" percent="0" rank="0" text="" dxfId="2">
      <formula>10000</formula>
    </cfRule>
  </conditionalFormatting>
  <conditionalFormatting sqref="E482">
    <cfRule type="cellIs" priority="478" operator="greaterThan" aboveAverage="0" equalAverage="0" bottom="0" percent="0" rank="0" text="" dxfId="2">
      <formula>10000</formula>
    </cfRule>
  </conditionalFormatting>
  <conditionalFormatting sqref="E483">
    <cfRule type="cellIs" priority="479" operator="greaterThan" aboveAverage="0" equalAverage="0" bottom="0" percent="0" rank="0" text="" dxfId="2">
      <formula>10000</formula>
    </cfRule>
  </conditionalFormatting>
  <conditionalFormatting sqref="E484">
    <cfRule type="cellIs" priority="480" operator="greaterThan" aboveAverage="0" equalAverage="0" bottom="0" percent="0" rank="0" text="" dxfId="2">
      <formula>10000</formula>
    </cfRule>
  </conditionalFormatting>
  <conditionalFormatting sqref="E485">
    <cfRule type="cellIs" priority="481" operator="greaterThan" aboveAverage="0" equalAverage="0" bottom="0" percent="0" rank="0" text="" dxfId="2">
      <formula>10000</formula>
    </cfRule>
  </conditionalFormatting>
  <conditionalFormatting sqref="E486">
    <cfRule type="cellIs" priority="482" operator="greaterThan" aboveAverage="0" equalAverage="0" bottom="0" percent="0" rank="0" text="" dxfId="2">
      <formula>10000</formula>
    </cfRule>
  </conditionalFormatting>
  <conditionalFormatting sqref="E487">
    <cfRule type="cellIs" priority="483" operator="greaterThan" aboveAverage="0" equalAverage="0" bottom="0" percent="0" rank="0" text="" dxfId="2">
      <formula>10000</formula>
    </cfRule>
  </conditionalFormatting>
  <conditionalFormatting sqref="E488">
    <cfRule type="cellIs" priority="484" operator="greaterThan" aboveAverage="0" equalAverage="0" bottom="0" percent="0" rank="0" text="" dxfId="2">
      <formula>10000</formula>
    </cfRule>
  </conditionalFormatting>
  <conditionalFormatting sqref="E489">
    <cfRule type="cellIs" priority="485" operator="greaterThan" aboveAverage="0" equalAverage="0" bottom="0" percent="0" rank="0" text="" dxfId="2">
      <formula>10000</formula>
    </cfRule>
  </conditionalFormatting>
  <conditionalFormatting sqref="E490">
    <cfRule type="cellIs" priority="486" operator="greaterThan" aboveAverage="0" equalAverage="0" bottom="0" percent="0" rank="0" text="" dxfId="2">
      <formula>10000</formula>
    </cfRule>
  </conditionalFormatting>
  <conditionalFormatting sqref="E491">
    <cfRule type="cellIs" priority="487" operator="greaterThan" aboveAverage="0" equalAverage="0" bottom="0" percent="0" rank="0" text="" dxfId="2">
      <formula>10000</formula>
    </cfRule>
  </conditionalFormatting>
  <conditionalFormatting sqref="E492">
    <cfRule type="cellIs" priority="488" operator="greaterThan" aboveAverage="0" equalAverage="0" bottom="0" percent="0" rank="0" text="" dxfId="2">
      <formula>10000</formula>
    </cfRule>
  </conditionalFormatting>
  <conditionalFormatting sqref="E493">
    <cfRule type="cellIs" priority="489" operator="greaterThan" aboveAverage="0" equalAverage="0" bottom="0" percent="0" rank="0" text="" dxfId="2">
      <formula>10000</formula>
    </cfRule>
  </conditionalFormatting>
  <conditionalFormatting sqref="E494">
    <cfRule type="cellIs" priority="490" operator="greaterThan" aboveAverage="0" equalAverage="0" bottom="0" percent="0" rank="0" text="" dxfId="2">
      <formula>10000</formula>
    </cfRule>
  </conditionalFormatting>
  <conditionalFormatting sqref="E495">
    <cfRule type="cellIs" priority="491" operator="greaterThan" aboveAverage="0" equalAverage="0" bottom="0" percent="0" rank="0" text="" dxfId="2">
      <formula>10000</formula>
    </cfRule>
  </conditionalFormatting>
  <conditionalFormatting sqref="E496">
    <cfRule type="cellIs" priority="492" operator="greaterThan" aboveAverage="0" equalAverage="0" bottom="0" percent="0" rank="0" text="" dxfId="2">
      <formula>10000</formula>
    </cfRule>
  </conditionalFormatting>
  <conditionalFormatting sqref="E497">
    <cfRule type="cellIs" priority="493" operator="greaterThan" aboveAverage="0" equalAverage="0" bottom="0" percent="0" rank="0" text="" dxfId="2">
      <formula>10000</formula>
    </cfRule>
  </conditionalFormatting>
  <conditionalFormatting sqref="E498">
    <cfRule type="cellIs" priority="494" operator="greaterThan" aboveAverage="0" equalAverage="0" bottom="0" percent="0" rank="0" text="" dxfId="2">
      <formula>10000</formula>
    </cfRule>
  </conditionalFormatting>
  <conditionalFormatting sqref="E499">
    <cfRule type="cellIs" priority="495" operator="greaterThan" aboveAverage="0" equalAverage="0" bottom="0" percent="0" rank="0" text="" dxfId="2">
      <formula>10000</formula>
    </cfRule>
  </conditionalFormatting>
  <conditionalFormatting sqref="E500">
    <cfRule type="cellIs" priority="496" operator="greaterThan" aboveAverage="0" equalAverage="0" bottom="0" percent="0" rank="0" text="" dxfId="2">
      <formula>10000</formula>
    </cfRule>
  </conditionalFormatting>
  <conditionalFormatting sqref="E501">
    <cfRule type="cellIs" priority="497" operator="greaterThan" aboveAverage="0" equalAverage="0" bottom="0" percent="0" rank="0" text="" dxfId="2">
      <formula>10000</formula>
    </cfRule>
  </conditionalFormatting>
  <conditionalFormatting sqref="E502">
    <cfRule type="cellIs" priority="498" operator="greaterThan" aboveAverage="0" equalAverage="0" bottom="0" percent="0" rank="0" text="" dxfId="2">
      <formula>10000</formula>
    </cfRule>
  </conditionalFormatting>
  <conditionalFormatting sqref="E503">
    <cfRule type="cellIs" priority="499" operator="greaterThan" aboveAverage="0" equalAverage="0" bottom="0" percent="0" rank="0" text="" dxfId="2">
      <formula>10000</formula>
    </cfRule>
  </conditionalFormatting>
  <conditionalFormatting sqref="E504">
    <cfRule type="cellIs" priority="500" operator="greaterThan" aboveAverage="0" equalAverage="0" bottom="0" percent="0" rank="0" text="" dxfId="2">
      <formula>10000</formula>
    </cfRule>
  </conditionalFormatting>
  <conditionalFormatting sqref="E505">
    <cfRule type="cellIs" priority="501" operator="greaterThan" aboveAverage="0" equalAverage="0" bottom="0" percent="0" rank="0" text="" dxfId="2">
      <formula>10000</formula>
    </cfRule>
  </conditionalFormatting>
  <conditionalFormatting sqref="E506">
    <cfRule type="cellIs" priority="502" operator="greaterThan" aboveAverage="0" equalAverage="0" bottom="0" percent="0" rank="0" text="" dxfId="2">
      <formula>10000</formula>
    </cfRule>
  </conditionalFormatting>
  <conditionalFormatting sqref="E507">
    <cfRule type="cellIs" priority="503" operator="greaterThan" aboveAverage="0" equalAverage="0" bottom="0" percent="0" rank="0" text="" dxfId="2">
      <formula>10000</formula>
    </cfRule>
  </conditionalFormatting>
  <conditionalFormatting sqref="E508">
    <cfRule type="cellIs" priority="504" operator="greaterThan" aboveAverage="0" equalAverage="0" bottom="0" percent="0" rank="0" text="" dxfId="2">
      <formula>10000</formula>
    </cfRule>
  </conditionalFormatting>
  <conditionalFormatting sqref="E509">
    <cfRule type="cellIs" priority="505" operator="greaterThan" aboveAverage="0" equalAverage="0" bottom="0" percent="0" rank="0" text="" dxfId="2">
      <formula>10000</formula>
    </cfRule>
  </conditionalFormatting>
  <conditionalFormatting sqref="E510">
    <cfRule type="cellIs" priority="506" operator="greaterThan" aboveAverage="0" equalAverage="0" bottom="0" percent="0" rank="0" text="" dxfId="2">
      <formula>10000</formula>
    </cfRule>
  </conditionalFormatting>
  <conditionalFormatting sqref="E511">
    <cfRule type="cellIs" priority="507" operator="greaterThan" aboveAverage="0" equalAverage="0" bottom="0" percent="0" rank="0" text="" dxfId="2">
      <formula>10000</formula>
    </cfRule>
  </conditionalFormatting>
  <conditionalFormatting sqref="E512">
    <cfRule type="cellIs" priority="508" operator="greaterThan" aboveAverage="0" equalAverage="0" bottom="0" percent="0" rank="0" text="" dxfId="2">
      <formula>10000</formula>
    </cfRule>
  </conditionalFormatting>
  <conditionalFormatting sqref="E513">
    <cfRule type="cellIs" priority="509" operator="greaterThan" aboveAverage="0" equalAverage="0" bottom="0" percent="0" rank="0" text="" dxfId="2">
      <formula>10000</formula>
    </cfRule>
  </conditionalFormatting>
  <conditionalFormatting sqref="E514">
    <cfRule type="cellIs" priority="510" operator="greaterThan" aboveAverage="0" equalAverage="0" bottom="0" percent="0" rank="0" text="" dxfId="2">
      <formula>10000</formula>
    </cfRule>
  </conditionalFormatting>
  <conditionalFormatting sqref="E515">
    <cfRule type="cellIs" priority="511" operator="greaterThan" aboveAverage="0" equalAverage="0" bottom="0" percent="0" rank="0" text="" dxfId="2">
      <formula>10000</formula>
    </cfRule>
  </conditionalFormatting>
  <conditionalFormatting sqref="E516">
    <cfRule type="cellIs" priority="512" operator="greaterThan" aboveAverage="0" equalAverage="0" bottom="0" percent="0" rank="0" text="" dxfId="2">
      <formula>10000</formula>
    </cfRule>
  </conditionalFormatting>
  <conditionalFormatting sqref="E517">
    <cfRule type="cellIs" priority="513" operator="greaterThan" aboveAverage="0" equalAverage="0" bottom="0" percent="0" rank="0" text="" dxfId="2">
      <formula>10000</formula>
    </cfRule>
  </conditionalFormatting>
  <conditionalFormatting sqref="E518">
    <cfRule type="cellIs" priority="514" operator="greaterThan" aboveAverage="0" equalAverage="0" bottom="0" percent="0" rank="0" text="" dxfId="2">
      <formula>10000</formula>
    </cfRule>
  </conditionalFormatting>
  <conditionalFormatting sqref="E519">
    <cfRule type="cellIs" priority="515" operator="greaterThan" aboveAverage="0" equalAverage="0" bottom="0" percent="0" rank="0" text="" dxfId="2">
      <formula>10000</formula>
    </cfRule>
  </conditionalFormatting>
  <conditionalFormatting sqref="E520">
    <cfRule type="cellIs" priority="516" operator="greaterThan" aboveAverage="0" equalAverage="0" bottom="0" percent="0" rank="0" text="" dxfId="2">
      <formula>10000</formula>
    </cfRule>
  </conditionalFormatting>
  <conditionalFormatting sqref="E521">
    <cfRule type="cellIs" priority="517" operator="greaterThan" aboveAverage="0" equalAverage="0" bottom="0" percent="0" rank="0" text="" dxfId="2">
      <formula>10000</formula>
    </cfRule>
  </conditionalFormatting>
  <conditionalFormatting sqref="E522">
    <cfRule type="cellIs" priority="518" operator="greaterThan" aboveAverage="0" equalAverage="0" bottom="0" percent="0" rank="0" text="" dxfId="2">
      <formula>10000</formula>
    </cfRule>
  </conditionalFormatting>
  <conditionalFormatting sqref="E523">
    <cfRule type="cellIs" priority="519" operator="greaterThan" aboveAverage="0" equalAverage="0" bottom="0" percent="0" rank="0" text="" dxfId="2">
      <formula>10000</formula>
    </cfRule>
  </conditionalFormatting>
  <conditionalFormatting sqref="E524">
    <cfRule type="cellIs" priority="520" operator="greaterThan" aboveAverage="0" equalAverage="0" bottom="0" percent="0" rank="0" text="" dxfId="2">
      <formula>10000</formula>
    </cfRule>
  </conditionalFormatting>
  <conditionalFormatting sqref="E525">
    <cfRule type="cellIs" priority="521" operator="greaterThan" aboveAverage="0" equalAverage="0" bottom="0" percent="0" rank="0" text="" dxfId="2">
      <formula>10000</formula>
    </cfRule>
  </conditionalFormatting>
  <conditionalFormatting sqref="E526">
    <cfRule type="cellIs" priority="522" operator="greaterThan" aboveAverage="0" equalAverage="0" bottom="0" percent="0" rank="0" text="" dxfId="2">
      <formula>10000</formula>
    </cfRule>
  </conditionalFormatting>
  <conditionalFormatting sqref="E527">
    <cfRule type="cellIs" priority="523" operator="greaterThan" aboveAverage="0" equalAverage="0" bottom="0" percent="0" rank="0" text="" dxfId="2">
      <formula>10000</formula>
    </cfRule>
  </conditionalFormatting>
  <conditionalFormatting sqref="E528">
    <cfRule type="cellIs" priority="524" operator="greaterThan" aboveAverage="0" equalAverage="0" bottom="0" percent="0" rank="0" text="" dxfId="2">
      <formula>10000</formula>
    </cfRule>
  </conditionalFormatting>
  <conditionalFormatting sqref="E529">
    <cfRule type="cellIs" priority="525" operator="greaterThan" aboveAverage="0" equalAverage="0" bottom="0" percent="0" rank="0" text="" dxfId="2">
      <formula>10000</formula>
    </cfRule>
  </conditionalFormatting>
  <conditionalFormatting sqref="E530">
    <cfRule type="cellIs" priority="526" operator="greaterThan" aboveAverage="0" equalAverage="0" bottom="0" percent="0" rank="0" text="" dxfId="2">
      <formula>10000</formula>
    </cfRule>
  </conditionalFormatting>
  <conditionalFormatting sqref="E531">
    <cfRule type="cellIs" priority="527" operator="greaterThan" aboveAverage="0" equalAverage="0" bottom="0" percent="0" rank="0" text="" dxfId="2">
      <formula>10000</formula>
    </cfRule>
  </conditionalFormatting>
  <conditionalFormatting sqref="E532">
    <cfRule type="cellIs" priority="528" operator="greaterThan" aboveAverage="0" equalAverage="0" bottom="0" percent="0" rank="0" text="" dxfId="2">
      <formula>10000</formula>
    </cfRule>
  </conditionalFormatting>
  <conditionalFormatting sqref="E533">
    <cfRule type="cellIs" priority="529" operator="greaterThan" aboveAverage="0" equalAverage="0" bottom="0" percent="0" rank="0" text="" dxfId="2">
      <formula>10000</formula>
    </cfRule>
  </conditionalFormatting>
  <conditionalFormatting sqref="E534">
    <cfRule type="cellIs" priority="530" operator="greaterThan" aboveAverage="0" equalAverage="0" bottom="0" percent="0" rank="0" text="" dxfId="2">
      <formula>10000</formula>
    </cfRule>
  </conditionalFormatting>
  <conditionalFormatting sqref="E535">
    <cfRule type="cellIs" priority="531" operator="greaterThan" aboveAverage="0" equalAverage="0" bottom="0" percent="0" rank="0" text="" dxfId="2">
      <formula>10000</formula>
    </cfRule>
  </conditionalFormatting>
  <conditionalFormatting sqref="E536">
    <cfRule type="cellIs" priority="532" operator="greaterThan" aboveAverage="0" equalAverage="0" bottom="0" percent="0" rank="0" text="" dxfId="2">
      <formula>10000</formula>
    </cfRule>
  </conditionalFormatting>
  <conditionalFormatting sqref="E537">
    <cfRule type="cellIs" priority="533" operator="greaterThan" aboveAverage="0" equalAverage="0" bottom="0" percent="0" rank="0" text="" dxfId="2">
      <formula>10000</formula>
    </cfRule>
  </conditionalFormatting>
  <conditionalFormatting sqref="E538">
    <cfRule type="cellIs" priority="534" operator="greaterThan" aboveAverage="0" equalAverage="0" bottom="0" percent="0" rank="0" text="" dxfId="2">
      <formula>10000</formula>
    </cfRule>
  </conditionalFormatting>
  <conditionalFormatting sqref="E539">
    <cfRule type="cellIs" priority="535" operator="greaterThan" aboveAverage="0" equalAverage="0" bottom="0" percent="0" rank="0" text="" dxfId="2">
      <formula>10000</formula>
    </cfRule>
  </conditionalFormatting>
  <conditionalFormatting sqref="E540">
    <cfRule type="cellIs" priority="536" operator="greaterThan" aboveAverage="0" equalAverage="0" bottom="0" percent="0" rank="0" text="" dxfId="2">
      <formula>10000</formula>
    </cfRule>
  </conditionalFormatting>
  <conditionalFormatting sqref="E541">
    <cfRule type="cellIs" priority="537" operator="greaterThan" aboveAverage="0" equalAverage="0" bottom="0" percent="0" rank="0" text="" dxfId="2">
      <formula>10000</formula>
    </cfRule>
  </conditionalFormatting>
  <conditionalFormatting sqref="E542">
    <cfRule type="cellIs" priority="538" operator="greaterThan" aboveAverage="0" equalAverage="0" bottom="0" percent="0" rank="0" text="" dxfId="2">
      <formula>10000</formula>
    </cfRule>
  </conditionalFormatting>
  <conditionalFormatting sqref="E543">
    <cfRule type="cellIs" priority="539" operator="greaterThan" aboveAverage="0" equalAverage="0" bottom="0" percent="0" rank="0" text="" dxfId="2">
      <formula>10000</formula>
    </cfRule>
  </conditionalFormatting>
  <conditionalFormatting sqref="E544">
    <cfRule type="cellIs" priority="540" operator="greaterThan" aboveAverage="0" equalAverage="0" bottom="0" percent="0" rank="0" text="" dxfId="2">
      <formula>10000</formula>
    </cfRule>
  </conditionalFormatting>
  <conditionalFormatting sqref="E545">
    <cfRule type="cellIs" priority="541" operator="greaterThan" aboveAverage="0" equalAverage="0" bottom="0" percent="0" rank="0" text="" dxfId="2">
      <formula>10000</formula>
    </cfRule>
  </conditionalFormatting>
  <conditionalFormatting sqref="E546">
    <cfRule type="cellIs" priority="542" operator="greaterThan" aboveAverage="0" equalAverage="0" bottom="0" percent="0" rank="0" text="" dxfId="2">
      <formula>10000</formula>
    </cfRule>
  </conditionalFormatting>
  <conditionalFormatting sqref="E547">
    <cfRule type="cellIs" priority="543" operator="greaterThan" aboveAverage="0" equalAverage="0" bottom="0" percent="0" rank="0" text="" dxfId="2">
      <formula>10000</formula>
    </cfRule>
  </conditionalFormatting>
  <conditionalFormatting sqref="E548">
    <cfRule type="cellIs" priority="544" operator="greaterThan" aboveAverage="0" equalAverage="0" bottom="0" percent="0" rank="0" text="" dxfId="2">
      <formula>10000</formula>
    </cfRule>
  </conditionalFormatting>
  <conditionalFormatting sqref="E549">
    <cfRule type="cellIs" priority="545" operator="greaterThan" aboveAverage="0" equalAverage="0" bottom="0" percent="0" rank="0" text="" dxfId="2">
      <formula>10000</formula>
    </cfRule>
  </conditionalFormatting>
  <conditionalFormatting sqref="E550">
    <cfRule type="cellIs" priority="546" operator="greaterThan" aboveAverage="0" equalAverage="0" bottom="0" percent="0" rank="0" text="" dxfId="2">
      <formula>10000</formula>
    </cfRule>
  </conditionalFormatting>
  <conditionalFormatting sqref="E551">
    <cfRule type="cellIs" priority="547" operator="greaterThan" aboveAverage="0" equalAverage="0" bottom="0" percent="0" rank="0" text="" dxfId="2">
      <formula>10000</formula>
    </cfRule>
  </conditionalFormatting>
  <conditionalFormatting sqref="E552">
    <cfRule type="cellIs" priority="548" operator="greaterThan" aboveAverage="0" equalAverage="0" bottom="0" percent="0" rank="0" text="" dxfId="2">
      <formula>10000</formula>
    </cfRule>
  </conditionalFormatting>
  <conditionalFormatting sqref="E553">
    <cfRule type="cellIs" priority="549" operator="greaterThan" aboveAverage="0" equalAverage="0" bottom="0" percent="0" rank="0" text="" dxfId="2">
      <formula>10000</formula>
    </cfRule>
  </conditionalFormatting>
  <conditionalFormatting sqref="E554">
    <cfRule type="cellIs" priority="550" operator="greaterThan" aboveAverage="0" equalAverage="0" bottom="0" percent="0" rank="0" text="" dxfId="2">
      <formula>10000</formula>
    </cfRule>
  </conditionalFormatting>
  <conditionalFormatting sqref="E555">
    <cfRule type="cellIs" priority="551" operator="greaterThan" aboveAverage="0" equalAverage="0" bottom="0" percent="0" rank="0" text="" dxfId="2">
      <formula>10000</formula>
    </cfRule>
  </conditionalFormatting>
  <conditionalFormatting sqref="E556">
    <cfRule type="cellIs" priority="552" operator="greaterThan" aboveAverage="0" equalAverage="0" bottom="0" percent="0" rank="0" text="" dxfId="2">
      <formula>10000</formula>
    </cfRule>
  </conditionalFormatting>
  <conditionalFormatting sqref="E557">
    <cfRule type="cellIs" priority="553" operator="greaterThan" aboveAverage="0" equalAverage="0" bottom="0" percent="0" rank="0" text="" dxfId="2">
      <formula>10000</formula>
    </cfRule>
  </conditionalFormatting>
  <conditionalFormatting sqref="E558">
    <cfRule type="cellIs" priority="554" operator="greaterThan" aboveAverage="0" equalAverage="0" bottom="0" percent="0" rank="0" text="" dxfId="2">
      <formula>10000</formula>
    </cfRule>
  </conditionalFormatting>
  <conditionalFormatting sqref="E559">
    <cfRule type="cellIs" priority="555" operator="greaterThan" aboveAverage="0" equalAverage="0" bottom="0" percent="0" rank="0" text="" dxfId="2">
      <formula>10000</formula>
    </cfRule>
  </conditionalFormatting>
  <conditionalFormatting sqref="E560">
    <cfRule type="cellIs" priority="556" operator="greaterThan" aboveAverage="0" equalAverage="0" bottom="0" percent="0" rank="0" text="" dxfId="2">
      <formula>10000</formula>
    </cfRule>
  </conditionalFormatting>
  <conditionalFormatting sqref="E561">
    <cfRule type="cellIs" priority="557" operator="greaterThan" aboveAverage="0" equalAverage="0" bottom="0" percent="0" rank="0" text="" dxfId="2">
      <formula>10000</formula>
    </cfRule>
  </conditionalFormatting>
  <conditionalFormatting sqref="E562">
    <cfRule type="cellIs" priority="558" operator="greaterThan" aboveAverage="0" equalAverage="0" bottom="0" percent="0" rank="0" text="" dxfId="2">
      <formula>10000</formula>
    </cfRule>
  </conditionalFormatting>
  <conditionalFormatting sqref="E563">
    <cfRule type="cellIs" priority="559" operator="greaterThan" aboveAverage="0" equalAverage="0" bottom="0" percent="0" rank="0" text="" dxfId="2">
      <formula>10000</formula>
    </cfRule>
  </conditionalFormatting>
  <conditionalFormatting sqref="E564">
    <cfRule type="cellIs" priority="560" operator="greaterThan" aboveAverage="0" equalAverage="0" bottom="0" percent="0" rank="0" text="" dxfId="2">
      <formula>10000</formula>
    </cfRule>
  </conditionalFormatting>
  <conditionalFormatting sqref="E565">
    <cfRule type="cellIs" priority="561" operator="greaterThan" aboveAverage="0" equalAverage="0" bottom="0" percent="0" rank="0" text="" dxfId="2">
      <formula>10000</formula>
    </cfRule>
  </conditionalFormatting>
  <conditionalFormatting sqref="E566">
    <cfRule type="cellIs" priority="562" operator="greaterThan" aboveAverage="0" equalAverage="0" bottom="0" percent="0" rank="0" text="" dxfId="2">
      <formula>10000</formula>
    </cfRule>
  </conditionalFormatting>
  <conditionalFormatting sqref="E567">
    <cfRule type="cellIs" priority="563" operator="greaterThan" aboveAverage="0" equalAverage="0" bottom="0" percent="0" rank="0" text="" dxfId="2">
      <formula>10000</formula>
    </cfRule>
  </conditionalFormatting>
  <conditionalFormatting sqref="E568">
    <cfRule type="cellIs" priority="564" operator="greaterThan" aboveAverage="0" equalAverage="0" bottom="0" percent="0" rank="0" text="" dxfId="2">
      <formula>10000</formula>
    </cfRule>
  </conditionalFormatting>
  <conditionalFormatting sqref="E569">
    <cfRule type="cellIs" priority="565" operator="greaterThan" aboveAverage="0" equalAverage="0" bottom="0" percent="0" rank="0" text="" dxfId="2">
      <formula>10000</formula>
    </cfRule>
  </conditionalFormatting>
  <conditionalFormatting sqref="E570">
    <cfRule type="cellIs" priority="566" operator="greaterThan" aboveAverage="0" equalAverage="0" bottom="0" percent="0" rank="0" text="" dxfId="2">
      <formula>10000</formula>
    </cfRule>
  </conditionalFormatting>
  <conditionalFormatting sqref="E571">
    <cfRule type="cellIs" priority="567" operator="greaterThan" aboveAverage="0" equalAverage="0" bottom="0" percent="0" rank="0" text="" dxfId="2">
      <formula>10000</formula>
    </cfRule>
  </conditionalFormatting>
  <conditionalFormatting sqref="E572">
    <cfRule type="cellIs" priority="568" operator="greaterThan" aboveAverage="0" equalAverage="0" bottom="0" percent="0" rank="0" text="" dxfId="2">
      <formula>10000</formula>
    </cfRule>
  </conditionalFormatting>
  <conditionalFormatting sqref="E573">
    <cfRule type="cellIs" priority="569" operator="greaterThan" aboveAverage="0" equalAverage="0" bottom="0" percent="0" rank="0" text="" dxfId="2">
      <formula>10000</formula>
    </cfRule>
  </conditionalFormatting>
  <conditionalFormatting sqref="E574">
    <cfRule type="cellIs" priority="570" operator="greaterThan" aboveAverage="0" equalAverage="0" bottom="0" percent="0" rank="0" text="" dxfId="2">
      <formula>10000</formula>
    </cfRule>
  </conditionalFormatting>
  <conditionalFormatting sqref="E575">
    <cfRule type="cellIs" priority="571" operator="greaterThan" aboveAverage="0" equalAverage="0" bottom="0" percent="0" rank="0" text="" dxfId="2">
      <formula>10000</formula>
    </cfRule>
  </conditionalFormatting>
  <conditionalFormatting sqref="E576">
    <cfRule type="cellIs" priority="572" operator="greaterThan" aboveAverage="0" equalAverage="0" bottom="0" percent="0" rank="0" text="" dxfId="2">
      <formula>10000</formula>
    </cfRule>
  </conditionalFormatting>
  <conditionalFormatting sqref="E577">
    <cfRule type="cellIs" priority="573" operator="greaterThan" aboveAverage="0" equalAverage="0" bottom="0" percent="0" rank="0" text="" dxfId="2">
      <formula>10000</formula>
    </cfRule>
  </conditionalFormatting>
  <conditionalFormatting sqref="E578">
    <cfRule type="cellIs" priority="574" operator="greaterThan" aboveAverage="0" equalAverage="0" bottom="0" percent="0" rank="0" text="" dxfId="2">
      <formula>10000</formula>
    </cfRule>
  </conditionalFormatting>
  <conditionalFormatting sqref="E579">
    <cfRule type="cellIs" priority="575" operator="greaterThan" aboveAverage="0" equalAverage="0" bottom="0" percent="0" rank="0" text="" dxfId="2">
      <formula>10000</formula>
    </cfRule>
  </conditionalFormatting>
  <conditionalFormatting sqref="E580">
    <cfRule type="cellIs" priority="576" operator="greaterThan" aboveAverage="0" equalAverage="0" bottom="0" percent="0" rank="0" text="" dxfId="2">
      <formula>10000</formula>
    </cfRule>
  </conditionalFormatting>
  <conditionalFormatting sqref="E581">
    <cfRule type="cellIs" priority="577" operator="greaterThan" aboveAverage="0" equalAverage="0" bottom="0" percent="0" rank="0" text="" dxfId="2">
      <formula>10000</formula>
    </cfRule>
  </conditionalFormatting>
  <conditionalFormatting sqref="E582">
    <cfRule type="cellIs" priority="578" operator="greaterThan" aboveAverage="0" equalAverage="0" bottom="0" percent="0" rank="0" text="" dxfId="2">
      <formula>10000</formula>
    </cfRule>
  </conditionalFormatting>
  <conditionalFormatting sqref="E583">
    <cfRule type="cellIs" priority="579" operator="greaterThan" aboveAverage="0" equalAverage="0" bottom="0" percent="0" rank="0" text="" dxfId="2">
      <formula>10000</formula>
    </cfRule>
  </conditionalFormatting>
  <conditionalFormatting sqref="E584">
    <cfRule type="cellIs" priority="580" operator="greaterThan" aboveAverage="0" equalAverage="0" bottom="0" percent="0" rank="0" text="" dxfId="2">
      <formula>10000</formula>
    </cfRule>
  </conditionalFormatting>
  <conditionalFormatting sqref="E585">
    <cfRule type="cellIs" priority="581" operator="greaterThan" aboveAverage="0" equalAverage="0" bottom="0" percent="0" rank="0" text="" dxfId="2">
      <formula>10000</formula>
    </cfRule>
  </conditionalFormatting>
  <conditionalFormatting sqref="E586">
    <cfRule type="cellIs" priority="582" operator="greaterThan" aboveAverage="0" equalAverage="0" bottom="0" percent="0" rank="0" text="" dxfId="2">
      <formula>10000</formula>
    </cfRule>
  </conditionalFormatting>
  <conditionalFormatting sqref="E587">
    <cfRule type="cellIs" priority="583" operator="greaterThan" aboveAverage="0" equalAverage="0" bottom="0" percent="0" rank="0" text="" dxfId="2">
      <formula>10000</formula>
    </cfRule>
  </conditionalFormatting>
  <conditionalFormatting sqref="E588">
    <cfRule type="cellIs" priority="584" operator="greaterThan" aboveAverage="0" equalAverage="0" bottom="0" percent="0" rank="0" text="" dxfId="2">
      <formula>10000</formula>
    </cfRule>
  </conditionalFormatting>
  <conditionalFormatting sqref="E589">
    <cfRule type="cellIs" priority="585" operator="greaterThan" aboveAverage="0" equalAverage="0" bottom="0" percent="0" rank="0" text="" dxfId="2">
      <formula>10000</formula>
    </cfRule>
  </conditionalFormatting>
  <conditionalFormatting sqref="E590">
    <cfRule type="cellIs" priority="586" operator="greaterThan" aboveAverage="0" equalAverage="0" bottom="0" percent="0" rank="0" text="" dxfId="2">
      <formula>10000</formula>
    </cfRule>
  </conditionalFormatting>
  <conditionalFormatting sqref="E591">
    <cfRule type="cellIs" priority="587" operator="greaterThan" aboveAverage="0" equalAverage="0" bottom="0" percent="0" rank="0" text="" dxfId="2">
      <formula>10000</formula>
    </cfRule>
  </conditionalFormatting>
  <conditionalFormatting sqref="E592">
    <cfRule type="cellIs" priority="588" operator="greaterThan" aboveAverage="0" equalAverage="0" bottom="0" percent="0" rank="0" text="" dxfId="2">
      <formula>10000</formula>
    </cfRule>
  </conditionalFormatting>
  <conditionalFormatting sqref="E593">
    <cfRule type="cellIs" priority="589" operator="greaterThan" aboveAverage="0" equalAverage="0" bottom="0" percent="0" rank="0" text="" dxfId="2">
      <formula>10000</formula>
    </cfRule>
  </conditionalFormatting>
  <conditionalFormatting sqref="E594">
    <cfRule type="cellIs" priority="590" operator="greaterThan" aboveAverage="0" equalAverage="0" bottom="0" percent="0" rank="0" text="" dxfId="2">
      <formula>10000</formula>
    </cfRule>
  </conditionalFormatting>
  <conditionalFormatting sqref="E595">
    <cfRule type="cellIs" priority="591" operator="greaterThan" aboveAverage="0" equalAverage="0" bottom="0" percent="0" rank="0" text="" dxfId="2">
      <formula>10000</formula>
    </cfRule>
  </conditionalFormatting>
  <conditionalFormatting sqref="E596">
    <cfRule type="cellIs" priority="592" operator="greaterThan" aboveAverage="0" equalAverage="0" bottom="0" percent="0" rank="0" text="" dxfId="2">
      <formula>10000</formula>
    </cfRule>
  </conditionalFormatting>
  <conditionalFormatting sqref="E597">
    <cfRule type="cellIs" priority="593" operator="greaterThan" aboveAverage="0" equalAverage="0" bottom="0" percent="0" rank="0" text="" dxfId="2">
      <formula>10000</formula>
    </cfRule>
  </conditionalFormatting>
  <conditionalFormatting sqref="E598">
    <cfRule type="cellIs" priority="594" operator="greaterThan" aboveAverage="0" equalAverage="0" bottom="0" percent="0" rank="0" text="" dxfId="2">
      <formula>10000</formula>
    </cfRule>
  </conditionalFormatting>
  <conditionalFormatting sqref="E599">
    <cfRule type="cellIs" priority="595" operator="greaterThan" aboveAverage="0" equalAverage="0" bottom="0" percent="0" rank="0" text="" dxfId="2">
      <formula>10000</formula>
    </cfRule>
  </conditionalFormatting>
  <conditionalFormatting sqref="E600">
    <cfRule type="cellIs" priority="596" operator="greaterThan" aboveAverage="0" equalAverage="0" bottom="0" percent="0" rank="0" text="" dxfId="2">
      <formula>10000</formula>
    </cfRule>
  </conditionalFormatting>
  <conditionalFormatting sqref="E601">
    <cfRule type="cellIs" priority="597" operator="greaterThan" aboveAverage="0" equalAverage="0" bottom="0" percent="0" rank="0" text="" dxfId="2">
      <formula>10000</formula>
    </cfRule>
  </conditionalFormatting>
  <conditionalFormatting sqref="E602">
    <cfRule type="cellIs" priority="598" operator="greaterThan" aboveAverage="0" equalAverage="0" bottom="0" percent="0" rank="0" text="" dxfId="2">
      <formula>10000</formula>
    </cfRule>
  </conditionalFormatting>
  <conditionalFormatting sqref="E603">
    <cfRule type="cellIs" priority="599" operator="greaterThan" aboveAverage="0" equalAverage="0" bottom="0" percent="0" rank="0" text="" dxfId="2">
      <formula>10000</formula>
    </cfRule>
  </conditionalFormatting>
  <conditionalFormatting sqref="E604">
    <cfRule type="cellIs" priority="600" operator="greaterThan" aboveAverage="0" equalAverage="0" bottom="0" percent="0" rank="0" text="" dxfId="2">
      <formula>10000</formula>
    </cfRule>
  </conditionalFormatting>
  <conditionalFormatting sqref="E605">
    <cfRule type="cellIs" priority="601" operator="greaterThan" aboveAverage="0" equalAverage="0" bottom="0" percent="0" rank="0" text="" dxfId="2">
      <formula>10000</formula>
    </cfRule>
  </conditionalFormatting>
  <conditionalFormatting sqref="E606">
    <cfRule type="cellIs" priority="602" operator="greaterThan" aboveAverage="0" equalAverage="0" bottom="0" percent="0" rank="0" text="" dxfId="2">
      <formula>10000</formula>
    </cfRule>
  </conditionalFormatting>
  <conditionalFormatting sqref="E607">
    <cfRule type="cellIs" priority="603" operator="greaterThan" aboveAverage="0" equalAverage="0" bottom="0" percent="0" rank="0" text="" dxfId="2">
      <formula>10000</formula>
    </cfRule>
  </conditionalFormatting>
  <conditionalFormatting sqref="E608">
    <cfRule type="cellIs" priority="604" operator="greaterThan" aboveAverage="0" equalAverage="0" bottom="0" percent="0" rank="0" text="" dxfId="2">
      <formula>10000</formula>
    </cfRule>
  </conditionalFormatting>
  <conditionalFormatting sqref="E609">
    <cfRule type="cellIs" priority="605" operator="greaterThan" aboveAverage="0" equalAverage="0" bottom="0" percent="0" rank="0" text="" dxfId="2">
      <formula>10000</formula>
    </cfRule>
  </conditionalFormatting>
  <conditionalFormatting sqref="E610">
    <cfRule type="cellIs" priority="606" operator="greaterThan" aboveAverage="0" equalAverage="0" bottom="0" percent="0" rank="0" text="" dxfId="2">
      <formula>10000</formula>
    </cfRule>
  </conditionalFormatting>
  <conditionalFormatting sqref="E611">
    <cfRule type="cellIs" priority="607" operator="greaterThan" aboveAverage="0" equalAverage="0" bottom="0" percent="0" rank="0" text="" dxfId="2">
      <formula>10000</formula>
    </cfRule>
  </conditionalFormatting>
  <conditionalFormatting sqref="E612">
    <cfRule type="cellIs" priority="608" operator="greaterThan" aboveAverage="0" equalAverage="0" bottom="0" percent="0" rank="0" text="" dxfId="2">
      <formula>10000</formula>
    </cfRule>
  </conditionalFormatting>
  <conditionalFormatting sqref="E613">
    <cfRule type="cellIs" priority="609" operator="greaterThan" aboveAverage="0" equalAverage="0" bottom="0" percent="0" rank="0" text="" dxfId="2">
      <formula>10000</formula>
    </cfRule>
  </conditionalFormatting>
  <conditionalFormatting sqref="E614">
    <cfRule type="cellIs" priority="610" operator="greaterThan" aboveAverage="0" equalAverage="0" bottom="0" percent="0" rank="0" text="" dxfId="2">
      <formula>10000</formula>
    </cfRule>
  </conditionalFormatting>
  <conditionalFormatting sqref="E615">
    <cfRule type="cellIs" priority="611" operator="greaterThan" aboveAverage="0" equalAverage="0" bottom="0" percent="0" rank="0" text="" dxfId="2">
      <formula>10000</formula>
    </cfRule>
  </conditionalFormatting>
  <conditionalFormatting sqref="E616">
    <cfRule type="cellIs" priority="612" operator="greaterThan" aboveAverage="0" equalAverage="0" bottom="0" percent="0" rank="0" text="" dxfId="2">
      <formula>10000</formula>
    </cfRule>
  </conditionalFormatting>
  <conditionalFormatting sqref="E617">
    <cfRule type="cellIs" priority="613" operator="greaterThan" aboveAverage="0" equalAverage="0" bottom="0" percent="0" rank="0" text="" dxfId="2">
      <formula>10000</formula>
    </cfRule>
  </conditionalFormatting>
  <conditionalFormatting sqref="E618">
    <cfRule type="cellIs" priority="614" operator="greaterThan" aboveAverage="0" equalAverage="0" bottom="0" percent="0" rank="0" text="" dxfId="2">
      <formula>10000</formula>
    </cfRule>
  </conditionalFormatting>
  <conditionalFormatting sqref="E619">
    <cfRule type="cellIs" priority="615" operator="greaterThan" aboveAverage="0" equalAverage="0" bottom="0" percent="0" rank="0" text="" dxfId="2">
      <formula>10000</formula>
    </cfRule>
  </conditionalFormatting>
  <conditionalFormatting sqref="E620">
    <cfRule type="cellIs" priority="616" operator="greaterThan" aboveAverage="0" equalAverage="0" bottom="0" percent="0" rank="0" text="" dxfId="2">
      <formula>10000</formula>
    </cfRule>
  </conditionalFormatting>
  <conditionalFormatting sqref="E621">
    <cfRule type="cellIs" priority="617" operator="greaterThan" aboveAverage="0" equalAverage="0" bottom="0" percent="0" rank="0" text="" dxfId="2">
      <formula>10000</formula>
    </cfRule>
  </conditionalFormatting>
  <conditionalFormatting sqref="E622">
    <cfRule type="cellIs" priority="618" operator="greaterThan" aboveAverage="0" equalAverage="0" bottom="0" percent="0" rank="0" text="" dxfId="2">
      <formula>10000</formula>
    </cfRule>
  </conditionalFormatting>
  <conditionalFormatting sqref="E623">
    <cfRule type="cellIs" priority="619" operator="greaterThan" aboveAverage="0" equalAverage="0" bottom="0" percent="0" rank="0" text="" dxfId="2">
      <formula>10000</formula>
    </cfRule>
  </conditionalFormatting>
  <conditionalFormatting sqref="E624">
    <cfRule type="cellIs" priority="620" operator="greaterThan" aboveAverage="0" equalAverage="0" bottom="0" percent="0" rank="0" text="" dxfId="2">
      <formula>10000</formula>
    </cfRule>
  </conditionalFormatting>
  <conditionalFormatting sqref="E625">
    <cfRule type="cellIs" priority="621" operator="greaterThan" aboveAverage="0" equalAverage="0" bottom="0" percent="0" rank="0" text="" dxfId="2">
      <formula>10000</formula>
    </cfRule>
  </conditionalFormatting>
  <conditionalFormatting sqref="E626">
    <cfRule type="cellIs" priority="622" operator="greaterThan" aboveAverage="0" equalAverage="0" bottom="0" percent="0" rank="0" text="" dxfId="2">
      <formula>10000</formula>
    </cfRule>
  </conditionalFormatting>
  <conditionalFormatting sqref="E627">
    <cfRule type="cellIs" priority="623" operator="greaterThan" aboveAverage="0" equalAverage="0" bottom="0" percent="0" rank="0" text="" dxfId="2">
      <formula>10000</formula>
    </cfRule>
  </conditionalFormatting>
  <conditionalFormatting sqref="E628">
    <cfRule type="cellIs" priority="624" operator="greaterThan" aboveAverage="0" equalAverage="0" bottom="0" percent="0" rank="0" text="" dxfId="2">
      <formula>10000</formula>
    </cfRule>
  </conditionalFormatting>
  <conditionalFormatting sqref="E629">
    <cfRule type="cellIs" priority="625" operator="greaterThan" aboveAverage="0" equalAverage="0" bottom="0" percent="0" rank="0" text="" dxfId="2">
      <formula>10000</formula>
    </cfRule>
  </conditionalFormatting>
  <conditionalFormatting sqref="E630">
    <cfRule type="cellIs" priority="626" operator="greaterThan" aboveAverage="0" equalAverage="0" bottom="0" percent="0" rank="0" text="" dxfId="2">
      <formula>10000</formula>
    </cfRule>
  </conditionalFormatting>
  <conditionalFormatting sqref="E631">
    <cfRule type="cellIs" priority="627" operator="greaterThan" aboveAverage="0" equalAverage="0" bottom="0" percent="0" rank="0" text="" dxfId="2">
      <formula>10000</formula>
    </cfRule>
  </conditionalFormatting>
  <conditionalFormatting sqref="E632">
    <cfRule type="cellIs" priority="628" operator="greaterThan" aboveAverage="0" equalAverage="0" bottom="0" percent="0" rank="0" text="" dxfId="2">
      <formula>10000</formula>
    </cfRule>
  </conditionalFormatting>
  <conditionalFormatting sqref="E633">
    <cfRule type="cellIs" priority="629" operator="greaterThan" aboveAverage="0" equalAverage="0" bottom="0" percent="0" rank="0" text="" dxfId="2">
      <formula>10000</formula>
    </cfRule>
  </conditionalFormatting>
  <conditionalFormatting sqref="E634">
    <cfRule type="cellIs" priority="630" operator="greaterThan" aboveAverage="0" equalAverage="0" bottom="0" percent="0" rank="0" text="" dxfId="2">
      <formula>10000</formula>
    </cfRule>
  </conditionalFormatting>
  <conditionalFormatting sqref="E635">
    <cfRule type="cellIs" priority="631" operator="greaterThan" aboveAverage="0" equalAverage="0" bottom="0" percent="0" rank="0" text="" dxfId="2">
      <formula>10000</formula>
    </cfRule>
  </conditionalFormatting>
  <conditionalFormatting sqref="E636">
    <cfRule type="cellIs" priority="632" operator="greaterThan" aboveAverage="0" equalAverage="0" bottom="0" percent="0" rank="0" text="" dxfId="2">
      <formula>10000</formula>
    </cfRule>
  </conditionalFormatting>
  <conditionalFormatting sqref="E637">
    <cfRule type="cellIs" priority="633" operator="greaterThan" aboveAverage="0" equalAverage="0" bottom="0" percent="0" rank="0" text="" dxfId="2">
      <formula>10000</formula>
    </cfRule>
  </conditionalFormatting>
  <conditionalFormatting sqref="E638">
    <cfRule type="cellIs" priority="634" operator="greaterThan" aboveAverage="0" equalAverage="0" bottom="0" percent="0" rank="0" text="" dxfId="2">
      <formula>10000</formula>
    </cfRule>
  </conditionalFormatting>
  <conditionalFormatting sqref="E639">
    <cfRule type="cellIs" priority="635" operator="greaterThan" aboveAverage="0" equalAverage="0" bottom="0" percent="0" rank="0" text="" dxfId="2">
      <formula>10000</formula>
    </cfRule>
  </conditionalFormatting>
  <conditionalFormatting sqref="E640">
    <cfRule type="cellIs" priority="636" operator="greaterThan" aboveAverage="0" equalAverage="0" bottom="0" percent="0" rank="0" text="" dxfId="2">
      <formula>10000</formula>
    </cfRule>
  </conditionalFormatting>
  <conditionalFormatting sqref="E641">
    <cfRule type="cellIs" priority="637" operator="greaterThan" aboveAverage="0" equalAverage="0" bottom="0" percent="0" rank="0" text="" dxfId="2">
      <formula>10000</formula>
    </cfRule>
  </conditionalFormatting>
  <conditionalFormatting sqref="E642">
    <cfRule type="cellIs" priority="638" operator="greaterThan" aboveAverage="0" equalAverage="0" bottom="0" percent="0" rank="0" text="" dxfId="2">
      <formula>10000</formula>
    </cfRule>
  </conditionalFormatting>
  <conditionalFormatting sqref="E643">
    <cfRule type="cellIs" priority="639" operator="greaterThan" aboveAverage="0" equalAverage="0" bottom="0" percent="0" rank="0" text="" dxfId="2">
      <formula>10000</formula>
    </cfRule>
  </conditionalFormatting>
  <conditionalFormatting sqref="E644">
    <cfRule type="cellIs" priority="640" operator="greaterThan" aboveAverage="0" equalAverage="0" bottom="0" percent="0" rank="0" text="" dxfId="2">
      <formula>10000</formula>
    </cfRule>
  </conditionalFormatting>
  <conditionalFormatting sqref="E645">
    <cfRule type="cellIs" priority="641" operator="greaterThan" aboveAverage="0" equalAverage="0" bottom="0" percent="0" rank="0" text="" dxfId="2">
      <formula>10000</formula>
    </cfRule>
  </conditionalFormatting>
  <conditionalFormatting sqref="E646">
    <cfRule type="cellIs" priority="642" operator="greaterThan" aboveAverage="0" equalAverage="0" bottom="0" percent="0" rank="0" text="" dxfId="2">
      <formula>10000</formula>
    </cfRule>
  </conditionalFormatting>
  <conditionalFormatting sqref="E647">
    <cfRule type="cellIs" priority="643" operator="greaterThan" aboveAverage="0" equalAverage="0" bottom="0" percent="0" rank="0" text="" dxfId="2">
      <formula>10000</formula>
    </cfRule>
  </conditionalFormatting>
  <conditionalFormatting sqref="E648">
    <cfRule type="cellIs" priority="644" operator="greaterThan" aboveAverage="0" equalAverage="0" bottom="0" percent="0" rank="0" text="" dxfId="2">
      <formula>10000</formula>
    </cfRule>
  </conditionalFormatting>
  <conditionalFormatting sqref="E649">
    <cfRule type="cellIs" priority="645" operator="greaterThan" aboveAverage="0" equalAverage="0" bottom="0" percent="0" rank="0" text="" dxfId="2">
      <formula>10000</formula>
    </cfRule>
  </conditionalFormatting>
  <conditionalFormatting sqref="E650">
    <cfRule type="cellIs" priority="646" operator="greaterThan" aboveAverage="0" equalAverage="0" bottom="0" percent="0" rank="0" text="" dxfId="2">
      <formula>10000</formula>
    </cfRule>
  </conditionalFormatting>
  <conditionalFormatting sqref="E651">
    <cfRule type="cellIs" priority="647" operator="greaterThan" aboveAverage="0" equalAverage="0" bottom="0" percent="0" rank="0" text="" dxfId="2">
      <formula>10000</formula>
    </cfRule>
  </conditionalFormatting>
  <conditionalFormatting sqref="E652">
    <cfRule type="cellIs" priority="648" operator="greaterThan" aboveAverage="0" equalAverage="0" bottom="0" percent="0" rank="0" text="" dxfId="2">
      <formula>10000</formula>
    </cfRule>
  </conditionalFormatting>
  <conditionalFormatting sqref="E653">
    <cfRule type="cellIs" priority="649" operator="greaterThan" aboveAverage="0" equalAverage="0" bottom="0" percent="0" rank="0" text="" dxfId="2">
      <formula>10000</formula>
    </cfRule>
  </conditionalFormatting>
  <conditionalFormatting sqref="E654">
    <cfRule type="cellIs" priority="650" operator="greaterThan" aboveAverage="0" equalAverage="0" bottom="0" percent="0" rank="0" text="" dxfId="2">
      <formula>10000</formula>
    </cfRule>
  </conditionalFormatting>
  <conditionalFormatting sqref="E655">
    <cfRule type="cellIs" priority="651" operator="greaterThan" aboveAverage="0" equalAverage="0" bottom="0" percent="0" rank="0" text="" dxfId="2">
      <formula>10000</formula>
    </cfRule>
  </conditionalFormatting>
  <conditionalFormatting sqref="E656">
    <cfRule type="cellIs" priority="652" operator="greaterThan" aboveAverage="0" equalAverage="0" bottom="0" percent="0" rank="0" text="" dxfId="2">
      <formula>10000</formula>
    </cfRule>
  </conditionalFormatting>
  <conditionalFormatting sqref="E657">
    <cfRule type="cellIs" priority="653" operator="greaterThan" aboveAverage="0" equalAverage="0" bottom="0" percent="0" rank="0" text="" dxfId="2">
      <formula>10000</formula>
    </cfRule>
  </conditionalFormatting>
  <conditionalFormatting sqref="E658">
    <cfRule type="cellIs" priority="654" operator="greaterThan" aboveAverage="0" equalAverage="0" bottom="0" percent="0" rank="0" text="" dxfId="2">
      <formula>10000</formula>
    </cfRule>
  </conditionalFormatting>
  <conditionalFormatting sqref="E659">
    <cfRule type="cellIs" priority="655" operator="greaterThan" aboveAverage="0" equalAverage="0" bottom="0" percent="0" rank="0" text="" dxfId="2">
      <formula>10000</formula>
    </cfRule>
  </conditionalFormatting>
  <conditionalFormatting sqref="E660">
    <cfRule type="cellIs" priority="656" operator="greaterThan" aboveAverage="0" equalAverage="0" bottom="0" percent="0" rank="0" text="" dxfId="2">
      <formula>10000</formula>
    </cfRule>
  </conditionalFormatting>
  <conditionalFormatting sqref="E661">
    <cfRule type="cellIs" priority="657" operator="greaterThan" aboveAverage="0" equalAverage="0" bottom="0" percent="0" rank="0" text="" dxfId="2">
      <formula>10000</formula>
    </cfRule>
  </conditionalFormatting>
  <conditionalFormatting sqref="E662">
    <cfRule type="cellIs" priority="658" operator="greaterThan" aboveAverage="0" equalAverage="0" bottom="0" percent="0" rank="0" text="" dxfId="2">
      <formula>10000</formula>
    </cfRule>
  </conditionalFormatting>
  <conditionalFormatting sqref="E663">
    <cfRule type="cellIs" priority="659" operator="greaterThan" aboveAverage="0" equalAverage="0" bottom="0" percent="0" rank="0" text="" dxfId="2">
      <formula>10000</formula>
    </cfRule>
  </conditionalFormatting>
  <conditionalFormatting sqref="E664">
    <cfRule type="cellIs" priority="660" operator="greaterThan" aboveAverage="0" equalAverage="0" bottom="0" percent="0" rank="0" text="" dxfId="2">
      <formula>10000</formula>
    </cfRule>
  </conditionalFormatting>
  <conditionalFormatting sqref="E665">
    <cfRule type="cellIs" priority="661" operator="greaterThan" aboveAverage="0" equalAverage="0" bottom="0" percent="0" rank="0" text="" dxfId="2">
      <formula>10000</formula>
    </cfRule>
  </conditionalFormatting>
  <conditionalFormatting sqref="E666">
    <cfRule type="cellIs" priority="662" operator="greaterThan" aboveAverage="0" equalAverage="0" bottom="0" percent="0" rank="0" text="" dxfId="2">
      <formula>10000</formula>
    </cfRule>
  </conditionalFormatting>
  <conditionalFormatting sqref="E667">
    <cfRule type="cellIs" priority="663" operator="greaterThan" aboveAverage="0" equalAverage="0" bottom="0" percent="0" rank="0" text="" dxfId="2">
      <formula>10000</formula>
    </cfRule>
  </conditionalFormatting>
  <conditionalFormatting sqref="E668">
    <cfRule type="cellIs" priority="664" operator="greaterThan" aboveAverage="0" equalAverage="0" bottom="0" percent="0" rank="0" text="" dxfId="2">
      <formula>10000</formula>
    </cfRule>
  </conditionalFormatting>
  <conditionalFormatting sqref="E669">
    <cfRule type="cellIs" priority="665" operator="greaterThan" aboveAverage="0" equalAverage="0" bottom="0" percent="0" rank="0" text="" dxfId="2">
      <formula>10000</formula>
    </cfRule>
  </conditionalFormatting>
  <conditionalFormatting sqref="E670">
    <cfRule type="cellIs" priority="666" operator="greaterThan" aboveAverage="0" equalAverage="0" bottom="0" percent="0" rank="0" text="" dxfId="2">
      <formula>10000</formula>
    </cfRule>
  </conditionalFormatting>
  <conditionalFormatting sqref="E671">
    <cfRule type="cellIs" priority="667" operator="greaterThan" aboveAverage="0" equalAverage="0" bottom="0" percent="0" rank="0" text="" dxfId="2">
      <formula>10000</formula>
    </cfRule>
  </conditionalFormatting>
  <conditionalFormatting sqref="E672">
    <cfRule type="cellIs" priority="668" operator="greaterThan" aboveAverage="0" equalAverage="0" bottom="0" percent="0" rank="0" text="" dxfId="2">
      <formula>10000</formula>
    </cfRule>
  </conditionalFormatting>
  <conditionalFormatting sqref="E673">
    <cfRule type="cellIs" priority="669" operator="greaterThan" aboveAverage="0" equalAverage="0" bottom="0" percent="0" rank="0" text="" dxfId="2">
      <formula>10000</formula>
    </cfRule>
  </conditionalFormatting>
  <conditionalFormatting sqref="E674">
    <cfRule type="cellIs" priority="670" operator="greaterThan" aboveAverage="0" equalAverage="0" bottom="0" percent="0" rank="0" text="" dxfId="2">
      <formula>10000</formula>
    </cfRule>
  </conditionalFormatting>
  <conditionalFormatting sqref="E675">
    <cfRule type="cellIs" priority="671" operator="greaterThan" aboveAverage="0" equalAverage="0" bottom="0" percent="0" rank="0" text="" dxfId="2">
      <formula>10000</formula>
    </cfRule>
  </conditionalFormatting>
  <conditionalFormatting sqref="E676">
    <cfRule type="cellIs" priority="672" operator="greaterThan" aboveAverage="0" equalAverage="0" bottom="0" percent="0" rank="0" text="" dxfId="2">
      <formula>10000</formula>
    </cfRule>
  </conditionalFormatting>
  <conditionalFormatting sqref="E677">
    <cfRule type="cellIs" priority="673" operator="greaterThan" aboveAverage="0" equalAverage="0" bottom="0" percent="0" rank="0" text="" dxfId="2">
      <formula>10000</formula>
    </cfRule>
  </conditionalFormatting>
  <conditionalFormatting sqref="E678">
    <cfRule type="cellIs" priority="674" operator="greaterThan" aboveAverage="0" equalAverage="0" bottom="0" percent="0" rank="0" text="" dxfId="2">
      <formula>10000</formula>
    </cfRule>
  </conditionalFormatting>
  <conditionalFormatting sqref="E679">
    <cfRule type="cellIs" priority="675" operator="greaterThan" aboveAverage="0" equalAverage="0" bottom="0" percent="0" rank="0" text="" dxfId="2">
      <formula>10000</formula>
    </cfRule>
  </conditionalFormatting>
  <conditionalFormatting sqref="E680">
    <cfRule type="cellIs" priority="676" operator="greaterThan" aboveAverage="0" equalAverage="0" bottom="0" percent="0" rank="0" text="" dxfId="2">
      <formula>10000</formula>
    </cfRule>
  </conditionalFormatting>
  <conditionalFormatting sqref="E681">
    <cfRule type="cellIs" priority="677" operator="greaterThan" aboveAverage="0" equalAverage="0" bottom="0" percent="0" rank="0" text="" dxfId="2">
      <formula>10000</formula>
    </cfRule>
  </conditionalFormatting>
  <conditionalFormatting sqref="E682">
    <cfRule type="cellIs" priority="678" operator="greaterThan" aboveAverage="0" equalAverage="0" bottom="0" percent="0" rank="0" text="" dxfId="2">
      <formula>10000</formula>
    </cfRule>
  </conditionalFormatting>
  <conditionalFormatting sqref="E683">
    <cfRule type="cellIs" priority="679" operator="greaterThan" aboveAverage="0" equalAverage="0" bottom="0" percent="0" rank="0" text="" dxfId="2">
      <formula>10000</formula>
    </cfRule>
  </conditionalFormatting>
  <conditionalFormatting sqref="E684">
    <cfRule type="cellIs" priority="680" operator="greaterThan" aboveAverage="0" equalAverage="0" bottom="0" percent="0" rank="0" text="" dxfId="2">
      <formula>10000</formula>
    </cfRule>
  </conditionalFormatting>
  <conditionalFormatting sqref="E685">
    <cfRule type="cellIs" priority="681" operator="greaterThan" aboveAverage="0" equalAverage="0" bottom="0" percent="0" rank="0" text="" dxfId="2">
      <formula>10000</formula>
    </cfRule>
  </conditionalFormatting>
  <conditionalFormatting sqref="E686">
    <cfRule type="cellIs" priority="682" operator="greaterThan" aboveAverage="0" equalAverage="0" bottom="0" percent="0" rank="0" text="" dxfId="2">
      <formula>10000</formula>
    </cfRule>
  </conditionalFormatting>
  <conditionalFormatting sqref="E687">
    <cfRule type="cellIs" priority="683" operator="greaterThan" aboveAverage="0" equalAverage="0" bottom="0" percent="0" rank="0" text="" dxfId="2">
      <formula>10000</formula>
    </cfRule>
  </conditionalFormatting>
  <conditionalFormatting sqref="E688">
    <cfRule type="cellIs" priority="684" operator="greaterThan" aboveAverage="0" equalAverage="0" bottom="0" percent="0" rank="0" text="" dxfId="2">
      <formula>10000</formula>
    </cfRule>
  </conditionalFormatting>
  <conditionalFormatting sqref="E689">
    <cfRule type="cellIs" priority="685" operator="greaterThan" aboveAverage="0" equalAverage="0" bottom="0" percent="0" rank="0" text="" dxfId="2">
      <formula>10000</formula>
    </cfRule>
  </conditionalFormatting>
  <conditionalFormatting sqref="E690">
    <cfRule type="cellIs" priority="686" operator="greaterThan" aboveAverage="0" equalAverage="0" bottom="0" percent="0" rank="0" text="" dxfId="2">
      <formula>10000</formula>
    </cfRule>
  </conditionalFormatting>
  <conditionalFormatting sqref="E691">
    <cfRule type="cellIs" priority="687" operator="greaterThan" aboveAverage="0" equalAverage="0" bottom="0" percent="0" rank="0" text="" dxfId="2">
      <formula>10000</formula>
    </cfRule>
  </conditionalFormatting>
  <conditionalFormatting sqref="E692">
    <cfRule type="cellIs" priority="688" operator="greaterThan" aboveAverage="0" equalAverage="0" bottom="0" percent="0" rank="0" text="" dxfId="2">
      <formula>10000</formula>
    </cfRule>
  </conditionalFormatting>
  <conditionalFormatting sqref="E693">
    <cfRule type="cellIs" priority="689" operator="greaterThan" aboveAverage="0" equalAverage="0" bottom="0" percent="0" rank="0" text="" dxfId="2">
      <formula>10000</formula>
    </cfRule>
  </conditionalFormatting>
  <conditionalFormatting sqref="E694">
    <cfRule type="cellIs" priority="690" operator="greaterThan" aboveAverage="0" equalAverage="0" bottom="0" percent="0" rank="0" text="" dxfId="2">
      <formula>10000</formula>
    </cfRule>
  </conditionalFormatting>
  <conditionalFormatting sqref="E695">
    <cfRule type="cellIs" priority="691" operator="greaterThan" aboveAverage="0" equalAverage="0" bottom="0" percent="0" rank="0" text="" dxfId="2">
      <formula>10000</formula>
    </cfRule>
  </conditionalFormatting>
  <conditionalFormatting sqref="E696">
    <cfRule type="cellIs" priority="692" operator="greaterThan" aboveAverage="0" equalAverage="0" bottom="0" percent="0" rank="0" text="" dxfId="2">
      <formula>10000</formula>
    </cfRule>
  </conditionalFormatting>
  <conditionalFormatting sqref="E697">
    <cfRule type="cellIs" priority="693" operator="greaterThan" aboveAverage="0" equalAverage="0" bottom="0" percent="0" rank="0" text="" dxfId="2">
      <formula>10000</formula>
    </cfRule>
  </conditionalFormatting>
  <conditionalFormatting sqref="E698">
    <cfRule type="cellIs" priority="694" operator="greaterThan" aboveAverage="0" equalAverage="0" bottom="0" percent="0" rank="0" text="" dxfId="2">
      <formula>10000</formula>
    </cfRule>
  </conditionalFormatting>
  <conditionalFormatting sqref="E699">
    <cfRule type="cellIs" priority="695" operator="greaterThan" aboveAverage="0" equalAverage="0" bottom="0" percent="0" rank="0" text="" dxfId="2">
      <formula>10000</formula>
    </cfRule>
  </conditionalFormatting>
  <conditionalFormatting sqref="E700">
    <cfRule type="cellIs" priority="696" operator="greaterThan" aboveAverage="0" equalAverage="0" bottom="0" percent="0" rank="0" text="" dxfId="2">
      <formula>10000</formula>
    </cfRule>
  </conditionalFormatting>
  <conditionalFormatting sqref="E701">
    <cfRule type="cellIs" priority="697" operator="greaterThan" aboveAverage="0" equalAverage="0" bottom="0" percent="0" rank="0" text="" dxfId="2">
      <formula>10000</formula>
    </cfRule>
  </conditionalFormatting>
  <conditionalFormatting sqref="E702">
    <cfRule type="cellIs" priority="698" operator="greaterThan" aboveAverage="0" equalAverage="0" bottom="0" percent="0" rank="0" text="" dxfId="2">
      <formula>10000</formula>
    </cfRule>
  </conditionalFormatting>
  <conditionalFormatting sqref="E703">
    <cfRule type="cellIs" priority="699" operator="greaterThan" aboveAverage="0" equalAverage="0" bottom="0" percent="0" rank="0" text="" dxfId="2">
      <formula>10000</formula>
    </cfRule>
  </conditionalFormatting>
  <conditionalFormatting sqref="E704">
    <cfRule type="cellIs" priority="700" operator="greaterThan" aboveAverage="0" equalAverage="0" bottom="0" percent="0" rank="0" text="" dxfId="2">
      <formula>10000</formula>
    </cfRule>
  </conditionalFormatting>
  <conditionalFormatting sqref="E705">
    <cfRule type="cellIs" priority="701" operator="greaterThan" aboveAverage="0" equalAverage="0" bottom="0" percent="0" rank="0" text="" dxfId="2">
      <formula>10000</formula>
    </cfRule>
  </conditionalFormatting>
  <conditionalFormatting sqref="E706">
    <cfRule type="cellIs" priority="702" operator="greaterThan" aboveAverage="0" equalAverage="0" bottom="0" percent="0" rank="0" text="" dxfId="2">
      <formula>10000</formula>
    </cfRule>
  </conditionalFormatting>
  <conditionalFormatting sqref="E707">
    <cfRule type="cellIs" priority="703" operator="greaterThan" aboveAverage="0" equalAverage="0" bottom="0" percent="0" rank="0" text="" dxfId="2">
      <formula>10000</formula>
    </cfRule>
  </conditionalFormatting>
  <conditionalFormatting sqref="E708">
    <cfRule type="cellIs" priority="704" operator="greaterThan" aboveAverage="0" equalAverage="0" bottom="0" percent="0" rank="0" text="" dxfId="2">
      <formula>10000</formula>
    </cfRule>
  </conditionalFormatting>
  <conditionalFormatting sqref="E709">
    <cfRule type="cellIs" priority="705" operator="greaterThan" aboveAverage="0" equalAverage="0" bottom="0" percent="0" rank="0" text="" dxfId="2">
      <formula>10000</formula>
    </cfRule>
  </conditionalFormatting>
  <conditionalFormatting sqref="E710">
    <cfRule type="cellIs" priority="706" operator="greaterThan" aboveAverage="0" equalAverage="0" bottom="0" percent="0" rank="0" text="" dxfId="2">
      <formula>10000</formula>
    </cfRule>
  </conditionalFormatting>
  <conditionalFormatting sqref="E711">
    <cfRule type="cellIs" priority="707" operator="greaterThan" aboveAverage="0" equalAverage="0" bottom="0" percent="0" rank="0" text="" dxfId="2">
      <formula>10000</formula>
    </cfRule>
  </conditionalFormatting>
  <conditionalFormatting sqref="E712">
    <cfRule type="cellIs" priority="708" operator="greaterThan" aboveAverage="0" equalAverage="0" bottom="0" percent="0" rank="0" text="" dxfId="2">
      <formula>10000</formula>
    </cfRule>
  </conditionalFormatting>
  <conditionalFormatting sqref="E713">
    <cfRule type="cellIs" priority="709" operator="greaterThan" aboveAverage="0" equalAverage="0" bottom="0" percent="0" rank="0" text="" dxfId="2">
      <formula>10000</formula>
    </cfRule>
  </conditionalFormatting>
  <conditionalFormatting sqref="E714">
    <cfRule type="cellIs" priority="710" operator="greaterThan" aboveAverage="0" equalAverage="0" bottom="0" percent="0" rank="0" text="" dxfId="2">
      <formula>10000</formula>
    </cfRule>
  </conditionalFormatting>
  <conditionalFormatting sqref="E715">
    <cfRule type="cellIs" priority="711" operator="greaterThan" aboveAverage="0" equalAverage="0" bottom="0" percent="0" rank="0" text="" dxfId="2">
      <formula>10000</formula>
    </cfRule>
  </conditionalFormatting>
  <conditionalFormatting sqref="E716">
    <cfRule type="cellIs" priority="712" operator="greaterThan" aboveAverage="0" equalAverage="0" bottom="0" percent="0" rank="0" text="" dxfId="2">
      <formula>10000</formula>
    </cfRule>
  </conditionalFormatting>
  <conditionalFormatting sqref="E717">
    <cfRule type="cellIs" priority="713" operator="greaterThan" aboveAverage="0" equalAverage="0" bottom="0" percent="0" rank="0" text="" dxfId="2">
      <formula>10000</formula>
    </cfRule>
  </conditionalFormatting>
  <conditionalFormatting sqref="E718">
    <cfRule type="cellIs" priority="714" operator="greaterThan" aboveAverage="0" equalAverage="0" bottom="0" percent="0" rank="0" text="" dxfId="2">
      <formula>10000</formula>
    </cfRule>
  </conditionalFormatting>
  <conditionalFormatting sqref="E719">
    <cfRule type="cellIs" priority="715" operator="greaterThan" aboveAverage="0" equalAverage="0" bottom="0" percent="0" rank="0" text="" dxfId="2">
      <formula>10000</formula>
    </cfRule>
  </conditionalFormatting>
  <conditionalFormatting sqref="E720">
    <cfRule type="cellIs" priority="716" operator="greaterThan" aboveAverage="0" equalAverage="0" bottom="0" percent="0" rank="0" text="" dxfId="2">
      <formula>10000</formula>
    </cfRule>
  </conditionalFormatting>
  <conditionalFormatting sqref="E721">
    <cfRule type="cellIs" priority="717" operator="greaterThan" aboveAverage="0" equalAverage="0" bottom="0" percent="0" rank="0" text="" dxfId="2">
      <formula>10000</formula>
    </cfRule>
  </conditionalFormatting>
  <conditionalFormatting sqref="E722">
    <cfRule type="cellIs" priority="718" operator="greaterThan" aboveAverage="0" equalAverage="0" bottom="0" percent="0" rank="0" text="" dxfId="2">
      <formula>10000</formula>
    </cfRule>
  </conditionalFormatting>
  <conditionalFormatting sqref="E723">
    <cfRule type="cellIs" priority="719" operator="greaterThan" aboveAverage="0" equalAverage="0" bottom="0" percent="0" rank="0" text="" dxfId="2">
      <formula>10000</formula>
    </cfRule>
  </conditionalFormatting>
  <conditionalFormatting sqref="E724">
    <cfRule type="cellIs" priority="720" operator="greaterThan" aboveAverage="0" equalAverage="0" bottom="0" percent="0" rank="0" text="" dxfId="2">
      <formula>10000</formula>
    </cfRule>
  </conditionalFormatting>
  <conditionalFormatting sqref="E725">
    <cfRule type="cellIs" priority="721" operator="greaterThan" aboveAverage="0" equalAverage="0" bottom="0" percent="0" rank="0" text="" dxfId="2">
      <formula>10000</formula>
    </cfRule>
  </conditionalFormatting>
  <conditionalFormatting sqref="E726">
    <cfRule type="cellIs" priority="722" operator="greaterThan" aboveAverage="0" equalAverage="0" bottom="0" percent="0" rank="0" text="" dxfId="2">
      <formula>10000</formula>
    </cfRule>
  </conditionalFormatting>
  <conditionalFormatting sqref="E727">
    <cfRule type="cellIs" priority="723" operator="greaterThan" aboveAverage="0" equalAverage="0" bottom="0" percent="0" rank="0" text="" dxfId="2">
      <formula>10000</formula>
    </cfRule>
  </conditionalFormatting>
  <conditionalFormatting sqref="E728">
    <cfRule type="cellIs" priority="724" operator="greaterThan" aboveAverage="0" equalAverage="0" bottom="0" percent="0" rank="0" text="" dxfId="2">
      <formula>10000</formula>
    </cfRule>
  </conditionalFormatting>
  <conditionalFormatting sqref="E729">
    <cfRule type="cellIs" priority="725" operator="greaterThan" aboveAverage="0" equalAverage="0" bottom="0" percent="0" rank="0" text="" dxfId="2">
      <formula>10000</formula>
    </cfRule>
  </conditionalFormatting>
  <conditionalFormatting sqref="E730">
    <cfRule type="cellIs" priority="726" operator="greaterThan" aboveAverage="0" equalAverage="0" bottom="0" percent="0" rank="0" text="" dxfId="2">
      <formula>10000</formula>
    </cfRule>
  </conditionalFormatting>
  <conditionalFormatting sqref="E731">
    <cfRule type="cellIs" priority="727" operator="greaterThan" aboveAverage="0" equalAverage="0" bottom="0" percent="0" rank="0" text="" dxfId="2">
      <formula>10000</formula>
    </cfRule>
  </conditionalFormatting>
  <conditionalFormatting sqref="E732">
    <cfRule type="cellIs" priority="728" operator="greaterThan" aboveAverage="0" equalAverage="0" bottom="0" percent="0" rank="0" text="" dxfId="2">
      <formula>10000</formula>
    </cfRule>
  </conditionalFormatting>
  <conditionalFormatting sqref="E733">
    <cfRule type="cellIs" priority="729" operator="greaterThan" aboveAverage="0" equalAverage="0" bottom="0" percent="0" rank="0" text="" dxfId="2">
      <formula>10000</formula>
    </cfRule>
  </conditionalFormatting>
  <conditionalFormatting sqref="E734">
    <cfRule type="cellIs" priority="730" operator="greaterThan" aboveAverage="0" equalAverage="0" bottom="0" percent="0" rank="0" text="" dxfId="2">
      <formula>10000</formula>
    </cfRule>
  </conditionalFormatting>
  <conditionalFormatting sqref="E735">
    <cfRule type="cellIs" priority="731" operator="greaterThan" aboveAverage="0" equalAverage="0" bottom="0" percent="0" rank="0" text="" dxfId="2">
      <formula>10000</formula>
    </cfRule>
  </conditionalFormatting>
  <conditionalFormatting sqref="E736">
    <cfRule type="cellIs" priority="732" operator="greaterThan" aboveAverage="0" equalAverage="0" bottom="0" percent="0" rank="0" text="" dxfId="2">
      <formula>10000</formula>
    </cfRule>
  </conditionalFormatting>
  <conditionalFormatting sqref="E737">
    <cfRule type="cellIs" priority="733" operator="greaterThan" aboveAverage="0" equalAverage="0" bottom="0" percent="0" rank="0" text="" dxfId="2">
      <formula>10000</formula>
    </cfRule>
  </conditionalFormatting>
  <conditionalFormatting sqref="E738">
    <cfRule type="cellIs" priority="734" operator="greaterThan" aboveAverage="0" equalAverage="0" bottom="0" percent="0" rank="0" text="" dxfId="2">
      <formula>10000</formula>
    </cfRule>
  </conditionalFormatting>
  <conditionalFormatting sqref="E739">
    <cfRule type="cellIs" priority="735" operator="greaterThan" aboveAverage="0" equalAverage="0" bottom="0" percent="0" rank="0" text="" dxfId="2">
      <formula>10000</formula>
    </cfRule>
  </conditionalFormatting>
  <conditionalFormatting sqref="E740">
    <cfRule type="cellIs" priority="736" operator="greaterThan" aboveAverage="0" equalAverage="0" bottom="0" percent="0" rank="0" text="" dxfId="2">
      <formula>10000</formula>
    </cfRule>
  </conditionalFormatting>
  <conditionalFormatting sqref="E741">
    <cfRule type="cellIs" priority="737" operator="greaterThan" aboveAverage="0" equalAverage="0" bottom="0" percent="0" rank="0" text="" dxfId="2">
      <formula>10000</formula>
    </cfRule>
  </conditionalFormatting>
  <conditionalFormatting sqref="E742">
    <cfRule type="cellIs" priority="738" operator="greaterThan" aboveAverage="0" equalAverage="0" bottom="0" percent="0" rank="0" text="" dxfId="2">
      <formula>10000</formula>
    </cfRule>
  </conditionalFormatting>
  <conditionalFormatting sqref="E743">
    <cfRule type="cellIs" priority="739" operator="greaterThan" aboveAverage="0" equalAverage="0" bottom="0" percent="0" rank="0" text="" dxfId="2">
      <formula>10000</formula>
    </cfRule>
  </conditionalFormatting>
  <conditionalFormatting sqref="E744">
    <cfRule type="cellIs" priority="740" operator="greaterThan" aboveAverage="0" equalAverage="0" bottom="0" percent="0" rank="0" text="" dxfId="2">
      <formula>10000</formula>
    </cfRule>
  </conditionalFormatting>
  <conditionalFormatting sqref="E745">
    <cfRule type="cellIs" priority="741" operator="greaterThan" aboveAverage="0" equalAverage="0" bottom="0" percent="0" rank="0" text="" dxfId="2">
      <formula>10000</formula>
    </cfRule>
  </conditionalFormatting>
  <conditionalFormatting sqref="E746">
    <cfRule type="cellIs" priority="742" operator="greaterThan" aboveAverage="0" equalAverage="0" bottom="0" percent="0" rank="0" text="" dxfId="2">
      <formula>10000</formula>
    </cfRule>
  </conditionalFormatting>
  <conditionalFormatting sqref="E747">
    <cfRule type="cellIs" priority="743" operator="greaterThan" aboveAverage="0" equalAverage="0" bottom="0" percent="0" rank="0" text="" dxfId="2">
      <formula>10000</formula>
    </cfRule>
  </conditionalFormatting>
  <conditionalFormatting sqref="E748">
    <cfRule type="cellIs" priority="744" operator="greaterThan" aboveAverage="0" equalAverage="0" bottom="0" percent="0" rank="0" text="" dxfId="2">
      <formula>10000</formula>
    </cfRule>
  </conditionalFormatting>
  <conditionalFormatting sqref="E749">
    <cfRule type="cellIs" priority="745" operator="greaterThan" aboveAverage="0" equalAverage="0" bottom="0" percent="0" rank="0" text="" dxfId="2">
      <formula>10000</formula>
    </cfRule>
  </conditionalFormatting>
  <conditionalFormatting sqref="E750">
    <cfRule type="cellIs" priority="746" operator="greaterThan" aboveAverage="0" equalAverage="0" bottom="0" percent="0" rank="0" text="" dxfId="2">
      <formula>10000</formula>
    </cfRule>
  </conditionalFormatting>
  <conditionalFormatting sqref="E751">
    <cfRule type="cellIs" priority="747" operator="greaterThan" aboveAverage="0" equalAverage="0" bottom="0" percent="0" rank="0" text="" dxfId="2">
      <formula>10000</formula>
    </cfRule>
  </conditionalFormatting>
  <conditionalFormatting sqref="E752">
    <cfRule type="cellIs" priority="748" operator="greaterThan" aboveAverage="0" equalAverage="0" bottom="0" percent="0" rank="0" text="" dxfId="2">
      <formula>10000</formula>
    </cfRule>
  </conditionalFormatting>
  <conditionalFormatting sqref="E753">
    <cfRule type="cellIs" priority="749" operator="greaterThan" aboveAverage="0" equalAverage="0" bottom="0" percent="0" rank="0" text="" dxfId="2">
      <formula>10000</formula>
    </cfRule>
  </conditionalFormatting>
  <conditionalFormatting sqref="E754">
    <cfRule type="cellIs" priority="750" operator="greaterThan" aboveAverage="0" equalAverage="0" bottom="0" percent="0" rank="0" text="" dxfId="2">
      <formula>10000</formula>
    </cfRule>
  </conditionalFormatting>
  <conditionalFormatting sqref="E755">
    <cfRule type="cellIs" priority="751" operator="greaterThan" aboveAverage="0" equalAverage="0" bottom="0" percent="0" rank="0" text="" dxfId="2">
      <formula>10000</formula>
    </cfRule>
  </conditionalFormatting>
  <conditionalFormatting sqref="E756">
    <cfRule type="cellIs" priority="752" operator="greaterThan" aboveAverage="0" equalAverage="0" bottom="0" percent="0" rank="0" text="" dxfId="2">
      <formula>10000</formula>
    </cfRule>
  </conditionalFormatting>
  <conditionalFormatting sqref="E757">
    <cfRule type="cellIs" priority="753" operator="greaterThan" aboveAverage="0" equalAverage="0" bottom="0" percent="0" rank="0" text="" dxfId="2">
      <formula>10000</formula>
    </cfRule>
  </conditionalFormatting>
  <conditionalFormatting sqref="E758">
    <cfRule type="cellIs" priority="754" operator="greaterThan" aboveAverage="0" equalAverage="0" bottom="0" percent="0" rank="0" text="" dxfId="2">
      <formula>10000</formula>
    </cfRule>
  </conditionalFormatting>
  <conditionalFormatting sqref="E759">
    <cfRule type="cellIs" priority="755" operator="greaterThan" aboveAverage="0" equalAverage="0" bottom="0" percent="0" rank="0" text="" dxfId="2">
      <formula>10000</formula>
    </cfRule>
  </conditionalFormatting>
  <conditionalFormatting sqref="E760">
    <cfRule type="cellIs" priority="756" operator="greaterThan" aboveAverage="0" equalAverage="0" bottom="0" percent="0" rank="0" text="" dxfId="2">
      <formula>10000</formula>
    </cfRule>
  </conditionalFormatting>
  <conditionalFormatting sqref="E761">
    <cfRule type="cellIs" priority="757" operator="greaterThan" aboveAverage="0" equalAverage="0" bottom="0" percent="0" rank="0" text="" dxfId="2">
      <formula>10000</formula>
    </cfRule>
  </conditionalFormatting>
  <conditionalFormatting sqref="E762">
    <cfRule type="cellIs" priority="758" operator="greaterThan" aboveAverage="0" equalAverage="0" bottom="0" percent="0" rank="0" text="" dxfId="2">
      <formula>10000</formula>
    </cfRule>
  </conditionalFormatting>
  <conditionalFormatting sqref="E763">
    <cfRule type="cellIs" priority="759" operator="greaterThan" aboveAverage="0" equalAverage="0" bottom="0" percent="0" rank="0" text="" dxfId="2">
      <formula>10000</formula>
    </cfRule>
  </conditionalFormatting>
  <conditionalFormatting sqref="E764">
    <cfRule type="cellIs" priority="760" operator="greaterThan" aboveAverage="0" equalAverage="0" bottom="0" percent="0" rank="0" text="" dxfId="2">
      <formula>10000</formula>
    </cfRule>
  </conditionalFormatting>
  <conditionalFormatting sqref="E765">
    <cfRule type="cellIs" priority="761" operator="greaterThan" aboveAverage="0" equalAverage="0" bottom="0" percent="0" rank="0" text="" dxfId="2">
      <formula>10000</formula>
    </cfRule>
  </conditionalFormatting>
  <conditionalFormatting sqref="E766">
    <cfRule type="cellIs" priority="762" operator="greaterThan" aboveAverage="0" equalAverage="0" bottom="0" percent="0" rank="0" text="" dxfId="2">
      <formula>10000</formula>
    </cfRule>
  </conditionalFormatting>
  <conditionalFormatting sqref="E767">
    <cfRule type="cellIs" priority="763" operator="greaterThan" aboveAverage="0" equalAverage="0" bottom="0" percent="0" rank="0" text="" dxfId="2">
      <formula>10000</formula>
    </cfRule>
  </conditionalFormatting>
  <conditionalFormatting sqref="E768">
    <cfRule type="cellIs" priority="764" operator="greaterThan" aboveAverage="0" equalAverage="0" bottom="0" percent="0" rank="0" text="" dxfId="2">
      <formula>10000</formula>
    </cfRule>
  </conditionalFormatting>
  <conditionalFormatting sqref="E769">
    <cfRule type="cellIs" priority="765" operator="greaterThan" aboveAverage="0" equalAverage="0" bottom="0" percent="0" rank="0" text="" dxfId="2">
      <formula>10000</formula>
    </cfRule>
  </conditionalFormatting>
  <conditionalFormatting sqref="E770">
    <cfRule type="cellIs" priority="766" operator="greaterThan" aboveAverage="0" equalAverage="0" bottom="0" percent="0" rank="0" text="" dxfId="2">
      <formula>10000</formula>
    </cfRule>
  </conditionalFormatting>
  <conditionalFormatting sqref="E771">
    <cfRule type="cellIs" priority="767" operator="greaterThan" aboveAverage="0" equalAverage="0" bottom="0" percent="0" rank="0" text="" dxfId="2">
      <formula>10000</formula>
    </cfRule>
  </conditionalFormatting>
  <conditionalFormatting sqref="E772">
    <cfRule type="cellIs" priority="768" operator="greaterThan" aboveAverage="0" equalAverage="0" bottom="0" percent="0" rank="0" text="" dxfId="2">
      <formula>10000</formula>
    </cfRule>
  </conditionalFormatting>
  <conditionalFormatting sqref="E773">
    <cfRule type="cellIs" priority="769" operator="greaterThan" aboveAverage="0" equalAverage="0" bottom="0" percent="0" rank="0" text="" dxfId="2">
      <formula>10000</formula>
    </cfRule>
  </conditionalFormatting>
  <conditionalFormatting sqref="E774">
    <cfRule type="cellIs" priority="770" operator="greaterThan" aboveAverage="0" equalAverage="0" bottom="0" percent="0" rank="0" text="" dxfId="2">
      <formula>10000</formula>
    </cfRule>
  </conditionalFormatting>
  <conditionalFormatting sqref="E775">
    <cfRule type="cellIs" priority="771" operator="greaterThan" aboveAverage="0" equalAverage="0" bottom="0" percent="0" rank="0" text="" dxfId="2">
      <formula>10000</formula>
    </cfRule>
  </conditionalFormatting>
  <conditionalFormatting sqref="E776">
    <cfRule type="cellIs" priority="772" operator="greaterThan" aboveAverage="0" equalAverage="0" bottom="0" percent="0" rank="0" text="" dxfId="2">
      <formula>10000</formula>
    </cfRule>
  </conditionalFormatting>
  <conditionalFormatting sqref="E777">
    <cfRule type="cellIs" priority="773" operator="greaterThan" aboveAverage="0" equalAverage="0" bottom="0" percent="0" rank="0" text="" dxfId="2">
      <formula>10000</formula>
    </cfRule>
  </conditionalFormatting>
  <conditionalFormatting sqref="E778">
    <cfRule type="cellIs" priority="774" operator="greaterThan" aboveAverage="0" equalAverage="0" bottom="0" percent="0" rank="0" text="" dxfId="2">
      <formula>10000</formula>
    </cfRule>
  </conditionalFormatting>
  <conditionalFormatting sqref="E779">
    <cfRule type="cellIs" priority="775" operator="greaterThan" aboveAverage="0" equalAverage="0" bottom="0" percent="0" rank="0" text="" dxfId="2">
      <formula>10000</formula>
    </cfRule>
  </conditionalFormatting>
  <conditionalFormatting sqref="E780">
    <cfRule type="cellIs" priority="776" operator="greaterThan" aboveAverage="0" equalAverage="0" bottom="0" percent="0" rank="0" text="" dxfId="2">
      <formula>10000</formula>
    </cfRule>
  </conditionalFormatting>
  <conditionalFormatting sqref="E781">
    <cfRule type="cellIs" priority="777" operator="greaterThan" aboveAverage="0" equalAverage="0" bottom="0" percent="0" rank="0" text="" dxfId="2">
      <formula>10000</formula>
    </cfRule>
  </conditionalFormatting>
  <conditionalFormatting sqref="E782">
    <cfRule type="cellIs" priority="778" operator="greaterThan" aboveAverage="0" equalAverage="0" bottom="0" percent="0" rank="0" text="" dxfId="2">
      <formula>10000</formula>
    </cfRule>
  </conditionalFormatting>
  <conditionalFormatting sqref="E783">
    <cfRule type="cellIs" priority="779" operator="greaterThan" aboveAverage="0" equalAverage="0" bottom="0" percent="0" rank="0" text="" dxfId="2">
      <formula>10000</formula>
    </cfRule>
  </conditionalFormatting>
  <conditionalFormatting sqref="E784">
    <cfRule type="cellIs" priority="780" operator="greaterThan" aboveAverage="0" equalAverage="0" bottom="0" percent="0" rank="0" text="" dxfId="2">
      <formula>10000</formula>
    </cfRule>
  </conditionalFormatting>
  <conditionalFormatting sqref="E785">
    <cfRule type="cellIs" priority="781" operator="greaterThan" aboveAverage="0" equalAverage="0" bottom="0" percent="0" rank="0" text="" dxfId="2">
      <formula>10000</formula>
    </cfRule>
  </conditionalFormatting>
  <conditionalFormatting sqref="E786">
    <cfRule type="cellIs" priority="782" operator="greaterThan" aboveAverage="0" equalAverage="0" bottom="0" percent="0" rank="0" text="" dxfId="2">
      <formula>10000</formula>
    </cfRule>
  </conditionalFormatting>
  <conditionalFormatting sqref="E787">
    <cfRule type="cellIs" priority="783" operator="greaterThan" aboveAverage="0" equalAverage="0" bottom="0" percent="0" rank="0" text="" dxfId="2">
      <formula>10000</formula>
    </cfRule>
  </conditionalFormatting>
  <conditionalFormatting sqref="E788">
    <cfRule type="cellIs" priority="784" operator="greaterThan" aboveAverage="0" equalAverage="0" bottom="0" percent="0" rank="0" text="" dxfId="2">
      <formula>10000</formula>
    </cfRule>
  </conditionalFormatting>
  <conditionalFormatting sqref="E789">
    <cfRule type="cellIs" priority="785" operator="greaterThan" aboveAverage="0" equalAverage="0" bottom="0" percent="0" rank="0" text="" dxfId="2">
      <formula>10000</formula>
    </cfRule>
  </conditionalFormatting>
  <conditionalFormatting sqref="E790">
    <cfRule type="cellIs" priority="786" operator="greaterThan" aboveAverage="0" equalAverage="0" bottom="0" percent="0" rank="0" text="" dxfId="2">
      <formula>10000</formula>
    </cfRule>
  </conditionalFormatting>
  <conditionalFormatting sqref="E791">
    <cfRule type="cellIs" priority="787" operator="greaterThan" aboveAverage="0" equalAverage="0" bottom="0" percent="0" rank="0" text="" dxfId="2">
      <formula>10000</formula>
    </cfRule>
  </conditionalFormatting>
  <conditionalFormatting sqref="E792">
    <cfRule type="cellIs" priority="788" operator="greaterThan" aboveAverage="0" equalAverage="0" bottom="0" percent="0" rank="0" text="" dxfId="2">
      <formula>10000</formula>
    </cfRule>
  </conditionalFormatting>
  <conditionalFormatting sqref="E793">
    <cfRule type="cellIs" priority="789" operator="greaterThan" aboveAverage="0" equalAverage="0" bottom="0" percent="0" rank="0" text="" dxfId="2">
      <formula>10000</formula>
    </cfRule>
  </conditionalFormatting>
  <conditionalFormatting sqref="E794">
    <cfRule type="cellIs" priority="790" operator="greaterThan" aboveAverage="0" equalAverage="0" bottom="0" percent="0" rank="0" text="" dxfId="2">
      <formula>10000</formula>
    </cfRule>
  </conditionalFormatting>
  <conditionalFormatting sqref="E795">
    <cfRule type="cellIs" priority="791" operator="greaterThan" aboveAverage="0" equalAverage="0" bottom="0" percent="0" rank="0" text="" dxfId="2">
      <formula>10000</formula>
    </cfRule>
  </conditionalFormatting>
  <conditionalFormatting sqref="E796">
    <cfRule type="cellIs" priority="792" operator="greaterThan" aboveAverage="0" equalAverage="0" bottom="0" percent="0" rank="0" text="" dxfId="2">
      <formula>10000</formula>
    </cfRule>
  </conditionalFormatting>
  <conditionalFormatting sqref="E797">
    <cfRule type="cellIs" priority="793" operator="greaterThan" aboveAverage="0" equalAverage="0" bottom="0" percent="0" rank="0" text="" dxfId="2">
      <formula>10000</formula>
    </cfRule>
  </conditionalFormatting>
  <conditionalFormatting sqref="E798">
    <cfRule type="cellIs" priority="794" operator="greaterThan" aboveAverage="0" equalAverage="0" bottom="0" percent="0" rank="0" text="" dxfId="2">
      <formula>10000</formula>
    </cfRule>
  </conditionalFormatting>
  <conditionalFormatting sqref="E799">
    <cfRule type="cellIs" priority="795" operator="greaterThan" aboveAverage="0" equalAverage="0" bottom="0" percent="0" rank="0" text="" dxfId="2">
      <formula>10000</formula>
    </cfRule>
  </conditionalFormatting>
  <conditionalFormatting sqref="E800">
    <cfRule type="cellIs" priority="796" operator="greaterThan" aboveAverage="0" equalAverage="0" bottom="0" percent="0" rank="0" text="" dxfId="2">
      <formula>10000</formula>
    </cfRule>
  </conditionalFormatting>
  <conditionalFormatting sqref="E801">
    <cfRule type="cellIs" priority="797" operator="greaterThan" aboveAverage="0" equalAverage="0" bottom="0" percent="0" rank="0" text="" dxfId="2">
      <formula>10000</formula>
    </cfRule>
  </conditionalFormatting>
  <conditionalFormatting sqref="E802">
    <cfRule type="cellIs" priority="798" operator="greaterThan" aboveAverage="0" equalAverage="0" bottom="0" percent="0" rank="0" text="" dxfId="2">
      <formula>10000</formula>
    </cfRule>
  </conditionalFormatting>
  <conditionalFormatting sqref="E803">
    <cfRule type="cellIs" priority="799" operator="greaterThan" aboveAverage="0" equalAverage="0" bottom="0" percent="0" rank="0" text="" dxfId="2">
      <formula>10000</formula>
    </cfRule>
  </conditionalFormatting>
  <conditionalFormatting sqref="E804">
    <cfRule type="cellIs" priority="800" operator="greaterThan" aboveAverage="0" equalAverage="0" bottom="0" percent="0" rank="0" text="" dxfId="2">
      <formula>10000</formula>
    </cfRule>
  </conditionalFormatting>
  <conditionalFormatting sqref="E805">
    <cfRule type="cellIs" priority="801" operator="greaterThan" aboveAverage="0" equalAverage="0" bottom="0" percent="0" rank="0" text="" dxfId="2">
      <formula>10000</formula>
    </cfRule>
  </conditionalFormatting>
  <conditionalFormatting sqref="E806">
    <cfRule type="cellIs" priority="802" operator="greaterThan" aboveAverage="0" equalAverage="0" bottom="0" percent="0" rank="0" text="" dxfId="2">
      <formula>10000</formula>
    </cfRule>
  </conditionalFormatting>
  <conditionalFormatting sqref="E807">
    <cfRule type="cellIs" priority="803" operator="greaterThan" aboveAverage="0" equalAverage="0" bottom="0" percent="0" rank="0" text="" dxfId="2">
      <formula>10000</formula>
    </cfRule>
  </conditionalFormatting>
  <conditionalFormatting sqref="E808">
    <cfRule type="cellIs" priority="804" operator="greaterThan" aboveAverage="0" equalAverage="0" bottom="0" percent="0" rank="0" text="" dxfId="2">
      <formula>10000</formula>
    </cfRule>
  </conditionalFormatting>
  <conditionalFormatting sqref="E809">
    <cfRule type="cellIs" priority="805" operator="greaterThan" aboveAverage="0" equalAverage="0" bottom="0" percent="0" rank="0" text="" dxfId="2">
      <formula>10000</formula>
    </cfRule>
  </conditionalFormatting>
  <conditionalFormatting sqref="E810">
    <cfRule type="cellIs" priority="806" operator="greaterThan" aboveAverage="0" equalAverage="0" bottom="0" percent="0" rank="0" text="" dxfId="2">
      <formula>10000</formula>
    </cfRule>
  </conditionalFormatting>
  <conditionalFormatting sqref="E811">
    <cfRule type="cellIs" priority="807" operator="greaterThan" aboveAverage="0" equalAverage="0" bottom="0" percent="0" rank="0" text="" dxfId="2">
      <formula>10000</formula>
    </cfRule>
  </conditionalFormatting>
  <conditionalFormatting sqref="E812">
    <cfRule type="cellIs" priority="808" operator="greaterThan" aboveAverage="0" equalAverage="0" bottom="0" percent="0" rank="0" text="" dxfId="2">
      <formula>10000</formula>
    </cfRule>
  </conditionalFormatting>
  <conditionalFormatting sqref="E813">
    <cfRule type="cellIs" priority="809" operator="greaterThan" aboveAverage="0" equalAverage="0" bottom="0" percent="0" rank="0" text="" dxfId="2">
      <formula>10000</formula>
    </cfRule>
  </conditionalFormatting>
  <conditionalFormatting sqref="E814">
    <cfRule type="cellIs" priority="810" operator="greaterThan" aboveAverage="0" equalAverage="0" bottom="0" percent="0" rank="0" text="" dxfId="2">
      <formula>10000</formula>
    </cfRule>
  </conditionalFormatting>
  <conditionalFormatting sqref="E815">
    <cfRule type="cellIs" priority="811" operator="greaterThan" aboveAverage="0" equalAverage="0" bottom="0" percent="0" rank="0" text="" dxfId="2">
      <formula>10000</formula>
    </cfRule>
  </conditionalFormatting>
  <conditionalFormatting sqref="E816">
    <cfRule type="cellIs" priority="812" operator="greaterThan" aboveAverage="0" equalAverage="0" bottom="0" percent="0" rank="0" text="" dxfId="2">
      <formula>10000</formula>
    </cfRule>
  </conditionalFormatting>
  <conditionalFormatting sqref="E817">
    <cfRule type="cellIs" priority="813" operator="greaterThan" aboveAverage="0" equalAverage="0" bottom="0" percent="0" rank="0" text="" dxfId="2">
      <formula>10000</formula>
    </cfRule>
  </conditionalFormatting>
  <conditionalFormatting sqref="E818">
    <cfRule type="cellIs" priority="814" operator="greaterThan" aboveAverage="0" equalAverage="0" bottom="0" percent="0" rank="0" text="" dxfId="2">
      <formula>10000</formula>
    </cfRule>
  </conditionalFormatting>
  <conditionalFormatting sqref="E819">
    <cfRule type="cellIs" priority="815" operator="greaterThan" aboveAverage="0" equalAverage="0" bottom="0" percent="0" rank="0" text="" dxfId="2">
      <formula>10000</formula>
    </cfRule>
  </conditionalFormatting>
  <conditionalFormatting sqref="E820">
    <cfRule type="cellIs" priority="816" operator="greaterThan" aboveAverage="0" equalAverage="0" bottom="0" percent="0" rank="0" text="" dxfId="2">
      <formula>10000</formula>
    </cfRule>
  </conditionalFormatting>
  <conditionalFormatting sqref="E821">
    <cfRule type="cellIs" priority="817" operator="greaterThan" aboveAverage="0" equalAverage="0" bottom="0" percent="0" rank="0" text="" dxfId="2">
      <formula>10000</formula>
    </cfRule>
  </conditionalFormatting>
  <conditionalFormatting sqref="E822">
    <cfRule type="cellIs" priority="818" operator="greaterThan" aboveAverage="0" equalAverage="0" bottom="0" percent="0" rank="0" text="" dxfId="2">
      <formula>10000</formula>
    </cfRule>
  </conditionalFormatting>
  <conditionalFormatting sqref="E823">
    <cfRule type="cellIs" priority="819" operator="greaterThan" aboveAverage="0" equalAverage="0" bottom="0" percent="0" rank="0" text="" dxfId="2">
      <formula>10000</formula>
    </cfRule>
  </conditionalFormatting>
  <conditionalFormatting sqref="E824">
    <cfRule type="cellIs" priority="820" operator="greaterThan" aboveAverage="0" equalAverage="0" bottom="0" percent="0" rank="0" text="" dxfId="2">
      <formula>10000</formula>
    </cfRule>
  </conditionalFormatting>
  <conditionalFormatting sqref="E825">
    <cfRule type="cellIs" priority="821" operator="greaterThan" aboveAverage="0" equalAverage="0" bottom="0" percent="0" rank="0" text="" dxfId="2">
      <formula>10000</formula>
    </cfRule>
  </conditionalFormatting>
  <conditionalFormatting sqref="E826">
    <cfRule type="cellIs" priority="822" operator="greaterThan" aboveAverage="0" equalAverage="0" bottom="0" percent="0" rank="0" text="" dxfId="2">
      <formula>10000</formula>
    </cfRule>
  </conditionalFormatting>
  <conditionalFormatting sqref="E827">
    <cfRule type="cellIs" priority="823" operator="greaterThan" aboveAverage="0" equalAverage="0" bottom="0" percent="0" rank="0" text="" dxfId="2">
      <formula>10000</formula>
    </cfRule>
  </conditionalFormatting>
  <conditionalFormatting sqref="E828">
    <cfRule type="cellIs" priority="824" operator="greaterThan" aboveAverage="0" equalAverage="0" bottom="0" percent="0" rank="0" text="" dxfId="2">
      <formula>10000</formula>
    </cfRule>
  </conditionalFormatting>
  <conditionalFormatting sqref="E829">
    <cfRule type="cellIs" priority="825" operator="greaterThan" aboveAverage="0" equalAverage="0" bottom="0" percent="0" rank="0" text="" dxfId="2">
      <formula>10000</formula>
    </cfRule>
  </conditionalFormatting>
  <conditionalFormatting sqref="E830">
    <cfRule type="cellIs" priority="826" operator="greaterThan" aboveAverage="0" equalAverage="0" bottom="0" percent="0" rank="0" text="" dxfId="2">
      <formula>10000</formula>
    </cfRule>
  </conditionalFormatting>
  <conditionalFormatting sqref="E831">
    <cfRule type="cellIs" priority="827" operator="greaterThan" aboveAverage="0" equalAverage="0" bottom="0" percent="0" rank="0" text="" dxfId="2">
      <formula>10000</formula>
    </cfRule>
  </conditionalFormatting>
  <conditionalFormatting sqref="E832">
    <cfRule type="cellIs" priority="828" operator="greaterThan" aboveAverage="0" equalAverage="0" bottom="0" percent="0" rank="0" text="" dxfId="2">
      <formula>10000</formula>
    </cfRule>
  </conditionalFormatting>
  <conditionalFormatting sqref="E833">
    <cfRule type="cellIs" priority="829" operator="greaterThan" aboveAverage="0" equalAverage="0" bottom="0" percent="0" rank="0" text="" dxfId="2">
      <formula>10000</formula>
    </cfRule>
  </conditionalFormatting>
  <conditionalFormatting sqref="E834">
    <cfRule type="cellIs" priority="830" operator="greaterThan" aboveAverage="0" equalAverage="0" bottom="0" percent="0" rank="0" text="" dxfId="2">
      <formula>10000</formula>
    </cfRule>
  </conditionalFormatting>
  <conditionalFormatting sqref="E835">
    <cfRule type="cellIs" priority="831" operator="greaterThan" aboveAverage="0" equalAverage="0" bottom="0" percent="0" rank="0" text="" dxfId="2">
      <formula>10000</formula>
    </cfRule>
  </conditionalFormatting>
  <conditionalFormatting sqref="E836">
    <cfRule type="cellIs" priority="832" operator="greaterThan" aboveAverage="0" equalAverage="0" bottom="0" percent="0" rank="0" text="" dxfId="2">
      <formula>10000</formula>
    </cfRule>
  </conditionalFormatting>
  <conditionalFormatting sqref="E837">
    <cfRule type="cellIs" priority="833" operator="greaterThan" aboveAverage="0" equalAverage="0" bottom="0" percent="0" rank="0" text="" dxfId="2">
      <formula>10000</formula>
    </cfRule>
  </conditionalFormatting>
  <conditionalFormatting sqref="E838">
    <cfRule type="cellIs" priority="834" operator="greaterThan" aboveAverage="0" equalAverage="0" bottom="0" percent="0" rank="0" text="" dxfId="2">
      <formula>10000</formula>
    </cfRule>
  </conditionalFormatting>
  <conditionalFormatting sqref="E839">
    <cfRule type="cellIs" priority="835" operator="greaterThan" aboveAverage="0" equalAverage="0" bottom="0" percent="0" rank="0" text="" dxfId="2">
      <formula>10000</formula>
    </cfRule>
  </conditionalFormatting>
  <conditionalFormatting sqref="E840">
    <cfRule type="cellIs" priority="836" operator="greaterThan" aboveAverage="0" equalAverage="0" bottom="0" percent="0" rank="0" text="" dxfId="2">
      <formula>10000</formula>
    </cfRule>
  </conditionalFormatting>
  <conditionalFormatting sqref="E841">
    <cfRule type="cellIs" priority="837" operator="greaterThan" aboveAverage="0" equalAverage="0" bottom="0" percent="0" rank="0" text="" dxfId="2">
      <formula>10000</formula>
    </cfRule>
  </conditionalFormatting>
  <conditionalFormatting sqref="E842">
    <cfRule type="cellIs" priority="838" operator="greaterThan" aboveAverage="0" equalAverage="0" bottom="0" percent="0" rank="0" text="" dxfId="2">
      <formula>10000</formula>
    </cfRule>
  </conditionalFormatting>
  <conditionalFormatting sqref="E843">
    <cfRule type="cellIs" priority="839" operator="greaterThan" aboveAverage="0" equalAverage="0" bottom="0" percent="0" rank="0" text="" dxfId="2">
      <formula>10000</formula>
    </cfRule>
  </conditionalFormatting>
  <conditionalFormatting sqref="E844">
    <cfRule type="cellIs" priority="840" operator="greaterThan" aboveAverage="0" equalAverage="0" bottom="0" percent="0" rank="0" text="" dxfId="2">
      <formula>10000</formula>
    </cfRule>
  </conditionalFormatting>
  <conditionalFormatting sqref="E845">
    <cfRule type="cellIs" priority="841" operator="greaterThan" aboveAverage="0" equalAverage="0" bottom="0" percent="0" rank="0" text="" dxfId="2">
      <formula>10000</formula>
    </cfRule>
  </conditionalFormatting>
  <conditionalFormatting sqref="E846">
    <cfRule type="cellIs" priority="842" operator="greaterThan" aboveAverage="0" equalAverage="0" bottom="0" percent="0" rank="0" text="" dxfId="2">
      <formula>10000</formula>
    </cfRule>
  </conditionalFormatting>
  <conditionalFormatting sqref="E847">
    <cfRule type="cellIs" priority="843" operator="greaterThan" aboveAverage="0" equalAverage="0" bottom="0" percent="0" rank="0" text="" dxfId="2">
      <formula>10000</formula>
    </cfRule>
  </conditionalFormatting>
  <conditionalFormatting sqref="E848">
    <cfRule type="cellIs" priority="844" operator="greaterThan" aboveAverage="0" equalAverage="0" bottom="0" percent="0" rank="0" text="" dxfId="2">
      <formula>10000</formula>
    </cfRule>
  </conditionalFormatting>
  <conditionalFormatting sqref="E849">
    <cfRule type="cellIs" priority="845" operator="greaterThan" aboveAverage="0" equalAverage="0" bottom="0" percent="0" rank="0" text="" dxfId="2">
      <formula>10000</formula>
    </cfRule>
  </conditionalFormatting>
  <conditionalFormatting sqref="E850">
    <cfRule type="cellIs" priority="846" operator="greaterThan" aboveAverage="0" equalAverage="0" bottom="0" percent="0" rank="0" text="" dxfId="2">
      <formula>10000</formula>
    </cfRule>
  </conditionalFormatting>
  <conditionalFormatting sqref="E851">
    <cfRule type="cellIs" priority="847" operator="greaterThan" aboveAverage="0" equalAverage="0" bottom="0" percent="0" rank="0" text="" dxfId="2">
      <formula>10000</formula>
    </cfRule>
  </conditionalFormatting>
  <conditionalFormatting sqref="E852">
    <cfRule type="cellIs" priority="848" operator="greaterThan" aboveAverage="0" equalAverage="0" bottom="0" percent="0" rank="0" text="" dxfId="2">
      <formula>10000</formula>
    </cfRule>
  </conditionalFormatting>
  <conditionalFormatting sqref="E853">
    <cfRule type="cellIs" priority="849" operator="greaterThan" aboveAverage="0" equalAverage="0" bottom="0" percent="0" rank="0" text="" dxfId="2">
      <formula>10000</formula>
    </cfRule>
  </conditionalFormatting>
  <conditionalFormatting sqref="E854">
    <cfRule type="cellIs" priority="850" operator="greaterThan" aboveAverage="0" equalAverage="0" bottom="0" percent="0" rank="0" text="" dxfId="2">
      <formula>10000</formula>
    </cfRule>
  </conditionalFormatting>
  <conditionalFormatting sqref="E855">
    <cfRule type="cellIs" priority="851" operator="greaterThan" aboveAverage="0" equalAverage="0" bottom="0" percent="0" rank="0" text="" dxfId="2">
      <formula>10000</formula>
    </cfRule>
  </conditionalFormatting>
  <conditionalFormatting sqref="E856">
    <cfRule type="cellIs" priority="852" operator="greaterThan" aboveAverage="0" equalAverage="0" bottom="0" percent="0" rank="0" text="" dxfId="2">
      <formula>10000</formula>
    </cfRule>
  </conditionalFormatting>
  <conditionalFormatting sqref="E857">
    <cfRule type="cellIs" priority="853" operator="greaterThan" aboveAverage="0" equalAverage="0" bottom="0" percent="0" rank="0" text="" dxfId="2">
      <formula>10000</formula>
    </cfRule>
  </conditionalFormatting>
  <conditionalFormatting sqref="E858">
    <cfRule type="cellIs" priority="854" operator="greaterThan" aboveAverage="0" equalAverage="0" bottom="0" percent="0" rank="0" text="" dxfId="2">
      <formula>10000</formula>
    </cfRule>
  </conditionalFormatting>
  <conditionalFormatting sqref="E859">
    <cfRule type="cellIs" priority="855" operator="greaterThan" aboveAverage="0" equalAverage="0" bottom="0" percent="0" rank="0" text="" dxfId="2">
      <formula>10000</formula>
    </cfRule>
  </conditionalFormatting>
  <conditionalFormatting sqref="E860">
    <cfRule type="cellIs" priority="856" operator="greaterThan" aboveAverage="0" equalAverage="0" bottom="0" percent="0" rank="0" text="" dxfId="2">
      <formula>10000</formula>
    </cfRule>
  </conditionalFormatting>
  <conditionalFormatting sqref="E861">
    <cfRule type="cellIs" priority="857" operator="greaterThan" aboveAverage="0" equalAverage="0" bottom="0" percent="0" rank="0" text="" dxfId="2">
      <formula>10000</formula>
    </cfRule>
  </conditionalFormatting>
  <conditionalFormatting sqref="E862">
    <cfRule type="cellIs" priority="858" operator="greaterThan" aboveAverage="0" equalAverage="0" bottom="0" percent="0" rank="0" text="" dxfId="2">
      <formula>10000</formula>
    </cfRule>
  </conditionalFormatting>
  <conditionalFormatting sqref="E863">
    <cfRule type="cellIs" priority="859" operator="greaterThan" aboveAverage="0" equalAverage="0" bottom="0" percent="0" rank="0" text="" dxfId="2">
      <formula>10000</formula>
    </cfRule>
  </conditionalFormatting>
  <conditionalFormatting sqref="E864">
    <cfRule type="cellIs" priority="860" operator="greaterThan" aboveAverage="0" equalAverage="0" bottom="0" percent="0" rank="0" text="" dxfId="2">
      <formula>10000</formula>
    </cfRule>
  </conditionalFormatting>
  <conditionalFormatting sqref="E865">
    <cfRule type="cellIs" priority="861" operator="greaterThan" aboveAverage="0" equalAverage="0" bottom="0" percent="0" rank="0" text="" dxfId="2">
      <formula>10000</formula>
    </cfRule>
  </conditionalFormatting>
  <conditionalFormatting sqref="E866">
    <cfRule type="cellIs" priority="862" operator="greaterThan" aboveAverage="0" equalAverage="0" bottom="0" percent="0" rank="0" text="" dxfId="2">
      <formula>10000</formula>
    </cfRule>
  </conditionalFormatting>
  <conditionalFormatting sqref="E867">
    <cfRule type="cellIs" priority="863" operator="greaterThan" aboveAverage="0" equalAverage="0" bottom="0" percent="0" rank="0" text="" dxfId="2">
      <formula>10000</formula>
    </cfRule>
  </conditionalFormatting>
  <conditionalFormatting sqref="E868">
    <cfRule type="cellIs" priority="864" operator="greaterThan" aboveAverage="0" equalAverage="0" bottom="0" percent="0" rank="0" text="" dxfId="2">
      <formula>10000</formula>
    </cfRule>
  </conditionalFormatting>
  <conditionalFormatting sqref="E869">
    <cfRule type="cellIs" priority="865" operator="greaterThan" aboveAverage="0" equalAverage="0" bottom="0" percent="0" rank="0" text="" dxfId="2">
      <formula>10000</formula>
    </cfRule>
  </conditionalFormatting>
  <conditionalFormatting sqref="E870">
    <cfRule type="cellIs" priority="866" operator="greaterThan" aboveAverage="0" equalAverage="0" bottom="0" percent="0" rank="0" text="" dxfId="2">
      <formula>10000</formula>
    </cfRule>
  </conditionalFormatting>
  <conditionalFormatting sqref="E871">
    <cfRule type="cellIs" priority="867" operator="greaterThan" aboveAverage="0" equalAverage="0" bottom="0" percent="0" rank="0" text="" dxfId="2">
      <formula>10000</formula>
    </cfRule>
  </conditionalFormatting>
  <conditionalFormatting sqref="E872">
    <cfRule type="cellIs" priority="868" operator="greaterThan" aboveAverage="0" equalAverage="0" bottom="0" percent="0" rank="0" text="" dxfId="2">
      <formula>10000</formula>
    </cfRule>
  </conditionalFormatting>
  <conditionalFormatting sqref="E873">
    <cfRule type="cellIs" priority="869" operator="greaterThan" aboveAverage="0" equalAverage="0" bottom="0" percent="0" rank="0" text="" dxfId="2">
      <formula>10000</formula>
    </cfRule>
  </conditionalFormatting>
  <conditionalFormatting sqref="E874">
    <cfRule type="cellIs" priority="870" operator="greaterThan" aboveAverage="0" equalAverage="0" bottom="0" percent="0" rank="0" text="" dxfId="2">
      <formula>10000</formula>
    </cfRule>
  </conditionalFormatting>
  <conditionalFormatting sqref="E875">
    <cfRule type="cellIs" priority="871" operator="greaterThan" aboveAverage="0" equalAverage="0" bottom="0" percent="0" rank="0" text="" dxfId="2">
      <formula>10000</formula>
    </cfRule>
  </conditionalFormatting>
  <conditionalFormatting sqref="E876">
    <cfRule type="cellIs" priority="872" operator="greaterThan" aboveAverage="0" equalAverage="0" bottom="0" percent="0" rank="0" text="" dxfId="2">
      <formula>10000</formula>
    </cfRule>
  </conditionalFormatting>
  <conditionalFormatting sqref="E877">
    <cfRule type="cellIs" priority="873" operator="greaterThan" aboveAverage="0" equalAverage="0" bottom="0" percent="0" rank="0" text="" dxfId="2">
      <formula>10000</formula>
    </cfRule>
  </conditionalFormatting>
  <conditionalFormatting sqref="E878">
    <cfRule type="cellIs" priority="874" operator="greaterThan" aboveAverage="0" equalAverage="0" bottom="0" percent="0" rank="0" text="" dxfId="2">
      <formula>10000</formula>
    </cfRule>
  </conditionalFormatting>
  <conditionalFormatting sqref="E879">
    <cfRule type="cellIs" priority="875" operator="greaterThan" aboveAverage="0" equalAverage="0" bottom="0" percent="0" rank="0" text="" dxfId="2">
      <formula>10000</formula>
    </cfRule>
  </conditionalFormatting>
  <conditionalFormatting sqref="E880">
    <cfRule type="cellIs" priority="876" operator="greaterThan" aboveAverage="0" equalAverage="0" bottom="0" percent="0" rank="0" text="" dxfId="2">
      <formula>10000</formula>
    </cfRule>
  </conditionalFormatting>
  <conditionalFormatting sqref="E881">
    <cfRule type="cellIs" priority="877" operator="greaterThan" aboveAverage="0" equalAverage="0" bottom="0" percent="0" rank="0" text="" dxfId="2">
      <formula>10000</formula>
    </cfRule>
  </conditionalFormatting>
  <conditionalFormatting sqref="E882">
    <cfRule type="cellIs" priority="878" operator="greaterThan" aboveAverage="0" equalAverage="0" bottom="0" percent="0" rank="0" text="" dxfId="2">
      <formula>10000</formula>
    </cfRule>
  </conditionalFormatting>
  <conditionalFormatting sqref="E883">
    <cfRule type="cellIs" priority="879" operator="greaterThan" aboveAverage="0" equalAverage="0" bottom="0" percent="0" rank="0" text="" dxfId="2">
      <formula>10000</formula>
    </cfRule>
  </conditionalFormatting>
  <conditionalFormatting sqref="E884">
    <cfRule type="cellIs" priority="880" operator="greaterThan" aboveAverage="0" equalAverage="0" bottom="0" percent="0" rank="0" text="" dxfId="2">
      <formula>10000</formula>
    </cfRule>
  </conditionalFormatting>
  <conditionalFormatting sqref="E885">
    <cfRule type="cellIs" priority="881" operator="greaterThan" aboveAverage="0" equalAverage="0" bottom="0" percent="0" rank="0" text="" dxfId="2">
      <formula>10000</formula>
    </cfRule>
  </conditionalFormatting>
  <conditionalFormatting sqref="E886">
    <cfRule type="cellIs" priority="882" operator="greaterThan" aboveAverage="0" equalAverage="0" bottom="0" percent="0" rank="0" text="" dxfId="2">
      <formula>10000</formula>
    </cfRule>
  </conditionalFormatting>
  <conditionalFormatting sqref="E887">
    <cfRule type="cellIs" priority="883" operator="greaterThan" aboveAverage="0" equalAverage="0" bottom="0" percent="0" rank="0" text="" dxfId="2">
      <formula>10000</formula>
    </cfRule>
  </conditionalFormatting>
  <conditionalFormatting sqref="E888">
    <cfRule type="cellIs" priority="884" operator="greaterThan" aboveAverage="0" equalAverage="0" bottom="0" percent="0" rank="0" text="" dxfId="2">
      <formula>10000</formula>
    </cfRule>
  </conditionalFormatting>
  <conditionalFormatting sqref="E889">
    <cfRule type="cellIs" priority="885" operator="greaterThan" aboveAverage="0" equalAverage="0" bottom="0" percent="0" rank="0" text="" dxfId="2">
      <formula>10000</formula>
    </cfRule>
  </conditionalFormatting>
  <conditionalFormatting sqref="E890">
    <cfRule type="cellIs" priority="886" operator="greaterThan" aboveAverage="0" equalAverage="0" bottom="0" percent="0" rank="0" text="" dxfId="2">
      <formula>10000</formula>
    </cfRule>
  </conditionalFormatting>
  <conditionalFormatting sqref="E891">
    <cfRule type="cellIs" priority="887" operator="greaterThan" aboveAverage="0" equalAverage="0" bottom="0" percent="0" rank="0" text="" dxfId="2">
      <formula>10000</formula>
    </cfRule>
  </conditionalFormatting>
  <conditionalFormatting sqref="E892">
    <cfRule type="cellIs" priority="888" operator="greaterThan" aboveAverage="0" equalAverage="0" bottom="0" percent="0" rank="0" text="" dxfId="2">
      <formula>10000</formula>
    </cfRule>
  </conditionalFormatting>
  <conditionalFormatting sqref="E893">
    <cfRule type="cellIs" priority="889" operator="greaterThan" aboveAverage="0" equalAverage="0" bottom="0" percent="0" rank="0" text="" dxfId="2">
      <formula>10000</formula>
    </cfRule>
  </conditionalFormatting>
  <conditionalFormatting sqref="E894">
    <cfRule type="cellIs" priority="890" operator="greaterThan" aboveAverage="0" equalAverage="0" bottom="0" percent="0" rank="0" text="" dxfId="2">
      <formula>10000</formula>
    </cfRule>
  </conditionalFormatting>
  <conditionalFormatting sqref="E895">
    <cfRule type="cellIs" priority="891" operator="greaterThan" aboveAverage="0" equalAverage="0" bottom="0" percent="0" rank="0" text="" dxfId="2">
      <formula>10000</formula>
    </cfRule>
  </conditionalFormatting>
  <conditionalFormatting sqref="E896">
    <cfRule type="cellIs" priority="892" operator="greaterThan" aboveAverage="0" equalAverage="0" bottom="0" percent="0" rank="0" text="" dxfId="2">
      <formula>10000</formula>
    </cfRule>
  </conditionalFormatting>
  <conditionalFormatting sqref="E897">
    <cfRule type="cellIs" priority="893" operator="greaterThan" aboveAverage="0" equalAverage="0" bottom="0" percent="0" rank="0" text="" dxfId="2">
      <formula>10000</formula>
    </cfRule>
  </conditionalFormatting>
  <conditionalFormatting sqref="E898">
    <cfRule type="cellIs" priority="894" operator="greaterThan" aboveAverage="0" equalAverage="0" bottom="0" percent="0" rank="0" text="" dxfId="2">
      <formula>10000</formula>
    </cfRule>
  </conditionalFormatting>
  <conditionalFormatting sqref="E899">
    <cfRule type="cellIs" priority="895" operator="greaterThan" aboveAverage="0" equalAverage="0" bottom="0" percent="0" rank="0" text="" dxfId="2">
      <formula>10000</formula>
    </cfRule>
  </conditionalFormatting>
  <conditionalFormatting sqref="E900">
    <cfRule type="cellIs" priority="896" operator="greaterThan" aboveAverage="0" equalAverage="0" bottom="0" percent="0" rank="0" text="" dxfId="2">
      <formula>10000</formula>
    </cfRule>
  </conditionalFormatting>
  <conditionalFormatting sqref="E901">
    <cfRule type="cellIs" priority="897" operator="greaterThan" aboveAverage="0" equalAverage="0" bottom="0" percent="0" rank="0" text="" dxfId="2">
      <formula>10000</formula>
    </cfRule>
  </conditionalFormatting>
  <conditionalFormatting sqref="E902">
    <cfRule type="cellIs" priority="898" operator="greaterThan" aboveAverage="0" equalAverage="0" bottom="0" percent="0" rank="0" text="" dxfId="2">
      <formula>10000</formula>
    </cfRule>
  </conditionalFormatting>
  <conditionalFormatting sqref="E903">
    <cfRule type="cellIs" priority="899" operator="greaterThan" aboveAverage="0" equalAverage="0" bottom="0" percent="0" rank="0" text="" dxfId="2">
      <formula>10000</formula>
    </cfRule>
  </conditionalFormatting>
  <conditionalFormatting sqref="E904">
    <cfRule type="cellIs" priority="900" operator="greaterThan" aboveAverage="0" equalAverage="0" bottom="0" percent="0" rank="0" text="" dxfId="2">
      <formula>10000</formula>
    </cfRule>
  </conditionalFormatting>
  <conditionalFormatting sqref="E905">
    <cfRule type="cellIs" priority="901" operator="greaterThan" aboveAverage="0" equalAverage="0" bottom="0" percent="0" rank="0" text="" dxfId="2">
      <formula>10000</formula>
    </cfRule>
  </conditionalFormatting>
  <conditionalFormatting sqref="E906">
    <cfRule type="cellIs" priority="902" operator="greaterThan" aboveAverage="0" equalAverage="0" bottom="0" percent="0" rank="0" text="" dxfId="2">
      <formula>10000</formula>
    </cfRule>
  </conditionalFormatting>
  <conditionalFormatting sqref="E907">
    <cfRule type="cellIs" priority="903" operator="greaterThan" aboveAverage="0" equalAverage="0" bottom="0" percent="0" rank="0" text="" dxfId="2">
      <formula>10000</formula>
    </cfRule>
  </conditionalFormatting>
  <conditionalFormatting sqref="E908">
    <cfRule type="cellIs" priority="904" operator="greaterThan" aboveAverage="0" equalAverage="0" bottom="0" percent="0" rank="0" text="" dxfId="2">
      <formula>10000</formula>
    </cfRule>
  </conditionalFormatting>
  <conditionalFormatting sqref="E909">
    <cfRule type="cellIs" priority="905" operator="greaterThan" aboveAverage="0" equalAverage="0" bottom="0" percent="0" rank="0" text="" dxfId="2">
      <formula>10000</formula>
    </cfRule>
  </conditionalFormatting>
  <conditionalFormatting sqref="E910">
    <cfRule type="cellIs" priority="906" operator="greaterThan" aboveAverage="0" equalAverage="0" bottom="0" percent="0" rank="0" text="" dxfId="2">
      <formula>10000</formula>
    </cfRule>
  </conditionalFormatting>
  <conditionalFormatting sqref="E911">
    <cfRule type="cellIs" priority="907" operator="greaterThan" aboveAverage="0" equalAverage="0" bottom="0" percent="0" rank="0" text="" dxfId="2">
      <formula>10000</formula>
    </cfRule>
  </conditionalFormatting>
  <conditionalFormatting sqref="E912">
    <cfRule type="cellIs" priority="908" operator="greaterThan" aboveAverage="0" equalAverage="0" bottom="0" percent="0" rank="0" text="" dxfId="2">
      <formula>10000</formula>
    </cfRule>
  </conditionalFormatting>
  <conditionalFormatting sqref="E913">
    <cfRule type="cellIs" priority="909" operator="greaterThan" aboveAverage="0" equalAverage="0" bottom="0" percent="0" rank="0" text="" dxfId="2">
      <formula>10000</formula>
    </cfRule>
  </conditionalFormatting>
  <conditionalFormatting sqref="E914">
    <cfRule type="cellIs" priority="910" operator="greaterThan" aboveAverage="0" equalAverage="0" bottom="0" percent="0" rank="0" text="" dxfId="2">
      <formula>10000</formula>
    </cfRule>
  </conditionalFormatting>
  <conditionalFormatting sqref="E915">
    <cfRule type="cellIs" priority="911" operator="greaterThan" aboveAverage="0" equalAverage="0" bottom="0" percent="0" rank="0" text="" dxfId="2">
      <formula>10000</formula>
    </cfRule>
  </conditionalFormatting>
  <conditionalFormatting sqref="E916">
    <cfRule type="cellIs" priority="912" operator="greaterThan" aboveAverage="0" equalAverage="0" bottom="0" percent="0" rank="0" text="" dxfId="2">
      <formula>10000</formula>
    </cfRule>
  </conditionalFormatting>
  <conditionalFormatting sqref="E917">
    <cfRule type="cellIs" priority="913" operator="greaterThan" aboveAverage="0" equalAverage="0" bottom="0" percent="0" rank="0" text="" dxfId="2">
      <formula>10000</formula>
    </cfRule>
  </conditionalFormatting>
  <conditionalFormatting sqref="E918">
    <cfRule type="cellIs" priority="914" operator="greaterThan" aboveAverage="0" equalAverage="0" bottom="0" percent="0" rank="0" text="" dxfId="2">
      <formula>10000</formula>
    </cfRule>
  </conditionalFormatting>
  <conditionalFormatting sqref="E919">
    <cfRule type="cellIs" priority="915" operator="greaterThan" aboveAverage="0" equalAverage="0" bottom="0" percent="0" rank="0" text="" dxfId="2">
      <formula>10000</formula>
    </cfRule>
  </conditionalFormatting>
  <conditionalFormatting sqref="E920">
    <cfRule type="cellIs" priority="916" operator="greaterThan" aboveAverage="0" equalAverage="0" bottom="0" percent="0" rank="0" text="" dxfId="2">
      <formula>10000</formula>
    </cfRule>
  </conditionalFormatting>
  <conditionalFormatting sqref="E921">
    <cfRule type="cellIs" priority="917" operator="greaterThan" aboveAverage="0" equalAverage="0" bottom="0" percent="0" rank="0" text="" dxfId="2">
      <formula>10000</formula>
    </cfRule>
  </conditionalFormatting>
  <conditionalFormatting sqref="E922">
    <cfRule type="cellIs" priority="918" operator="greaterThan" aboveAverage="0" equalAverage="0" bottom="0" percent="0" rank="0" text="" dxfId="2">
      <formula>10000</formula>
    </cfRule>
  </conditionalFormatting>
  <conditionalFormatting sqref="E923">
    <cfRule type="cellIs" priority="919" operator="greaterThan" aboveAverage="0" equalAverage="0" bottom="0" percent="0" rank="0" text="" dxfId="2">
      <formula>10000</formula>
    </cfRule>
  </conditionalFormatting>
  <conditionalFormatting sqref="E924">
    <cfRule type="cellIs" priority="920" operator="greaterThan" aboveAverage="0" equalAverage="0" bottom="0" percent="0" rank="0" text="" dxfId="2">
      <formula>10000</formula>
    </cfRule>
  </conditionalFormatting>
  <conditionalFormatting sqref="E925">
    <cfRule type="cellIs" priority="921" operator="greaterThan" aboveAverage="0" equalAverage="0" bottom="0" percent="0" rank="0" text="" dxfId="2">
      <formula>10000</formula>
    </cfRule>
  </conditionalFormatting>
  <conditionalFormatting sqref="E926">
    <cfRule type="cellIs" priority="922" operator="greaterThan" aboveAverage="0" equalAverage="0" bottom="0" percent="0" rank="0" text="" dxfId="2">
      <formula>10000</formula>
    </cfRule>
  </conditionalFormatting>
  <conditionalFormatting sqref="E927">
    <cfRule type="cellIs" priority="923" operator="greaterThan" aboveAverage="0" equalAverage="0" bottom="0" percent="0" rank="0" text="" dxfId="2">
      <formula>10000</formula>
    </cfRule>
  </conditionalFormatting>
  <conditionalFormatting sqref="E928">
    <cfRule type="cellIs" priority="924" operator="greaterThan" aboveAverage="0" equalAverage="0" bottom="0" percent="0" rank="0" text="" dxfId="2">
      <formula>10000</formula>
    </cfRule>
  </conditionalFormatting>
  <conditionalFormatting sqref="E929">
    <cfRule type="cellIs" priority="925" operator="greaterThan" aboveAverage="0" equalAverage="0" bottom="0" percent="0" rank="0" text="" dxfId="2">
      <formula>10000</formula>
    </cfRule>
  </conditionalFormatting>
  <conditionalFormatting sqref="E930">
    <cfRule type="cellIs" priority="926" operator="greaterThan" aboveAverage="0" equalAverage="0" bottom="0" percent="0" rank="0" text="" dxfId="2">
      <formula>10000</formula>
    </cfRule>
  </conditionalFormatting>
  <conditionalFormatting sqref="E931">
    <cfRule type="cellIs" priority="927" operator="greaterThan" aboveAverage="0" equalAverage="0" bottom="0" percent="0" rank="0" text="" dxfId="2">
      <formula>10000</formula>
    </cfRule>
  </conditionalFormatting>
  <conditionalFormatting sqref="E932">
    <cfRule type="cellIs" priority="928" operator="greaterThan" aboveAverage="0" equalAverage="0" bottom="0" percent="0" rank="0" text="" dxfId="2">
      <formula>10000</formula>
    </cfRule>
  </conditionalFormatting>
  <conditionalFormatting sqref="E933">
    <cfRule type="cellIs" priority="929" operator="greaterThan" aboveAverage="0" equalAverage="0" bottom="0" percent="0" rank="0" text="" dxfId="2">
      <formula>10000</formula>
    </cfRule>
  </conditionalFormatting>
  <conditionalFormatting sqref="E934">
    <cfRule type="cellIs" priority="930" operator="greaterThan" aboveAverage="0" equalAverage="0" bottom="0" percent="0" rank="0" text="" dxfId="2">
      <formula>10000</formula>
    </cfRule>
  </conditionalFormatting>
  <conditionalFormatting sqref="E935">
    <cfRule type="cellIs" priority="931" operator="greaterThan" aboveAverage="0" equalAverage="0" bottom="0" percent="0" rank="0" text="" dxfId="2">
      <formula>10000</formula>
    </cfRule>
  </conditionalFormatting>
  <conditionalFormatting sqref="E936">
    <cfRule type="cellIs" priority="932" operator="greaterThan" aboveAverage="0" equalAverage="0" bottom="0" percent="0" rank="0" text="" dxfId="2">
      <formula>10000</formula>
    </cfRule>
  </conditionalFormatting>
  <conditionalFormatting sqref="E937">
    <cfRule type="cellIs" priority="933" operator="greaterThan" aboveAverage="0" equalAverage="0" bottom="0" percent="0" rank="0" text="" dxfId="2">
      <formula>10000</formula>
    </cfRule>
  </conditionalFormatting>
  <conditionalFormatting sqref="E938">
    <cfRule type="cellIs" priority="934" operator="greaterThan" aboveAverage="0" equalAverage="0" bottom="0" percent="0" rank="0" text="" dxfId="2">
      <formula>10000</formula>
    </cfRule>
  </conditionalFormatting>
  <conditionalFormatting sqref="E939">
    <cfRule type="cellIs" priority="935" operator="greaterThan" aboveAverage="0" equalAverage="0" bottom="0" percent="0" rank="0" text="" dxfId="2">
      <formula>10000</formula>
    </cfRule>
  </conditionalFormatting>
  <conditionalFormatting sqref="E940">
    <cfRule type="cellIs" priority="936" operator="greaterThan" aboveAverage="0" equalAverage="0" bottom="0" percent="0" rank="0" text="" dxfId="2">
      <formula>10000</formula>
    </cfRule>
  </conditionalFormatting>
  <conditionalFormatting sqref="E941">
    <cfRule type="cellIs" priority="937" operator="greaterThan" aboveAverage="0" equalAverage="0" bottom="0" percent="0" rank="0" text="" dxfId="2">
      <formula>10000</formula>
    </cfRule>
  </conditionalFormatting>
  <conditionalFormatting sqref="E942">
    <cfRule type="cellIs" priority="938" operator="greaterThan" aboveAverage="0" equalAverage="0" bottom="0" percent="0" rank="0" text="" dxfId="2">
      <formula>10000</formula>
    </cfRule>
  </conditionalFormatting>
  <conditionalFormatting sqref="E943">
    <cfRule type="cellIs" priority="939" operator="greaterThan" aboveAverage="0" equalAverage="0" bottom="0" percent="0" rank="0" text="" dxfId="2">
      <formula>10000</formula>
    </cfRule>
  </conditionalFormatting>
  <conditionalFormatting sqref="E944">
    <cfRule type="cellIs" priority="940" operator="greaterThan" aboveAverage="0" equalAverage="0" bottom="0" percent="0" rank="0" text="" dxfId="2">
      <formula>10000</formula>
    </cfRule>
  </conditionalFormatting>
  <conditionalFormatting sqref="E945">
    <cfRule type="cellIs" priority="941" operator="greaterThan" aboveAverage="0" equalAverage="0" bottom="0" percent="0" rank="0" text="" dxfId="2">
      <formula>10000</formula>
    </cfRule>
  </conditionalFormatting>
  <conditionalFormatting sqref="E946">
    <cfRule type="cellIs" priority="942" operator="greaterThan" aboveAverage="0" equalAverage="0" bottom="0" percent="0" rank="0" text="" dxfId="2">
      <formula>10000</formula>
    </cfRule>
  </conditionalFormatting>
  <conditionalFormatting sqref="E947">
    <cfRule type="cellIs" priority="943" operator="greaterThan" aboveAverage="0" equalAverage="0" bottom="0" percent="0" rank="0" text="" dxfId="2">
      <formula>10000</formula>
    </cfRule>
  </conditionalFormatting>
  <conditionalFormatting sqref="E948">
    <cfRule type="cellIs" priority="944" operator="greaterThan" aboveAverage="0" equalAverage="0" bottom="0" percent="0" rank="0" text="" dxfId="2">
      <formula>10000</formula>
    </cfRule>
  </conditionalFormatting>
  <conditionalFormatting sqref="E949">
    <cfRule type="cellIs" priority="945" operator="greaterThan" aboveAverage="0" equalAverage="0" bottom="0" percent="0" rank="0" text="" dxfId="2">
      <formula>10000</formula>
    </cfRule>
  </conditionalFormatting>
  <conditionalFormatting sqref="E950">
    <cfRule type="cellIs" priority="946" operator="greaterThan" aboveAverage="0" equalAverage="0" bottom="0" percent="0" rank="0" text="" dxfId="2">
      <formula>10000</formula>
    </cfRule>
  </conditionalFormatting>
  <conditionalFormatting sqref="E951">
    <cfRule type="cellIs" priority="947" operator="greaterThan" aboveAverage="0" equalAverage="0" bottom="0" percent="0" rank="0" text="" dxfId="2">
      <formula>10000</formula>
    </cfRule>
  </conditionalFormatting>
  <conditionalFormatting sqref="E952">
    <cfRule type="cellIs" priority="948" operator="greaterThan" aboveAverage="0" equalAverage="0" bottom="0" percent="0" rank="0" text="" dxfId="2">
      <formula>10000</formula>
    </cfRule>
  </conditionalFormatting>
  <conditionalFormatting sqref="E953">
    <cfRule type="cellIs" priority="949" operator="greaterThan" aboveAverage="0" equalAverage="0" bottom="0" percent="0" rank="0" text="" dxfId="2">
      <formula>10000</formula>
    </cfRule>
  </conditionalFormatting>
  <conditionalFormatting sqref="E954">
    <cfRule type="cellIs" priority="950" operator="greaterThan" aboveAverage="0" equalAverage="0" bottom="0" percent="0" rank="0" text="" dxfId="2">
      <formula>10000</formula>
    </cfRule>
  </conditionalFormatting>
  <conditionalFormatting sqref="E955">
    <cfRule type="cellIs" priority="951" operator="greaterThan" aboveAverage="0" equalAverage="0" bottom="0" percent="0" rank="0" text="" dxfId="2">
      <formula>10000</formula>
    </cfRule>
  </conditionalFormatting>
  <conditionalFormatting sqref="E956">
    <cfRule type="cellIs" priority="952" operator="greaterThan" aboveAverage="0" equalAverage="0" bottom="0" percent="0" rank="0" text="" dxfId="2">
      <formula>10000</formula>
    </cfRule>
  </conditionalFormatting>
  <conditionalFormatting sqref="E957">
    <cfRule type="cellIs" priority="953" operator="greaterThan" aboveAverage="0" equalAverage="0" bottom="0" percent="0" rank="0" text="" dxfId="2">
      <formula>10000</formula>
    </cfRule>
  </conditionalFormatting>
  <conditionalFormatting sqref="E958">
    <cfRule type="cellIs" priority="954" operator="greaterThan" aboveAverage="0" equalAverage="0" bottom="0" percent="0" rank="0" text="" dxfId="2">
      <formula>10000</formula>
    </cfRule>
  </conditionalFormatting>
  <conditionalFormatting sqref="E959">
    <cfRule type="cellIs" priority="955" operator="greaterThan" aboveAverage="0" equalAverage="0" bottom="0" percent="0" rank="0" text="" dxfId="2">
      <formula>10000</formula>
    </cfRule>
  </conditionalFormatting>
  <conditionalFormatting sqref="E960">
    <cfRule type="cellIs" priority="956" operator="greaterThan" aboveAverage="0" equalAverage="0" bottom="0" percent="0" rank="0" text="" dxfId="2">
      <formula>10000</formula>
    </cfRule>
  </conditionalFormatting>
  <conditionalFormatting sqref="E961">
    <cfRule type="cellIs" priority="957" operator="greaterThan" aboveAverage="0" equalAverage="0" bottom="0" percent="0" rank="0" text="" dxfId="2">
      <formula>10000</formula>
    </cfRule>
  </conditionalFormatting>
  <conditionalFormatting sqref="E962">
    <cfRule type="cellIs" priority="958" operator="greaterThan" aboveAverage="0" equalAverage="0" bottom="0" percent="0" rank="0" text="" dxfId="2">
      <formula>10000</formula>
    </cfRule>
  </conditionalFormatting>
  <conditionalFormatting sqref="E963">
    <cfRule type="cellIs" priority="959" operator="greaterThan" aboveAverage="0" equalAverage="0" bottom="0" percent="0" rank="0" text="" dxfId="2">
      <formula>10000</formula>
    </cfRule>
  </conditionalFormatting>
  <conditionalFormatting sqref="E964">
    <cfRule type="cellIs" priority="960" operator="greaterThan" aboveAverage="0" equalAverage="0" bottom="0" percent="0" rank="0" text="" dxfId="2">
      <formula>10000</formula>
    </cfRule>
  </conditionalFormatting>
  <conditionalFormatting sqref="E965">
    <cfRule type="cellIs" priority="961" operator="greaterThan" aboveAverage="0" equalAverage="0" bottom="0" percent="0" rank="0" text="" dxfId="2">
      <formula>10000</formula>
    </cfRule>
  </conditionalFormatting>
  <conditionalFormatting sqref="E966">
    <cfRule type="cellIs" priority="962" operator="greaterThan" aboveAverage="0" equalAverage="0" bottom="0" percent="0" rank="0" text="" dxfId="2">
      <formula>10000</formula>
    </cfRule>
  </conditionalFormatting>
  <conditionalFormatting sqref="E967">
    <cfRule type="cellIs" priority="963" operator="greaterThan" aboveAverage="0" equalAverage="0" bottom="0" percent="0" rank="0" text="" dxfId="2">
      <formula>10000</formula>
    </cfRule>
  </conditionalFormatting>
  <conditionalFormatting sqref="E968">
    <cfRule type="cellIs" priority="964" operator="greaterThan" aboveAverage="0" equalAverage="0" bottom="0" percent="0" rank="0" text="" dxfId="2">
      <formula>10000</formula>
    </cfRule>
  </conditionalFormatting>
  <conditionalFormatting sqref="E969">
    <cfRule type="cellIs" priority="965" operator="greaterThan" aboveAverage="0" equalAverage="0" bottom="0" percent="0" rank="0" text="" dxfId="2">
      <formula>10000</formula>
    </cfRule>
  </conditionalFormatting>
  <conditionalFormatting sqref="E970">
    <cfRule type="cellIs" priority="966" operator="greaterThan" aboveAverage="0" equalAverage="0" bottom="0" percent="0" rank="0" text="" dxfId="2">
      <formula>10000</formula>
    </cfRule>
  </conditionalFormatting>
  <conditionalFormatting sqref="E971">
    <cfRule type="cellIs" priority="967" operator="greaterThan" aboveAverage="0" equalAverage="0" bottom="0" percent="0" rank="0" text="" dxfId="2">
      <formula>10000</formula>
    </cfRule>
  </conditionalFormatting>
  <conditionalFormatting sqref="E972">
    <cfRule type="cellIs" priority="968" operator="greaterThan" aboveAverage="0" equalAverage="0" bottom="0" percent="0" rank="0" text="" dxfId="2">
      <formula>10000</formula>
    </cfRule>
  </conditionalFormatting>
  <conditionalFormatting sqref="E973">
    <cfRule type="cellIs" priority="969" operator="greaterThan" aboveAverage="0" equalAverage="0" bottom="0" percent="0" rank="0" text="" dxfId="2">
      <formula>10000</formula>
    </cfRule>
  </conditionalFormatting>
  <conditionalFormatting sqref="E974">
    <cfRule type="cellIs" priority="970" operator="greaterThan" aboveAverage="0" equalAverage="0" bottom="0" percent="0" rank="0" text="" dxfId="2">
      <formula>10000</formula>
    </cfRule>
  </conditionalFormatting>
  <conditionalFormatting sqref="E975">
    <cfRule type="cellIs" priority="971" operator="greaterThan" aboveAverage="0" equalAverage="0" bottom="0" percent="0" rank="0" text="" dxfId="2">
      <formula>10000</formula>
    </cfRule>
  </conditionalFormatting>
  <conditionalFormatting sqref="E976">
    <cfRule type="cellIs" priority="972" operator="greaterThan" aboveAverage="0" equalAverage="0" bottom="0" percent="0" rank="0" text="" dxfId="2">
      <formula>10000</formula>
    </cfRule>
  </conditionalFormatting>
  <conditionalFormatting sqref="E977">
    <cfRule type="cellIs" priority="973" operator="greaterThan" aboveAverage="0" equalAverage="0" bottom="0" percent="0" rank="0" text="" dxfId="2">
      <formula>10000</formula>
    </cfRule>
  </conditionalFormatting>
  <conditionalFormatting sqref="E978">
    <cfRule type="cellIs" priority="974" operator="greaterThan" aboveAverage="0" equalAverage="0" bottom="0" percent="0" rank="0" text="" dxfId="2">
      <formula>10000</formula>
    </cfRule>
  </conditionalFormatting>
  <conditionalFormatting sqref="E979">
    <cfRule type="cellIs" priority="975" operator="greaterThan" aboveAverage="0" equalAverage="0" bottom="0" percent="0" rank="0" text="" dxfId="2">
      <formula>10000</formula>
    </cfRule>
  </conditionalFormatting>
  <conditionalFormatting sqref="E980">
    <cfRule type="cellIs" priority="976" operator="greaterThan" aboveAverage="0" equalAverage="0" bottom="0" percent="0" rank="0" text="" dxfId="2">
      <formula>10000</formula>
    </cfRule>
  </conditionalFormatting>
  <conditionalFormatting sqref="E981">
    <cfRule type="cellIs" priority="977" operator="greaterThan" aboveAverage="0" equalAverage="0" bottom="0" percent="0" rank="0" text="" dxfId="2">
      <formula>10000</formula>
    </cfRule>
  </conditionalFormatting>
  <conditionalFormatting sqref="E982">
    <cfRule type="cellIs" priority="978" operator="greaterThan" aboveAverage="0" equalAverage="0" bottom="0" percent="0" rank="0" text="" dxfId="2">
      <formula>10000</formula>
    </cfRule>
  </conditionalFormatting>
  <conditionalFormatting sqref="E983">
    <cfRule type="cellIs" priority="979" operator="greaterThan" aboveAverage="0" equalAverage="0" bottom="0" percent="0" rank="0" text="" dxfId="2">
      <formula>10000</formula>
    </cfRule>
  </conditionalFormatting>
  <conditionalFormatting sqref="E984">
    <cfRule type="cellIs" priority="980" operator="greaterThan" aboveAverage="0" equalAverage="0" bottom="0" percent="0" rank="0" text="" dxfId="2">
      <formula>10000</formula>
    </cfRule>
  </conditionalFormatting>
  <conditionalFormatting sqref="E985">
    <cfRule type="cellIs" priority="981" operator="greaterThan" aboveAverage="0" equalAverage="0" bottom="0" percent="0" rank="0" text="" dxfId="2">
      <formula>10000</formula>
    </cfRule>
  </conditionalFormatting>
  <conditionalFormatting sqref="E986">
    <cfRule type="cellIs" priority="982" operator="greaterThan" aboveAverage="0" equalAverage="0" bottom="0" percent="0" rank="0" text="" dxfId="2">
      <formula>10000</formula>
    </cfRule>
  </conditionalFormatting>
  <conditionalFormatting sqref="E987">
    <cfRule type="cellIs" priority="983" operator="greaterThan" aboveAverage="0" equalAverage="0" bottom="0" percent="0" rank="0" text="" dxfId="2">
      <formula>10000</formula>
    </cfRule>
  </conditionalFormatting>
  <conditionalFormatting sqref="E988">
    <cfRule type="cellIs" priority="984" operator="greaterThan" aboveAverage="0" equalAverage="0" bottom="0" percent="0" rank="0" text="" dxfId="2">
      <formula>10000</formula>
    </cfRule>
  </conditionalFormatting>
  <conditionalFormatting sqref="E989">
    <cfRule type="cellIs" priority="985" operator="greaterThan" aboveAverage="0" equalAverage="0" bottom="0" percent="0" rank="0" text="" dxfId="2">
      <formula>10000</formula>
    </cfRule>
  </conditionalFormatting>
  <conditionalFormatting sqref="E990">
    <cfRule type="cellIs" priority="986" operator="greaterThan" aboveAverage="0" equalAverage="0" bottom="0" percent="0" rank="0" text="" dxfId="2">
      <formula>10000</formula>
    </cfRule>
  </conditionalFormatting>
  <conditionalFormatting sqref="E991">
    <cfRule type="cellIs" priority="987" operator="greaterThan" aboveAverage="0" equalAverage="0" bottom="0" percent="0" rank="0" text="" dxfId="2">
      <formula>10000</formula>
    </cfRule>
  </conditionalFormatting>
  <conditionalFormatting sqref="E992">
    <cfRule type="cellIs" priority="988" operator="greaterThan" aboveAverage="0" equalAverage="0" bottom="0" percent="0" rank="0" text="" dxfId="2">
      <formula>10000</formula>
    </cfRule>
  </conditionalFormatting>
  <conditionalFormatting sqref="E993">
    <cfRule type="cellIs" priority="989" operator="greaterThan" aboveAverage="0" equalAverage="0" bottom="0" percent="0" rank="0" text="" dxfId="2">
      <formula>10000</formula>
    </cfRule>
  </conditionalFormatting>
  <conditionalFormatting sqref="E994">
    <cfRule type="cellIs" priority="990" operator="greaterThan" aboveAverage="0" equalAverage="0" bottom="0" percent="0" rank="0" text="" dxfId="2">
      <formula>10000</formula>
    </cfRule>
  </conditionalFormatting>
  <conditionalFormatting sqref="E995">
    <cfRule type="cellIs" priority="991" operator="greaterThan" aboveAverage="0" equalAverage="0" bottom="0" percent="0" rank="0" text="" dxfId="2">
      <formula>10000</formula>
    </cfRule>
  </conditionalFormatting>
  <conditionalFormatting sqref="E996">
    <cfRule type="cellIs" priority="992" operator="greaterThan" aboveAverage="0" equalAverage="0" bottom="0" percent="0" rank="0" text="" dxfId="2">
      <formula>10000</formula>
    </cfRule>
  </conditionalFormatting>
  <conditionalFormatting sqref="E997">
    <cfRule type="cellIs" priority="993" operator="greaterThan" aboveAverage="0" equalAverage="0" bottom="0" percent="0" rank="0" text="" dxfId="2">
      <formula>10000</formula>
    </cfRule>
  </conditionalFormatting>
  <conditionalFormatting sqref="E998">
    <cfRule type="cellIs" priority="994" operator="greaterThan" aboveAverage="0" equalAverage="0" bottom="0" percent="0" rank="0" text="" dxfId="2">
      <formula>10000</formula>
    </cfRule>
  </conditionalFormatting>
  <conditionalFormatting sqref="E999">
    <cfRule type="cellIs" priority="995" operator="greaterThan" aboveAverage="0" equalAverage="0" bottom="0" percent="0" rank="0" text="" dxfId="2">
      <formula>10000</formula>
    </cfRule>
  </conditionalFormatting>
  <conditionalFormatting sqref="E1000">
    <cfRule type="cellIs" priority="996" operator="greaterThan" aboveAverage="0" equalAverage="0" bottom="0" percent="0" rank="0" text="" dxfId="2">
      <formula>10000</formula>
    </cfRule>
  </conditionalFormatting>
  <conditionalFormatting sqref="E1001">
    <cfRule type="cellIs" priority="997" operator="greaterThan" aboveAverage="0" equalAverage="0" bottom="0" percent="0" rank="0" text="" dxfId="2">
      <formula>10000</formula>
    </cfRule>
  </conditionalFormatting>
  <conditionalFormatting sqref="E1002">
    <cfRule type="cellIs" priority="998" operator="greaterThan" aboveAverage="0" equalAverage="0" bottom="0" percent="0" rank="0" text="" dxfId="2">
      <formula>10000</formula>
    </cfRule>
  </conditionalFormatting>
  <conditionalFormatting sqref="E1003">
    <cfRule type="cellIs" priority="999" operator="greaterThan" aboveAverage="0" equalAverage="0" bottom="0" percent="0" rank="0" text="" dxfId="2">
      <formula>10000</formula>
    </cfRule>
  </conditionalFormatting>
  <dataValidations count="2">
    <dataValidation allowBlank="true" error="Miktar 1'den büyük olmalı." errorStyle="stop" errorTitle="Geçersiz miktar" operator="greaterThan" prompt="Pozitif miktar girin." promptTitle="Miktar" showDropDown="false" showErrorMessage="true" showInputMessage="true" sqref="C6:C1004" type="whole">
      <formula1>1</formula1>
      <formula2>0</formula2>
    </dataValidation>
    <dataValidation allowBlank="true" error="Birim maliyet 0,01 ₺'den büyük olmalı." errorStyle="stop" errorTitle="Geçersiz tutar" operator="greaterThan" prompt="Birim maliyeti TL olarak girin." promptTitle="Birim Maliyet (₺)" showDropDown="false" showErrorMessage="true" showInputMessage="true" sqref="D6:D1004" type="decimal">
      <formula1>0.01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2"/>
  </cols>
  <sheetData>
    <row r="1" customFormat="false" ht="25.5" hidden="false" customHeight="true" outlineLevel="0" collapsed="false">
      <c r="A1" s="12" t="s">
        <v>103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104</v>
      </c>
    </row>
    <row r="6" customFormat="false" ht="15" hidden="false" customHeight="false" outlineLevel="0" collapsed="false">
      <c r="A6" s="29" t="s">
        <v>105</v>
      </c>
      <c r="B6" s="30" t="n">
        <f aca="false">COUNTIFS(tblRakipler[Geçerli Mi],"Evet")</f>
        <v>10</v>
      </c>
    </row>
    <row r="7" customFormat="false" ht="15" hidden="false" customHeight="false" outlineLevel="0" collapsed="false">
      <c r="A7" s="29" t="s">
        <v>106</v>
      </c>
      <c r="B7" s="31" t="n">
        <f aca="false">IFERROR(ROUND(AVERAGEIFS(tblRakipler[Teklif Tutarı (₺)],tblRakipler[Geçerli Mi],"Evet"),0),0)</f>
        <v>14845000</v>
      </c>
    </row>
    <row r="8" customFormat="false" ht="15" hidden="false" customHeight="false" outlineLevel="0" collapsed="false">
      <c r="A8" s="29" t="s">
        <v>107</v>
      </c>
      <c r="B8" s="31" t="n">
        <f aca="false">IFERROR(ROUND(AVERAGEIFS(tblRakipler[Teklif Tutarı (₺)],tblRakipler[Geçerli Mi],"Evet",tblRakipler[Teklif Tutarı (₺)],"&lt;"&amp;OrtalamaTeklif),0),0)</f>
        <v>14160000</v>
      </c>
    </row>
    <row r="9" customFormat="false" ht="15" hidden="false" customHeight="false" outlineLevel="0" collapsed="false">
      <c r="A9" s="29" t="s">
        <v>108</v>
      </c>
      <c r="B9" s="31" t="n">
        <f aca="false">IFERROR(ROUND(_xlfn.STDEV.P(tblRakipler[Teklif Tutarı (₺)]),0),0)</f>
        <v>854675</v>
      </c>
    </row>
    <row r="10" customFormat="false" ht="15" hidden="false" customHeight="false" outlineLevel="0" collapsed="false">
      <c r="A10" s="32" t="s">
        <v>109</v>
      </c>
      <c r="B10" s="31" t="n">
        <f aca="false">IFERROR(ROUND(YaklasikMaliyet*NKatsayisi+OrtAltiTeklif*(1-NKatsayisi),0),0)</f>
        <v>14454000</v>
      </c>
    </row>
    <row r="11" customFormat="false" ht="15" hidden="false" customHeight="false" outlineLevel="0" collapsed="false">
      <c r="A11" s="29" t="s">
        <v>110</v>
      </c>
      <c r="B11" s="33" t="n">
        <f aca="false">IFERROR(SinirDeger/YaklasikMaliyet,0)</f>
        <v>0.9636</v>
      </c>
    </row>
    <row r="12" customFormat="false" ht="15" hidden="false" customHeight="false" outlineLevel="0" collapsed="false">
      <c r="A12" s="32" t="s">
        <v>111</v>
      </c>
      <c r="B12" s="31" t="n">
        <f aca="false">IFERROR(ROUND(MAX(SinirDeger*(1+GuvenlikPayi),ToplamMaliyet*(1+HedefKarMarji)),0),0)</f>
        <v>14887620</v>
      </c>
    </row>
    <row r="13" customFormat="false" ht="15" hidden="false" customHeight="false" outlineLevel="0" collapsed="false">
      <c r="A13" s="29" t="s">
        <v>112</v>
      </c>
      <c r="B13" s="33" t="n">
        <f aca="false">IFERROR(IF(ToplamMaliyet=0,0,(OneriTeklif-ToplamMaliyet)/ToplamMaliyet),0)</f>
        <v>0.294575652173913</v>
      </c>
    </row>
    <row r="14" customFormat="false" ht="15" hidden="false" customHeight="false" outlineLevel="0" collapsed="false">
      <c r="A14" s="29" t="s">
        <v>113</v>
      </c>
      <c r="B14" s="33" t="n">
        <f aca="false">IFERROR(IF(SinirDeger=0,0,OneriTeklif/SinirDeger),0)</f>
        <v>1.03</v>
      </c>
    </row>
    <row r="15" customFormat="false" ht="15" hidden="false" customHeight="false" outlineLevel="0" collapsed="false">
      <c r="A15" s="29" t="s">
        <v>114</v>
      </c>
      <c r="B15" s="30" t="n">
        <f aca="false">SUMPRODUCT(--(tblRakipler[Geçerli Mi]="Evet"),--(ABS(IF(ISNUMBER(tblRakipler[Teklif Tutarı (₺)]),tblRakipler[Teklif Tutarı (₺)]-OrtalamaTeklif,0))&gt;AnomaliZEsik*TeklifStdSapma))</f>
        <v>0</v>
      </c>
    </row>
    <row r="16" customFormat="false" ht="15" hidden="false" customHeight="false" outlineLevel="0" collapsed="false">
      <c r="A16" s="29" t="s">
        <v>115</v>
      </c>
      <c r="B16" s="31" t="n">
        <f aca="false">IFERROR(ROUND(AVERAGEIFS(tblGecmis[Bizim Teklif (₺)],tblGecmis[Sonuç],"KAZANDI",tblGecmis[Bizim Teklif (₺)],"&gt;0"),0),0)</f>
        <v>5405556</v>
      </c>
    </row>
    <row r="17" customFormat="false" ht="15" hidden="false" customHeight="false" outlineLevel="0" collapsed="false">
      <c r="A17" s="29" t="s">
        <v>116</v>
      </c>
      <c r="B17" s="31" t="n">
        <f aca="false">IFERROR(ROUND(AVERAGEIF(tblGecmis[Bizim Teklif (₺)],"&gt;0",tblGecmis[Bizim Teklif (₺)])-AVERAGEIF(tblGecmis[Sınır Değer (₺)],"&gt;0",tblGecmis[Sınır Değer (₺)]),0),0)</f>
        <v>-130000</v>
      </c>
    </row>
    <row r="18" customFormat="false" ht="15" hidden="false" customHeight="false" outlineLevel="0" collapsed="false">
      <c r="A18" s="29" t="s">
        <v>117</v>
      </c>
      <c r="B18" s="31" t="n">
        <f aca="false">IFERROR(ROUND(SUM(tblMaliyet[Toplam Maliyet (₺)]),0),0)</f>
        <v>27795500</v>
      </c>
    </row>
    <row r="19" customFormat="false" ht="15" hidden="false" customHeight="false" outlineLevel="0" collapsed="false">
      <c r="A19" s="29" t="s">
        <v>118</v>
      </c>
      <c r="B19" s="31" t="n">
        <f aca="false">IFERROR(ToplamMaliyet-MaliyetKalemToplam,0)</f>
        <v>-16295500</v>
      </c>
    </row>
    <row r="20" customFormat="false" ht="15" hidden="false" customHeight="false" outlineLevel="0" collapsed="false">
      <c r="A20" s="29" t="s">
        <v>119</v>
      </c>
      <c r="B20" s="33" t="n">
        <f aca="false">IFERROR(IF(ToplamMaliyet=0,0,MaliyetKalemToplam/ToplamMaliyet),0)</f>
        <v>2.417</v>
      </c>
    </row>
    <row r="21" customFormat="false" ht="15" hidden="false" customHeight="false" outlineLevel="0" collapsed="false">
      <c r="A21" s="29" t="s">
        <v>120</v>
      </c>
      <c r="B21" s="34" t="str">
        <f aca="false">IF(OR(ToplamMaliyet=0,MaliyetKalemToplam=0),"VERİ YETERSİZ",IF(ABS(MutabakatFark)&lt;=MutabakatTolerans,"UYUMLU","KONTROL GEREKLİ"))</f>
        <v>KONTROL GEREKLİ</v>
      </c>
    </row>
    <row r="22" customFormat="false" ht="15" hidden="false" customHeight="false" outlineLevel="0" collapsed="false">
      <c r="A22" s="29" t="s">
        <v>121</v>
      </c>
      <c r="B22" s="31" t="n">
        <f aca="false">IF(OR(FiyatFarkiVarMi="Hayır",GecmisKazanmaOrt=0),0,IFERROR(ROUND(GecmisKazanmaOrt*FiyatFarkiEtkiOran,0),0))</f>
        <v>162167</v>
      </c>
    </row>
    <row r="23" customFormat="false" ht="15" hidden="false" customHeight="false" outlineLevel="0" collapsed="false">
      <c r="A23" s="29" t="s">
        <v>122</v>
      </c>
      <c r="B23" s="31" t="n">
        <f aca="false">IFERROR(ROUND(FORECAST(MAX(tblGecmis[Tarih])+TahminUfkuAdet*30,tblGecmis[Bizim Teklif (₺)],tblGecmis[Tarih]),0),0)</f>
        <v>5542102</v>
      </c>
    </row>
    <row r="24" customFormat="false" ht="15" hidden="false" customHeight="false" outlineLevel="0" collapsed="false">
      <c r="A24" s="29" t="s">
        <v>123</v>
      </c>
      <c r="B24" s="31" t="n">
        <f aca="false">IFERROR(GecmisTeklifTahmin*(1-TahminBantOrani),0)</f>
        <v>4987891.8</v>
      </c>
    </row>
    <row r="25" customFormat="false" ht="15" hidden="false" customHeight="false" outlineLevel="0" collapsed="false">
      <c r="A25" s="29" t="s">
        <v>124</v>
      </c>
      <c r="B25" s="31" t="n">
        <f aca="false">IFERROR(GecmisTeklifTahmin*(1+TahminBantOrani),0)</f>
        <v>6096312.2</v>
      </c>
    </row>
    <row r="26" customFormat="false" ht="15" hidden="false" customHeight="false" outlineLevel="0" collapsed="false">
      <c r="A26" s="29" t="s">
        <v>125</v>
      </c>
      <c r="B26" s="33" t="n">
        <f aca="false">IFERROR(AVERAGEIF(tblGecmis[Sınır Altı Teklif],"EVET",tblGecmis[Bizim Teklif (₺)])/MAX(1,AVERAGEIF(tblGecmis[Sınır Altı Teklif],"EVET",tblGecmis[Sınır Değer (₺)])),0)</f>
        <v>0.976970770593446</v>
      </c>
    </row>
    <row r="28" customFormat="false" ht="15" hidden="false" customHeight="false" outlineLevel="0" collapsed="false">
      <c r="A28" s="13" t="s">
        <v>126</v>
      </c>
    </row>
    <row r="29" customFormat="false" ht="15" hidden="false" customHeight="false" outlineLevel="0" collapsed="false">
      <c r="A29" s="29" t="s">
        <v>127</v>
      </c>
      <c r="B29" s="33" t="n">
        <f aca="false">IFERROR(SLOPE(tblGecmis[Sınır Değer (₺)],ROW(tblGecmis[Sınır Değer (₺)])-ROW(tblGecmis[[#Headers],[Sınır Değer (₺)]])+1)/MAX(1,AVERAGE(tblGecmis[Sınır Değer (₺)])),0)</f>
        <v>-0.00413345143194567</v>
      </c>
    </row>
    <row r="30" customFormat="false" ht="15" hidden="false" customHeight="false" outlineLevel="0" collapsed="false">
      <c r="A30" s="29" t="s">
        <v>128</v>
      </c>
      <c r="B30" s="33" t="n">
        <f aca="false">IFERROR((LARGE(tblMaliyet[Toplam Maliyet (₺)],1)+LARGE(tblMaliyet[Toplam Maliyet (₺)],2)+LARGE(tblMaliyet[Toplam Maliyet (₺)],3))/MAX(1,SUM(tblMaliyet[Toplam Maliyet (₺)])),0)</f>
        <v>0.535338454066306</v>
      </c>
    </row>
    <row r="31" customFormat="false" ht="15" hidden="false" customHeight="false" outlineLevel="0" collapsed="false">
      <c r="A31" s="29" t="s">
        <v>129</v>
      </c>
      <c r="B31" s="33" t="n">
        <f aca="false">IFERROR(MaliyetKalemToplam/MAX(1,OneriTeklif),0)</f>
        <v>1.86702105507798</v>
      </c>
    </row>
    <row r="32" customFormat="false" ht="15" hidden="false" customHeight="false" outlineLevel="0" collapsed="false">
      <c r="A32" s="29" t="s">
        <v>130</v>
      </c>
      <c r="B32" s="34" t="str">
        <f aca="false">IFERROR(INDEX(SENARYO_DUYARLILIK!$A$13:$A$15,MATCH(MAX(SENARYO_DUYARLILIK!$G$13:$G$15),SENARYO_DUYARLILIK!$G$13:$G$15,0)),"-")</f>
        <v>Ortalama Teklif (±%5)</v>
      </c>
    </row>
    <row r="33" customFormat="false" ht="15" hidden="false" customHeight="false" outlineLevel="0" collapsed="false">
      <c r="A33" s="29" t="s">
        <v>131</v>
      </c>
      <c r="B33" s="31" t="n">
        <f aca="false">SENARYO_DUYARLILIK!$D$8</f>
        <v>14454000</v>
      </c>
    </row>
    <row r="34" customFormat="false" ht="15" hidden="false" customHeight="false" outlineLevel="0" collapsed="false">
      <c r="A34" s="29" t="s">
        <v>132</v>
      </c>
      <c r="B34" s="30" t="n">
        <f aca="false">KONTROL!$B$20</f>
        <v>90</v>
      </c>
    </row>
    <row r="35" customFormat="false" ht="15" hidden="false" customHeight="false" outlineLevel="0" collapsed="false">
      <c r="A35" s="29" t="s">
        <v>133</v>
      </c>
      <c r="B35" s="31" t="n">
        <f aca="false">GecmisTeklifTahmin</f>
        <v>5542102</v>
      </c>
    </row>
    <row r="36" customFormat="false" ht="15" hidden="false" customHeight="false" outlineLevel="0" collapsed="false">
      <c r="A36" s="29" t="s">
        <v>134</v>
      </c>
      <c r="B36" s="31" t="n">
        <f aca="false">IFERROR(PERCENTILE(tblRakipler[Teklif Tutarı (₺)],0.9),0)</f>
        <v>16160000</v>
      </c>
    </row>
    <row r="37" customFormat="false" ht="15" hidden="false" customHeight="false" outlineLevel="0" collapsed="false">
      <c r="A37" s="29" t="s">
        <v>135</v>
      </c>
      <c r="B37" s="31" t="n">
        <f aca="false">IFERROR(MAX(0,OneriTeklif-ToplamMaliyet),0)</f>
        <v>3387620</v>
      </c>
    </row>
    <row r="38" customFormat="false" ht="15" hidden="false" customHeight="false" outlineLevel="0" collapsed="false">
      <c r="A38" s="29" t="s">
        <v>136</v>
      </c>
      <c r="B38" s="33" t="n">
        <f aca="false">IFERROR(COUNTIF(tblGecmis[Sonuç],"KAZANDI")/MAX(1,SUMPRODUCT(--(tblGecmis[Sonuç]&lt;&gt;""))),0)</f>
        <v>0.9</v>
      </c>
    </row>
    <row r="40" customFormat="false" ht="15" hidden="false" customHeight="false" outlineLevel="0" collapsed="false">
      <c r="A40" s="13" t="s">
        <v>137</v>
      </c>
    </row>
    <row r="41" customFormat="false" ht="15" hidden="false" customHeight="false" outlineLevel="0" collapsed="false">
      <c r="A41" s="35" t="s">
        <v>138</v>
      </c>
      <c r="B41" s="33" t="n">
        <f aca="false">modulT2EndeksEgim</f>
        <v>-0.00413345143194567</v>
      </c>
    </row>
    <row r="42" customFormat="false" ht="15" hidden="false" customHeight="false" outlineLevel="0" collapsed="false">
      <c r="A42" s="35" t="s">
        <v>139</v>
      </c>
      <c r="B42" s="33" t="n">
        <f aca="false">modulT3ParetoPayi</f>
        <v>0.535338454066306</v>
      </c>
    </row>
    <row r="43" customFormat="false" ht="15" hidden="false" customHeight="false" outlineLevel="0" collapsed="false">
      <c r="A43" s="35" t="s">
        <v>140</v>
      </c>
      <c r="B43" s="33" t="n">
        <f aca="false">modulT6KirilimOrani</f>
        <v>1.86702105507798</v>
      </c>
    </row>
    <row r="44" customFormat="false" ht="15" hidden="false" customHeight="false" outlineLevel="0" collapsed="false">
      <c r="A44" s="35" t="s">
        <v>141</v>
      </c>
      <c r="B44" s="30" t="n">
        <f aca="false">modulO1AnomaliSayisi</f>
        <v>0</v>
      </c>
    </row>
    <row r="45" customFormat="false" ht="15" hidden="false" customHeight="false" outlineLevel="0" collapsed="false">
      <c r="A45" s="35" t="s">
        <v>142</v>
      </c>
      <c r="B45" s="34" t="str">
        <f aca="false">modulO2TornadoZirve</f>
        <v>Ortalama Teklif (±%5)</v>
      </c>
    </row>
    <row r="46" customFormat="false" ht="15" hidden="false" customHeight="false" outlineLevel="0" collapsed="false">
      <c r="A46" s="35" t="s">
        <v>143</v>
      </c>
      <c r="B46" s="31" t="n">
        <f aca="false">modulO3SenaryoBaz</f>
        <v>14454000</v>
      </c>
    </row>
    <row r="47" customFormat="false" ht="15" hidden="false" customHeight="false" outlineLevel="0" collapsed="false">
      <c r="A47" s="35" t="s">
        <v>144</v>
      </c>
      <c r="B47" s="30" t="n">
        <f aca="false">modulO8KaliteSkoru</f>
        <v>90</v>
      </c>
    </row>
    <row r="48" customFormat="false" ht="15" hidden="false" customHeight="false" outlineLevel="0" collapsed="false">
      <c r="A48" s="35" t="s">
        <v>145</v>
      </c>
      <c r="B48" s="31" t="n">
        <f aca="false">modulI1TahminOrta</f>
        <v>5542102</v>
      </c>
    </row>
    <row r="49" customFormat="false" ht="15" hidden="false" customHeight="false" outlineLevel="0" collapsed="false">
      <c r="A49" s="35" t="s">
        <v>146</v>
      </c>
      <c r="B49" s="31" t="n">
        <f aca="false">modulI2P90</f>
        <v>16160000</v>
      </c>
    </row>
    <row r="51" customFormat="false" ht="37.3" hidden="false" customHeight="false" outlineLevel="0" collapsed="false">
      <c r="A51" s="35" t="s">
        <v>147</v>
      </c>
      <c r="B51" s="36" t="str">
        <f aca="false">_xlfn.TEXTJOIN(" | ",TRUE(),"T2: Geçmiş sınır değer eğilimi dönem başına "&amp;TEXT(modulT2EndeksEgim*100,"0,0")&amp;"% değişim öngörüyor",IF(modulT2EndeksEgim&gt;0,"sınır değer yükselme eğiliminde","sınır değer düşme eğiliminde"))</f>
        <v>T2: Geçmiş sınır değer eğilimi dönem başına -0,4% değişim öngörüyor | sınır değer düşme eğiliminde</v>
      </c>
    </row>
    <row r="52" customFormat="false" ht="37.3" hidden="false" customHeight="false" outlineLevel="0" collapsed="false">
      <c r="A52" s="35" t="s">
        <v>148</v>
      </c>
      <c r="B52" s="36" t="str">
        <f aca="false">_xlfn.TEXTJOIN(" | ",TRUE(),"T3: Yoğunlaşma — ilk üç maliyet kalemi toplamın "&amp;TEXT(modulT3ParetoPayi*100,"0")&amp;"% tutarı",IF(modulT3ParetoPayi&gt;0.6,"maliyet yoğunlaşması yüksek, fiyat riski bu kalemlerde","yoğunlaşma dağılmış, risk yayılı"))</f>
        <v>T3: Yoğunlaşma — ilk üç maliyet kalemi toplamın 54% tutarı | yoğunlaşma dağılmış, risk yayılı</v>
      </c>
    </row>
    <row r="53" customFormat="false" ht="37.3" hidden="false" customHeight="false" outlineLevel="0" collapsed="false">
      <c r="A53" s="35" t="s">
        <v>149</v>
      </c>
      <c r="B53" s="36" t="str">
        <f aca="false">_xlfn.TEXTJOIN(" | ",TRUE(),"T6: Maliyet kalemleri önerilen teklifin "&amp;TEXT(modulT6KirilimOrani*100,"0")&amp;"% tutarını karşılıyor",IF(modulT6KirilimOrani&lt;0.9,"mutabakat farkı var, maliyet teklifi karşılamıyor","kalem yapısı teklifle uyumlu"))</f>
        <v>T6: Maliyet kalemleri önerilen teklifin 187% tutarını karşılıyor | kalem yapısı teklifle uyumlu</v>
      </c>
    </row>
    <row r="54" customFormat="false" ht="25.35" hidden="false" customHeight="false" outlineLevel="0" collapsed="false">
      <c r="A54" s="35" t="s">
        <v>150</v>
      </c>
      <c r="B54" s="36" t="str">
        <f aca="false">_xlfn.TEXTJOIN(" | ",TRUE(),"O1: Anomali tespiti — "&amp;modulO1AnomaliSayisi&amp;" teklif Z eşiğini aşıyor",IF(modulO1AnomaliSayisi&gt;0,"uç teklifler ortalamayı ve sınır değeri saptırıyor olabilir","teklif dağılımı normal"))</f>
        <v>O1: Anomali tespiti — 0 teklif Z eşiğini aşıyor | teklif dağılımı normal</v>
      </c>
    </row>
    <row r="55" customFormat="false" ht="37.3" hidden="false" customHeight="false" outlineLevel="0" collapsed="false">
      <c r="A55" s="35" t="s">
        <v>151</v>
      </c>
      <c r="B55" s="36" t="str">
        <f aca="false">_xlfn.TEXTJOIN(" | ",TRUE(),"O2: Duyarlılık — sınır değeri en çok etkileyen değişken: "&amp;modulO2TornadoZirve,IF(OR(modulO2TornadoZirve="N Katsayısı",modulO2TornadoZirve="Yaklaşık Maliyet (±%5)"),"bu değişkeni idari şartnameyle teyit edin","teklifi etkileyen ana değişken netleşti"))</f>
        <v>O2: Duyarlılık — sınır değeri en çok etkileyen değişken: Ortalama Teklif (±%5) | teklifi etkileyen ana değişken netleşti</v>
      </c>
    </row>
    <row r="56" customFormat="false" ht="37.3" hidden="false" customHeight="false" outlineLevel="0" collapsed="false">
      <c r="A56" s="35" t="s">
        <v>152</v>
      </c>
      <c r="B56" s="36" t="str">
        <f aca="false">_xlfn.TEXTJOIN(" | ",TRUE(),"O3: Senaryo motoru — baz senaryo sınır değeri "&amp;TEXT(modulO3SenaryoBaz,"#,##0")&amp;" TL",IF(modulO3SenaryoBaz=0,"veri girilmeden senaryo anlamsız","senaryo aralığı teklif kararını destekliyor"))</f>
        <v>O3: Senaryo motoru — baz senaryo sınır değeri 14.454.000 TL | senaryo aralığı teklif kararını destekliyor</v>
      </c>
    </row>
    <row r="57" customFormat="false" ht="25.35" hidden="false" customHeight="false" outlineLevel="0" collapsed="false">
      <c r="A57" s="35" t="s">
        <v>153</v>
      </c>
      <c r="B57" s="36" t="str">
        <f aca="false">_xlfn.TEXTJOIN(" | ",TRUE(),"O8: Veri kalitesi "&amp;modulO8KaliteSkoru&amp;"/100",IF(modulO8KaliteSkoru&lt;70,"girişler eksik; karar güvenilir değil","giriş kalitesi karar için yeterli"))</f>
        <v>O8: Veri kalitesi 90/100 | giriş kalitesi karar için yeterli</v>
      </c>
    </row>
    <row r="58" customFormat="false" ht="37.3" hidden="false" customHeight="false" outlineLevel="0" collapsed="false">
      <c r="A58" s="35" t="s">
        <v>154</v>
      </c>
      <c r="B58" s="36" t="str">
        <f aca="false">_xlfn.TEXTJOIN(" | ",TRUE(),"I1: Tahmin — bir sonraki teklif "&amp;TEXT(modulI1TahminOrta,"#,##0")&amp;" TL öngörülüyor",IF(modulI1TahminOrta&gt;OrtalamaTeklif,"tahmin rakip ortalamanın üzerinde","tahmin rakip ortalamanın altında"))</f>
        <v>I1: Tahmin — bir sonraki teklif 5.542.102 TL öngörülüyor | tahmin rakip ortalamanın altında</v>
      </c>
    </row>
    <row r="59" customFormat="false" ht="37.3" hidden="false" customHeight="false" outlineLevel="0" collapsed="false">
      <c r="A59" s="35" t="s">
        <v>155</v>
      </c>
      <c r="B59" s="36" t="str">
        <f aca="false">_xlfn.TEXTJOIN(" | ",TRUE(),"I2: Dağılım — tekliflerin %90'ı "&amp;TEXT(modulI2P90,"#,##0")&amp;" TL altında",IF(modulI2P90&gt;0,"rakip dağılımı P90 üzerinden okunabilir","veri az, dağılım güvenilir değil"))</f>
        <v>I2: Dağılım — tekliflerin %90'ı 16.160.000 TL altında | rakip dağılımı P90 üzerinden okunabilir</v>
      </c>
    </row>
    <row r="62" customFormat="false" ht="19.5" hidden="false" customHeight="true" outlineLevel="0" collapsed="false">
      <c r="A62" s="11" t="s">
        <v>156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</sheetData>
  <sheetProtection sheet="true" password="cc3d" objects="true" scenarios="true" deleteColumns="false" deleteRows="false"/>
  <mergeCells count="2">
    <mergeCell ref="A1:AD1"/>
    <mergeCell ref="A62:AN62"/>
  </mergeCells>
  <conditionalFormatting sqref="B11">
    <cfRule type="cellIs" priority="2" operator="lessThan" aboveAverage="0" equalAverage="0" bottom="0" percent="0" rank="0" text="" dxfId="0">
      <formula>YaklasikMaliyet</formula>
    </cfRule>
  </conditionalFormatting>
  <conditionalFormatting sqref="B10">
    <cfRule type="cellIs" priority="3" operator="greaterThan" aboveAverage="0" equalAverage="0" bottom="0" percent="0" rank="0" text="" dxfId="2">
      <formula>0</formula>
    </cfRule>
  </conditionalFormatting>
  <conditionalFormatting sqref="B12">
    <cfRule type="cellIs" priority="4" operator="greaterThan" aboveAverage="0" equalAverage="0" bottom="0" percent="0" rank="0" text="" dxfId="2">
      <formula>ToplamMaliyet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2" t="s">
        <v>157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158</v>
      </c>
    </row>
    <row r="5" customFormat="false" ht="15" hidden="false" customHeight="false" outlineLevel="0" collapsed="false">
      <c r="A5" s="37" t="s">
        <v>159</v>
      </c>
    </row>
    <row r="7" customFormat="false" ht="15" hidden="false" customHeight="false" outlineLevel="0" collapsed="false">
      <c r="A7" s="38" t="s">
        <v>160</v>
      </c>
      <c r="B7" s="39" t="str">
        <f aca="false">IF(IhaleAdi="","FAIL","PASS")</f>
        <v>PASS</v>
      </c>
    </row>
    <row r="8" customFormat="false" ht="15" hidden="false" customHeight="false" outlineLevel="0" collapsed="false">
      <c r="A8" s="38" t="s">
        <v>161</v>
      </c>
      <c r="B8" s="39" t="str">
        <f aca="false">IF(OR(YaklasikMaliyet="",YaklasikMaliyet&lt;=0),"FAIL","PASS")</f>
        <v>PASS</v>
      </c>
    </row>
    <row r="9" customFormat="false" ht="15" hidden="false" customHeight="false" outlineLevel="0" collapsed="false">
      <c r="A9" s="38" t="s">
        <v>162</v>
      </c>
      <c r="B9" s="39" t="str">
        <f aca="false">IF(OR(NKatsayisi="",NKatsayisi&lt;=0,NKatsayisi&gt;=1),"FAIL","PASS")</f>
        <v>PASS</v>
      </c>
    </row>
    <row r="10" customFormat="false" ht="15" hidden="false" customHeight="false" outlineLevel="0" collapsed="false">
      <c r="A10" s="38" t="s">
        <v>163</v>
      </c>
      <c r="B10" s="39" t="str">
        <f aca="false">IF(OR(ToplamMaliyet="",ToplamMaliyet&lt;=0),"FAIL","PASS")</f>
        <v>PASS</v>
      </c>
    </row>
    <row r="11" customFormat="false" ht="15" hidden="false" customHeight="false" outlineLevel="0" collapsed="false">
      <c r="A11" s="38" t="s">
        <v>164</v>
      </c>
      <c r="B11" s="39" t="str">
        <f aca="false">IF(SdGecerliSayi&lt;3,"WARN","PASS")</f>
        <v>PASS</v>
      </c>
    </row>
    <row r="12" customFormat="false" ht="15" hidden="false" customHeight="false" outlineLevel="0" collapsed="false">
      <c r="A12" s="38" t="s">
        <v>165</v>
      </c>
      <c r="B12" s="39" t="str">
        <f aca="false">IF(MutabakatDurumu="KONTROL GEREKLİ","WARN","PASS")</f>
        <v>WARN</v>
      </c>
    </row>
    <row r="13" customFormat="false" ht="15" hidden="false" customHeight="false" outlineLevel="0" collapsed="false">
      <c r="A13" s="38" t="s">
        <v>166</v>
      </c>
      <c r="B13" s="39" t="str">
        <f aca="false">IF(AnomaliSayisi&gt;0,"WARN","PASS")</f>
        <v>PASS</v>
      </c>
    </row>
    <row r="14" customFormat="false" ht="15" hidden="false" customHeight="false" outlineLevel="0" collapsed="false">
      <c r="A14" s="38" t="s">
        <v>167</v>
      </c>
      <c r="B14" s="39" t="str">
        <f aca="false">IF(COUNTIF(tblRakipler[Teklif Tutarı (₺)],"&lt;0")&gt;0,"FAIL","PASS")</f>
        <v>PASS</v>
      </c>
    </row>
    <row r="15" customFormat="false" ht="15" hidden="false" customHeight="false" outlineLevel="0" collapsed="false">
      <c r="A15" s="38" t="s">
        <v>168</v>
      </c>
      <c r="B15" s="39" t="str">
        <f aca="false">IF(COUNTIF(tblRakipler[Teklif Tutarı (₺)],"&gt;"&amp;AzamiTutarSiniri)&gt;0,"FAIL",IF(OR(YaklasikMaliyet&gt;AzamiTutarSiniri,ToplamMaliyet&gt;AzamiTutarSiniri),"FAIL","PASS"))</f>
        <v>PASS</v>
      </c>
    </row>
    <row r="17" customFormat="false" ht="15" hidden="false" customHeight="false" outlineLevel="0" collapsed="false">
      <c r="A17" s="37" t="s">
        <v>169</v>
      </c>
    </row>
    <row r="18" customFormat="false" ht="15" hidden="false" customHeight="false" outlineLevel="0" collapsed="false">
      <c r="A18" s="38" t="s">
        <v>170</v>
      </c>
      <c r="B18" s="40" t="n">
        <f aca="false">COUNTIF(B7:B15,"PASS")</f>
        <v>8</v>
      </c>
    </row>
    <row r="19" customFormat="false" ht="15" hidden="false" customHeight="false" outlineLevel="0" collapsed="false">
      <c r="A19" s="38" t="s">
        <v>171</v>
      </c>
      <c r="B19" s="40" t="n">
        <f aca="false">COUNTIF(B7:B15,"FAIL")</f>
        <v>0</v>
      </c>
    </row>
    <row r="20" customFormat="false" ht="15" hidden="false" customHeight="false" outlineLevel="0" collapsed="false">
      <c r="A20" s="41" t="s">
        <v>172</v>
      </c>
      <c r="B20" s="42" t="n">
        <f aca="false">IF(COUNTIF(B7:B15,"FAIL")=0,ROUND(100-COUNTIF(B7:B15,"WARN")*VeriKaliteUyariCeza,0),0)</f>
        <v>90</v>
      </c>
    </row>
    <row r="21" customFormat="false" ht="15" hidden="false" customHeight="false" outlineLevel="0" collapsed="false">
      <c r="A21" s="38" t="s">
        <v>173</v>
      </c>
      <c r="B21" s="41" t="str">
        <f aca="false">IF(VeriKaliteSkoru=0,"VERİ YETERSİZ",IF(VeriKaliteSkoru&gt;=VeriKaliteIyiEsik,"YÜKSEK",IF(VeriKaliteSkoru&gt;=VeriKaliteOrtaEsik,"ORTA","DÜŞÜK")))</f>
        <v>YÜKSEK</v>
      </c>
    </row>
    <row r="23" customFormat="false" ht="15" hidden="false" customHeight="false" outlineLevel="0" collapsed="false">
      <c r="A23" s="38" t="s">
        <v>174</v>
      </c>
      <c r="B23" s="41" t="str">
        <f aca="false">IF(FAIL_Sayisi=0,"SAĞLIKLI","İNCELE")</f>
        <v>SAĞLIKLI</v>
      </c>
    </row>
    <row r="25" customFormat="false" ht="15" hidden="false" customHeight="false" outlineLevel="0" collapsed="false">
      <c r="A25" s="41" t="s">
        <v>175</v>
      </c>
      <c r="B25" s="30" t="n">
        <f aca="false">COUNTIF(tblRakipler[Teklif Tutarı (₺)],"&gt;0")+COUNTIF(tblGecmis[Bizim Teklif (₺)],"&gt;0")+COUNTIF(tblMaliyet[Miktar],"&gt;0")</f>
        <v>34</v>
      </c>
    </row>
    <row r="26" customFormat="false" ht="15" hidden="false" customHeight="false" outlineLevel="0" collapsed="false">
      <c r="A26" s="38" t="s">
        <v>176</v>
      </c>
      <c r="B26" s="43" t="n">
        <f aca="false">IF(DoluGirisHucre=0,0,MIN(DoluGirisHucre,100)/100)</f>
        <v>0.34</v>
      </c>
    </row>
    <row r="28" customFormat="false" ht="19.5" hidden="false" customHeight="true" outlineLevel="0" collapsed="false">
      <c r="A28" s="11" t="s">
        <v>177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</sheetData>
  <sheetProtection sheet="true" password="cc3d" objects="true" scenarios="true" deleteColumns="false" deleteRows="false"/>
  <mergeCells count="2">
    <mergeCell ref="A1:AD1"/>
    <mergeCell ref="A28:AN28"/>
  </mergeCells>
  <conditionalFormatting sqref="B7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"WARN"</formula>
    </cfRule>
    <cfRule type="cellIs" priority="4" operator="equal" aboveAverage="0" equalAverage="0" bottom="0" percent="0" rank="0" text="" dxfId="2">
      <formula>"PASS"</formula>
    </cfRule>
  </conditionalFormatting>
  <conditionalFormatting sqref="B8">
    <cfRule type="cellIs" priority="5" operator="equal" aboveAverage="0" equalAverage="0" bottom="0" percent="0" rank="0" text="" dxfId="0">
      <formula>"FAIL"</formula>
    </cfRule>
    <cfRule type="cellIs" priority="6" operator="equal" aboveAverage="0" equalAverage="0" bottom="0" percent="0" rank="0" text="" dxfId="1">
      <formula>"WARN"</formula>
    </cfRule>
    <cfRule type="cellIs" priority="7" operator="equal" aboveAverage="0" equalAverage="0" bottom="0" percent="0" rank="0" text="" dxfId="2">
      <formula>"PASS"</formula>
    </cfRule>
  </conditionalFormatting>
  <conditionalFormatting sqref="B9">
    <cfRule type="cellIs" priority="8" operator="equal" aboveAverage="0" equalAverage="0" bottom="0" percent="0" rank="0" text="" dxfId="0">
      <formula>"FAIL"</formula>
    </cfRule>
    <cfRule type="cellIs" priority="9" operator="equal" aboveAverage="0" equalAverage="0" bottom="0" percent="0" rank="0" text="" dxfId="1">
      <formula>"WARN"</formula>
    </cfRule>
    <cfRule type="cellIs" priority="10" operator="equal" aboveAverage="0" equalAverage="0" bottom="0" percent="0" rank="0" text="" dxfId="2">
      <formula>"PASS"</formula>
    </cfRule>
  </conditionalFormatting>
  <conditionalFormatting sqref="B10">
    <cfRule type="cellIs" priority="11" operator="equal" aboveAverage="0" equalAverage="0" bottom="0" percent="0" rank="0" text="" dxfId="0">
      <formula>"FAIL"</formula>
    </cfRule>
    <cfRule type="cellIs" priority="12" operator="equal" aboveAverage="0" equalAverage="0" bottom="0" percent="0" rank="0" text="" dxfId="1">
      <formula>"WARN"</formula>
    </cfRule>
    <cfRule type="cellIs" priority="13" operator="equal" aboveAverage="0" equalAverage="0" bottom="0" percent="0" rank="0" text="" dxfId="2">
      <formula>"PASS"</formula>
    </cfRule>
  </conditionalFormatting>
  <conditionalFormatting sqref="B11">
    <cfRule type="cellIs" priority="14" operator="equal" aboveAverage="0" equalAverage="0" bottom="0" percent="0" rank="0" text="" dxfId="0">
      <formula>"FAIL"</formula>
    </cfRule>
    <cfRule type="cellIs" priority="15" operator="equal" aboveAverage="0" equalAverage="0" bottom="0" percent="0" rank="0" text="" dxfId="1">
      <formula>"WARN"</formula>
    </cfRule>
    <cfRule type="cellIs" priority="16" operator="equal" aboveAverage="0" equalAverage="0" bottom="0" percent="0" rank="0" text="" dxfId="2">
      <formula>"PASS"</formula>
    </cfRule>
  </conditionalFormatting>
  <conditionalFormatting sqref="B12">
    <cfRule type="cellIs" priority="17" operator="equal" aboveAverage="0" equalAverage="0" bottom="0" percent="0" rank="0" text="" dxfId="0">
      <formula>"FAIL"</formula>
    </cfRule>
    <cfRule type="cellIs" priority="18" operator="equal" aboveAverage="0" equalAverage="0" bottom="0" percent="0" rank="0" text="" dxfId="1">
      <formula>"WARN"</formula>
    </cfRule>
    <cfRule type="cellIs" priority="19" operator="equal" aboveAverage="0" equalAverage="0" bottom="0" percent="0" rank="0" text="" dxfId="2">
      <formula>"PASS"</formula>
    </cfRule>
  </conditionalFormatting>
  <conditionalFormatting sqref="B13">
    <cfRule type="cellIs" priority="20" operator="equal" aboveAverage="0" equalAverage="0" bottom="0" percent="0" rank="0" text="" dxfId="0">
      <formula>"FAIL"</formula>
    </cfRule>
    <cfRule type="cellIs" priority="21" operator="equal" aboveAverage="0" equalAverage="0" bottom="0" percent="0" rank="0" text="" dxfId="1">
      <formula>"WARN"</formula>
    </cfRule>
    <cfRule type="cellIs" priority="22" operator="equal" aboveAverage="0" equalAverage="0" bottom="0" percent="0" rank="0" text="" dxfId="2">
      <formula>"PASS"</formula>
    </cfRule>
  </conditionalFormatting>
  <conditionalFormatting sqref="B14">
    <cfRule type="cellIs" priority="23" operator="equal" aboveAverage="0" equalAverage="0" bottom="0" percent="0" rank="0" text="" dxfId="0">
      <formula>"FAIL"</formula>
    </cfRule>
    <cfRule type="cellIs" priority="24" operator="equal" aboveAverage="0" equalAverage="0" bottom="0" percent="0" rank="0" text="" dxfId="1">
      <formula>"WARN"</formula>
    </cfRule>
    <cfRule type="cellIs" priority="25" operator="equal" aboveAverage="0" equalAverage="0" bottom="0" percent="0" rank="0" text="" dxfId="2">
      <formula>"PASS"</formula>
    </cfRule>
  </conditionalFormatting>
  <conditionalFormatting sqref="B15">
    <cfRule type="cellIs" priority="26" operator="equal" aboveAverage="0" equalAverage="0" bottom="0" percent="0" rank="0" text="" dxfId="0">
      <formula>"FAIL"</formula>
    </cfRule>
    <cfRule type="cellIs" priority="27" operator="equal" aboveAverage="0" equalAverage="0" bottom="0" percent="0" rank="0" text="" dxfId="1">
      <formula>"WARN"</formula>
    </cfRule>
    <cfRule type="cellIs" priority="28" operator="equal" aboveAverage="0" equalAverage="0" bottom="0" percent="0" rank="0" text="" dxfId="2">
      <formula>"PASS"</formula>
    </cfRule>
  </conditionalFormatting>
  <conditionalFormatting sqref="B20">
    <cfRule type="cellIs" priority="29" operator="greaterThanOrEqual" aboveAverage="0" equalAverage="0" bottom="0" percent="0" rank="0" text="" dxfId="2">
      <formula>90</formula>
    </cfRule>
    <cfRule type="cellIs" priority="30" operator="lessThan" aboveAverage="0" equalAverage="0" bottom="0" percent="0" rank="0" text="" dxfId="0">
      <formula>70</formula>
    </cfRule>
  </conditionalFormatting>
  <conditionalFormatting sqref="B23">
    <cfRule type="cellIs" priority="31" operator="equal" aboveAverage="0" equalAverage="0" bottom="0" percent="0" rank="0" text="" dxfId="2">
      <formula>"SAĞLIKLI"</formula>
    </cfRule>
    <cfRule type="cellIs" priority="32" operator="equal" aboveAverage="0" equalAverage="0" bottom="0" percent="0" rank="0" text="" dxfId="1">
      <formula>"İNCELE"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179</v>
      </c>
    </row>
    <row r="5" customFormat="false" ht="15" hidden="false" customHeight="false" outlineLevel="0" collapsed="false">
      <c r="A5" s="37" t="s">
        <v>180</v>
      </c>
    </row>
    <row r="6" customFormat="false" ht="15" hidden="false" customHeight="false" outlineLevel="0" collapsed="false">
      <c r="A6" s="41" t="s">
        <v>109</v>
      </c>
      <c r="B6" s="31" t="n">
        <f aca="false">SinirDeger</f>
        <v>14454000</v>
      </c>
    </row>
    <row r="7" customFormat="false" ht="18.65" hidden="false" customHeight="false" outlineLevel="0" collapsed="false">
      <c r="A7" s="13" t="s">
        <v>181</v>
      </c>
      <c r="B7" s="44" t="n">
        <f aca="false">OneriTeklif</f>
        <v>14887620</v>
      </c>
    </row>
    <row r="8" customFormat="false" ht="15" hidden="false" customHeight="false" outlineLevel="0" collapsed="false">
      <c r="A8" s="41" t="s">
        <v>112</v>
      </c>
      <c r="B8" s="33" t="n">
        <f aca="false">OneriTeklifMarj</f>
        <v>0.294575652173913</v>
      </c>
    </row>
    <row r="9" customFormat="false" ht="15" hidden="false" customHeight="false" outlineLevel="0" collapsed="false">
      <c r="A9" s="41" t="s">
        <v>182</v>
      </c>
      <c r="B9" s="33" t="n">
        <f aca="false">OneriTeklifSdOran</f>
        <v>1.03</v>
      </c>
    </row>
    <row r="11" customFormat="false" ht="19.4" hidden="false" customHeight="false" outlineLevel="0" collapsed="false">
      <c r="A11" s="13" t="s">
        <v>183</v>
      </c>
      <c r="B11" s="45" t="str">
        <f aca="false">IF(DoluGirisHucre=0,"VERİ YOK",IF(VeriKaliteSkoru=0,"VERİ YETERSİZ",IF(OneriTeklifMarj&lt;=0,"DURDUR",IF(OneriTeklifSdOran&lt;SdAsiriDusukEsik,"DURDUR",IF(OneriTeklifMarj&lt;HedefKarMarji,"İNCELE","UYGUN")))))</f>
        <v>UYGUN</v>
      </c>
    </row>
    <row r="12" customFormat="false" ht="28.35" hidden="false" customHeight="false" outlineLevel="0" collapsed="false">
      <c r="A12" s="41" t="s">
        <v>184</v>
      </c>
      <c r="B12" s="46" t="str">
        <f aca="false">IF(DoluGirisHucre=0,"Hiç veri girilmedi; sarı hücreleri doldurarak başlayın.",IF(VeriKaliteSkoru=0,"Girdi eksik veya geçersiz; lütfen sarı hücreleri kontrol edin.",IF(OneriTeklifMarj&lt;=0,"Önerilen teklif maliyetin altında: marj "&amp;TEXT(OneriTeklifMarj,"0.0%")&amp;".",IF(OneriTeklifSdOran&lt;SdAsiriDusukEsik,"Önerilen teklif sınır değerin altında kalıyor (oran "&amp;TEXT(OneriTeklifSdOran,"0.0%")&amp;").",IF(OneriTeklifMarj&lt;HedefKarMarji,"Marj hedefin altında: "&amp;TEXT(OneriTeklifMarj,"0.0%")&amp;" &lt; "&amp;TEXT(HedefKarMarji,"0.0%")&amp;".","Marj hedefi karşılanıyor ("&amp;TEXT(OneriTeklifMarj,"0.0%")&amp;") ve teklif güvenli bölgede.")))))</f>
        <v>Marj hedefi karşılanıyor (29%) ve teklif güvenli bölgede.</v>
      </c>
    </row>
    <row r="14" customFormat="false" ht="15" hidden="false" customHeight="false" outlineLevel="0" collapsed="false">
      <c r="A14" s="37" t="s">
        <v>185</v>
      </c>
    </row>
    <row r="15" customFormat="false" ht="15" hidden="false" customHeight="false" outlineLevel="0" collapsed="false">
      <c r="A15" s="47" t="str">
        <f aca="false">IF(OR(KararSonuc="VERİ YETERSİZ",OneriTeklifMarj&lt;=0),"Maliyet kalemlerini yeniden gözden geçirin",IF(OneriTeklifSdOran&lt;SdAsiriDusukEsik,"Teklifi sınır değerin üstüne çıkarın veya savunma hazırlayın","Teklif stratejisini sürdürün"))</f>
        <v>Teklif stratejisini sürdürün</v>
      </c>
      <c r="B15" s="47"/>
      <c r="C15" s="47"/>
    </row>
    <row r="16" customFormat="false" ht="15" hidden="false" customHeight="false" outlineLevel="0" collapsed="false">
      <c r="A16" s="47" t="str">
        <f aca="false">IF(AnomaliSayisi&gt;0,"Uç rakip teklifleri inceleyin; geçersizleri tablodan ayıklayın","Rakip dağılımı normal")</f>
        <v>Rakip dağılımı normal</v>
      </c>
      <c r="B16" s="47"/>
      <c r="C16" s="47"/>
    </row>
    <row r="17" customFormat="false" ht="15" hidden="false" customHeight="false" outlineLevel="0" collapsed="false">
      <c r="A17" s="47" t="str">
        <f aca="false">IF(MutabakatDurumu="KONTROL GEREKLİ","Maliyet kalemlerini IHALE_KARTI ile mutabakat ettirin","Maliyet mutabakatı uyumlu")</f>
        <v>Maliyet kalemlerini IHALE_KARTI ile mutabakat ettirin</v>
      </c>
      <c r="B17" s="47"/>
      <c r="C17" s="47"/>
    </row>
    <row r="18" customFormat="false" ht="15" hidden="false" customHeight="false" outlineLevel="0" collapsed="false">
      <c r="A18" s="47" t="str">
        <f aca="false">IF(GecmisKazanmaOrt&gt;0,"Geçmiş kazanma marjınıza göre N katsayısı duyarlılığını SENARYO sayfasında inceleyin","Geçmiş ihale verisi girin")</f>
        <v>Geçmiş kazanma marjınıza göre N katsayısı duyarlılığını SENARYO sayfasında inceleyin</v>
      </c>
      <c r="B18" s="47"/>
      <c r="C18" s="47"/>
    </row>
    <row r="21" customFormat="false" ht="19.5" hidden="false" customHeight="true" outlineLevel="0" collapsed="false">
      <c r="A21" s="11" t="s">
        <v>186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  <cfRule type="cellIs" priority="5" operator="equal" aboveAverage="0" equalAverage="0" bottom="0" percent="0" rank="0" text="" dxfId="13">
      <formula>"VERİ YETERSİZ"</formula>
    </cfRule>
  </conditionalFormatting>
  <conditionalFormatting sqref="B7">
    <cfRule type="cellIs" priority="6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48" t="s">
        <v>188</v>
      </c>
    </row>
    <row r="5" customFormat="false" ht="15" hidden="false" customHeight="false" outlineLevel="0" collapsed="false">
      <c r="A5" s="49" t="s">
        <v>189</v>
      </c>
      <c r="B5" s="49"/>
      <c r="D5" s="50" t="s">
        <v>180</v>
      </c>
      <c r="E5" s="50"/>
      <c r="G5" s="51" t="s">
        <v>190</v>
      </c>
      <c r="H5" s="51"/>
      <c r="J5" s="52" t="s">
        <v>183</v>
      </c>
      <c r="K5" s="52"/>
    </row>
    <row r="6" customFormat="false" ht="19.4" hidden="false" customHeight="false" outlineLevel="0" collapsed="false">
      <c r="A6" s="53" t="n">
        <f aca="false">SinirDeger</f>
        <v>14454000</v>
      </c>
      <c r="B6" s="53"/>
      <c r="D6" s="53" t="n">
        <f aca="false">OneriTeklif</f>
        <v>14887620</v>
      </c>
      <c r="E6" s="53"/>
      <c r="G6" s="54" t="n">
        <f aca="false">OneriTeklifMarj</f>
        <v>0.294575652173913</v>
      </c>
      <c r="H6" s="54"/>
      <c r="J6" s="55" t="str">
        <f aca="false">KararSonuc</f>
        <v>UYGUN</v>
      </c>
      <c r="K6" s="55"/>
    </row>
    <row r="8" customFormat="false" ht="15" hidden="false" customHeight="false" outlineLevel="0" collapsed="false">
      <c r="A8" s="32" t="s">
        <v>191</v>
      </c>
      <c r="B8" s="33" t="n">
        <f aca="false">IFERROR(sdstdsapma/OrtalamaTeklif,0)</f>
        <v>0</v>
      </c>
    </row>
    <row r="9" customFormat="false" ht="15" hidden="false" customHeight="false" outlineLevel="0" collapsed="false">
      <c r="A9" s="32" t="s">
        <v>192</v>
      </c>
      <c r="B9" s="30" t="n">
        <f aca="false">AnomaliSayisi</f>
        <v>0</v>
      </c>
    </row>
    <row r="10" customFormat="false" ht="15" hidden="false" customHeight="false" outlineLevel="0" collapsed="false">
      <c r="A10" s="32" t="s">
        <v>120</v>
      </c>
      <c r="B10" s="34" t="str">
        <f aca="false">MutabakatDurumu</f>
        <v>KONTROL GEREKLİ</v>
      </c>
    </row>
    <row r="11" customFormat="false" ht="15" hidden="false" customHeight="false" outlineLevel="0" collapsed="false">
      <c r="A11" s="32" t="s">
        <v>193</v>
      </c>
      <c r="B11" s="30" t="n">
        <f aca="false">VeriKaliteSkoru</f>
        <v>90</v>
      </c>
    </row>
    <row r="13" customFormat="false" ht="15" hidden="false" customHeight="false" outlineLevel="0" collapsed="false">
      <c r="A13" s="37" t="s">
        <v>194</v>
      </c>
    </row>
    <row r="14" customFormat="false" ht="15" hidden="false" customHeight="false" outlineLevel="0" collapsed="false">
      <c r="A14" s="47" t="str">
        <f aca="false">"Sınır değer yaklaşık maliyetin %"&amp;TEXT(SdOran,"0.0")&amp;" üzerinde."</f>
        <v>Sınır değer yaklaşık maliyetin %01 üzerinde.</v>
      </c>
      <c r="B14" s="47"/>
      <c r="C14" s="47"/>
      <c r="D14" s="47"/>
      <c r="E14" s="47"/>
      <c r="F14" s="47"/>
    </row>
    <row r="15" customFormat="false" ht="15" hidden="false" customHeight="false" outlineLevel="0" collapsed="false">
      <c r="A15" s="47" t="str">
        <f aca="false">"Önerilen teklif sınır değerin %"&amp;TEXT(OneriTeklifSdOran-1,"0.0%")&amp;" üzerinde."</f>
        <v>Önerilen teklif sınır değerin %03% üzerinde.</v>
      </c>
      <c r="B15" s="47"/>
      <c r="C15" s="47"/>
      <c r="D15" s="47"/>
      <c r="E15" s="47"/>
      <c r="F15" s="47"/>
    </row>
    <row r="16" customFormat="false" ht="15" hidden="false" customHeight="false" outlineLevel="0" collapsed="false">
      <c r="A16" s="47" t="str">
        <f aca="false">"Hedef marj "&amp;TEXT(HedefKarMarji,"0.0%")&amp;", önerilen marj "&amp;TEXT(OneriTeklifMarj,"0.0%")&amp;"."</f>
        <v>Hedef marj 12%, önerilen marj 29%.</v>
      </c>
      <c r="B16" s="47"/>
      <c r="C16" s="47"/>
      <c r="D16" s="47"/>
      <c r="E16" s="47"/>
      <c r="F16" s="47"/>
    </row>
    <row r="18" customFormat="false" ht="15" hidden="false" customHeight="false" outlineLevel="0" collapsed="false">
      <c r="A18" s="32" t="s">
        <v>195</v>
      </c>
      <c r="B18" s="0" t="s">
        <v>196</v>
      </c>
      <c r="C18" s="28" t="n">
        <f aca="false">ToplamMaliyet</f>
        <v>11500000</v>
      </c>
    </row>
    <row r="19" customFormat="false" ht="15" hidden="false" customHeight="false" outlineLevel="0" collapsed="false">
      <c r="B19" s="0" t="s">
        <v>197</v>
      </c>
      <c r="C19" s="28" t="n">
        <f aca="false">MAX(0,OneriTeklif-ToplamMaliyet)</f>
        <v>3387620</v>
      </c>
    </row>
    <row r="21" customFormat="false" ht="15" hidden="false" customHeight="false" outlineLevel="0" collapsed="false">
      <c r="A21" s="32" t="s">
        <v>198</v>
      </c>
      <c r="B21" s="0" t="s">
        <v>199</v>
      </c>
      <c r="C21" s="28" t="n">
        <f aca="false">GecmisTeklifTahmin</f>
        <v>5542102</v>
      </c>
    </row>
    <row r="22" customFormat="false" ht="15" hidden="false" customHeight="false" outlineLevel="0" collapsed="false">
      <c r="B22" s="0" t="s">
        <v>200</v>
      </c>
      <c r="C22" s="28" t="n">
        <f aca="false">TahminAltSinir</f>
        <v>4987891.8</v>
      </c>
    </row>
    <row r="23" customFormat="false" ht="15" hidden="false" customHeight="false" outlineLevel="0" collapsed="false">
      <c r="B23" s="0" t="s">
        <v>201</v>
      </c>
      <c r="C23" s="28" t="n">
        <f aca="false">TahminUstSinir</f>
        <v>6096312.2</v>
      </c>
    </row>
    <row r="26" customFormat="false" ht="15" hidden="false" customHeight="false" outlineLevel="0" collapsed="false">
      <c r="A26" s="32" t="s">
        <v>121</v>
      </c>
      <c r="B26" s="31" t="n">
        <f aca="false">FiyatFarkiEtki</f>
        <v>162167</v>
      </c>
    </row>
    <row r="27" customFormat="false" ht="15" hidden="false" customHeight="false" outlineLevel="0" collapsed="false">
      <c r="A27" s="32" t="s">
        <v>125</v>
      </c>
      <c r="B27" s="33" t="n">
        <f aca="false">KazanmaMarjOrtalama</f>
        <v>0.976970770593446</v>
      </c>
    </row>
    <row r="29" customFormat="false" ht="15" hidden="false" customHeight="false" outlineLevel="0" collapsed="false">
      <c r="A29" s="37" t="s">
        <v>202</v>
      </c>
      <c r="B29" s="0" t="s">
        <v>203</v>
      </c>
      <c r="C29" s="28" t="n">
        <f aca="false">SinirDeger</f>
        <v>14454000</v>
      </c>
    </row>
  </sheetData>
  <sheetProtection sheet="true" password="cc3d" objects="true" scenarios="true" deleteColumns="false" deleteRows="false"/>
  <mergeCells count="12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4:F14"/>
    <mergeCell ref="A15:F15"/>
    <mergeCell ref="A16:F16"/>
  </mergeCells>
  <conditionalFormatting sqref="C18">
    <cfRule type="cellIs" priority="2" operator="greaterThan" aboveAverage="0" equalAverage="0" bottom="0" percent="0" rank="0" text="" dxfId="2">
      <formula>0</formula>
    </cfRule>
    <cfRule type="cellIs" priority="3" operator="lessThanOrEqual" aboveAverage="0" equalAverage="0" bottom="0" percent="0" rank="0" text="" dxfId="0">
      <formula>0</formula>
    </cfRule>
  </conditionalFormatting>
  <conditionalFormatting sqref="C19">
    <cfRule type="cellIs" priority="4" operator="greaterThan" aboveAverage="0" equalAverage="0" bottom="0" percent="0" rank="0" text="" dxfId="2">
      <formula>0</formula>
    </cfRule>
  </conditionalFormatting>
  <conditionalFormatting sqref="A6">
    <cfRule type="cellIs" priority="5" operator="greaterThan" aboveAverage="0" equalAverage="0" bottom="0" percent="0" rank="0" text="" dxfId="1">
      <formula>0</formula>
    </cfRule>
  </conditionalFormatting>
  <conditionalFormatting sqref="D6">
    <cfRule type="cellIs" priority="6" operator="greaterThan" aboveAverage="0" equalAverage="0" bottom="0" percent="0" rank="0" text="" dxfId="1">
      <formula>0</formula>
    </cfRule>
  </conditionalFormatting>
  <conditionalFormatting sqref="G6">
    <cfRule type="cellIs" priority="7" operator="greaterThan" aboveAverage="0" equalAverage="0" bottom="0" percent="0" rank="0" text="" dxfId="1">
      <formula>0</formula>
    </cfRule>
  </conditionalFormatting>
  <conditionalFormatting sqref="A7">
    <cfRule type="cellIs" priority="8" operator="greaterThan" aboveAverage="0" equalAverage="0" bottom="0" percent="0" rank="0" text="" dxfId="1">
      <formula>0</formula>
    </cfRule>
  </conditionalFormatting>
  <conditionalFormatting sqref="D7">
    <cfRule type="cellIs" priority="9" operator="greaterThan" aboveAverage="0" equalAverage="0" bottom="0" percent="0" rank="0" text="" dxfId="1">
      <formula>0</formula>
    </cfRule>
  </conditionalFormatting>
  <conditionalFormatting sqref="G7">
    <cfRule type="cellIs" priority="10" operator="greaterThan" aboveAverage="0" equalAverage="0" bottom="0" percent="0" rank="0" text="" dxfId="1">
      <formula>0</formula>
    </cfRule>
  </conditionalFormatting>
  <conditionalFormatting sqref="A8">
    <cfRule type="cellIs" priority="11" operator="greaterThan" aboveAverage="0" equalAverage="0" bottom="0" percent="0" rank="0" text="" dxfId="1">
      <formula>0</formula>
    </cfRule>
  </conditionalFormatting>
  <conditionalFormatting sqref="D8">
    <cfRule type="cellIs" priority="12" operator="greaterThan" aboveAverage="0" equalAverage="0" bottom="0" percent="0" rank="0" text="" dxfId="1">
      <formula>0</formula>
    </cfRule>
  </conditionalFormatting>
  <conditionalFormatting sqref="G8">
    <cfRule type="cellIs" priority="1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&amp;LİHALEYE KAÇ TL TEKLİF VERMELİYİM? (SINIR DEĞER HESAPLAYICI)&amp;CExcelArşiv&amp;RSayfa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204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205</v>
      </c>
    </row>
    <row r="5" customFormat="false" ht="15" hidden="false" customHeight="false" outlineLevel="0" collapsed="false">
      <c r="A5" s="37" t="s">
        <v>206</v>
      </c>
    </row>
    <row r="6" customFormat="false" ht="30" hidden="false" customHeight="true" outlineLevel="0" collapsed="false">
      <c r="A6" s="20" t="s">
        <v>207</v>
      </c>
      <c r="B6" s="20" t="s">
        <v>208</v>
      </c>
      <c r="C6" s="20" t="s">
        <v>209</v>
      </c>
      <c r="D6" s="20" t="s">
        <v>62</v>
      </c>
      <c r="E6" s="20" t="s">
        <v>210</v>
      </c>
      <c r="F6" s="20" t="s">
        <v>211</v>
      </c>
      <c r="G6" s="20" t="s">
        <v>212</v>
      </c>
    </row>
    <row r="7" customFormat="false" ht="15" hidden="false" customHeight="false" outlineLevel="0" collapsed="false">
      <c r="A7" s="14" t="s">
        <v>213</v>
      </c>
      <c r="B7" s="33" t="n">
        <f aca="false">NKatsayisi</f>
        <v>0.35</v>
      </c>
      <c r="C7" s="33" t="n">
        <f aca="false">IFERROR(OrtalamaTeklif*(1-SenaryoKotumserKat)/MAX(1,OrtalamaTeklif),0)</f>
        <v>0.85</v>
      </c>
      <c r="D7" s="31" t="n">
        <f aca="false">ROUND(YaklasikMaliyet*B7+OrtAltiTeklif*C7*(1-B7),0)</f>
        <v>13073400</v>
      </c>
      <c r="E7" s="31" t="n">
        <f aca="false">ROUND(MAX(D7*(1+GuvenlikPayi),ToplamMaliyet*(1+HedefKarMarji)),0)</f>
        <v>13465602</v>
      </c>
      <c r="F7" s="33" t="n">
        <f aca="false">IFERROR(IF(ToplamMaliyet=0,0,(E7-ToplamMaliyet)/ToplamMaliyet),0)</f>
        <v>0.170921913043478</v>
      </c>
      <c r="G7" s="39" t="str">
        <f aca="false">IF(F7&lt;=0,"DURDUR",IF(F7&lt;HedefKarMarji,"İNCELE","UYGUN"))</f>
        <v>UYGUN</v>
      </c>
    </row>
    <row r="8" customFormat="false" ht="15" hidden="false" customHeight="false" outlineLevel="0" collapsed="false">
      <c r="A8" s="14" t="s">
        <v>214</v>
      </c>
      <c r="B8" s="33" t="n">
        <f aca="false">NKatsayisi</f>
        <v>0.35</v>
      </c>
      <c r="C8" s="33" t="n">
        <f aca="false">IFERROR(OrtalamaTeklif/MAX(1,OrtalamaTeklif),0)</f>
        <v>1</v>
      </c>
      <c r="D8" s="31" t="n">
        <f aca="false">ROUND(YaklasikMaliyet*B8+OrtAltiTeklif*C8*(1-B8),0)</f>
        <v>14454000</v>
      </c>
      <c r="E8" s="31" t="n">
        <f aca="false">ROUND(MAX(D8*(1+GuvenlikPayi),ToplamMaliyet*(1+HedefKarMarji)),0)</f>
        <v>14887620</v>
      </c>
      <c r="F8" s="33" t="n">
        <f aca="false">IFERROR(IF(ToplamMaliyet=0,0,(E8-ToplamMaliyet)/ToplamMaliyet),0)</f>
        <v>0.294575652173913</v>
      </c>
      <c r="G8" s="39" t="str">
        <f aca="false">IF(F8&lt;=0,"DURDUR",IF(F8&lt;HedefKarMarji,"İNCELE","UYGUN"))</f>
        <v>UYGUN</v>
      </c>
    </row>
    <row r="9" customFormat="false" ht="15" hidden="false" customHeight="false" outlineLevel="0" collapsed="false">
      <c r="A9" s="14" t="s">
        <v>215</v>
      </c>
      <c r="B9" s="33" t="n">
        <f aca="false">NKatsayisi</f>
        <v>0.35</v>
      </c>
      <c r="C9" s="33" t="n">
        <f aca="false">IFERROR(OrtalamaTeklif*(1+SenaryoIyimserKat)/MAX(1,OrtalamaTeklif),0)</f>
        <v>1.15</v>
      </c>
      <c r="D9" s="31" t="n">
        <f aca="false">ROUND(YaklasikMaliyet*B9+OrtAltiTeklif*C9*(1-B9),0)</f>
        <v>15834600</v>
      </c>
      <c r="E9" s="31" t="n">
        <f aca="false">ROUND(MAX(D9*(1+GuvenlikPayi),ToplamMaliyet*(1+HedefKarMarji)),0)</f>
        <v>16309638</v>
      </c>
      <c r="F9" s="33" t="n">
        <f aca="false">IFERROR(IF(ToplamMaliyet=0,0,(E9-ToplamMaliyet)/ToplamMaliyet),0)</f>
        <v>0.418229391304348</v>
      </c>
      <c r="G9" s="39" t="str">
        <f aca="false">IF(F9&lt;=0,"DURDUR",IF(F9&lt;HedefKarMarji,"İNCELE","UYGUN"))</f>
        <v>UYGUN</v>
      </c>
    </row>
    <row r="11" customFormat="false" ht="15" hidden="false" customHeight="false" outlineLevel="0" collapsed="false">
      <c r="A11" s="37" t="s">
        <v>216</v>
      </c>
    </row>
    <row r="12" customFormat="false" ht="30" hidden="false" customHeight="true" outlineLevel="0" collapsed="false">
      <c r="A12" s="20" t="s">
        <v>217</v>
      </c>
      <c r="B12" s="20" t="s">
        <v>218</v>
      </c>
      <c r="C12" s="20" t="s">
        <v>219</v>
      </c>
      <c r="D12" s="20" t="s">
        <v>220</v>
      </c>
      <c r="E12" s="20" t="s">
        <v>221</v>
      </c>
      <c r="F12" s="20" t="s">
        <v>222</v>
      </c>
      <c r="G12" s="20" t="s">
        <v>223</v>
      </c>
    </row>
    <row r="13" customFormat="false" ht="15" hidden="false" customHeight="false" outlineLevel="0" collapsed="false">
      <c r="A13" s="41" t="s">
        <v>208</v>
      </c>
      <c r="B13" s="33" t="n">
        <f aca="false">MAX(0,NKatsayisi-DuyarliDegisim)</f>
        <v>0.3</v>
      </c>
      <c r="C13" s="33" t="n">
        <f aca="false">NKatsayisi</f>
        <v>0.35</v>
      </c>
      <c r="D13" s="33" t="n">
        <f aca="false">MIN(NMax,NKatsayisi+DuyarliDegisim)</f>
        <v>0.4</v>
      </c>
      <c r="E13" s="31" t="n">
        <f aca="false">ROUND(YaklasikMaliyet*B13+OrtAltiTeklif*(1-B13),0)</f>
        <v>14412000</v>
      </c>
      <c r="F13" s="31" t="n">
        <f aca="false">ROUND(YaklasikMaliyet*D13+OrtAltiTeklif*(1-D13),0)</f>
        <v>14496000</v>
      </c>
      <c r="G13" s="31" t="n">
        <f aca="false">ABS(F13-E13)</f>
        <v>84000</v>
      </c>
    </row>
    <row r="14" customFormat="false" ht="15" hidden="false" customHeight="false" outlineLevel="0" collapsed="false">
      <c r="A14" s="41" t="s">
        <v>224</v>
      </c>
      <c r="B14" s="33" t="n">
        <f aca="false">YaklasikMaliyet*(1-DuyarliDegisim)</f>
        <v>14250000</v>
      </c>
      <c r="C14" s="33" t="n">
        <f aca="false">YaklasikMaliyet</f>
        <v>15000000</v>
      </c>
      <c r="D14" s="33" t="n">
        <f aca="false">YaklasikMaliyet*(1+DuyarliDegisim)</f>
        <v>15750000</v>
      </c>
      <c r="E14" s="31" t="n">
        <f aca="false">ROUND(B14*NKatsayisi+OrtAltiTeklif*(1-NKatsayisi),0)</f>
        <v>14191500</v>
      </c>
      <c r="F14" s="31" t="n">
        <f aca="false">ROUND(D14*NKatsayisi+OrtAltiTeklif*(1-NKatsayisi),0)</f>
        <v>14716500</v>
      </c>
      <c r="G14" s="31" t="n">
        <f aca="false">ABS(F14-E14)</f>
        <v>525000</v>
      </c>
    </row>
    <row r="15" customFormat="false" ht="15" hidden="false" customHeight="false" outlineLevel="0" collapsed="false">
      <c r="A15" s="41" t="s">
        <v>225</v>
      </c>
      <c r="B15" s="33" t="n">
        <f aca="false">OrtalamaTeklif*(1-DuyarliDegisim)</f>
        <v>14102750</v>
      </c>
      <c r="C15" s="33" t="n">
        <f aca="false">OrtalamaTeklif</f>
        <v>14845000</v>
      </c>
      <c r="D15" s="33" t="n">
        <f aca="false">OrtalamaTeklif*(1+DuyarliDegisim)</f>
        <v>15587250</v>
      </c>
      <c r="E15" s="31" t="n">
        <f aca="false">ROUND(YaklasikMaliyet*NKatsayisi+B15*(1-NKatsayisi),0)</f>
        <v>14416788</v>
      </c>
      <c r="F15" s="31" t="n">
        <f aca="false">ROUND(YaklasikMaliyet*NKatsayisi+D15*(1-NKatsayisi),0)</f>
        <v>15381713</v>
      </c>
      <c r="G15" s="31" t="n">
        <f aca="false">ABS(F15-E15)</f>
        <v>964925</v>
      </c>
    </row>
    <row r="17" customFormat="false" ht="15" hidden="false" customHeight="false" outlineLevel="0" collapsed="false">
      <c r="A17" s="37" t="s">
        <v>226</v>
      </c>
    </row>
    <row r="18" customFormat="false" ht="15" hidden="false" customHeight="false" outlineLevel="0" collapsed="false">
      <c r="A18" s="41" t="s">
        <v>227</v>
      </c>
      <c r="B18" s="30" t="n">
        <f aca="false">SUMPRODUCT(--(IF(tblRakipler[Geçerli Mi]="Evet",tblRakipler[Teklif Tutarı (₺)],"")&lt;&gt;""),--(IF(tblRakipler[Geçerli Mi]="Evet",tblRakipler[Teklif Tutarı (₺)],0)&lt;SinirDeger))</f>
        <v>4</v>
      </c>
    </row>
    <row r="19" customFormat="false" ht="15" hidden="false" customHeight="false" outlineLevel="0" collapsed="false">
      <c r="A19" s="41" t="s">
        <v>228</v>
      </c>
      <c r="B19" s="31" t="n">
        <f aca="false">IFERROR(ROUND(ToplamMaliyet,0),0)</f>
        <v>11500000</v>
      </c>
    </row>
    <row r="20" customFormat="false" ht="15" hidden="false" customHeight="false" outlineLevel="0" collapsed="false">
      <c r="A20" s="41" t="s">
        <v>229</v>
      </c>
      <c r="B20" s="31" t="n">
        <f aca="false">SinirDeger</f>
        <v>14454000</v>
      </c>
    </row>
    <row r="21" customFormat="false" ht="15" hidden="false" customHeight="false" outlineLevel="0" collapsed="false">
      <c r="A21" s="41" t="s">
        <v>230</v>
      </c>
      <c r="B21" s="31" t="n">
        <f aca="false">IFERROR(MAX(0,OneriTeklif-ToplamMaliyet),0)</f>
        <v>3387620</v>
      </c>
    </row>
    <row r="23" customFormat="false" ht="19.5" hidden="false" customHeight="true" outlineLevel="0" collapsed="false">
      <c r="A23" s="11" t="s">
        <v>231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</sheetData>
  <sheetProtection sheet="true" password="cc3d" objects="true" scenarios="true" deleteColumns="false" deleteRows="false"/>
  <mergeCells count="2">
    <mergeCell ref="A1:AD1"/>
    <mergeCell ref="A23:AN23"/>
  </mergeCells>
  <conditionalFormatting sqref="G7">
    <cfRule type="cellIs" priority="2" operator="equal" aboveAverage="0" equalAverage="0" bottom="0" percent="0" rank="0" text="" dxfId="2">
      <formula>"UYGUN"</formula>
    </cfRule>
    <cfRule type="cellIs" priority="3" operator="equal" aboveAverage="0" equalAverage="0" bottom="0" percent="0" rank="0" text="" dxfId="1">
      <formula>"İNCELE"</formula>
    </cfRule>
    <cfRule type="cellIs" priority="4" operator="equal" aboveAverage="0" equalAverage="0" bottom="0" percent="0" rank="0" text="" dxfId="0">
      <formula>"DURDUR"</formula>
    </cfRule>
  </conditionalFormatting>
  <conditionalFormatting sqref="G8">
    <cfRule type="cellIs" priority="5" operator="equal" aboveAverage="0" equalAverage="0" bottom="0" percent="0" rank="0" text="" dxfId="2">
      <formula>"UYGUN"</formula>
    </cfRule>
    <cfRule type="cellIs" priority="6" operator="equal" aboveAverage="0" equalAverage="0" bottom="0" percent="0" rank="0" text="" dxfId="1">
      <formula>"İNCELE"</formula>
    </cfRule>
    <cfRule type="cellIs" priority="7" operator="equal" aboveAverage="0" equalAverage="0" bottom="0" percent="0" rank="0" text="" dxfId="0">
      <formula>"DURDUR"</formula>
    </cfRule>
  </conditionalFormatting>
  <conditionalFormatting sqref="G9">
    <cfRule type="cellIs" priority="8" operator="equal" aboveAverage="0" equalAverage="0" bottom="0" percent="0" rank="0" text="" dxfId="2">
      <formula>"UYGUN"</formula>
    </cfRule>
    <cfRule type="cellIs" priority="9" operator="equal" aboveAverage="0" equalAverage="0" bottom="0" percent="0" rank="0" text="" dxfId="1">
      <formula>"İNCELE"</formula>
    </cfRule>
    <cfRule type="cellIs" priority="10" operator="equal" aboveAverage="0" equalAverage="0" bottom="0" percent="0" rank="0" text="" dxfId="0">
      <formula>"DURDUR"</formula>
    </cfRule>
  </conditionalFormatting>
  <conditionalFormatting sqref="F13">
    <cfRule type="cellIs" priority="11" operator="greaterThan" aboveAverage="0" equalAverage="0" bottom="0" percent="0" rank="0" text="" dxfId="2">
      <formula>e{r}</formula>
    </cfRule>
  </conditionalFormatting>
  <conditionalFormatting sqref="F14">
    <cfRule type="cellIs" priority="12" operator="greaterThan" aboveAverage="0" equalAverage="0" bottom="0" percent="0" rank="0" text="" dxfId="2">
      <formula>e{r}</formula>
    </cfRule>
  </conditionalFormatting>
  <conditionalFormatting sqref="F15">
    <cfRule type="cellIs" priority="13" operator="greaterThan" aboveAverage="0" equalAverage="0" bottom="0" percent="0" rank="0" text="" dxfId="2">
      <formula>e{r}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56" t="s">
        <v>232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</row>
    <row r="2" customFormat="false" ht="15" hidden="false" customHeight="false" outlineLevel="0" collapsed="false">
      <c r="A2" s="57" t="str">
        <f aca="false">IhaleAdi &amp; " — " &amp; Idare</f>
        <v>İl Yolu Yapım İşi — İl Özel İdaresi</v>
      </c>
    </row>
    <row r="3" customFormat="false" ht="15" hidden="false" customHeight="false" outlineLevel="0" collapsed="false">
      <c r="A3" s="58" t="str">
        <f aca="false">TEXT(IhaleTarihi,"gg.aa.yyyy") &amp; " | Rapor: " &amp; TEXT(raporTarihi,"gg.aa.yyyy")</f>
        <v>MS.aa.2026 | Rapor: MS.aa.2026</v>
      </c>
    </row>
    <row r="5" customFormat="false" ht="15" hidden="false" customHeight="false" outlineLevel="0" collapsed="false">
      <c r="A5" s="37" t="s">
        <v>233</v>
      </c>
    </row>
    <row r="6" customFormat="false" ht="15" hidden="false" customHeight="false" outlineLevel="0" collapsed="false">
      <c r="A6" s="38" t="s">
        <v>234</v>
      </c>
      <c r="B6" s="59" t="n">
        <f aca="false">YaklasikMaliyet</f>
        <v>15000000</v>
      </c>
    </row>
    <row r="7" customFormat="false" ht="15" hidden="false" customHeight="false" outlineLevel="0" collapsed="false">
      <c r="A7" s="38" t="s">
        <v>109</v>
      </c>
      <c r="B7" s="59" t="n">
        <f aca="false">SinirDeger</f>
        <v>14454000</v>
      </c>
    </row>
    <row r="8" customFormat="false" ht="15" hidden="false" customHeight="false" outlineLevel="0" collapsed="false">
      <c r="A8" s="38" t="s">
        <v>181</v>
      </c>
      <c r="B8" s="59" t="n">
        <f aca="false">OneriTeklif</f>
        <v>14887620</v>
      </c>
    </row>
    <row r="9" customFormat="false" ht="15" hidden="false" customHeight="false" outlineLevel="0" collapsed="false">
      <c r="A9" s="38" t="s">
        <v>235</v>
      </c>
      <c r="B9" s="43" t="n">
        <f aca="false">OneriTeklifMarj</f>
        <v>0.294575652173913</v>
      </c>
    </row>
    <row r="10" customFormat="false" ht="15" hidden="false" customHeight="false" outlineLevel="0" collapsed="false">
      <c r="A10" s="38" t="s">
        <v>212</v>
      </c>
      <c r="B10" s="38" t="str">
        <f aca="false">KararSonuc</f>
        <v>UYGUN</v>
      </c>
    </row>
    <row r="12" customFormat="false" ht="15" hidden="false" customHeight="false" outlineLevel="0" collapsed="false">
      <c r="A12" s="37" t="s">
        <v>236</v>
      </c>
    </row>
    <row r="13" customFormat="false" ht="15" hidden="false" customHeight="false" outlineLevel="0" collapsed="false">
      <c r="A13" s="47" t="str">
        <f aca="false">KararGerekce</f>
        <v>Marj hedefi karşılanıyor (29%) ve teklif güvenli bölgede.</v>
      </c>
      <c r="B13" s="47"/>
      <c r="C13" s="47"/>
      <c r="D13" s="47"/>
      <c r="E13" s="47"/>
      <c r="F13" s="47"/>
    </row>
    <row r="15" customFormat="false" ht="15" hidden="false" customHeight="false" outlineLevel="0" collapsed="false">
      <c r="A15" s="37" t="s">
        <v>237</v>
      </c>
    </row>
    <row r="16" customFormat="false" ht="15" hidden="false" customHeight="false" outlineLevel="0" collapsed="false">
      <c r="A16" s="7" t="s">
        <v>238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239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240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241</v>
      </c>
      <c r="B19" s="7"/>
      <c r="C19" s="7"/>
      <c r="D19" s="7"/>
      <c r="E19" s="7"/>
      <c r="F19" s="7"/>
    </row>
    <row r="21" customFormat="false" ht="15" hidden="false" customHeight="false" outlineLevel="0" collapsed="false">
      <c r="A21" s="37" t="s">
        <v>242</v>
      </c>
    </row>
    <row r="22" customFormat="false" ht="15" hidden="false" customHeight="false" outlineLevel="0" collapsed="false">
      <c r="A22" s="60" t="str">
        <f aca="false">IF(AnomaliSayisi&gt;0,"Uç rakip teklifler tespit edildi; geçersizlik değerlendirmesi yapılmalı.","Uç teklif tespit edilmedi.")</f>
        <v>Uç teklif tespit edilmedi.</v>
      </c>
      <c r="B22" s="60"/>
      <c r="C22" s="60"/>
      <c r="D22" s="60"/>
      <c r="E22" s="60"/>
      <c r="F22" s="60"/>
    </row>
    <row r="23" customFormat="false" ht="15" hidden="false" customHeight="false" outlineLevel="0" collapsed="false">
      <c r="A23" s="60" t="str">
        <f aca="false">IF(MutabakatDurumu="KONTROL GEREKLİ","Maliyet mutabakatı uyumsuz; kalemleri kontrol edin.","Maliyet mutabakatı uyumlu.")</f>
        <v>Maliyet mutabakatı uyumsuz; kalemleri kontrol edin.</v>
      </c>
      <c r="B23" s="60"/>
      <c r="C23" s="60"/>
      <c r="D23" s="60"/>
      <c r="E23" s="60"/>
      <c r="F23" s="60"/>
    </row>
    <row r="25" customFormat="false" ht="15" hidden="false" customHeight="false" outlineLevel="0" collapsed="false">
      <c r="A25" s="37" t="s">
        <v>243</v>
      </c>
    </row>
    <row r="26" customFormat="false" ht="15" hidden="false" customHeight="false" outlineLevel="0" collapsed="false">
      <c r="A26" s="61" t="str">
        <f aca="false">Aksiyon1</f>
        <v>Teklif stratejisini sürdürün</v>
      </c>
      <c r="B26" s="61"/>
      <c r="C26" s="61"/>
      <c r="D26" s="61"/>
      <c r="E26" s="61"/>
      <c r="F26" s="61"/>
    </row>
    <row r="27" customFormat="false" ht="15" hidden="false" customHeight="false" outlineLevel="0" collapsed="false">
      <c r="A27" s="61" t="str">
        <f aca="false">Aksiyon2</f>
        <v>Rakip dağılımı normal</v>
      </c>
      <c r="B27" s="61"/>
      <c r="C27" s="61"/>
      <c r="D27" s="61"/>
      <c r="E27" s="61"/>
      <c r="F27" s="61"/>
    </row>
    <row r="28" customFormat="false" ht="15" hidden="false" customHeight="false" outlineLevel="0" collapsed="false">
      <c r="A28" s="61" t="str">
        <f aca="false">Aksiyon3</f>
        <v>Maliyet kalemlerini IHALE_KARTI ile mutabakat ettirin</v>
      </c>
      <c r="B28" s="61"/>
      <c r="C28" s="61"/>
      <c r="D28" s="61"/>
      <c r="E28" s="61"/>
      <c r="F28" s="61"/>
    </row>
    <row r="30" customFormat="false" ht="15" hidden="false" customHeight="false" outlineLevel="0" collapsed="false">
      <c r="A30" s="62" t="str">
        <f aca="false">IhaleAdi &amp; " — " &amp; Idare &amp; " | " &amp; TEXT(raporTarihi,"gg.aa.yyyy") &amp; " | Rev 1.0"</f>
        <v>İl Yolu Yapım İşi — İl Özel İdaresi | MS.aa.2026 | Rev 1.0</v>
      </c>
      <c r="B30" s="62"/>
      <c r="C30" s="62"/>
      <c r="D30" s="62"/>
      <c r="E30" s="62"/>
      <c r="F30" s="62"/>
    </row>
    <row r="31" customFormat="false" ht="15" hidden="false" customHeight="false" outlineLevel="0" collapsed="false">
      <c r="A31" s="62" t="s">
        <v>244</v>
      </c>
      <c r="B31" s="62"/>
      <c r="C31" s="62"/>
      <c r="D31" s="62"/>
      <c r="E31" s="62"/>
      <c r="F31" s="62"/>
    </row>
  </sheetData>
  <sheetProtection sheet="true" password="cc3d" objects="true" scenarios="true" deleteColumns="false" deleteRows="false"/>
  <mergeCells count="13">
    <mergeCell ref="A1:AN1"/>
    <mergeCell ref="A13:F13"/>
    <mergeCell ref="A16:F16"/>
    <mergeCell ref="A17:F17"/>
    <mergeCell ref="A18:F18"/>
    <mergeCell ref="A19:F19"/>
    <mergeCell ref="A22:F22"/>
    <mergeCell ref="A23:F23"/>
    <mergeCell ref="A26:F26"/>
    <mergeCell ref="A27:F27"/>
    <mergeCell ref="A28:F28"/>
    <mergeCell ref="A30:F30"/>
    <mergeCell ref="A31:F31"/>
  </mergeCells>
  <conditionalFormatting sqref="J10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&amp;LİHALEYE KAÇ TL TEKLİF VERMELİYİM? (SINIR DEĞER HESAPLAYICI)&amp;CExcelArşiv&amp;RSayfa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245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246</v>
      </c>
    </row>
    <row r="4" customFormat="false" ht="15" hidden="false" customHeight="false" outlineLevel="0" collapsed="false">
      <c r="A4" s="7" t="s">
        <v>247</v>
      </c>
      <c r="B4" s="7"/>
      <c r="C4" s="7"/>
      <c r="D4" s="7"/>
      <c r="E4" s="7"/>
      <c r="F4" s="7"/>
    </row>
    <row r="6" customFormat="false" ht="30" hidden="false" customHeight="true" outlineLevel="0" collapsed="false">
      <c r="A6" s="20" t="s">
        <v>42</v>
      </c>
      <c r="B6" s="20" t="s">
        <v>43</v>
      </c>
      <c r="C6" s="20" t="s">
        <v>44</v>
      </c>
      <c r="D6" s="20" t="s">
        <v>26</v>
      </c>
      <c r="E6" s="20" t="s">
        <v>31</v>
      </c>
      <c r="F6" s="20" t="s">
        <v>208</v>
      </c>
    </row>
    <row r="7" customFormat="false" ht="15" hidden="false" customHeight="false" outlineLevel="0" collapsed="false">
      <c r="A7" s="21" t="s">
        <v>45</v>
      </c>
      <c r="B7" s="22" t="n">
        <v>14800000</v>
      </c>
      <c r="C7" s="21" t="s">
        <v>37</v>
      </c>
      <c r="D7" s="21" t="s">
        <v>27</v>
      </c>
      <c r="E7" s="22" t="n">
        <v>15000000</v>
      </c>
      <c r="F7" s="63" t="n">
        <v>0.35</v>
      </c>
    </row>
    <row r="8" customFormat="false" ht="15" hidden="false" customHeight="false" outlineLevel="0" collapsed="false">
      <c r="A8" s="21" t="s">
        <v>46</v>
      </c>
      <c r="B8" s="22" t="n">
        <v>15200000</v>
      </c>
      <c r="C8" s="21" t="s">
        <v>37</v>
      </c>
      <c r="D8" s="21" t="s">
        <v>27</v>
      </c>
      <c r="E8" s="22" t="n">
        <v>15000000</v>
      </c>
      <c r="F8" s="63" t="n">
        <v>0.35</v>
      </c>
    </row>
    <row r="9" customFormat="false" ht="15" hidden="false" customHeight="false" outlineLevel="0" collapsed="false">
      <c r="A9" s="21" t="s">
        <v>47</v>
      </c>
      <c r="B9" s="22" t="n">
        <v>13900000</v>
      </c>
      <c r="C9" s="21" t="s">
        <v>37</v>
      </c>
      <c r="D9" s="21" t="s">
        <v>27</v>
      </c>
      <c r="E9" s="22" t="n">
        <v>15000000</v>
      </c>
      <c r="F9" s="63" t="n">
        <v>0.35</v>
      </c>
    </row>
    <row r="10" customFormat="false" ht="15" hidden="false" customHeight="false" outlineLevel="0" collapsed="false">
      <c r="A10" s="21" t="s">
        <v>48</v>
      </c>
      <c r="B10" s="22" t="n">
        <v>16400000</v>
      </c>
      <c r="C10" s="21" t="s">
        <v>37</v>
      </c>
      <c r="D10" s="21" t="s">
        <v>27</v>
      </c>
      <c r="E10" s="22" t="n">
        <v>15000000</v>
      </c>
      <c r="F10" s="63" t="n">
        <v>0.35</v>
      </c>
    </row>
    <row r="11" customFormat="false" ht="15" hidden="false" customHeight="false" outlineLevel="0" collapsed="false">
      <c r="A11" s="21" t="s">
        <v>49</v>
      </c>
      <c r="B11" s="22" t="n">
        <v>15500000</v>
      </c>
      <c r="C11" s="21" t="s">
        <v>50</v>
      </c>
      <c r="D11" s="21" t="s">
        <v>27</v>
      </c>
      <c r="E11" s="22" t="n">
        <v>15000000</v>
      </c>
      <c r="F11" s="63" t="n">
        <v>0.35</v>
      </c>
    </row>
    <row r="13" customFormat="false" ht="19.5" hidden="false" customHeight="true" outlineLevel="0" collapsed="false">
      <c r="A13" s="11" t="s">
        <v>248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</sheetData>
  <sheetProtection sheet="true" password="cc3d" objects="true" scenarios="true" deleteColumns="false" deleteRows="false"/>
  <mergeCells count="3">
    <mergeCell ref="A1:AD1"/>
    <mergeCell ref="A4:F4"/>
    <mergeCell ref="A13:A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250</v>
      </c>
    </row>
    <row r="5" customFormat="false" ht="30" hidden="false" customHeight="true" outlineLevel="0" collapsed="false">
      <c r="A5" s="20" t="s">
        <v>61</v>
      </c>
      <c r="B5" s="20" t="s">
        <v>251</v>
      </c>
      <c r="C5" s="20" t="s">
        <v>252</v>
      </c>
    </row>
    <row r="6" customFormat="false" ht="15" hidden="false" customHeight="true" outlineLevel="0" collapsed="false">
      <c r="A6" s="38" t="s">
        <v>253</v>
      </c>
      <c r="B6" s="38" t="s">
        <v>254</v>
      </c>
      <c r="C6" s="47" t="s">
        <v>255</v>
      </c>
      <c r="D6" s="47"/>
      <c r="E6" s="47"/>
      <c r="F6" s="47"/>
      <c r="G6" s="47"/>
      <c r="H6" s="47"/>
    </row>
    <row r="8" customFormat="false" ht="19.5" hidden="false" customHeight="true" outlineLevel="0" collapsed="false">
      <c r="A8" s="11" t="s">
        <v>256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3">
    <mergeCell ref="A1:AD1"/>
    <mergeCell ref="C6:H6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2" t="s">
        <v>257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258</v>
      </c>
    </row>
    <row r="4" customFormat="false" ht="15" hidden="false" customHeight="false" outlineLevel="0" collapsed="false">
      <c r="A4" s="14" t="s">
        <v>259</v>
      </c>
      <c r="C4" s="14" t="s">
        <v>260</v>
      </c>
    </row>
    <row r="6" customFormat="false" ht="15" hidden="false" customHeight="false" outlineLevel="0" collapsed="false">
      <c r="A6" s="21" t="s">
        <v>37</v>
      </c>
      <c r="C6" s="21" t="s">
        <v>261</v>
      </c>
    </row>
    <row r="7" customFormat="false" ht="15" hidden="false" customHeight="false" outlineLevel="0" collapsed="false">
      <c r="A7" s="21" t="s">
        <v>50</v>
      </c>
      <c r="C7" s="21" t="s">
        <v>28</v>
      </c>
    </row>
    <row r="12" customFormat="false" ht="19.5" hidden="false" customHeight="true" outlineLevel="0" collapsed="false">
      <c r="A12" s="11" t="s">
        <v>262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2">
    <mergeCell ref="A1:AD1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2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64" t="s">
        <v>264</v>
      </c>
      <c r="B3" s="64"/>
      <c r="C3" s="64"/>
      <c r="D3" s="64"/>
      <c r="E3" s="64"/>
    </row>
    <row r="4" customFormat="false" ht="82.05" hidden="false" customHeight="false" outlineLevel="0" collapsed="false">
      <c r="A4" s="65" t="s">
        <v>265</v>
      </c>
    </row>
    <row r="6" customFormat="false" ht="30" hidden="false" customHeight="true" outlineLevel="0" collapsed="false">
      <c r="A6" s="20" t="s">
        <v>266</v>
      </c>
      <c r="B6" s="20" t="s">
        <v>267</v>
      </c>
      <c r="C6" s="20" t="s">
        <v>268</v>
      </c>
      <c r="D6" s="20" t="s">
        <v>81</v>
      </c>
      <c r="E6" s="20" t="s">
        <v>269</v>
      </c>
      <c r="F6" s="20" t="s">
        <v>270</v>
      </c>
      <c r="G6" s="20" t="s">
        <v>271</v>
      </c>
      <c r="H6" s="20" t="s">
        <v>272</v>
      </c>
    </row>
    <row r="7" customFormat="false" ht="15" hidden="false" customHeight="false" outlineLevel="0" collapsed="false">
      <c r="A7" s="66" t="s">
        <v>273</v>
      </c>
      <c r="B7" s="66" t="s">
        <v>274</v>
      </c>
      <c r="C7" s="21" t="s">
        <v>275</v>
      </c>
      <c r="D7" s="66" t="s">
        <v>276</v>
      </c>
      <c r="E7" s="67" t="s">
        <v>277</v>
      </c>
      <c r="F7" s="66" t="s">
        <v>278</v>
      </c>
      <c r="G7" s="66" t="s">
        <v>279</v>
      </c>
      <c r="H7" s="66" t="s">
        <v>279</v>
      </c>
    </row>
    <row r="8" customFormat="false" ht="15" hidden="false" customHeight="false" outlineLevel="0" collapsed="false">
      <c r="A8" s="66" t="s">
        <v>273</v>
      </c>
      <c r="B8" s="66" t="s">
        <v>280</v>
      </c>
      <c r="C8" s="68" t="n">
        <f aca="true">TODAY()</f>
        <v>46244</v>
      </c>
      <c r="D8" s="66" t="s">
        <v>281</v>
      </c>
      <c r="E8" s="67" t="s">
        <v>282</v>
      </c>
      <c r="F8" s="66" t="s">
        <v>278</v>
      </c>
      <c r="G8" s="66" t="s">
        <v>279</v>
      </c>
      <c r="H8" s="66" t="s">
        <v>279</v>
      </c>
    </row>
    <row r="9" customFormat="false" ht="15" hidden="false" customHeight="false" outlineLevel="0" collapsed="false">
      <c r="A9" s="66" t="s">
        <v>283</v>
      </c>
      <c r="B9" s="66" t="s">
        <v>284</v>
      </c>
      <c r="C9" s="63" t="n">
        <v>0.03</v>
      </c>
      <c r="D9" s="66" t="s">
        <v>285</v>
      </c>
      <c r="E9" s="67" t="s">
        <v>286</v>
      </c>
      <c r="F9" s="66" t="s">
        <v>287</v>
      </c>
      <c r="G9" s="66" t="s">
        <v>279</v>
      </c>
      <c r="H9" s="66" t="s">
        <v>279</v>
      </c>
    </row>
    <row r="10" customFormat="false" ht="15" hidden="false" customHeight="false" outlineLevel="0" collapsed="false">
      <c r="A10" s="66" t="s">
        <v>283</v>
      </c>
      <c r="B10" s="66" t="s">
        <v>288</v>
      </c>
      <c r="C10" s="63" t="n">
        <v>1</v>
      </c>
      <c r="D10" s="66" t="s">
        <v>285</v>
      </c>
      <c r="E10" s="67" t="s">
        <v>289</v>
      </c>
      <c r="F10" s="66" t="s">
        <v>290</v>
      </c>
      <c r="G10" s="66" t="s">
        <v>291</v>
      </c>
      <c r="H10" s="66" t="s">
        <v>279</v>
      </c>
    </row>
    <row r="11" customFormat="false" ht="15" hidden="false" customHeight="false" outlineLevel="0" collapsed="false">
      <c r="A11" s="66" t="s">
        <v>283</v>
      </c>
      <c r="B11" s="66" t="s">
        <v>292</v>
      </c>
      <c r="C11" s="27" t="n">
        <v>2</v>
      </c>
      <c r="D11" s="66" t="s">
        <v>92</v>
      </c>
      <c r="E11" s="67" t="s">
        <v>293</v>
      </c>
      <c r="F11" s="66" t="s">
        <v>287</v>
      </c>
      <c r="G11" s="66" t="s">
        <v>279</v>
      </c>
      <c r="H11" s="66" t="s">
        <v>279</v>
      </c>
    </row>
    <row r="12" customFormat="false" ht="15" hidden="false" customHeight="false" outlineLevel="0" collapsed="false">
      <c r="A12" s="66" t="s">
        <v>283</v>
      </c>
      <c r="B12" s="66" t="s">
        <v>294</v>
      </c>
      <c r="C12" s="63" t="n">
        <v>0.5</v>
      </c>
      <c r="D12" s="66" t="s">
        <v>285</v>
      </c>
      <c r="E12" s="67" t="s">
        <v>295</v>
      </c>
      <c r="F12" s="66" t="s">
        <v>287</v>
      </c>
      <c r="G12" s="66" t="s">
        <v>279</v>
      </c>
      <c r="H12" s="66" t="s">
        <v>279</v>
      </c>
    </row>
    <row r="13" customFormat="false" ht="15" hidden="false" customHeight="false" outlineLevel="0" collapsed="false">
      <c r="A13" s="66" t="s">
        <v>283</v>
      </c>
      <c r="B13" s="66" t="s">
        <v>296</v>
      </c>
      <c r="C13" s="22" t="n">
        <v>10000</v>
      </c>
      <c r="D13" s="66" t="s">
        <v>297</v>
      </c>
      <c r="E13" s="67" t="s">
        <v>298</v>
      </c>
      <c r="F13" s="66" t="s">
        <v>287</v>
      </c>
      <c r="G13" s="66" t="s">
        <v>279</v>
      </c>
      <c r="H13" s="66" t="s">
        <v>279</v>
      </c>
    </row>
    <row r="14" customFormat="false" ht="15" hidden="false" customHeight="false" outlineLevel="0" collapsed="false">
      <c r="A14" s="66" t="s">
        <v>283</v>
      </c>
      <c r="B14" s="66" t="s">
        <v>299</v>
      </c>
      <c r="C14" s="27" t="n">
        <v>90</v>
      </c>
      <c r="D14" s="66" t="s">
        <v>300</v>
      </c>
      <c r="E14" s="67" t="s">
        <v>301</v>
      </c>
      <c r="F14" s="66" t="s">
        <v>287</v>
      </c>
      <c r="G14" s="66" t="s">
        <v>279</v>
      </c>
      <c r="H14" s="66" t="s">
        <v>279</v>
      </c>
    </row>
    <row r="15" customFormat="false" ht="15" hidden="false" customHeight="false" outlineLevel="0" collapsed="false">
      <c r="A15" s="66" t="s">
        <v>283</v>
      </c>
      <c r="B15" s="66" t="s">
        <v>302</v>
      </c>
      <c r="C15" s="27" t="n">
        <v>70</v>
      </c>
      <c r="D15" s="66" t="s">
        <v>300</v>
      </c>
      <c r="E15" s="67" t="s">
        <v>303</v>
      </c>
      <c r="F15" s="66" t="s">
        <v>287</v>
      </c>
      <c r="G15" s="66" t="s">
        <v>279</v>
      </c>
      <c r="H15" s="66" t="s">
        <v>279</v>
      </c>
    </row>
    <row r="16" customFormat="false" ht="15" hidden="false" customHeight="false" outlineLevel="0" collapsed="false">
      <c r="A16" s="66" t="s">
        <v>283</v>
      </c>
      <c r="B16" s="66" t="s">
        <v>304</v>
      </c>
      <c r="C16" s="27" t="n">
        <v>10</v>
      </c>
      <c r="D16" s="66" t="s">
        <v>300</v>
      </c>
      <c r="E16" s="67" t="s">
        <v>305</v>
      </c>
      <c r="F16" s="66" t="s">
        <v>287</v>
      </c>
      <c r="G16" s="66" t="s">
        <v>279</v>
      </c>
      <c r="H16" s="66" t="s">
        <v>279</v>
      </c>
    </row>
    <row r="17" customFormat="false" ht="15" hidden="false" customHeight="false" outlineLevel="0" collapsed="false">
      <c r="A17" s="66" t="s">
        <v>283</v>
      </c>
      <c r="B17" s="66" t="s">
        <v>306</v>
      </c>
      <c r="C17" s="22" t="n">
        <v>100000000000</v>
      </c>
      <c r="D17" s="66" t="s">
        <v>297</v>
      </c>
      <c r="E17" s="67" t="s">
        <v>307</v>
      </c>
      <c r="F17" s="66" t="s">
        <v>287</v>
      </c>
      <c r="G17" s="66" t="s">
        <v>279</v>
      </c>
      <c r="H17" s="66" t="s">
        <v>279</v>
      </c>
    </row>
    <row r="18" customFormat="false" ht="15" hidden="false" customHeight="false" outlineLevel="0" collapsed="false">
      <c r="A18" s="66" t="s">
        <v>207</v>
      </c>
      <c r="B18" s="66" t="s">
        <v>308</v>
      </c>
      <c r="C18" s="63" t="n">
        <v>0.15</v>
      </c>
      <c r="D18" s="66" t="s">
        <v>285</v>
      </c>
      <c r="E18" s="67" t="s">
        <v>309</v>
      </c>
      <c r="F18" s="66" t="s">
        <v>287</v>
      </c>
      <c r="G18" s="66" t="s">
        <v>279</v>
      </c>
      <c r="H18" s="66" t="s">
        <v>279</v>
      </c>
    </row>
    <row r="19" customFormat="false" ht="15" hidden="false" customHeight="false" outlineLevel="0" collapsed="false">
      <c r="A19" s="66" t="s">
        <v>207</v>
      </c>
      <c r="B19" s="66" t="s">
        <v>310</v>
      </c>
      <c r="C19" s="63" t="n">
        <v>0.15</v>
      </c>
      <c r="D19" s="66" t="s">
        <v>285</v>
      </c>
      <c r="E19" s="67" t="s">
        <v>311</v>
      </c>
      <c r="F19" s="66" t="s">
        <v>287</v>
      </c>
      <c r="G19" s="66" t="s">
        <v>279</v>
      </c>
      <c r="H19" s="66" t="s">
        <v>279</v>
      </c>
    </row>
    <row r="20" customFormat="false" ht="15" hidden="false" customHeight="false" outlineLevel="0" collapsed="false">
      <c r="A20" s="66" t="s">
        <v>312</v>
      </c>
      <c r="B20" s="66" t="s">
        <v>313</v>
      </c>
      <c r="C20" s="63" t="n">
        <v>0.05</v>
      </c>
      <c r="D20" s="66" t="s">
        <v>285</v>
      </c>
      <c r="E20" s="67" t="s">
        <v>314</v>
      </c>
      <c r="F20" s="66" t="s">
        <v>287</v>
      </c>
      <c r="G20" s="66" t="s">
        <v>279</v>
      </c>
      <c r="H20" s="66" t="s">
        <v>279</v>
      </c>
    </row>
    <row r="21" customFormat="false" ht="15" hidden="false" customHeight="false" outlineLevel="0" collapsed="false">
      <c r="A21" s="66" t="s">
        <v>199</v>
      </c>
      <c r="B21" s="66" t="s">
        <v>315</v>
      </c>
      <c r="C21" s="27" t="n">
        <v>6</v>
      </c>
      <c r="D21" s="66" t="s">
        <v>92</v>
      </c>
      <c r="E21" s="67" t="s">
        <v>316</v>
      </c>
      <c r="F21" s="66" t="s">
        <v>287</v>
      </c>
      <c r="G21" s="66" t="s">
        <v>279</v>
      </c>
      <c r="H21" s="66" t="s">
        <v>279</v>
      </c>
    </row>
    <row r="22" customFormat="false" ht="15" hidden="false" customHeight="false" outlineLevel="0" collapsed="false">
      <c r="A22" s="66" t="s">
        <v>199</v>
      </c>
      <c r="B22" s="66" t="s">
        <v>317</v>
      </c>
      <c r="C22" s="63" t="n">
        <v>0.1</v>
      </c>
      <c r="D22" s="66" t="s">
        <v>285</v>
      </c>
      <c r="E22" s="67" t="s">
        <v>318</v>
      </c>
      <c r="F22" s="66" t="s">
        <v>287</v>
      </c>
      <c r="G22" s="66" t="s">
        <v>279</v>
      </c>
      <c r="H22" s="66" t="s">
        <v>279</v>
      </c>
    </row>
    <row r="23" customFormat="false" ht="15" hidden="false" customHeight="false" outlineLevel="0" collapsed="false">
      <c r="A23" s="66" t="s">
        <v>319</v>
      </c>
      <c r="B23" s="66" t="s">
        <v>320</v>
      </c>
      <c r="C23" s="63" t="n">
        <v>0.03</v>
      </c>
      <c r="D23" s="66" t="s">
        <v>285</v>
      </c>
      <c r="E23" s="67" t="s">
        <v>321</v>
      </c>
      <c r="F23" s="66" t="s">
        <v>287</v>
      </c>
      <c r="G23" s="66" t="s">
        <v>279</v>
      </c>
      <c r="H23" s="66" t="s">
        <v>279</v>
      </c>
    </row>
    <row r="24" customFormat="false" ht="15" hidden="false" customHeight="false" outlineLevel="0" collapsed="false">
      <c r="A24" s="66" t="s">
        <v>322</v>
      </c>
      <c r="B24" s="66" t="s">
        <v>323</v>
      </c>
      <c r="C24" s="27" t="n">
        <v>12</v>
      </c>
      <c r="D24" s="66" t="s">
        <v>324</v>
      </c>
      <c r="E24" s="67" t="s">
        <v>325</v>
      </c>
      <c r="F24" s="66" t="s">
        <v>278</v>
      </c>
      <c r="G24" s="66" t="s">
        <v>279</v>
      </c>
      <c r="H24" s="66" t="s">
        <v>279</v>
      </c>
    </row>
    <row r="25" customFormat="false" ht="15" hidden="false" customHeight="false" outlineLevel="0" collapsed="false">
      <c r="A25" s="66" t="s">
        <v>322</v>
      </c>
      <c r="B25" s="66" t="s">
        <v>326</v>
      </c>
      <c r="C25" s="22" t="n">
        <v>1500</v>
      </c>
      <c r="D25" s="66" t="s">
        <v>297</v>
      </c>
      <c r="E25" s="67" t="s">
        <v>327</v>
      </c>
      <c r="F25" s="66" t="s">
        <v>278</v>
      </c>
      <c r="G25" s="66" t="s">
        <v>279</v>
      </c>
      <c r="H25" s="66" t="s">
        <v>279</v>
      </c>
    </row>
    <row r="26" customFormat="false" ht="15" hidden="false" customHeight="false" outlineLevel="0" collapsed="false">
      <c r="A26" s="7" t="s">
        <v>328</v>
      </c>
      <c r="B26" s="7"/>
      <c r="C26" s="7"/>
      <c r="D26" s="7"/>
      <c r="E26" s="7"/>
    </row>
    <row r="28" customFormat="false" ht="19.5" hidden="false" customHeight="true" outlineLevel="0" collapsed="false">
      <c r="A28" s="11" t="s">
        <v>329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</sheetData>
  <sheetProtection sheet="true" password="cc3d" objects="true" scenarios="true" deleteColumns="false" deleteRows="false"/>
  <mergeCells count="4">
    <mergeCell ref="A1:AD1"/>
    <mergeCell ref="A3:E3"/>
    <mergeCell ref="A26:E26"/>
    <mergeCell ref="A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331</v>
      </c>
    </row>
    <row r="5" customFormat="false" ht="15" hidden="false" customHeight="false" outlineLevel="0" collapsed="false">
      <c r="A5" s="69" t="s">
        <v>332</v>
      </c>
    </row>
    <row r="6" customFormat="false" ht="30" hidden="false" customHeight="true" outlineLevel="0" collapsed="false">
      <c r="A6" s="70" t="s">
        <v>333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</row>
    <row r="7" customFormat="false" ht="30" hidden="false" customHeight="true" outlineLevel="0" collapsed="false">
      <c r="A7" s="70" t="s">
        <v>334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</row>
    <row r="8" customFormat="false" ht="30" hidden="false" customHeight="true" outlineLevel="0" collapsed="false">
      <c r="A8" s="70" t="s">
        <v>335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customFormat="false" ht="30" hidden="false" customHeight="true" outlineLevel="0" collapsed="false">
      <c r="A9" s="70" t="s">
        <v>336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customFormat="false" ht="30" hidden="false" customHeight="true" outlineLevel="0" collapsed="false">
      <c r="A10" s="70" t="s">
        <v>337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customFormat="false" ht="30" hidden="false" customHeight="true" outlineLevel="0" collapsed="false">
      <c r="A11" s="70" t="s">
        <v>338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customFormat="false" ht="30" hidden="false" customHeight="true" outlineLevel="0" collapsed="false">
      <c r="A12" s="70" t="s">
        <v>339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customFormat="false" ht="30" hidden="false" customHeight="true" outlineLevel="0" collapsed="false">
      <c r="A13" s="70" t="s">
        <v>340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customFormat="false" ht="30" hidden="false" customHeight="true" outlineLevel="0" collapsed="false">
      <c r="A14" s="70" t="s">
        <v>341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customFormat="false" ht="30" hidden="false" customHeight="true" outlineLevel="0" collapsed="false">
      <c r="A15" s="70" t="s">
        <v>342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customFormat="false" ht="30" hidden="false" customHeight="true" outlineLevel="0" collapsed="false">
      <c r="A16" s="9" t="s">
        <v>343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31" customFormat="false" ht="19.5" hidden="false" customHeight="true" outlineLevel="0" collapsed="false">
      <c r="A31" s="11" t="s">
        <v>344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</sheetData>
  <sheetProtection sheet="true" password="cc3d" objects="true" scenarios="true" deleteColumns="false" deleteRows="false"/>
  <mergeCells count="13">
    <mergeCell ref="A1:AN1"/>
    <mergeCell ref="A6:AN6"/>
    <mergeCell ref="A7:AN7"/>
    <mergeCell ref="A8:AN8"/>
    <mergeCell ref="A9:AN9"/>
    <mergeCell ref="A10:AN10"/>
    <mergeCell ref="A11:AN11"/>
    <mergeCell ref="A12:AN12"/>
    <mergeCell ref="A13:AN13"/>
    <mergeCell ref="A14:AN14"/>
    <mergeCell ref="A15:AN15"/>
    <mergeCell ref="A16:AN16"/>
    <mergeCell ref="A31:A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2026-08-09T21:01:26Z</dcterms:created>
  <dc:creator>openpyxl</dc:creator>
  <dc:description/>
  <dc:language>tr-TR</dc:language>
  <cp:lastModifiedBy/>
  <dcterms:modified xsi:type="dcterms:W3CDTF">2026-08-09T21:01:27Z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