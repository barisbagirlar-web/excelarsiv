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comments21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8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comments5.xml" ContentType="application/vnd.openxmlformats-officedocument.spreadsheetml.comments+xml"/>
  <Override PartName="/xl/comments12.xml" ContentType="application/vnd.openxmlformats-officedocument.spreadsheetml.comments+xml"/>
  <Override PartName="/xl/comments6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MUSTERI_KARTLARI" sheetId="3" state="visible" r:id="rId5"/>
    <sheet name="FATURALAR" sheetId="4" state="visible" r:id="rId6"/>
    <sheet name="TAHSILATLAR" sheetId="5" state="visible" r:id="rId7"/>
    <sheet name="TEMINATLAR" sheetId="6" state="visible" r:id="rId8"/>
    <sheet name="ILETISIM_TAKIP" sheetId="7" state="visible" r:id="rId9"/>
    <sheet name="YASLANDIRMA" sheetId="8" state="visible" r:id="rId10"/>
    <sheet name="ANALITIK_MOTOR" sheetId="9" state="visible" r:id="rId11"/>
    <sheet name="MUSTERI_RISK_SKORU" sheetId="10" state="visible" r:id="rId12"/>
    <sheet name="TAHSILAT_AKSIYON" sheetId="11" state="visible" r:id="rId13"/>
    <sheet name="KARAR_MOTORU" sheetId="12" state="visible" r:id="rId14"/>
    <sheet name="KONTROLLER" sheetId="13" state="visible" r:id="rId15"/>
    <sheet name="PANO" sheetId="14" state="visible" r:id="rId16"/>
    <sheet name="SENARYO_DUYARLILIK" sheetId="15" state="visible" r:id="rId17"/>
    <sheet name="RAPOR" sheetId="16" state="visible" r:id="rId18"/>
    <sheet name="ORNEK_VERI" sheetId="17" state="visible" r:id="rId19"/>
    <sheet name="TESTLER" sheetId="18" state="visible" r:id="rId20"/>
    <sheet name="DEGISIKLIK_KAYDI" sheetId="19" state="visible" r:id="rId21"/>
    <sheet name="LISTELER" sheetId="20" state="visible" r:id="rId22"/>
    <sheet name="AYARLAR" sheetId="21" state="visible" r:id="rId23"/>
    <sheet name="KILAVUZ" sheetId="22" state="visible" r:id="rId24"/>
  </sheets>
  <definedNames>
    <definedName function="false" hidden="false" localSheetId="13" name="_xlnm.Print_Area" vbProcedure="false">PANO!$A$1:$K$80</definedName>
    <definedName function="false" hidden="false" localSheetId="15" name="_xlnm.Print_Area" vbProcedure="false">RAPOR!$A$1:$G$22</definedName>
    <definedName function="false" hidden="false" name="AksiyonGunOrta" vbProcedure="false">AYARLAR!$B$42</definedName>
    <definedName function="false" hidden="false" name="AksiyonGunUzun" vbProcedure="false">AYARLAR!$B$43</definedName>
    <definedName function="false" hidden="false" name="AnalizBasiAy" vbProcedure="false">AYARLAR!$B$32</definedName>
    <definedName function="false" hidden="false" name="AnalizDorduncuAy" vbProcedure="false">AYARLAR!$B$35</definedName>
    <definedName function="false" hidden="false" name="AnalizIkinciAy" vbProcedure="false">AYARLAR!$B$33</definedName>
    <definedName function="false" hidden="false" name="AnalizUcuncuAy" vbProcedure="false">AYARLAR!$B$34</definedName>
    <definedName function="false" hidden="false" name="AnalizYili" vbProcedure="false">AYARLAR!$B$31</definedName>
    <definedName function="false" hidden="false" name="DosyaSurumu" vbProcedure="false">AYARLAR!$B$9</definedName>
    <definedName function="false" hidden="false" name="DuyarliOran" vbProcedure="false">AYARLAR!$B$28</definedName>
    <definedName function="false" hidden="false" name="EsikDevam" vbProcedure="false">AYARLAR!$B$13</definedName>
    <definedName function="false" hidden="false" name="EsikIzle" vbProcedure="false">AYARLAR!$B$14</definedName>
    <definedName function="false" hidden="false" name="EsikKritik" vbProcedure="false">AYARLAR!$B$17</definedName>
    <definedName function="false" hidden="false" name="EsikLimitAzalt" vbProcedure="false">AYARLAR!$B$15</definedName>
    <definedName function="false" hidden="false" name="EsikPesin" vbProcedure="false">AYARLAR!$B$16</definedName>
    <definedName function="false" hidden="false" name="EsikYuksek" vbProcedure="false">AYARLAR!$B$18</definedName>
    <definedName function="false" hidden="false" name="FinansmanMaliyeti" vbProcedure="false">AYARLAR!$B$41</definedName>
    <definedName function="false" hidden="false" name="FirmaUnvan" vbProcedure="false">AYARLAR!$B$6</definedName>
    <definedName function="false" hidden="false" name="GecikmeMaxPuan" vbProcedure="false">AYARLAR!$B$19</definedName>
    <definedName function="false" hidden="false" name="GuvenOrta" vbProcedure="false">AYARLAR!$B$27</definedName>
    <definedName function="false" hidden="false" name="GuvenYuksek" vbProcedure="false">AYARLAR!$B$26</definedName>
    <definedName function="false" hidden="false" name="ItirazMaxPuan" vbProcedure="false">AYARLAR!$B$23</definedName>
    <definedName function="false" hidden="false" name="KaliteSkorEsik" vbProcedure="false">AYARLAR!$B$46</definedName>
    <definedName function="false" hidden="false" name="KararBildirimi" vbProcedure="false">KARAR_MOTORU!$B$3</definedName>
    <definedName function="false" hidden="false" name="KararGunu" vbProcedure="false">AYARLAR!$B$44</definedName>
    <definedName function="false" hidden="false" name="LimitMaxPuan" vbProcedure="false">AYARLAR!$B$21</definedName>
    <definedName function="false" hidden="false" name="ListeAksiyonDurum" vbProcedure="false">LISTELER!$M$6:$M$7</definedName>
    <definedName function="false" hidden="false" name="ListeBelgeDurum" vbProcedure="false">LISTELER!$I$6:$I$8</definedName>
    <definedName function="false" hidden="false" name="ListeEvetHayir" vbProcedure="false">LISTELER!$O$6:$O$7</definedName>
    <definedName function="false" hidden="false" name="ListeIletisimKanali" vbProcedure="false">LISTELER!$K$6:$K$9</definedName>
    <definedName function="false" hidden="false" name="ListeMusteriDurum" vbProcedure="false">LISTELER!$A$6:$A$9</definedName>
    <definedName function="false" hidden="false" name="ListeOdemeTuru" vbProcedure="false">LISTELER!$E$6:$E$9</definedName>
    <definedName function="false" hidden="false" name="ListeParaBirimi" vbProcedure="false">LISTELER!$C$6:$C$8</definedName>
    <definedName function="false" hidden="false" name="ListeTeminatTuru" vbProcedure="false">LISTELER!$G$6:$G$10</definedName>
    <definedName function="false" hidden="false" name="modulI1TrendTahmini" vbProcedure="false">ANALITIK_MOTOR!$C$19</definedName>
    <definedName function="false" hidden="false" name="modulI1TrendTahminiYorum" vbProcedure="false">ANALITIK_MOTOR!$D$19</definedName>
    <definedName function="false" hidden="false" name="modulI2YuzdelikP90" vbProcedure="false">ANALITIK_MOTOR!$C$20</definedName>
    <definedName function="false" hidden="false" name="modulI2YuzdelikP90Yorum" vbProcedure="false">ANALITIK_MOTOR!$D$20</definedName>
    <definedName function="false" hidden="false" name="modulI7NakitAcigi" vbProcedure="false">ANALITIK_MOTOR!$C$21</definedName>
    <definedName function="false" hidden="false" name="modulI7NakitAcigiYorum" vbProcedure="false">ANALITIK_MOTOR!$D$21</definedName>
    <definedName function="false" hidden="false" name="modulO1TahsilatSapma" vbProcedure="false">ANALITIK_MOTOR!$C$12</definedName>
    <definedName function="false" hidden="false" name="modulO1TahsilatSapmaYorum" vbProcedure="false">ANALITIK_MOTOR!$D$12</definedName>
    <definedName function="false" hidden="false" name="modulO2RiskliMusteri" vbProcedure="false">ANALITIK_MOTOR!$C$13</definedName>
    <definedName function="false" hidden="false" name="modulO2RiskliMusteriYorum" vbProcedure="false">ANALITIK_MOTOR!$D$13</definedName>
    <definedName function="false" hidden="false" name="modulO3KotumsrSenaryo" vbProcedure="false">ANALITIK_MOTOR!$C$14</definedName>
    <definedName function="false" hidden="false" name="modulO3KotumsrSenaryoYorum" vbProcedure="false">ANALITIK_MOTOR!$D$14</definedName>
    <definedName function="false" hidden="false" name="modulO4NakitDonusum" vbProcedure="false">ANALITIK_MOTOR!$C$15</definedName>
    <definedName function="false" hidden="false" name="modulO4NakitDonusumYorum" vbProcedure="false">ANALITIK_MOTOR!$D$15</definedName>
    <definedName function="false" hidden="false" name="modulO5GecikmeMaliyeti" vbProcedure="false">ANALITIK_MOTOR!$C$16</definedName>
    <definedName function="false" hidden="false" name="modulO5GecikmeMaliyetiYorum" vbProcedure="false">ANALITIK_MOTOR!$D$16</definedName>
    <definedName function="false" hidden="false" name="modulO6Hhi" vbProcedure="false">ANALITIK_MOTOR!$C$17</definedName>
    <definedName function="false" hidden="false" name="modulO6HhiYorum" vbProcedure="false">ANALITIK_MOTOR!$D$17</definedName>
    <definedName function="false" hidden="false" name="modulO8KaliteSkor" vbProcedure="false">ANALITIK_MOTOR!$C$18</definedName>
    <definedName function="false" hidden="false" name="modulO8KaliteSkorYorum" vbProcedure="false">ANALITIK_MOTOR!$D$18</definedName>
    <definedName function="false" hidden="false" name="modulT1Yaslandirma" vbProcedure="false">ANALITIK_MOTOR!$C$6</definedName>
    <definedName function="false" hidden="false" name="modulT1YaslandirmaYorum" vbProcedure="false">ANALITIK_MOTOR!$D$6</definedName>
    <definedName function="false" hidden="false" name="modulT2TahsilatOrt" vbProcedure="false">ANALITIK_MOTOR!$C$7</definedName>
    <definedName function="false" hidden="false" name="modulT2TahsilatOrtYorum" vbProcedure="false">ANALITIK_MOTOR!$D$7</definedName>
    <definedName function="false" hidden="false" name="modulT3Yogunlasma" vbProcedure="false">ANALITIK_MOTOR!$C$8</definedName>
    <definedName function="false" hidden="false" name="modulT3YogunlasmaYorum" vbProcedure="false">ANALITIK_MOTOR!$D$8</definedName>
    <definedName function="false" hidden="false" name="modulT4DonemFark" vbProcedure="false">ANALITIK_MOTOR!$C$9</definedName>
    <definedName function="false" hidden="false" name="modulT4DonemFarkYorum" vbProcedure="false">ANALITIK_MOTOR!$D$9</definedName>
    <definedName function="false" hidden="false" name="modulT5MutabakatFark" vbProcedure="false">ANALITIK_MOTOR!$C$10</definedName>
    <definedName function="false" hidden="false" name="modulT5MutabakatFarkYorum" vbProcedure="false">ANALITIK_MOTOR!$D$10</definedName>
    <definedName function="false" hidden="false" name="modulT6KirilimOran" vbProcedure="false">ANALITIK_MOTOR!$C$11</definedName>
    <definedName function="false" hidden="false" name="modulT6KirilimOranYorum" vbProcedure="false">ANALITIK_MOTOR!$D$11</definedName>
    <definedName function="false" hidden="false" name="P90Oran" vbProcedure="false">AYARLAR!$B$47</definedName>
    <definedName function="false" hidden="false" name="RaporHazirlayan" vbProcedure="false">AYARLAR!$B$8</definedName>
    <definedName function="false" hidden="false" name="RaporTarihi" vbProcedure="false">AYARLAR!$B$7</definedName>
    <definedName function="false" hidden="false" name="RiskSkoru" vbProcedure="false">MUSTERI_RISK_SKORU!$X$6</definedName>
    <definedName function="false" hidden="false" name="SaglikEsikOrta" vbProcedure="false">AYARLAR!$B$39</definedName>
    <definedName function="false" hidden="false" name="SaglikEsikYuksek" vbProcedure="false">AYARLAR!$B$38</definedName>
    <definedName function="false" hidden="false" name="StatufAskida" vbProcedure="false">AYARLAR!$B$24</definedName>
    <definedName function="false" hidden="false" name="StatufIzleme" vbProcedure="false">AYARLAR!$B$25</definedName>
    <definedName function="false" hidden="false" name="TeminatMaxPuan" vbProcedure="false">AYARLAR!$B$22</definedName>
    <definedName function="false" hidden="false" name="TolereansCarpan" vbProcedure="false">AYARLAR!$B$36</definedName>
    <definedName function="false" hidden="false" name="VadeGecikmeEsik" vbProcedure="false">AYARLAR!$B$45</definedName>
    <definedName function="false" hidden="false" name="VadeMaxPuan" vbProcedure="false">AYARLAR!$B$20</definedName>
    <definedName function="false" hidden="false" name="VeriKalitesiEksik" vbProcedure="false">AYARLAR!$B$40</definedName>
    <definedName function="false" hidden="false" name="YaslamaDilim1" vbProcedure="false">AYARLAR!$B$10</definedName>
    <definedName function="false" hidden="false" name="YaslamaDilim2" vbProcedure="false">AYARLAR!$B$11</definedName>
    <definedName function="false" hidden="false" name="YaslamaDilim3" vbProcedure="false">AYARLAR!$B$12</definedName>
    <definedName function="false" hidden="false" name="YenilemeUyariGunu" vbProcedure="false">AYARLAR!$B$37</definedName>
    <definedName function="false" hidden="false" name="ZorunluAlanSayisi" vbProcedure="false">AYARLAR!$B$29</definedName>
    <definedName function="false" hidden="false" name="ZorunluTeminatAlanSayisi" vbProcedure="false">AYARLAR!$B$30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L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M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N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O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P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  <comment ref="Q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90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L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M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M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N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O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O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O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O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O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O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P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P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P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P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P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P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16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K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4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  <comment ref="L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4</xdr:rowOff>
              </xdr:from>
              <xdr:to>
                <xdr:col>4</xdr:col>
                <xdr:colOff>2</xdr:colOff>
                <xdr:row>5</xdr:row>
                <xdr:rowOff>20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N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105</xdr:colOff>
                <xdr:row>5</xdr:row>
                <xdr:rowOff>18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2</xdr:col>
                <xdr:colOff>105</xdr:colOff>
                <xdr:row>5</xdr:row>
                <xdr:rowOff>20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6</xdr:rowOff>
              </xdr:from>
              <xdr:to>
                <xdr:col>2</xdr:col>
                <xdr:colOff>105</xdr:colOff>
                <xdr:row>5</xdr:row>
                <xdr:rowOff>22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8</xdr:rowOff>
              </xdr:from>
              <xdr:to>
                <xdr:col>2</xdr:col>
                <xdr:colOff>105</xdr:colOff>
                <xdr:row>6</xdr:row>
                <xdr:rowOff>2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9</xdr:rowOff>
              </xdr:from>
              <xdr:to>
                <xdr:col>2</xdr:col>
                <xdr:colOff>105</xdr:colOff>
                <xdr:row>6</xdr:row>
                <xdr:rowOff>4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11</xdr:rowOff>
              </xdr:from>
              <xdr:to>
                <xdr:col>2</xdr:col>
                <xdr:colOff>105</xdr:colOff>
                <xdr:row>6</xdr:row>
                <xdr:rowOff>5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13</xdr:rowOff>
              </xdr:from>
              <xdr:to>
                <xdr:col>2</xdr:col>
                <xdr:colOff>105</xdr:colOff>
                <xdr:row>6</xdr:row>
                <xdr:rowOff>7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15</xdr:rowOff>
              </xdr:from>
              <xdr:to>
                <xdr:col>2</xdr:col>
                <xdr:colOff>105</xdr:colOff>
                <xdr:row>6</xdr:row>
                <xdr:rowOff>9</xdr:rowOff>
              </xdr:to>
            </anchor>
          </commentPr>
        </mc:Choice>
        <mc:Fallback/>
      </mc:AlternateContent>
    </comment>
    <comment ref="N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17</xdr:rowOff>
              </xdr:from>
              <xdr:to>
                <xdr:col>2</xdr:col>
                <xdr:colOff>105</xdr:colOff>
                <xdr:row>6</xdr:row>
                <xdr:rowOff>11</xdr:rowOff>
              </xdr:to>
            </anchor>
          </commentPr>
        </mc:Choice>
        <mc:Fallback/>
      </mc:AlternateContent>
    </comment>
    <comment ref="N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19</xdr:rowOff>
              </xdr:from>
              <xdr:to>
                <xdr:col>2</xdr:col>
                <xdr:colOff>105</xdr:colOff>
                <xdr:row>6</xdr:row>
                <xdr:rowOff>13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2</xdr:col>
                <xdr:colOff>105</xdr:colOff>
                <xdr:row>6</xdr:row>
                <xdr:rowOff>15</xdr:rowOff>
              </xdr:to>
            </anchor>
          </commentPr>
        </mc:Choice>
        <mc:Fallback/>
      </mc:AlternateContent>
    </comment>
    <comment ref="N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23</xdr:rowOff>
              </xdr:from>
              <xdr:to>
                <xdr:col>2</xdr:col>
                <xdr:colOff>105</xdr:colOff>
                <xdr:row>6</xdr:row>
                <xdr:rowOff>17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24</xdr:rowOff>
              </xdr:from>
              <xdr:to>
                <xdr:col>2</xdr:col>
                <xdr:colOff>105</xdr:colOff>
                <xdr:row>6</xdr:row>
                <xdr:rowOff>18</xdr:rowOff>
              </xdr:to>
            </anchor>
          </commentPr>
        </mc:Choice>
        <mc:Fallback/>
      </mc:AlternateContent>
    </comment>
    <comment ref="N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26</xdr:rowOff>
              </xdr:from>
              <xdr:to>
                <xdr:col>2</xdr:col>
                <xdr:colOff>105</xdr:colOff>
                <xdr:row>6</xdr:row>
                <xdr:rowOff>20</xdr:rowOff>
              </xdr:to>
            </anchor>
          </commentPr>
        </mc:Choice>
        <mc:Fallback/>
      </mc:AlternateContent>
    </comment>
    <comment ref="N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28</xdr:rowOff>
              </xdr:from>
              <xdr:to>
                <xdr:col>2</xdr:col>
                <xdr:colOff>105</xdr:colOff>
                <xdr:row>7</xdr:row>
                <xdr:rowOff>0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30</xdr:rowOff>
              </xdr:from>
              <xdr:to>
                <xdr:col>2</xdr:col>
                <xdr:colOff>105</xdr:colOff>
                <xdr:row>7</xdr:row>
                <xdr:rowOff>2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32</xdr:rowOff>
              </xdr:from>
              <xdr:to>
                <xdr:col>2</xdr:col>
                <xdr:colOff>105</xdr:colOff>
                <xdr:row>7</xdr:row>
                <xdr:rowOff>4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34</xdr:rowOff>
              </xdr:from>
              <xdr:to>
                <xdr:col>2</xdr:col>
                <xdr:colOff>105</xdr:colOff>
                <xdr:row>7</xdr:row>
                <xdr:rowOff>6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2</xdr:rowOff>
              </xdr:from>
              <xdr:to>
                <xdr:col>2</xdr:col>
                <xdr:colOff>105</xdr:colOff>
                <xdr:row>7</xdr:row>
                <xdr:rowOff>8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3</xdr:rowOff>
              </xdr:from>
              <xdr:to>
                <xdr:col>2</xdr:col>
                <xdr:colOff>105</xdr:colOff>
                <xdr:row>7</xdr:row>
                <xdr:rowOff>10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105</xdr:colOff>
                <xdr:row>7</xdr:row>
                <xdr:rowOff>12</xdr:rowOff>
              </xdr:to>
            </anchor>
          </commentPr>
        </mc:Choice>
        <mc:Fallback/>
      </mc:AlternateContent>
    </comment>
    <comment ref="N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2</xdr:col>
                <xdr:colOff>105</xdr:colOff>
                <xdr:row>7</xdr:row>
                <xdr:rowOff>13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2</xdr:col>
                <xdr:colOff>105</xdr:colOff>
                <xdr:row>7</xdr:row>
                <xdr:rowOff>15</xdr:rowOff>
              </xdr:to>
            </anchor>
          </commentPr>
        </mc:Choice>
        <mc:Fallback/>
      </mc:AlternateContent>
    </comment>
    <comment ref="N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2</xdr:col>
                <xdr:colOff>105</xdr:colOff>
                <xdr:row>7</xdr:row>
                <xdr:rowOff>17</xdr:rowOff>
              </xdr:to>
            </anchor>
          </commentPr>
        </mc:Choice>
        <mc:Fallback/>
      </mc:AlternateContent>
    </comment>
    <comment ref="N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2</xdr:col>
                <xdr:colOff>105</xdr:colOff>
                <xdr:row>7</xdr:row>
                <xdr:rowOff>19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2</xdr:col>
                <xdr:colOff>105</xdr:colOff>
                <xdr:row>7</xdr:row>
                <xdr:rowOff>21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17</xdr:rowOff>
              </xdr:from>
              <xdr:to>
                <xdr:col>2</xdr:col>
                <xdr:colOff>105</xdr:colOff>
                <xdr:row>8</xdr:row>
                <xdr:rowOff>1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2</xdr:col>
                <xdr:colOff>105</xdr:colOff>
                <xdr:row>8</xdr:row>
                <xdr:rowOff>3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2</xdr:col>
                <xdr:colOff>105</xdr:colOff>
                <xdr:row>8</xdr:row>
                <xdr:rowOff>5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105</xdr:colOff>
                <xdr:row>8</xdr:row>
                <xdr:rowOff>7</xdr:rowOff>
              </xdr:to>
            </anchor>
          </commentPr>
        </mc:Choice>
        <mc:Fallback/>
      </mc:AlternateContent>
    </comment>
    <comment ref="N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2</xdr:col>
                <xdr:colOff>105</xdr:colOff>
                <xdr:row>8</xdr:row>
                <xdr:rowOff>8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6</xdr:rowOff>
              </xdr:from>
              <xdr:to>
                <xdr:col>2</xdr:col>
                <xdr:colOff>105</xdr:colOff>
                <xdr:row>8</xdr:row>
                <xdr:rowOff>10</xdr:rowOff>
              </xdr:to>
            </anchor>
          </commentPr>
        </mc:Choice>
        <mc:Fallback/>
      </mc:AlternateContent>
    </comment>
    <comment ref="N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8</xdr:rowOff>
              </xdr:from>
              <xdr:to>
                <xdr:col>2</xdr:col>
                <xdr:colOff>105</xdr:colOff>
                <xdr:row>8</xdr:row>
                <xdr:rowOff>12</xdr:rowOff>
              </xdr:to>
            </anchor>
          </commentPr>
        </mc:Choice>
        <mc:Fallback/>
      </mc:AlternateContent>
    </comment>
    <comment ref="N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</xdr:rowOff>
              </xdr:from>
              <xdr:to>
                <xdr:col>2</xdr:col>
                <xdr:colOff>105</xdr:colOff>
                <xdr:row>8</xdr:row>
                <xdr:rowOff>14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2</xdr:col>
                <xdr:colOff>105</xdr:colOff>
                <xdr:row>8</xdr:row>
                <xdr:rowOff>16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13</xdr:rowOff>
              </xdr:from>
              <xdr:to>
                <xdr:col>2</xdr:col>
                <xdr:colOff>105</xdr:colOff>
                <xdr:row>8</xdr:row>
                <xdr:rowOff>18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15</xdr:rowOff>
              </xdr:from>
              <xdr:to>
                <xdr:col>2</xdr:col>
                <xdr:colOff>105</xdr:colOff>
                <xdr:row>8</xdr:row>
                <xdr:rowOff>20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17</xdr:rowOff>
              </xdr:from>
              <xdr:to>
                <xdr:col>2</xdr:col>
                <xdr:colOff>105</xdr:colOff>
                <xdr:row>8</xdr:row>
                <xdr:rowOff>21</xdr:rowOff>
              </xdr:to>
            </anchor>
          </commentPr>
        </mc:Choice>
        <mc:Fallback/>
      </mc:AlternateContent>
    </comment>
    <comment ref="N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2</xdr:col>
                <xdr:colOff>105</xdr:colOff>
                <xdr:row>9</xdr:row>
                <xdr:rowOff>1</xdr:rowOff>
              </xdr:to>
            </anchor>
          </commentPr>
        </mc:Choice>
        <mc:Fallback/>
      </mc:AlternateContent>
    </comment>
    <comment ref="N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</xdr:rowOff>
              </xdr:from>
              <xdr:to>
                <xdr:col>2</xdr:col>
                <xdr:colOff>105</xdr:colOff>
                <xdr:row>9</xdr:row>
                <xdr:rowOff>3</xdr:rowOff>
              </xdr:to>
            </anchor>
          </commentPr>
        </mc:Choice>
        <mc:Fallback/>
      </mc:AlternateContent>
    </comment>
    <comment ref="N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  <comment ref="N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2</xdr:col>
                <xdr:colOff>105</xdr:colOff>
                <xdr:row>9</xdr:row>
                <xdr:rowOff>5</xdr:rowOff>
              </xdr:to>
            </anchor>
          </commentPr>
        </mc:Choice>
        <mc:Fallback/>
      </mc:AlternateContent>
    </comment>
  </commentList>
</comments>
</file>

<file path=xl/comments2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231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231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231</xdr:colOff>
                <xdr:row>6</xdr:row>
                <xdr:rowOff>16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231</xdr:colOff>
                <xdr:row>6</xdr:row>
                <xdr:rowOff>34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</xdr:rowOff>
              </xdr:from>
              <xdr:to>
                <xdr:col>1</xdr:col>
                <xdr:colOff>231</xdr:colOff>
                <xdr:row>7</xdr:row>
                <xdr:rowOff>14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</xdr:rowOff>
              </xdr:from>
              <xdr:to>
                <xdr:col>1</xdr:col>
                <xdr:colOff>231</xdr:colOff>
                <xdr:row>7</xdr:row>
                <xdr:rowOff>14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19</xdr:rowOff>
              </xdr:from>
              <xdr:to>
                <xdr:col>1</xdr:col>
                <xdr:colOff>231</xdr:colOff>
                <xdr:row>8</xdr:row>
                <xdr:rowOff>11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1</xdr:col>
                <xdr:colOff>231</xdr:colOff>
                <xdr:row>9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<sst xmlns="http://schemas.openxmlformats.org/spreadsheetml/2006/main" count="808" uniqueCount="586">
  <si>
    <t xml:space="preserve">KAPAK — CARİ HESAP, TAHSİLAT VE MÜŞTERİ RİSK TAKİP SİSTEMİ</t>
  </si>
  <si>
    <t xml:space="preserve">CARİ RİSK UZMAN</t>
  </si>
  <si>
    <t xml:space="preserve">Cari Hesap, Tahsilat ve Müşteri Risk Takip Sistemi</t>
  </si>
  <si>
    <t xml:space="preserve">Vadeli satış kararlarını, tahsilat önceliklerini ve müşteri limitlerini</t>
  </si>
  <si>
    <t xml:space="preserve">makine üretimi risk skoru ve karar kapısı ile yönetin.</t>
  </si>
  <si>
    <t xml:space="preserve">KİMLER İÇİN?</t>
  </si>
  <si>
    <t xml:space="preserve">•  Finans ve kredi yöneticileri</t>
  </si>
  <si>
    <t xml:space="preserve">•  Tahsilat ekipleri ve muhasebe uzmanları</t>
  </si>
  <si>
    <t xml:space="preserve">•  Vadeli satış riskini ölçen satış yöneticileri</t>
  </si>
  <si>
    <t xml:space="preserve">NE KAZANDIRIR?</t>
  </si>
  <si>
    <t xml:space="preserve">•  Açık alacak ve vadesi geçmiş bakiyeyi anında görürsünüz</t>
  </si>
  <si>
    <t xml:space="preserve">•  Risk skoru ile kiminle vadeli çalışacağınızı netleştirirsiniz</t>
  </si>
  <si>
    <t xml:space="preserve">•  Tahsilat aksiyonlarını öncelik sırasına göre planlarsınız</t>
  </si>
  <si>
    <t xml:space="preserve">•  Teminat sonrası net riskinizi tek ekranda izlersiniz</t>
  </si>
  <si>
    <t xml:space="preserve">Başlamak için HIZLI_BAŞLANGIÇ sayfasına gidin.</t>
  </si>
  <si>
    <t xml:space="preserve">HIZLI BASLANGIC — CARİ HESAP, TAHSİLAT VE MÜŞTERİ RİSK TAKİP SİSTEMİ</t>
  </si>
  <si>
    <t xml:space="preserve">3 ADIMDA KULLANIM</t>
  </si>
  <si>
    <t xml:space="preserve">ADIM 1 — MÜŞTERİ VE FATURA</t>
  </si>
  <si>
    <t xml:space="preserve">MUSTERI_KARTLARI'na müşterileri, FATURALAR'a faturaları girin; TAHSILATLAR'a ödemeleri işleyin.</t>
  </si>
  <si>
    <t xml:space="preserve">ADIM 2 — TEMİNAT VE İLETİŞİM</t>
  </si>
  <si>
    <t xml:space="preserve">TEMINATLAR'ı ve ILETISIM_TAKIP'i tamamlayın; yaşlandırma otomatik hesaplanır.</t>
  </si>
  <si>
    <t xml:space="preserve">ADIM 3 — KARAR VE RAPOR</t>
  </si>
  <si>
    <t xml:space="preserve">MUSTERI_RISK_SKORU ve KARAR_MOTORU'ndaki kararları inceleyin; RAPOR'u yöneticiye sunun.</t>
  </si>
  <si>
    <t xml:space="preserve">ÖNEMLİ NOTLAR</t>
  </si>
  <si>
    <t xml:space="preserve">•  Sarı hücreler manuel giriş alanlarıdır; diğer hücreler formül üretir ve 1234 şifresiyle korunur.</t>
  </si>
  <si>
    <t xml:space="preserve">•  Rapor tarihi AYARLAR sayfasındandır; gecikme günleri bu tarihe göre hesaplanır.</t>
  </si>
  <si>
    <t xml:space="preserve">•  Örnek veri ile deneme için ORNEK_VERI sayfasına bakın; verileri kendi verinizle değiştirin.</t>
  </si>
  <si>
    <t xml:space="preserve">MUSTERI KARTLARI — CARİ HESAP, TAHSİLAT VE MÜŞTERİ RİSK TAKİP SİSTEMİ</t>
  </si>
  <si>
    <t xml:space="preserve">MÜŞTERİ PORTFÖYÜ VE LİMİT MERKEZİ</t>
  </si>
  <si>
    <t xml:space="preserve">Müşteri Kodu</t>
  </si>
  <si>
    <t xml:space="preserve">Unvan</t>
  </si>
  <si>
    <t xml:space="preserve">Vergi Numarası</t>
  </si>
  <si>
    <t xml:space="preserve">Sektör</t>
  </si>
  <si>
    <t xml:space="preserve">Bölge</t>
  </si>
  <si>
    <t xml:space="preserve">Satış Sorumlusu</t>
  </si>
  <si>
    <t xml:space="preserve">İlk Çalışma Tarihi</t>
  </si>
  <si>
    <t xml:space="preserve">Varsayılan Vade</t>
  </si>
  <si>
    <t xml:space="preserve">Onaylı Risk Limiti</t>
  </si>
  <si>
    <t xml:space="preserve">Geçici Ek Limit</t>
  </si>
  <si>
    <t xml:space="preserve">Limit Bitiş Tarihi</t>
  </si>
  <si>
    <t xml:space="preserve">Teminat Türü</t>
  </si>
  <si>
    <t xml:space="preserve">Teminat Değeri</t>
  </si>
  <si>
    <t xml:space="preserve">Teminat Geçerlilik Tarihi</t>
  </si>
  <si>
    <t xml:space="preserve">Grup Şirketi</t>
  </si>
  <si>
    <t xml:space="preserve">Kritik Müşteri mi?</t>
  </si>
  <si>
    <t xml:space="preserve">Durum</t>
  </si>
  <si>
    <t xml:space="preserve">Kontrol</t>
  </si>
  <si>
    <t xml:space="preserve">M001</t>
  </si>
  <si>
    <t xml:space="preserve">Atlas Yapı A.Ş.</t>
  </si>
  <si>
    <t xml:space="preserve">1111111111</t>
  </si>
  <si>
    <t xml:space="preserve">İnşaat</t>
  </si>
  <si>
    <t xml:space="preserve">Marmara</t>
  </si>
  <si>
    <t xml:space="preserve">Ayşe Yılmaz</t>
  </si>
  <si>
    <t xml:space="preserve">Banka Teminat Mektubu</t>
  </si>
  <si>
    <t xml:space="preserve">Anadolu Grubu</t>
  </si>
  <si>
    <t xml:space="preserve">Hayır</t>
  </si>
  <si>
    <t xml:space="preserve">Aktif</t>
  </si>
  <si>
    <t xml:space="preserve">M002</t>
  </si>
  <si>
    <t xml:space="preserve">Bora Perakende Ltd.</t>
  </si>
  <si>
    <t xml:space="preserve">2222222222</t>
  </si>
  <si>
    <t xml:space="preserve">Perakende</t>
  </si>
  <si>
    <t xml:space="preserve">Ege</t>
  </si>
  <si>
    <t xml:space="preserve">Mehmet Kaya</t>
  </si>
  <si>
    <t xml:space="preserve">İpotek</t>
  </si>
  <si>
    <t xml:space="preserve">Bağımsız</t>
  </si>
  <si>
    <t xml:space="preserve">M003</t>
  </si>
  <si>
    <t xml:space="preserve">Cemre Gıda A.Ş.</t>
  </si>
  <si>
    <t xml:space="preserve">3333333333</t>
  </si>
  <si>
    <t xml:space="preserve">Gıda</t>
  </si>
  <si>
    <t xml:space="preserve">İç Anadolu</t>
  </si>
  <si>
    <t xml:space="preserve">Selin Demir</t>
  </si>
  <si>
    <t xml:space="preserve">Çek ve Senet</t>
  </si>
  <si>
    <t xml:space="preserve">İzlemede</t>
  </si>
  <si>
    <t xml:space="preserve">M004</t>
  </si>
  <si>
    <t xml:space="preserve">Delta Tekstil Ltd.</t>
  </si>
  <si>
    <t xml:space="preserve">4444444444</t>
  </si>
  <si>
    <t xml:space="preserve">Tekstil</t>
  </si>
  <si>
    <t xml:space="preserve">Can Arslan</t>
  </si>
  <si>
    <t xml:space="preserve">Teminatsız</t>
  </si>
  <si>
    <t xml:space="preserve">Evet</t>
  </si>
  <si>
    <t xml:space="preserve">Askıda</t>
  </si>
  <si>
    <t xml:space="preserve">FATURALAR — CARİ HESAP, TAHSİLAT VE MÜŞTERİ RİSK TAKİP SİSTEMİ</t>
  </si>
  <si>
    <t xml:space="preserve">FATURA VE VADE YÖNETİM MERKEZİ</t>
  </si>
  <si>
    <t xml:space="preserve">Fatura Kayıt Numarası</t>
  </si>
  <si>
    <t xml:space="preserve">Fatura Numarası</t>
  </si>
  <si>
    <t xml:space="preserve">Fatura Tarihi</t>
  </si>
  <si>
    <t xml:space="preserve">Vade Tarihi</t>
  </si>
  <si>
    <t xml:space="preserve">Fatura Tutarı</t>
  </si>
  <si>
    <t xml:space="preserve">Para Birimi</t>
  </si>
  <si>
    <t xml:space="preserve">Kur</t>
  </si>
  <si>
    <t xml:space="preserve">TL Tutarı</t>
  </si>
  <si>
    <t xml:space="preserve">İade/İskonto</t>
  </si>
  <si>
    <t xml:space="preserve">Net Fatura</t>
  </si>
  <si>
    <t xml:space="preserve">İtirazlı Tutar</t>
  </si>
  <si>
    <t xml:space="preserve">Teminat Kapsamı</t>
  </si>
  <si>
    <t xml:space="preserve">Proje/Sipariş</t>
  </si>
  <si>
    <t xml:space="preserve">Belge Durumu</t>
  </si>
  <si>
    <t xml:space="preserve">Mükerrer Kontrol</t>
  </si>
  <si>
    <t xml:space="preserve">F001</t>
  </si>
  <si>
    <t xml:space="preserve">2026-001</t>
  </si>
  <si>
    <t xml:space="preserve">TRY</t>
  </si>
  <si>
    <t xml:space="preserve">Proje A-2026</t>
  </si>
  <si>
    <t xml:space="preserve">Onaylı</t>
  </si>
  <si>
    <t xml:space="preserve">F002</t>
  </si>
  <si>
    <t xml:space="preserve">2026-002</t>
  </si>
  <si>
    <t xml:space="preserve">Proje B-2026</t>
  </si>
  <si>
    <t xml:space="preserve">F003</t>
  </si>
  <si>
    <t xml:space="preserve">2026-003</t>
  </si>
  <si>
    <t xml:space="preserve">Perakende dönem</t>
  </si>
  <si>
    <t xml:space="preserve">F004</t>
  </si>
  <si>
    <t xml:space="preserve">2026-004</t>
  </si>
  <si>
    <t xml:space="preserve">Gıda dönem</t>
  </si>
  <si>
    <t xml:space="preserve">İtirazlı</t>
  </si>
  <si>
    <t xml:space="preserve">F005</t>
  </si>
  <si>
    <t xml:space="preserve">2026-005</t>
  </si>
  <si>
    <t xml:space="preserve">Tekstil ihracat</t>
  </si>
  <si>
    <t xml:space="preserve">F006</t>
  </si>
  <si>
    <t xml:space="preserve">2026-006</t>
  </si>
  <si>
    <t xml:space="preserve">Gıda dönem 2</t>
  </si>
  <si>
    <t xml:space="preserve">TAHSILATLAR — CARİ HESAP, TAHSİLAT VE MÜŞTERİ RİSK TAKİP SİSTEMİ</t>
  </si>
  <si>
    <t xml:space="preserve">TAHSİLAT KAYIT VE EŞLEŞTİRME MERKEZİ</t>
  </si>
  <si>
    <t xml:space="preserve">Tahsilat Kayıt Numarası</t>
  </si>
  <si>
    <t xml:space="preserve">Tarih</t>
  </si>
  <si>
    <t xml:space="preserve">Tahsilat Tutarı</t>
  </si>
  <si>
    <t xml:space="preserve">Ödeme Türü</t>
  </si>
  <si>
    <t xml:space="preserve">Banka/Kasa</t>
  </si>
  <si>
    <t xml:space="preserve">Çek/Senet Numarası</t>
  </si>
  <si>
    <t xml:space="preserve">Valör Tarihi</t>
  </si>
  <si>
    <t xml:space="preserve">Kesinleşti mi?</t>
  </si>
  <si>
    <t xml:space="preserve">Açıklama</t>
  </si>
  <si>
    <t xml:space="preserve">T001</t>
  </si>
  <si>
    <t xml:space="preserve">Havale/EFT</t>
  </si>
  <si>
    <t xml:space="preserve">Akbank</t>
  </si>
  <si>
    <t xml:space="preserve">T002</t>
  </si>
  <si>
    <t xml:space="preserve">İş Bankası</t>
  </si>
  <si>
    <t xml:space="preserve">T003</t>
  </si>
  <si>
    <t xml:space="preserve">Garanti</t>
  </si>
  <si>
    <t xml:space="preserve">T004</t>
  </si>
  <si>
    <t xml:space="preserve">Çek/Senet</t>
  </si>
  <si>
    <t xml:space="preserve">ÇEK-4412</t>
  </si>
  <si>
    <t xml:space="preserve">Vade bekleniyor</t>
  </si>
  <si>
    <t xml:space="preserve">TEMINATLAR — CARİ HESAP, TAHSİLAT VE MÜŞTERİ RİSK TAKİP SİSTEMİ</t>
  </si>
  <si>
    <t xml:space="preserve">TEMİNAT PORTFÖYÜ</t>
  </si>
  <si>
    <t xml:space="preserve">Teminat Kayıt Numarası</t>
  </si>
  <si>
    <t xml:space="preserve">Belge Numarası</t>
  </si>
  <si>
    <t xml:space="preserve">Başlangıç Tarihi</t>
  </si>
  <si>
    <t xml:space="preserve">Geçerlilik Tarihi</t>
  </si>
  <si>
    <t xml:space="preserve">Nominal Değer</t>
  </si>
  <si>
    <t xml:space="preserve">Değerleme İndirimi</t>
  </si>
  <si>
    <t xml:space="preserve">Kabul Edilen Değer</t>
  </si>
  <si>
    <t xml:space="preserve">BTM-24018</t>
  </si>
  <si>
    <t xml:space="preserve">IP-8831</t>
  </si>
  <si>
    <t xml:space="preserve">ILETISIM TAKIP — CARİ HESAP, TAHSİLAT VE MÜŞTERİ RİSK TAKİP SİSTEMİ</t>
  </si>
  <si>
    <t xml:space="preserve">İLETİŞİM VE ÖDEME SÖZÜ TAKİBİ</t>
  </si>
  <si>
    <t xml:space="preserve">Takip Kayıt Numarası</t>
  </si>
  <si>
    <t xml:space="preserve">Yetkili Kişi</t>
  </si>
  <si>
    <t xml:space="preserve">Kanal</t>
  </si>
  <si>
    <t xml:space="preserve">Görüşme Sonucu</t>
  </si>
  <si>
    <t xml:space="preserve">Söz Verilen Tarih</t>
  </si>
  <si>
    <t xml:space="preserve">Söz Verilen Tutar</t>
  </si>
  <si>
    <t xml:space="preserve">Sonraki Aksiyon</t>
  </si>
  <si>
    <t xml:space="preserve">Sorumlu</t>
  </si>
  <si>
    <t xml:space="preserve">Söz Gecikme Günü</t>
  </si>
  <si>
    <t xml:space="preserve">Söz Durumu</t>
  </si>
  <si>
    <t xml:space="preserve">IT001</t>
  </si>
  <si>
    <t xml:space="preserve">Mali İşler Müdürü</t>
  </si>
  <si>
    <t xml:space="preserve">Telefon</t>
  </si>
  <si>
    <t xml:space="preserve">Kısmi ödeme sözü</t>
  </si>
  <si>
    <t xml:space="preserve">Ödeme dekontunu teyit et</t>
  </si>
  <si>
    <t xml:space="preserve">Zeynep Kaya</t>
  </si>
  <si>
    <t xml:space="preserve">IT002</t>
  </si>
  <si>
    <t xml:space="preserve">Finans Uzmanı</t>
  </si>
  <si>
    <t xml:space="preserve">E-posta</t>
  </si>
  <si>
    <t xml:space="preserve">İtiraz dosyası bekleniyor</t>
  </si>
  <si>
    <t xml:space="preserve">Mutabakat toplantısı planla</t>
  </si>
  <si>
    <t xml:space="preserve">Kemal Şahin</t>
  </si>
  <si>
    <t xml:space="preserve">YASLANDIRMA — CARİ HESAP, TAHSİLAT VE MÜŞTERİ RİSK TAKİP SİSTEMİ</t>
  </si>
  <si>
    <t xml:space="preserve">ALACAK YAŞLANDIRMA ANALİZİ</t>
  </si>
  <si>
    <t xml:space="preserve">Kesin Tahsilat</t>
  </si>
  <si>
    <t xml:space="preserve">Açık Tutar</t>
  </si>
  <si>
    <t xml:space="preserve">Gecikme Günü</t>
  </si>
  <si>
    <t xml:space="preserve">Yaşlandırma</t>
  </si>
  <si>
    <t xml:space="preserve">ANALITIK MOTOR — CARİ HESAP, TAHSİLAT VE MÜŞTERİ RİSK TAKİP SİSTEMİ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</si>
  <si>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</si>
  <si>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</si>
  <si>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</si>
  <si>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</si>
  <si>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</si>
  <si>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</si>
  <si>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Vadesi Geçmiş Alacak</t>
  </si>
  <si>
    <t xml:space="preserve">T2</t>
  </si>
  <si>
    <t xml:space="preserve">Tahsilat Trend Ortalaması</t>
  </si>
  <si>
    <t xml:space="preserve">T3</t>
  </si>
  <si>
    <t xml:space="preserve">En Yüksek Müşteri Yoğunlaşması</t>
  </si>
  <si>
    <t xml:space="preserve">T4</t>
  </si>
  <si>
    <t xml:space="preserve">Dönemler Arası Tahsilat Farkı</t>
  </si>
  <si>
    <t xml:space="preserve">T5</t>
  </si>
  <si>
    <t xml:space="preserve">Mutabakat Farkı (Fatura-Tahsilat)</t>
  </si>
  <si>
    <t xml:space="preserve">T6</t>
  </si>
  <si>
    <t xml:space="preserve">Vadesi Geçmiş Kırılım Oranı</t>
  </si>
  <si>
    <t xml:space="preserve">O1</t>
  </si>
  <si>
    <t xml:space="preserve">Aylık Tahsilat Sapması (MAD)</t>
  </si>
  <si>
    <t xml:space="preserve">O2</t>
  </si>
  <si>
    <t xml:space="preserve">Riskli Müşteri Sayısı</t>
  </si>
  <si>
    <t xml:space="preserve">O3</t>
  </si>
  <si>
    <t xml:space="preserve">Kötümser Senaryo Açık Bakiye</t>
  </si>
  <si>
    <t xml:space="preserve">O4</t>
  </si>
  <si>
    <t xml:space="preserve">Nakit Dönüşüm Oranı</t>
  </si>
  <si>
    <t xml:space="preserve">O5</t>
  </si>
  <si>
    <t xml:space="preserve">Gecikme Maliyeti</t>
  </si>
  <si>
    <t xml:space="preserve">O6</t>
  </si>
  <si>
    <t xml:space="preserve">Yoğunlaşma Riski (HHI)</t>
  </si>
  <si>
    <t xml:space="preserve">O8</t>
  </si>
  <si>
    <t xml:space="preserve">Ortalama Veri Kalitesi Skoru</t>
  </si>
  <si>
    <t xml:space="preserve">I1</t>
  </si>
  <si>
    <t xml:space="preserve">Tahsilat Trend Tahmini</t>
  </si>
  <si>
    <t xml:space="preserve">I2</t>
  </si>
  <si>
    <t xml:space="preserve">Tahsilat Yüzdelik P90</t>
  </si>
  <si>
    <t xml:space="preserve">I7</t>
  </si>
  <si>
    <t xml:space="preserve">Nakit Açığı (Tahsilat Hedefi)</t>
  </si>
  <si>
    <t xml:space="preserve">MUSTERI RISK SKORU — CARİ HESAP, TAHSİLAT VE MÜŞTERİ RİSK TAKİP SİSTEMİ</t>
  </si>
  <si>
    <t xml:space="preserve">MÜŞTERİ RİSK SKORU</t>
  </si>
  <si>
    <t xml:space="preserve">Açık Bakiye</t>
  </si>
  <si>
    <t xml:space="preserve">Risk Limiti</t>
  </si>
  <si>
    <t xml:space="preserve">Kullanılabilir Limit</t>
  </si>
  <si>
    <t xml:space="preserve">Limit Kullanım Oranı</t>
  </si>
  <si>
    <t xml:space="preserve">Vadesi Geçmiş</t>
  </si>
  <si>
    <t xml:space="preserve">Vadesi Geçmiş Oranı</t>
  </si>
  <si>
    <t xml:space="preserve">Maks Gecikme Günü</t>
  </si>
  <si>
    <t xml:space="preserve">Net Risk</t>
  </si>
  <si>
    <t xml:space="preserve">Yoğunlaşma Oranı</t>
  </si>
  <si>
    <t xml:space="preserve">Gecikme Katkısı</t>
  </si>
  <si>
    <t xml:space="preserve">Vade Katkısı</t>
  </si>
  <si>
    <t xml:space="preserve">Limit Katkısı</t>
  </si>
  <si>
    <t xml:space="preserve">Teminat Katkısı</t>
  </si>
  <si>
    <t xml:space="preserve">İtiraz Katkısı</t>
  </si>
  <si>
    <t xml:space="preserve">Statü Katkısı</t>
  </si>
  <si>
    <t xml:space="preserve">Veri Kalitesi</t>
  </si>
  <si>
    <t xml:space="preserve">Güven</t>
  </si>
  <si>
    <t xml:space="preserve">Karar</t>
  </si>
  <si>
    <t xml:space="preserve">Aksiyon</t>
  </si>
  <si>
    <t xml:space="preserve">Risk Skoru</t>
  </si>
  <si>
    <t xml:space="preserve">TAHSILAT AKSIYON — CARİ HESAP, TAHSİLAT VE MÜŞTERİ RİSK TAKİP SİSTEMİ</t>
  </si>
  <si>
    <t xml:space="preserve">GÜNLÜK TAHSİLAT ÖNCELİK VE AKSİYON LİSTESİ</t>
  </si>
  <si>
    <t xml:space="preserve">Öncelik</t>
  </si>
  <si>
    <t xml:space="preserve">Önerilen İletişim</t>
  </si>
  <si>
    <t xml:space="preserve">Önerilen Aksiyon</t>
  </si>
  <si>
    <t xml:space="preserve">Son Tarih</t>
  </si>
  <si>
    <t xml:space="preserve">Not</t>
  </si>
  <si>
    <t xml:space="preserve">DEVAM EDİYOR</t>
  </si>
  <si>
    <t xml:space="preserve">Örnek aksiyon kaydı 1</t>
  </si>
  <si>
    <t xml:space="preserve">Örnek aksiyon kaydı 2</t>
  </si>
  <si>
    <t xml:space="preserve">Örnek aksiyon kaydı 3</t>
  </si>
  <si>
    <t xml:space="preserve">Örnek aksiyon kaydı 4</t>
  </si>
  <si>
    <t xml:space="preserve">Örnek aksiyon kaydı 5</t>
  </si>
  <si>
    <t xml:space="preserve">Örnek aksiyon kaydı 6</t>
  </si>
  <si>
    <t xml:space="preserve">KARAR MOTORU — CARİ HESAP, TAHSİLAT VE MÜŞTERİ RİSK TAKİP SİSTEMİ</t>
  </si>
  <si>
    <t xml:space="preserve">KARAR</t>
  </si>
  <si>
    <t xml:space="preserve">ÖNERİLEN KARAR KURALLARI</t>
  </si>
  <si>
    <t xml:space="preserve">Müşteri</t>
  </si>
  <si>
    <t xml:space="preserve">Risk Seviyesi</t>
  </si>
  <si>
    <t xml:space="preserve">Tespit</t>
  </si>
  <si>
    <t xml:space="preserve">Sayısal Kanıt</t>
  </si>
  <si>
    <t xml:space="preserve">Kök Neden</t>
  </si>
  <si>
    <t xml:space="preserve">Finansal Etki</t>
  </si>
  <si>
    <t xml:space="preserve">Önerilen Karar</t>
  </si>
  <si>
    <t xml:space="preserve">Beklenen Etki</t>
  </si>
  <si>
    <t xml:space="preserve">Uygulanmazsa Risk</t>
  </si>
  <si>
    <t xml:space="preserve">Kaynak</t>
  </si>
  <si>
    <t xml:space="preserve">Yönetim Kararı</t>
  </si>
  <si>
    <t xml:space="preserve">KONTROLLER — CARİ HESAP, TAHSİLAT VE MÜŞTERİ RİSK TAKİP SİSTEMİ</t>
  </si>
  <si>
    <t xml:space="preserve">ÇALIŞMA KİTABI SAĞLIK MERKEZİ</t>
  </si>
  <si>
    <t xml:space="preserve">Kontrol Numarası</t>
  </si>
  <si>
    <t xml:space="preserve">Kontrol Alanı</t>
  </si>
  <si>
    <t xml:space="preserve">Test</t>
  </si>
  <si>
    <t xml:space="preserve">Gerçek Sonuç</t>
  </si>
  <si>
    <t xml:space="preserve">C01</t>
  </si>
  <si>
    <t xml:space="preserve">Müşteri Kartları</t>
  </si>
  <si>
    <t xml:space="preserve">Zorunlu müşteri kodu boşluğu</t>
  </si>
  <si>
    <t xml:space="preserve">C02</t>
  </si>
  <si>
    <t xml:space="preserve">Faturalar</t>
  </si>
  <si>
    <t xml:space="preserve">C03</t>
  </si>
  <si>
    <t xml:space="preserve">Mükerrer fatura kaydı</t>
  </si>
  <si>
    <t xml:space="preserve">C04</t>
  </si>
  <si>
    <t xml:space="preserve">Sıfır veya negatif net fatura</t>
  </si>
  <si>
    <t xml:space="preserve">C05</t>
  </si>
  <si>
    <t xml:space="preserve">Tahsilatlar</t>
  </si>
  <si>
    <t xml:space="preserve">Negatif tahsilat tutarı</t>
  </si>
  <si>
    <t xml:space="preserve">C06</t>
  </si>
  <si>
    <t xml:space="preserve">Teminatlar</t>
  </si>
  <si>
    <t xml:space="preserve">Süresi geçmiş teminat</t>
  </si>
  <si>
    <t xml:space="preserve">C07</t>
  </si>
  <si>
    <t xml:space="preserve">İletişim</t>
  </si>
  <si>
    <t xml:space="preserve">Geciken ödeme sözü</t>
  </si>
  <si>
    <t xml:space="preserve">C08</t>
  </si>
  <si>
    <t xml:space="preserve">Kritik müşteri sayısı</t>
  </si>
  <si>
    <t xml:space="preserve">MODEL SAĞLIK PUANI</t>
  </si>
  <si>
    <t xml:space="preserve">SAĞLIK DURUMU</t>
  </si>
  <si>
    <t xml:space="preserve">KARAR KAPISI</t>
  </si>
  <si>
    <t xml:space="preserve">GÜVEN</t>
  </si>
  <si>
    <t xml:space="preserve">PANO — CARİ HESAP, TAHSİLAT VE MÜŞTERİ RİSK TAKİP SİSTEMİ</t>
  </si>
  <si>
    <t xml:space="preserve">CARİ RİSK YÖNETİM PANELİ</t>
  </si>
  <si>
    <t xml:space="preserve">TOPLAM AÇIK ALACAK</t>
  </si>
  <si>
    <t xml:space="preserve">VADESİ GEÇMİŞ</t>
  </si>
  <si>
    <t xml:space="preserve">90+ GÜN</t>
  </si>
  <si>
    <t xml:space="preserve">TEMİNAT SONRASI RİSK</t>
  </si>
  <si>
    <t xml:space="preserve">MODEL SAĞLIK</t>
  </si>
  <si>
    <t xml:space="preserve">EN YÜKSEK RİSK</t>
  </si>
  <si>
    <t xml:space="preserve">EN YÜKSEK AÇIK BAKİYE</t>
  </si>
  <si>
    <t xml:space="preserve">YAŞLANDIRMA DAĞILIMI</t>
  </si>
  <si>
    <t xml:space="preserve">RİSK SEVİYESİ DAĞILIMI</t>
  </si>
  <si>
    <t xml:space="preserve">AYLIK TAHSİLAT</t>
  </si>
  <si>
    <t xml:space="preserve">ÖDEME TÜRÜ DAĞILIMI</t>
  </si>
  <si>
    <t xml:space="preserve">VADESİ GELMEMİŞ</t>
  </si>
  <si>
    <t xml:space="preserve">NORMAL</t>
  </si>
  <si>
    <t xml:space="preserve">AY 5</t>
  </si>
  <si>
    <t xml:space="preserve">1-15</t>
  </si>
  <si>
    <t xml:space="preserve">İZLE</t>
  </si>
  <si>
    <t xml:space="preserve">AY 6</t>
  </si>
  <si>
    <t xml:space="preserve">Kredi Kartı</t>
  </si>
  <si>
    <t xml:space="preserve">16-30</t>
  </si>
  <si>
    <t xml:space="preserve">RİSKLİ</t>
  </si>
  <si>
    <t xml:space="preserve">AY 7</t>
  </si>
  <si>
    <t xml:space="preserve">31-60</t>
  </si>
  <si>
    <t xml:space="preserve">KRİTİK</t>
  </si>
  <si>
    <t xml:space="preserve">AY 8</t>
  </si>
  <si>
    <t xml:space="preserve">Nakit</t>
  </si>
  <si>
    <t xml:space="preserve">61+</t>
  </si>
  <si>
    <t xml:space="preserve">TAHSİLAT TREND TAHMİNİ</t>
  </si>
  <si>
    <t xml:space="preserve">MÜŞTERİ BAZINDA AÇIK BAKİYE</t>
  </si>
  <si>
    <t xml:space="preserve">MÜŞTERİ BAZINDA NET RİSK</t>
  </si>
  <si>
    <t xml:space="preserve">SENARYO DUYARLILIK — CARİ HESAP, TAHSİLAT VE MÜŞTERİ RİSK TAKİP SİSTEMİ</t>
  </si>
  <si>
    <t xml:space="preserve">SENARYO VE DUYARLILIK ANALİZİ</t>
  </si>
  <si>
    <t xml:space="preserve">SENARYO</t>
  </si>
  <si>
    <t xml:space="preserve">Beklenen Açık Bakiye</t>
  </si>
  <si>
    <t xml:space="preserve">İYİMSER</t>
  </si>
  <si>
    <t xml:space="preserve">Tahsilat başarısı artar, açık bakiye azalır.</t>
  </si>
  <si>
    <t xml:space="preserve">BAZ</t>
  </si>
  <si>
    <t xml:space="preserve">Mevcut eğilim korunur.</t>
  </si>
  <si>
    <t xml:space="preserve">KÖTÜMSER</t>
  </si>
  <si>
    <t xml:space="preserve">Tahsilat başarısı düşer, açık bakiye büyür.</t>
  </si>
  <si>
    <t xml:space="preserve">DUYARLILIK ANALİZİ — toplam açık alacağa etki</t>
  </si>
  <si>
    <t xml:space="preserve">Değişken</t>
  </si>
  <si>
    <t xml:space="preserve">-%10 Etki</t>
  </si>
  <si>
    <t xml:space="preserve">+%10 Etki</t>
  </si>
  <si>
    <t xml:space="preserve">Tahsilat Hızı</t>
  </si>
  <si>
    <t xml:space="preserve">Yeni Satış Hacmi</t>
  </si>
  <si>
    <t xml:space="preserve">TOLERANS EŞİĞİ</t>
  </si>
  <si>
    <t xml:space="preserve">EŞİK AŞILDI MI?</t>
  </si>
  <si>
    <t xml:space="preserve">RAPOR — CARİ HESAP, TAHSİLAT VE MÜŞTERİ RİSK TAKİP SİSTEMİ</t>
  </si>
  <si>
    <t xml:space="preserve">MÜŞTERİ RİSK KOMİTESİ RAPORU</t>
  </si>
  <si>
    <t xml:space="preserve">YÖNETİCİ ÖZETİ</t>
  </si>
  <si>
    <t xml:space="preserve">RAPOR BİLGİSİ</t>
  </si>
  <si>
    <t xml:space="preserve">Firma</t>
  </si>
  <si>
    <t xml:space="preserve">Rapor Tarihi</t>
  </si>
  <si>
    <t xml:space="preserve">Hazırlayan</t>
  </si>
  <si>
    <t xml:space="preserve">Sürüm</t>
  </si>
  <si>
    <t xml:space="preserve">TEMEL GÖSTERGELER</t>
  </si>
  <si>
    <t xml:space="preserve">Toplam Açık Alacak</t>
  </si>
  <si>
    <t xml:space="preserve">90+ Gün</t>
  </si>
  <si>
    <t xml:space="preserve">Teminat Sonrası Risk</t>
  </si>
  <si>
    <t xml:space="preserve">KARAR VE GÜVEN</t>
  </si>
  <si>
    <t xml:space="preserve">Karar Kapısı</t>
  </si>
  <si>
    <t xml:space="preserve">Model Sağlık</t>
  </si>
  <si>
    <t xml:space="preserve">Varsayım Notu</t>
  </si>
  <si>
    <t xml:space="preserve">Risk skoru gecikme, vade, limit, teminat, itiraz ve statü katkılarından hesaplanır; eşikler AYARLAR sayfasındadır.</t>
  </si>
  <si>
    <t xml:space="preserve">ORNEK VERI — CARİ HESAP, TAHSİLAT VE MÜŞTERİ RİSK TAKİP SİSTEMİ</t>
  </si>
  <si>
    <t xml:space="preserve">ÖRNEK VERİ SENARYOSU</t>
  </si>
  <si>
    <t xml:space="preserve">Senaryo</t>
  </si>
  <si>
    <t xml:space="preserve">Beklenen Risk Skoru</t>
  </si>
  <si>
    <t xml:space="preserve">Gözlenecek Karar</t>
  </si>
  <si>
    <t xml:space="preserve">Normal</t>
  </si>
  <si>
    <t xml:space="preserve">0-24</t>
  </si>
  <si>
    <t xml:space="preserve">DEVAM</t>
  </si>
  <si>
    <t xml:space="preserve">İzleme</t>
  </si>
  <si>
    <t xml:space="preserve">25-49</t>
  </si>
  <si>
    <t xml:space="preserve">Riskli</t>
  </si>
  <si>
    <t xml:space="preserve">70-84</t>
  </si>
  <si>
    <t xml:space="preserve">PEŞİN / TEMİNATLI</t>
  </si>
  <si>
    <t xml:space="preserve">Kritik</t>
  </si>
  <si>
    <t xml:space="preserve">85+</t>
  </si>
  <si>
    <t xml:space="preserve">VADELİ SATIŞI DURDUR</t>
  </si>
  <si>
    <t xml:space="preserve">TESTLER — CARİ HESAP, TAHSİLAT VE MÜŞTERİ RİSK TAKİP SİSTEMİ</t>
  </si>
  <si>
    <t xml:space="preserve">TEST VE KALİTE MATRİSİ</t>
  </si>
  <si>
    <t xml:space="preserve">Test Numarası</t>
  </si>
  <si>
    <t xml:space="preserve">Test Senaryosu</t>
  </si>
  <si>
    <t xml:space="preserve">Beklenen Sonuç</t>
  </si>
  <si>
    <t xml:space="preserve">Kontrol Tipi</t>
  </si>
  <si>
    <t xml:space="preserve">1</t>
  </si>
  <si>
    <t xml:space="preserve">Veri ve formül bütünlüğü</t>
  </si>
  <si>
    <t xml:space="preserve">Zorunlu veriler ve karar çıktıları tutarlı</t>
  </si>
  <si>
    <t xml:space="preserve">OTOMATİK</t>
  </si>
  <si>
    <t xml:space="preserve">2</t>
  </si>
  <si>
    <t xml:space="preserve">Mükerrer fatura</t>
  </si>
  <si>
    <t xml:space="preserve">MÜKERRER işareti</t>
  </si>
  <si>
    <t xml:space="preserve">3</t>
  </si>
  <si>
    <t xml:space="preserve">Negatif tutar</t>
  </si>
  <si>
    <t xml:space="preserve">Giriş engeli / uyarı</t>
  </si>
  <si>
    <t xml:space="preserve">4</t>
  </si>
  <si>
    <t xml:space="preserve">Kritik müşteri aksiyonu</t>
  </si>
  <si>
    <t xml:space="preserve">Risk 85 üstünde ise aksiyon üretilir</t>
  </si>
  <si>
    <t xml:space="preserve">DEGISIKLIK KAYDI — CARİ HESAP, TAHSİLAT VE MÜŞTERİ RİSK TAKİP SİSTEMİ</t>
  </si>
  <si>
    <t xml:space="preserve">DEĞİŞİKLİK KAYDI</t>
  </si>
  <si>
    <t xml:space="preserve">1.0</t>
  </si>
  <si>
    <t xml:space="preserve">08.08.2026</t>
  </si>
  <si>
    <t xml:space="preserve">İlk sürüm: müşteri kartları, fatura/vade yönetimi, yaşlandırma, risk skoru, tahsilat aksiyonu ve karar motoru.</t>
  </si>
  <si>
    <t xml:space="preserve">LISTELER — CARİ HESAP, TAHSİLAT VE MÜŞTERİ RİSK TAKİP SİSTEMİ</t>
  </si>
  <si>
    <t xml:space="preserve">AÇILIR LİSTE KAYNAKLARI</t>
  </si>
  <si>
    <t xml:space="preserve">Müşteri Durumu</t>
  </si>
  <si>
    <t xml:space="preserve">İletişim Kanalı</t>
  </si>
  <si>
    <t xml:space="preserve">Aksiyon Durumu</t>
  </si>
  <si>
    <t xml:space="preserve">Evet/Hayır</t>
  </si>
  <si>
    <t xml:space="preserve">TAMAMLANDI</t>
  </si>
  <si>
    <t xml:space="preserve">USD</t>
  </si>
  <si>
    <t xml:space="preserve">EUR</t>
  </si>
  <si>
    <t xml:space="preserve">Beklemede</t>
  </si>
  <si>
    <t xml:space="preserve">Yüz yüze</t>
  </si>
  <si>
    <t xml:space="preserve">Kapalı</t>
  </si>
  <si>
    <t xml:space="preserve">Kefalet</t>
  </si>
  <si>
    <t xml:space="preserve">Yazılı</t>
  </si>
  <si>
    <t xml:space="preserve">AYARLAR — CARİ HESAP, TAHSİLAT VE MÜŞTERİ RİSK TAKİP SİSTEMİ</t>
  </si>
  <si>
    <t xml:space="preserve">AYARLAR VE MODEL VARSAYIMLARI</t>
  </si>
  <si>
    <t xml:space="preserve">anahtar</t>
  </si>
  <si>
    <t xml:space="preserve">deger</t>
  </si>
  <si>
    <t xml:space="preserve">birim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</si>
  <si>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</si>
  <si>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</si>
  <si>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</si>
  <si>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</si>
  <si>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not</t>
  </si>
  <si>
    <t xml:space="preserve">Firma Unvanı</t>
  </si>
  <si>
    <t xml:space="preserve">Anadolu Endüstriyel Çözümler A.Ş.</t>
  </si>
  <si>
    <t xml:space="preserve">Metin</t>
  </si>
  <si>
    <t xml:space="preserve">Raporlarda görünen firma adı.</t>
  </si>
  <si>
    <t xml:space="preserve">Kullanıcı</t>
  </si>
  <si>
    <t xml:space="preserve">Gecikme günlerinin hesaplandığı tarih.</t>
  </si>
  <si>
    <t xml:space="preserve">Rapor Hazırlayan</t>
  </si>
  <si>
    <t xml:space="preserve">Finans Direktörü</t>
  </si>
  <si>
    <t xml:space="preserve">Raporu hazırlayan kişi.</t>
  </si>
  <si>
    <t xml:space="preserve">Dosya Sürümü</t>
  </si>
  <si>
    <t xml:space="preserve">2.0</t>
  </si>
  <si>
    <t xml:space="preserve">Sürüm bilgisi.</t>
  </si>
  <si>
    <t xml:space="preserve">Üretici</t>
  </si>
  <si>
    <t xml:space="preserve">Yaslama Dilim 1</t>
  </si>
  <si>
    <t xml:space="preserve">Gün</t>
  </si>
  <si>
    <t xml:space="preserve">Yaşlandırma dilim sınırı 1.</t>
  </si>
  <si>
    <t xml:space="preserve">Varsayım</t>
  </si>
  <si>
    <t xml:space="preserve">1-15 gün dilimi üst sınırı.</t>
  </si>
  <si>
    <t xml:space="preserve">Yaslama Dilim 2</t>
  </si>
  <si>
    <t xml:space="preserve">Yaşlandırma dilim sınırı 2.</t>
  </si>
  <si>
    <t xml:space="preserve">16-30 gün dilimi üst sınırı.</t>
  </si>
  <si>
    <t xml:space="preserve">Yaslama Dilim 3</t>
  </si>
  <si>
    <t xml:space="preserve">Yaşlandırma dilim sınırı 3.</t>
  </si>
  <si>
    <t xml:space="preserve">31-60 gün dilimi üst sınırı.</t>
  </si>
  <si>
    <t xml:space="preserve">Eşik Devam</t>
  </si>
  <si>
    <t xml:space="preserve">Skor</t>
  </si>
  <si>
    <t xml:space="preserve">Devam üst sınırı.</t>
  </si>
  <si>
    <t xml:space="preserve">Risk skoru karar eşiği (DEVAM).</t>
  </si>
  <si>
    <t xml:space="preserve">Eşik İzle</t>
  </si>
  <si>
    <t xml:space="preserve">İzle üst sınırı.</t>
  </si>
  <si>
    <t xml:space="preserve">Risk skoru karar eşiği (İZLE).</t>
  </si>
  <si>
    <t xml:space="preserve">Eşik Limit Azalt</t>
  </si>
  <si>
    <t xml:space="preserve">Limit azalt üst sınırı.</t>
  </si>
  <si>
    <t xml:space="preserve">Risk skoru karar eşiği (LİMİTİ AZALT).</t>
  </si>
  <si>
    <t xml:space="preserve">Eşik Peşin</t>
  </si>
  <si>
    <t xml:space="preserve">Peşin/teminatlı üst sınırı.</t>
  </si>
  <si>
    <t xml:space="preserve">Risk skoru karar eşiği (PEŞİN / TEMİNATLI).</t>
  </si>
  <si>
    <t xml:space="preserve">Eşik Kritik</t>
  </si>
  <si>
    <t xml:space="preserve">Kritik eşiği.</t>
  </si>
  <si>
    <t xml:space="preserve">Bu üzerinde vadeli satış durdurulur.</t>
  </si>
  <si>
    <t xml:space="preserve">Eşik Yüksek</t>
  </si>
  <si>
    <t xml:space="preserve">Risklı seviye eşiği.</t>
  </si>
  <si>
    <t xml:space="preserve">Aksiyon üretiminde yüksek risk eşiği.</t>
  </si>
  <si>
    <t xml:space="preserve">Gecikme Maks Puan</t>
  </si>
  <si>
    <t xml:space="preserve">Puan</t>
  </si>
  <si>
    <t xml:space="preserve">Gecikme katkısı maksimum puan.</t>
  </si>
  <si>
    <t xml:space="preserve">Risk skoru gecikme bileşeni tavanı.</t>
  </si>
  <si>
    <t xml:space="preserve">Vade Maks Puan</t>
  </si>
  <si>
    <t xml:space="preserve">Vade katkısı maksimum puan.</t>
  </si>
  <si>
    <t xml:space="preserve">Risk skoru vade bileşeni tavanı.</t>
  </si>
  <si>
    <t xml:space="preserve">Limit Maks Puan</t>
  </si>
  <si>
    <t xml:space="preserve">Limit katkısı maksimum puan.</t>
  </si>
  <si>
    <t xml:space="preserve">Risk skoru limit bileşeni tavanı.</t>
  </si>
  <si>
    <t xml:space="preserve">Teminat Maks Puan</t>
  </si>
  <si>
    <t xml:space="preserve">Teminat katkısı maksimum puan.</t>
  </si>
  <si>
    <t xml:space="preserve">Risk skoru teminat bileşeni tavanı.</t>
  </si>
  <si>
    <t xml:space="preserve">İtiraz Maks Puan</t>
  </si>
  <si>
    <t xml:space="preserve">İtiraz katkısı maksimum puan.</t>
  </si>
  <si>
    <t xml:space="preserve">Risk skoru itiraz bileşeni tavanı.</t>
  </si>
  <si>
    <t xml:space="preserve">Statü Askıda Puan</t>
  </si>
  <si>
    <t xml:space="preserve">Askıda statü katkısı.</t>
  </si>
  <si>
    <t xml:space="preserve">Askıda müşteri ek puanı.</t>
  </si>
  <si>
    <t xml:space="preserve">Statü İzleme Puan</t>
  </si>
  <si>
    <t xml:space="preserve">İzlemede statü katkısı.</t>
  </si>
  <si>
    <t xml:space="preserve">İzlemede müşteri ek puanı.</t>
  </si>
  <si>
    <t xml:space="preserve">Güven Yüksek</t>
  </si>
  <si>
    <t xml:space="preserve">YÜKSEK güven alt sınırı.</t>
  </si>
  <si>
    <t xml:space="preserve">Veri kalitesi skor eşiği.</t>
  </si>
  <si>
    <t xml:space="preserve">Güven Orta</t>
  </si>
  <si>
    <t xml:space="preserve">ORTA güven alt sınırı.</t>
  </si>
  <si>
    <t xml:space="preserve">Duyarlılık Oranı</t>
  </si>
  <si>
    <t xml:space="preserve">Oran</t>
  </si>
  <si>
    <t xml:space="preserve">Duyarlılık değişim oranı.</t>
  </si>
  <si>
    <t xml:space="preserve">Senaryo ve duyarlılık analizindeki değişim oranı.</t>
  </si>
  <si>
    <t xml:space="preserve">Zorunlu Alan Sayısı</t>
  </si>
  <si>
    <t xml:space="preserve">Adet</t>
  </si>
  <si>
    <t xml:space="preserve">Müşteri kartı zorunlu alan sayısı.</t>
  </si>
  <si>
    <t xml:space="preserve">Kontrol kolonunda beklenen dolu alan sayısı.</t>
  </si>
  <si>
    <t xml:space="preserve">Zorunlu Teminat Alan Sayısı</t>
  </si>
  <si>
    <t xml:space="preserve">Teminat kaydı zorunlu alan sayısı.</t>
  </si>
  <si>
    <t xml:space="preserve">Teminat kontrolünde beklenen dolu alan sayısı.</t>
  </si>
  <si>
    <t xml:space="preserve">Analiz Yılı</t>
  </si>
  <si>
    <t xml:space="preserve">Yıl</t>
  </si>
  <si>
    <t xml:space="preserve">Tahsilat analiz yılı.</t>
  </si>
  <si>
    <t xml:space="preserve">Pano tahsilat özetinde kullanılan yıl.</t>
  </si>
  <si>
    <t xml:space="preserve">Analiz Ayı 1</t>
  </si>
  <si>
    <t xml:space="preserve">Ay</t>
  </si>
  <si>
    <t xml:space="preserve">Tahsilat özeti 1. ay.</t>
  </si>
  <si>
    <t xml:space="preserve">Pano aylık tahsilat grafiğinin ilk ayı.</t>
  </si>
  <si>
    <t xml:space="preserve">Analiz Ayı 2</t>
  </si>
  <si>
    <t xml:space="preserve">Tahsilat özeti 2. ay.</t>
  </si>
  <si>
    <t xml:space="preserve">Pano aylık tahsilat grafiğinin ikinci ayı.</t>
  </si>
  <si>
    <t xml:space="preserve">Analiz Ayı 3</t>
  </si>
  <si>
    <t xml:space="preserve">Tahsilat özeti 3. ay.</t>
  </si>
  <si>
    <t xml:space="preserve">Pano aylık tahsilat grafiğinin üçüncü ayı.</t>
  </si>
  <si>
    <t xml:space="preserve">Analiz Ayı 4</t>
  </si>
  <si>
    <t xml:space="preserve">Tahsilat özeti 4. ay.</t>
  </si>
  <si>
    <t xml:space="preserve">Pano aylık tahsilat grafiğinin dördüncü ayı.</t>
  </si>
  <si>
    <t xml:space="preserve">Tolerans Eşiği Çarpanı</t>
  </si>
  <si>
    <t xml:space="preserve">Tolerans eşiği çarpanı.</t>
  </si>
  <si>
    <t xml:space="preserve">Senaryo tolerans eşiği çarpanı.</t>
  </si>
  <si>
    <t xml:space="preserve">Yenileme Uyarı Günü</t>
  </si>
  <si>
    <t xml:space="preserve">Teminat yenileme uyarı günü.</t>
  </si>
  <si>
    <t xml:space="preserve">Geçerlilik bitişine kaç gün kala uyarı.</t>
  </si>
  <si>
    <t xml:space="preserve">Sağlık Eşik Yüksek</t>
  </si>
  <si>
    <t xml:space="preserve">SAĞLIKLI alt sınırı.</t>
  </si>
  <si>
    <t xml:space="preserve">Çalışma kitabı sağlık puanı eşiği.</t>
  </si>
  <si>
    <t xml:space="preserve">Sağlık Eşik Orta</t>
  </si>
  <si>
    <t xml:space="preserve">İZLEME alt sınırı.</t>
  </si>
  <si>
    <t xml:space="preserve">Çalışma kitabı sağlık puanı orta eşiği.</t>
  </si>
  <si>
    <t xml:space="preserve">Veri Kalitesi Eksik Puan</t>
  </si>
  <si>
    <t xml:space="preserve">EKSİK kayıt puanı.</t>
  </si>
  <si>
    <t xml:space="preserve">Eksik müşteri kartı için veri kalitesi puanı.</t>
  </si>
  <si>
    <t xml:space="preserve">Finansman Maliyeti Oranı</t>
  </si>
  <si>
    <t xml:space="preserve">Yıllık fon maliyeti oranı.</t>
  </si>
  <si>
    <t xml:space="preserve">Gecikme maliyeti hesabında kullanılan yıllık finansman oranı.</t>
  </si>
  <si>
    <t xml:space="preserve">Aksiyon Günü Orta</t>
  </si>
  <si>
    <t xml:space="preserve">Orta riskli aksiyon son tarih günü.</t>
  </si>
  <si>
    <t xml:space="preserve">LİMİTİ AZALT seviyesinde önerilen aksiyonun kaç gün içinde yapılacağı.</t>
  </si>
  <si>
    <t xml:space="preserve">Aksiyon Günü Uzun</t>
  </si>
  <si>
    <t xml:space="preserve">Düşük riskli aksiyon son tarih günü.</t>
  </si>
  <si>
    <t xml:space="preserve">İZLE/planlı izleme seviyesinde önerilen aksiyonun kaç gün içinde yapılacağı.</t>
  </si>
  <si>
    <t xml:space="preserve">Karar Günü</t>
  </si>
  <si>
    <t xml:space="preserve">KARAR_MOTORU son tarih günü.</t>
  </si>
  <si>
    <t xml:space="preserve">KARAR_MOTORU'nda İZLE kararı için son tarih günü.</t>
  </si>
  <si>
    <t xml:space="preserve">Vade Gecikme Eşiği</t>
  </si>
  <si>
    <t xml:space="preserve">Vadesi geçmiş kırılım eşiği.</t>
  </si>
  <si>
    <t xml:space="preserve">Analitik motor yorumunda 'yüksek' kabul edilen vadesi geçmiş oranı.</t>
  </si>
  <si>
    <t xml:space="preserve">Kalite Skor Eşiği</t>
  </si>
  <si>
    <t xml:space="preserve">Veri kalitesi 'yüksek güven' eşiği.</t>
  </si>
  <si>
    <t xml:space="preserve">Ortalama veri kalitesi skorunun 'yüksek güven' sayıldığı alt sınır.</t>
  </si>
  <si>
    <t xml:space="preserve">P90 Oranı</t>
  </si>
  <si>
    <t xml:space="preserve">Yüzdelik hesabında kullanılan oran.</t>
  </si>
  <si>
    <t xml:space="preserve">Analitik motorda P90 yüzdelik dilimi.</t>
  </si>
  <si>
    <t xml:space="preserve">KILAVUZ — CARİ HESAP, TAHSİLAT VE MÜŞTERİ RİSK TAKİP SİSTEMİ</t>
  </si>
  <si>
    <t xml:space="preserve">KULLANIM KILAVUZU</t>
  </si>
  <si>
    <t xml:space="preserve">1. AMAÇ</t>
  </si>
  <si>
    <t xml:space="preserve">Hangi müşteriye vadeli satışın durdurulacağını, kimin limitinin azaltılacağını ve hangi tahsilatın öncelikli olduğunu makine üretimi risk skoru ile belirlemek.</t>
  </si>
  <si>
    <t xml:space="preserve">2. GİRİŞ VERİLERİ</t>
  </si>
  <si>
    <t xml:space="preserve">MUSTERI_KARTLARI, FATURALAR ve TAHSILATLAR sayfalarına müşteri, fatura ve ödeme verilerini girin; TEMINATLAR ve ILETISIM_TAKIP'i tamamlayın.</t>
  </si>
  <si>
    <t xml:space="preserve">3. YAŞLANDIRMA</t>
  </si>
  <si>
    <t xml:space="preserve">YASLANDIRMA faturaları vade ve gecikme dilimlerine göre otomatik sınıflar; dilim sınırları AYARLAR sayfasındadır.</t>
  </si>
  <si>
    <t xml:space="preserve">4. RİSK SKORU</t>
  </si>
  <si>
    <t xml:space="preserve">MUSTERI_RISK_SKORU gecikme, vade, limit, teminat, itiraz ve statü bileşenlerinden 0-100 skor üretir.</t>
  </si>
  <si>
    <t xml:space="preserve">5. AKSİYON LİSTESİ</t>
  </si>
  <si>
    <t xml:space="preserve">TAHSILAT_AKSIYON günlük öncelik sırası, önerilen iletişim ve son tarihi üretir.</t>
  </si>
  <si>
    <t xml:space="preserve">6. KARAR MOTORU</t>
  </si>
  <si>
    <t xml:space="preserve">KARAR_MOTORU karar, gerekçe, sorumlu ve son tarihi birlikte gösterir.</t>
  </si>
  <si>
    <t xml:space="preserve">7. SENARYO</t>
  </si>
  <si>
    <t xml:space="preserve">SENARYO_DUYARLILIK iyimser/baz/kötümser senaryoları ve duyarlılık etkisini ölçer.</t>
  </si>
  <si>
    <t xml:space="preserve">8. KONTROLLER VE PANO</t>
  </si>
  <si>
    <t xml:space="preserve">KONTROLLER veri kalitesini denetler; PANO tek ekranda özeti gösterir; RAPOR yazdırılmaya hazırdır.</t>
  </si>
  <si>
    <t xml:space="preserve">9. KORUMA</t>
  </si>
  <si>
    <t xml:space="preserve">Formül ve başlıklar 1234 şifresiyle korunur; sarı giriş hücreleri açıktır.</t>
  </si>
  <si>
    <t xml:space="preserve">10. VARSAYIM KAYNAKLI PARAMETRELER</t>
  </si>
  <si>
    <t xml:space="preserve">Eşikler, puanlar, yaşlandırma dilimleri, duyarlılık oranı, finansman maliyeti ve sağlık eşikleri 'Varsayım' kaynaklıdır; AYARLAR sayfasında kaynak sütununda işaretlidir. Yasal dayanağı olan parametre (ör. VUK kayıt düzeni) AYARLAR'da belirtilir.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</si>
</sst>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&quot;₺ &quot;#,##0;[RED]&quot;(₺ &quot;#,##0\);\-"/>
    <numFmt numFmtId="168" formatCode="0.0%;[RED]\(0.0%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22"/>
      <color rgb="FFFFFFFF"/>
      <name val="Segoe UI"/>
      <family val="0"/>
      <charset val="1"/>
    </font>
    <font>
      <sz val="14"/>
      <color rgb="FFB08948"/>
      <name val="Segoe UI"/>
      <family val="0"/>
      <charset val="1"/>
    </font>
    <font>
      <sz val="11"/>
      <color rgb="FFFFFFFF"/>
      <name val="Segoe UI"/>
      <family val="0"/>
      <charset val="1"/>
    </font>
    <font>
      <b val="true"/>
      <sz val="11"/>
      <color rgb="FFB08948"/>
      <name val="Segoe UI"/>
      <family val="0"/>
      <charset val="1"/>
    </font>
    <font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sz val="11"/>
      <color rgb="FF1F4E7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000F2742"/>
        <bgColor rgb="FF003300"/>
      </patternFill>
    </fill>
    <fill>
      <patternFill patternType="solid">
        <fgColor rgb="00DDEBF7"/>
        <bgColor rgb="00EEF2F7"/>
      </patternFill>
    </fill>
    <fill>
      <patternFill patternType="solid">
        <fgColor rgb="001F4E79"/>
        <bgColor rgb="FF595959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ill>
        <patternFill patternType="solid">
          <fgColor rgb="FFED7D31"/>
          <bgColor rgb="FF000000"/>
        </patternFill>
      </fill>
    </dxf>
    <dxf>
      <font>
        <name val="Segoe UI"/>
        <charset val="1"/>
        <family val="0"/>
        <color rgb="FFED7D31"/>
      </font>
    </dxf>
    <dxf>
      <fill>
        <patternFill patternType="solid">
          <fgColor rgb="FFFDE9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DE9E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ED7D31"/>
      <rgbColor rgb="FF8064A2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Yaşlandırma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PANO!$A$16:$A$20</c:f>
              <c:strCache>
                <c:ptCount val="5"/>
                <c:pt idx="0">
                  <c:v>VADESİ GELMEMİŞ</c:v>
                </c:pt>
                <c:pt idx="1">
                  <c:v>1-15</c:v>
                </c:pt>
                <c:pt idx="2">
                  <c:v>16-30</c:v>
                </c:pt>
                <c:pt idx="3">
                  <c:v>31-60</c:v>
                </c:pt>
                <c:pt idx="4">
                  <c:v>61+</c:v>
                </c:pt>
              </c:strCache>
            </c:strRef>
          </c:cat>
          <c:val>
            <c:numRef>
              <c:f>PANO!$B$16:$B$20</c:f>
              <c:numCache>
                <c:formatCode>"₺ "#,##0;[RED]"(₺ "#,##0\);\-</c:formatCode>
                <c:ptCount val="5"/>
                <c:pt idx="0">
                  <c:v>1000000</c:v>
                </c:pt>
                <c:pt idx="1">
                  <c:v>0</c:v>
                </c:pt>
                <c:pt idx="2">
                  <c:v>0</c:v>
                </c:pt>
                <c:pt idx="3">
                  <c:v>680000</c:v>
                </c:pt>
                <c:pt idx="4">
                  <c:v>1700000</c:v>
                </c:pt>
              </c:numCache>
            </c:numRef>
          </c:val>
        </c:ser>
        <c:gapWidth val="150"/>
        <c:overlap val="0"/>
        <c:axId val="15210989"/>
        <c:axId val="29925694"/>
      </c:barChart>
      <c:catAx>
        <c:axId val="15210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925694"/>
        <c:crosses val="autoZero"/>
        <c:auto val="1"/>
        <c:lblAlgn val="ctr"/>
        <c:lblOffset val="100"/>
        <c:noMultiLvlLbl val="0"/>
      </c:catAx>
      <c:valAx>
        <c:axId val="29925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2109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Risk Seviyesi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PANO!$D$16:$D$19</c:f>
              <c:strCache>
                <c:ptCount val="4"/>
                <c:pt idx="0">
                  <c:v>NORMAL</c:v>
                </c:pt>
                <c:pt idx="1">
                  <c:v>İZLE</c:v>
                </c:pt>
                <c:pt idx="2">
                  <c:v>RİSKLİ</c:v>
                </c:pt>
                <c:pt idx="3">
                  <c:v>KRİTİK</c:v>
                </c:pt>
              </c:strCache>
            </c:strRef>
          </c:cat>
          <c:val>
            <c:numRef>
              <c:f>PANO!$E$16:$E$19</c:f>
              <c:numCache>
                <c:formatCode>#,##0</c:formatCode>
                <c:ptCount val="4"/>
                <c:pt idx="0">
                  <c:v>38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3038000"/>
        <c:axId val="91947949"/>
      </c:barChart>
      <c:catAx>
        <c:axId val="830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947949"/>
        <c:crosses val="autoZero"/>
        <c:auto val="1"/>
        <c:lblAlgn val="ctr"/>
        <c:lblOffset val="100"/>
        <c:noMultiLvlLbl val="0"/>
      </c:catAx>
      <c:valAx>
        <c:axId val="91947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0380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Tahsilat Eğilimi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PANO!$G$16:$G$19</c:f>
              <c:strCache>
                <c:ptCount val="4"/>
                <c:pt idx="0">
                  <c:v>AY 5</c:v>
                </c:pt>
                <c:pt idx="1">
                  <c:v>AY 6</c:v>
                </c:pt>
                <c:pt idx="2">
                  <c:v>AY 7</c:v>
                </c:pt>
                <c:pt idx="3">
                  <c:v>AY 8</c:v>
                </c:pt>
              </c:strCache>
            </c:strRef>
          </c:cat>
          <c:val>
            <c:numRef>
              <c:f>PANO!$H$16:$H$19</c:f>
              <c:numCache>
                <c:formatCode>"₺ "#,##0;[RED]"(₺ "#,##0\);\-</c:formatCode>
                <c:ptCount val="4"/>
                <c:pt idx="0">
                  <c:v>300000</c:v>
                </c:pt>
                <c:pt idx="1">
                  <c:v>0</c:v>
                </c:pt>
                <c:pt idx="2">
                  <c:v>250000</c:v>
                </c:pt>
                <c:pt idx="3">
                  <c:v>180000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135519"/>
        <c:axId val="19948407"/>
      </c:lineChart>
      <c:catAx>
        <c:axId val="981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48407"/>
        <c:crosses val="autoZero"/>
        <c:auto val="1"/>
        <c:lblAlgn val="ctr"/>
        <c:lblOffset val="100"/>
        <c:noMultiLvlLbl val="0"/>
      </c:catAx>
      <c:valAx>
        <c:axId val="19948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355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Ödeme Türü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PANO!$J$16:$J$19</c:f>
              <c:strCache>
                <c:ptCount val="4"/>
                <c:pt idx="0">
                  <c:v>Havale/EFT</c:v>
                </c:pt>
                <c:pt idx="1">
                  <c:v>Kredi Kartı</c:v>
                </c:pt>
                <c:pt idx="2">
                  <c:v>Çek/Senet</c:v>
                </c:pt>
                <c:pt idx="3">
                  <c:v>Nakit</c:v>
                </c:pt>
              </c:strCache>
            </c:strRef>
          </c:cat>
          <c:val>
            <c:numRef>
              <c:f>PANO!$K$16:$K$19</c:f>
              <c:numCache>
                <c:formatCode>"₺ "#,##0;[RED]"(₺ "#,##0\);\-</c:formatCode>
                <c:ptCount val="4"/>
                <c:pt idx="0">
                  <c:v>730000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Yaşlandırma Oranı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PANO!$A$16:$A$20</c:f>
              <c:strCache>
                <c:ptCount val="5"/>
                <c:pt idx="0">
                  <c:v>VADESİ GELMEMİŞ</c:v>
                </c:pt>
                <c:pt idx="1">
                  <c:v>1-15</c:v>
                </c:pt>
                <c:pt idx="2">
                  <c:v>16-30</c:v>
                </c:pt>
                <c:pt idx="3">
                  <c:v>31-60</c:v>
                </c:pt>
                <c:pt idx="4">
                  <c:v>61+</c:v>
                </c:pt>
              </c:strCache>
            </c:strRef>
          </c:cat>
          <c:val>
            <c:numRef>
              <c:f>PANO!$B$16:$B$20</c:f>
              <c:numCache>
                <c:formatCode>"₺ "#,##0;[RED]"(₺ "#,##0\);\-</c:formatCode>
                <c:ptCount val="5"/>
                <c:pt idx="0">
                  <c:v>1000000</c:v>
                </c:pt>
                <c:pt idx="1">
                  <c:v>0</c:v>
                </c:pt>
                <c:pt idx="2">
                  <c:v>0</c:v>
                </c:pt>
                <c:pt idx="3">
                  <c:v>680000</c:v>
                </c:pt>
                <c:pt idx="4">
                  <c:v>1700000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Ödeme Türü Tutarları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PANO!$J$16:$J$19</c:f>
              <c:strCache>
                <c:ptCount val="4"/>
                <c:pt idx="0">
                  <c:v>Havale/EFT</c:v>
                </c:pt>
                <c:pt idx="1">
                  <c:v>Kredi Kartı</c:v>
                </c:pt>
                <c:pt idx="2">
                  <c:v>Çek/Senet</c:v>
                </c:pt>
                <c:pt idx="3">
                  <c:v>Nakit</c:v>
                </c:pt>
              </c:strCache>
            </c:strRef>
          </c:cat>
          <c:val>
            <c:numRef>
              <c:f>PANO!$K$16:$K$19</c:f>
              <c:numCache>
                <c:formatCode>"₺ "#,##0;[RED]"(₺ "#,##0\);\-</c:formatCode>
                <c:ptCount val="4"/>
                <c:pt idx="0">
                  <c:v>730000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8174838"/>
        <c:axId val="73107878"/>
      </c:barChart>
      <c:catAx>
        <c:axId val="48174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07878"/>
        <c:crosses val="autoZero"/>
        <c:auto val="1"/>
        <c:lblAlgn val="ctr"/>
        <c:lblOffset val="100"/>
        <c:noMultiLvlLbl val="0"/>
      </c:catAx>
      <c:valAx>
        <c:axId val="731078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748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Müşteri Bazında Açık Bakiye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PANO!$A$60:$A$63</c:f>
              <c:strCache>
                <c:ptCount val="4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</c:strCache>
            </c:strRef>
          </c:cat>
          <c:val>
            <c:numRef>
              <c:f>PANO!$B$60:$B$63</c:f>
              <c:numCache>
                <c:formatCode>"₺ "#,##0;[RED]"(₺ "#,##0\);\-</c:formatCode>
                <c:ptCount val="4"/>
                <c:pt idx="0">
                  <c:v>720000</c:v>
                </c:pt>
                <c:pt idx="1">
                  <c:v>220000</c:v>
                </c:pt>
                <c:pt idx="2">
                  <c:v>940000</c:v>
                </c:pt>
                <c:pt idx="3">
                  <c:v>1500000</c:v>
                </c:pt>
              </c:numCache>
            </c:numRef>
          </c:val>
        </c:ser>
        <c:gapWidth val="150"/>
        <c:overlap val="0"/>
        <c:axId val="54330385"/>
        <c:axId val="41792887"/>
      </c:barChart>
      <c:catAx>
        <c:axId val="5433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92887"/>
        <c:crosses val="autoZero"/>
        <c:auto val="1"/>
        <c:lblAlgn val="ctr"/>
        <c:lblOffset val="100"/>
        <c:noMultiLvlLbl val="0"/>
      </c:catAx>
      <c:valAx>
        <c:axId val="417928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303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Müşteri Bazında Net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PANO!$E$60:$E$63</c:f>
              <c:strCache>
                <c:ptCount val="4"/>
                <c:pt idx="0">
                  <c:v>M001</c:v>
                </c:pt>
                <c:pt idx="1">
                  <c:v>M002</c:v>
                </c:pt>
                <c:pt idx="2">
                  <c:v>M003</c:v>
                </c:pt>
                <c:pt idx="3">
                  <c:v>M004</c:v>
                </c:pt>
              </c:strCache>
            </c:strRef>
          </c:cat>
          <c:val>
            <c:numRef>
              <c:f>PANO!$F$60:$F$63</c:f>
              <c:numCache>
                <c:formatCode>"₺ "#,##0;[RED]"(₺ 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700000</c:v>
                </c:pt>
                <c:pt idx="3">
                  <c:v>1500000</c:v>
                </c:pt>
              </c:numCache>
            </c:numRef>
          </c:val>
        </c:ser>
        <c:gapWidth val="150"/>
        <c:overlap val="0"/>
        <c:axId val="73417813"/>
        <c:axId val="86802291"/>
      </c:barChart>
      <c:catAx>
        <c:axId val="734178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02291"/>
        <c:crosses val="autoZero"/>
        <c:auto val="1"/>
        <c:lblAlgn val="ctr"/>
        <c:lblOffset val="100"/>
        <c:noMultiLvlLbl val="0"/>
      </c:catAx>
      <c:valAx>
        <c:axId val="86802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178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4</xdr:col>
      <xdr:colOff>662040</xdr:colOff>
      <xdr:row>37</xdr:row>
      <xdr:rowOff>22320</xdr:rowOff>
    </xdr:to>
    <xdr:graphicFrame>
      <xdr:nvGraphicFramePr>
        <xdr:cNvPr id="1" name="Chart 1"/>
        <xdr:cNvGraphicFramePr/>
      </xdr:nvGraphicFramePr>
      <xdr:xfrm>
        <a:off x="0" y="45828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12</xdr:col>
      <xdr:colOff>473400</xdr:colOff>
      <xdr:row>37</xdr:row>
      <xdr:rowOff>22320</xdr:rowOff>
    </xdr:to>
    <xdr:graphicFrame>
      <xdr:nvGraphicFramePr>
        <xdr:cNvPr id="2" name="Chart 2"/>
        <xdr:cNvGraphicFramePr/>
      </xdr:nvGraphicFramePr>
      <xdr:xfrm>
        <a:off x="5920920" y="45828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21</xdr:col>
      <xdr:colOff>399240</xdr:colOff>
      <xdr:row>37</xdr:row>
      <xdr:rowOff>22320</xdr:rowOff>
    </xdr:to>
    <xdr:graphicFrame>
      <xdr:nvGraphicFramePr>
        <xdr:cNvPr id="3" name="Chart 3"/>
        <xdr:cNvGraphicFramePr/>
      </xdr:nvGraphicFramePr>
      <xdr:xfrm>
        <a:off x="11350080" y="45828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4</xdr:col>
      <xdr:colOff>662040</xdr:colOff>
      <xdr:row>54</xdr:row>
      <xdr:rowOff>22320</xdr:rowOff>
    </xdr:to>
    <xdr:graphicFrame>
      <xdr:nvGraphicFramePr>
        <xdr:cNvPr id="4" name="Chart 4"/>
        <xdr:cNvGraphicFramePr/>
      </xdr:nvGraphicFramePr>
      <xdr:xfrm>
        <a:off x="0" y="78213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12</xdr:col>
      <xdr:colOff>473400</xdr:colOff>
      <xdr:row>54</xdr:row>
      <xdr:rowOff>22320</xdr:rowOff>
    </xdr:to>
    <xdr:graphicFrame>
      <xdr:nvGraphicFramePr>
        <xdr:cNvPr id="5" name="Chart 5"/>
        <xdr:cNvGraphicFramePr/>
      </xdr:nvGraphicFramePr>
      <xdr:xfrm>
        <a:off x="5920920" y="78213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39</xdr:row>
      <xdr:rowOff>0</xdr:rowOff>
    </xdr:from>
    <xdr:to>
      <xdr:col>21</xdr:col>
      <xdr:colOff>399240</xdr:colOff>
      <xdr:row>54</xdr:row>
      <xdr:rowOff>22320</xdr:rowOff>
    </xdr:to>
    <xdr:graphicFrame>
      <xdr:nvGraphicFramePr>
        <xdr:cNvPr id="6" name="Chart 6"/>
        <xdr:cNvGraphicFramePr/>
      </xdr:nvGraphicFramePr>
      <xdr:xfrm>
        <a:off x="11350080" y="78213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65</xdr:row>
      <xdr:rowOff>0</xdr:rowOff>
    </xdr:from>
    <xdr:to>
      <xdr:col>4</xdr:col>
      <xdr:colOff>662040</xdr:colOff>
      <xdr:row>80</xdr:row>
      <xdr:rowOff>21960</xdr:rowOff>
    </xdr:to>
    <xdr:graphicFrame>
      <xdr:nvGraphicFramePr>
        <xdr:cNvPr id="7" name="Chart 7"/>
        <xdr:cNvGraphicFramePr/>
      </xdr:nvGraphicFramePr>
      <xdr:xfrm>
        <a:off x="0" y="127742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65</xdr:row>
      <xdr:rowOff>0</xdr:rowOff>
    </xdr:from>
    <xdr:to>
      <xdr:col>12</xdr:col>
      <xdr:colOff>473400</xdr:colOff>
      <xdr:row>80</xdr:row>
      <xdr:rowOff>21960</xdr:rowOff>
    </xdr:to>
    <xdr:graphicFrame>
      <xdr:nvGraphicFramePr>
        <xdr:cNvPr id="8" name="Chart 8"/>
        <xdr:cNvGraphicFramePr/>
      </xdr:nvGraphicFramePr>
      <xdr:xfrm>
        <a:off x="5920920" y="127742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ksiyon" displayName="tblAksiyon" ref="A5:L204" headerRowCount="1" totalsRowCount="0" totalsRowShown="0">
  <tableColumns count="12">
    <tableColumn id="1" name="Öncelik">
      <calculatedColumnFormula>IF(tblYaslandirma[[#This Row],[Açık Tutar]]=0,"",IFERROR(_xlfn.RANK.EQ(tblRisk[[#This Row],[Risk Skoru]],tblRisk[Risk Skoru],0),""))</calculatedColumnFormula>
    </tableColumn>
    <tableColumn id="2" name="Müşteri Kodu">
      <calculatedColumnFormula>tblYaslandirma[[#This Row],[Müşteri Kodu]]</calculatedColumnFormula>
    </tableColumn>
    <tableColumn id="3" name="Fatura Numarası">
      <calculatedColumnFormula>tblYaslandirma[[#This Row],[Fatura Numarası]]</calculatedColumnFormula>
    </tableColumn>
    <tableColumn id="4" name="Açık Tutar">
      <calculatedColumnFormula>tblYaslandirma[[#This Row],[Açık Tutar]]</calculatedColumnFormula>
    </tableColumn>
    <tableColumn id="5" name="Gecikme Günü">
      <calculatedColumnFormula>tblYaslandirma[[#This Row],[Gecikme Günü]]</calculatedColumnFormula>
    </tableColumn>
    <tableColumn id="6" name="Risk Skoru">
      <calculatedColumnFormula>IFERROR(INDEX(tblRisk[Risk Skoru],MATCH(tblAksiyon[[#This Row],[Müşteri Kodu]],tblRisk[Müşteri Kodu],0)),0)</calculatedColumnFormula>
    </tableColumn>
    <tableColumn id="7" name="Önerilen İletişim">
      <calculatedColumnFormula>IF(tblAksiyon[[#This Row],[Risk Skoru]]&gt;=EsikYuksek,"Telefon + yönetici eskalasyonu",IF(tblAksiyon[[#This Row],[Gecikme Günü]]&gt;YaslamaDilim2,"Telefon + yazılı teyit","Planlı e-posta/telefon"))</calculatedColumnFormula>
    </tableColumn>
    <tableColumn id="8" name="Önerilen Aksiyon">
      <calculatedColumnFormula>IF(tblAksiyon[[#This Row],[Açık Tutar]]=0,"KAPALI",IF(tblAksiyon[[#This Row],[Risk Skoru]]&gt;EsikPesin,"Vadeli satışı durdur ve tahsilat planı al",IF(tblAksiyon[[#This Row],[Risk Skoru]]&gt;EsikLimitAzalt,"Peşin/teminatlı satışa geç",IF(tblAksiyon[[#This Row],[Risk Skoru]]&gt;EsikIzle,"Limit azalt ve tahsilatı hızlandır","Planlı izleme"))))</calculatedColumnFormula>
    </tableColumn>
    <tableColumn id="9" name="Sorumlu">
      <calculatedColumnFormula>IFERROR(INDEX(tblMusteriler[Satış Sorumlusu],MATCH(tblAksiyon[[#This Row],[Müşteri Kodu]],tblMusteriler[Müşteri Kodu],0)),"Tahsilat Ekibi")</calculatedColumnFormula>
    </tableColumn>
    <tableColumn id="10" name="Son Tarih">
      <calculatedColumnFormula>RaporTarihi+IF(tblAksiyon[[#This Row],[Risk Skoru]]&gt;EsikPesin,1,IF(tblAksiyon[[#This Row],[Risk Skoru]]&gt;EsikLimitAzalt,AksiyonGunOrta,AksiyonGunUzun))</calculatedColumnFormula>
    </tableColumn>
    <tableColumn id="11" name="Durum"/>
    <tableColumn id="12" name="Not"/>
  </tableColumns>
</table>
</file>

<file path=xl/tables/table2.xml><?xml version="1.0" encoding="utf-8"?>
<table xmlns="http://schemas.openxmlformats.org/spreadsheetml/2006/main" id="2" name="tblFaturalar" displayName="tblFaturalar" ref="A5:Q204" headerRowCount="1" totalsRowCount="0" totalsRowShown="0">
  <tableColumns count="17">
    <tableColumn id="1" name="Fatura Kayıt Numarası"/>
    <tableColumn id="2" name="Fatura Numarası"/>
    <tableColumn id="3" name="Müşteri Kodu"/>
    <tableColumn id="4" name="Fatura Tarihi"/>
    <tableColumn id="5" name="Vade Tarihi"/>
    <tableColumn id="6" name="Fatura Tutarı"/>
    <tableColumn id="7" name="Para Birimi"/>
    <tableColumn id="8" name="Kur"/>
    <tableColumn id="9" name="TL Tutarı">
      <calculatedColumnFormula>IF(tblFaturalar[[#This Row],[Fatura Numarası]]="","",tblFaturalar[[#This Row],[Fatura Tutarı]]*tblFaturalar[[#This Row],[Kur]])</calculatedColumnFormula>
    </tableColumn>
    <tableColumn id="10" name="İade/İskonto"/>
    <tableColumn id="11" name="Net Fatura">
      <calculatedColumnFormula>IF(tblFaturalar[[#This Row],[Fatura Numarası]]="","",tblFaturalar[[#This Row],[TL Tutarı]]-tblFaturalar[[#This Row],[İade/İskonto]])</calculatedColumnFormula>
    </tableColumn>
    <tableColumn id="12" name="İtirazlı Tutar"/>
    <tableColumn id="13" name="Teminat Kapsamı"/>
    <tableColumn id="14" name="Proje/Sipariş"/>
    <tableColumn id="15" name="Satış Sorumlusu"/>
    <tableColumn id="16" name="Belge Durumu"/>
    <tableColumn id="17" name="Mükerrer Kontrol">
      <calculatedColumnFormula>IF(tblFaturalar[[#This Row],[Fatura Numarası]]="","",IF(COUNTIFS(tblFaturalar[Fatura Numarası],tblFaturalar[[#This Row],[Fatura Numarası]],tblFaturalar[Müşteri Kodu],tblFaturalar[[#This Row],[Müşteri Kodu]])&gt;1,"MÜKERRER","UYGUN"))</calculatedColumnFormula>
    </tableColumn>
  </tableColumns>
</table>
</file>

<file path=xl/tables/table3.xml><?xml version="1.0" encoding="utf-8"?>
<table xmlns="http://schemas.openxmlformats.org/spreadsheetml/2006/main" id="3" name="tblKarar" displayName="tblKarar" ref="A5:N204" headerRowCount="1" totalsRowCount="0" totalsRowShown="0">
  <tableColumns count="14">
    <tableColumn id="1" name="Müşteri">
      <calculatedColumnFormula>tblRisk[[#This Row],[Müşteri Kodu]]&amp;" - "&amp;tblRisk[[#This Row],[Unvan]]</calculatedColumnFormula>
    </tableColumn>
    <tableColumn id="2" name="Risk Seviyesi">
      <calculatedColumnFormula>IF(tblRisk[[#This Row],[Risk Skoru]]&gt;EsikKritik,"KRİTİK",IF(tblRisk[[#This Row],[Risk Skoru]]&gt;EsikYuksek,"RİSKLİ",IF(tblRisk[[#This Row],[Risk Skoru]]&gt;EsikIzle,"İZLE","NORMAL")))</calculatedColumnFormula>
    </tableColumn>
    <tableColumn id="3" name="Tespit">
      <calculatedColumnFormula>IF(tblRisk[[#This Row],[Maks Gecikme Günü]]&gt;YaslamaDilim3,"90+ gün gecikme",IF(tblRisk[[#This Row],[Limit Kullanım Oranı]]&gt;1,"Limit aşımı",IF(tblRisk[[#This Row],[İtirazlı Tutar]]&gt;0,"İtirazlı alacak","Planlı izleme")))</calculatedColumnFormula>
    </tableColumn>
    <tableColumn id="4" name="Sayısal Kanıt">
      <calculatedColumnFormula>"Skor "&amp;tblRisk[[#This Row],[Risk Skoru]]&amp;" | Açık "&amp;TEXT(tblRisk[[#This Row],[Açık Bakiye]],"₺ #,##0")</calculatedColumnFormula>
    </tableColumn>
    <tableColumn id="5" name="Kök Neden">
      <calculatedColumnFormula>IF(tblRisk[[#This Row],[Net Risk]]&gt;0,"Teminat açığı","Kontrollü risk")</calculatedColumnFormula>
    </tableColumn>
    <tableColumn id="6" name="Finansal Etki">
      <calculatedColumnFormula>"Net risk "&amp;TEXT(tblRisk[[#This Row],[Net Risk]],"₺ #,##0")</calculatedColumnFormula>
    </tableColumn>
    <tableColumn id="7" name="Önerilen Karar">
      <calculatedColumnFormula>tblRisk[[#This Row],[Karar]]</calculatedColumnFormula>
    </tableColumn>
    <tableColumn id="8" name="Önerilen Aksiyon">
      <calculatedColumnFormula>tblRisk[[#This Row],[Aksiyon]]</calculatedColumnFormula>
    </tableColumn>
    <tableColumn id="9" name="Sorumlu">
      <calculatedColumnFormula>IF(tblRisk[[#This Row],[Risk Skoru]]&gt;EsikYuksek,"CFO / Finans Müdürü","Tahsilat Yöneticisi")</calculatedColumnFormula>
    </tableColumn>
    <tableColumn id="10" name="Son Tarih">
      <calculatedColumnFormula>RaporTarihi+IF(tblRisk[[#This Row],[Risk Skoru]]&gt;EsikPesin,1,KararGunu)</calculatedColumnFormula>
    </tableColumn>
    <tableColumn id="11" name="Beklenen Etki">
      <calculatedColumnFormula>"Korunan nakit: "&amp;TEXT(MIN(tblRisk[[#This Row],[Vadesi Geçmiş]],tblRisk[[#This Row],[Net Risk]]),"₺ #,##0")</calculatedColumnFormula>
    </tableColumn>
    <tableColumn id="12" name="Uygulanmazsa Risk">
      <calculatedColumnFormula>IF(tblRisk[[#This Row],[Risk Skoru]]&gt;EsikYuksek,"Tahsil edilememe ve nakit kaybı büyür","İşletme sermayesi baskısı artar")</calculatedColumnFormula>
    </tableColumn>
    <tableColumn id="13" name="Güven">
      <calculatedColumnFormula>tblRisk[[#This Row],[Güven]]</calculatedColumnFormula>
    </tableColumn>
    <tableColumn id="14" name="Kaynak"/>
  </tableColumns>
</table>
</file>

<file path=xl/tables/table4.xml><?xml version="1.0" encoding="utf-8"?>
<table xmlns="http://schemas.openxmlformats.org/spreadsheetml/2006/main" id="4" name="tblMusteriler" displayName="tblMusteriler" ref="A5:R204" headerRowCount="1" totalsRowCount="0" totalsRowShown="0">
  <tableColumns count="18">
    <tableColumn id="1" name="Müşteri Kodu"/>
    <tableColumn id="2" name="Unvan"/>
    <tableColumn id="3" name="Vergi Numarası"/>
    <tableColumn id="4" name="Sektör"/>
    <tableColumn id="5" name="Bölge"/>
    <tableColumn id="6" name="Satış Sorumlusu"/>
    <tableColumn id="7" name="İlk Çalışma Tarihi"/>
    <tableColumn id="8" name="Varsayılan Vade"/>
    <tableColumn id="9" name="Onaylı Risk Limiti"/>
    <tableColumn id="10" name="Geçici Ek Limit"/>
    <tableColumn id="11" name="Limit Bitiş Tarihi"/>
    <tableColumn id="12" name="Teminat Türü"/>
    <tableColumn id="13" name="Teminat Değeri"/>
    <tableColumn id="14" name="Teminat Geçerlilik Tarihi"/>
    <tableColumn id="15" name="Grup Şirketi"/>
    <tableColumn id="16" name="Kritik Müşteri mi?"/>
    <tableColumn id="17" name="Durum"/>
    <tableColumn id="18" name="Kontrol">
      <calculatedColumnFormula>=IF($A6="","",IF(COUNTA($A6:$Q6)&gt;=ZorunluAlanSayisi,"OK","EKSİK"))</calculatedColumnFormula>
    </tableColumn>
  </tableColumns>
</table>
</file>

<file path=xl/tables/table5.xml><?xml version="1.0" encoding="utf-8"?>
<table xmlns="http://schemas.openxmlformats.org/spreadsheetml/2006/main" id="5" name="tblRisk" displayName="tblRisk" ref="A5:X204" headerRowCount="1" totalsRowCount="0" totalsRowShown="0">
  <tableColumns count="24">
    <tableColumn id="1" name="Müşteri Kodu">
      <calculatedColumnFormula>tblMusteriler[[#This Row],[Müşteri Kodu]]</calculatedColumnFormula>
    </tableColumn>
    <tableColumn id="2" name="Unvan">
      <calculatedColumnFormula>tblMusteriler[[#This Row],[Unvan]]</calculatedColumnFormula>
    </tableColumn>
    <tableColumn id="3" name="Açık Bakiye">
      <calculatedColumnFormula>SUMIFS(tblYaslandirma[Açık Tutar],tblYaslandirma[Müşteri Kodu],tblRisk[[#This Row],[Müşteri Kodu]])</calculatedColumnFormula>
    </tableColumn>
    <tableColumn id="4" name="Risk Limiti">
      <calculatedColumnFormula>tblMusteriler[[#This Row],[Onaylı Risk Limiti]]+tblMusteriler[[#This Row],[Geçici Ek Limit]]</calculatedColumnFormula>
    </tableColumn>
    <tableColumn id="5" name="Kullanılabilir Limit">
      <calculatedColumnFormula>tblRisk[[#This Row],[Risk Limiti]]-tblRisk[[#This Row],[Açık Bakiye]]</calculatedColumnFormula>
    </tableColumn>
    <tableColumn id="6" name="Limit Kullanım Oranı">
      <calculatedColumnFormula>IFERROR(tblRisk[[#This Row],[Açık Bakiye]]/tblRisk[[#This Row],[Risk Limiti]],1)</calculatedColumnFormula>
    </tableColumn>
    <tableColumn id="7" name="Vadesi Geçmiş">
      <calculatedColumnFormula>SUMIFS(tblYaslandirma[Açık Tutar],tblYaslandirma[Müşteri Kodu],tblRisk[[#This Row],[Müşteri Kodu]],tblYaslandirma[Gecikme Günü],"&gt;0")</calculatedColumnFormula>
    </tableColumn>
    <tableColumn id="8" name="Vadesi Geçmiş Oranı">
      <calculatedColumnFormula>IF(tblRisk[[#This Row],[Açık Bakiye]]=0,0,tblRisk[[#This Row],[Vadesi Geçmiş]]/tblRisk[[#This Row],[Açık Bakiye]])</calculatedColumnFormula>
    </tableColumn>
    <tableColumn id="9" name="Maks Gecikme Günü">
      <calculatedColumnFormula>_xlfn.MAXIFS(tblYaslandirma[Gecikme Günü],tblYaslandirma[Müşteri Kodu],tblRisk[[#This Row],[Müşteri Kodu]])</calculatedColumnFormula>
    </tableColumn>
    <tableColumn id="10" name="Teminat Değeri">
      <calculatedColumnFormula>SUMIFS(tblTeminatlar[Kabul Edilen Değer],tblTeminatlar[Müşteri Kodu],tblRisk[[#This Row],[Müşteri Kodu]])</calculatedColumnFormula>
    </tableColumn>
    <tableColumn id="11" name="Net Risk">
      <calculatedColumnFormula>MAX(0,tblRisk[[#This Row],[Açık Bakiye]]-tblRisk[[#This Row],[Teminat Değeri]])</calculatedColumnFormula>
    </tableColumn>
    <tableColumn id="12" name="Yoğunlaşma Oranı">
      <calculatedColumnFormula>IF(SUM(tblRisk[Açık Bakiye])=0,0,tblRisk[[#This Row],[Açık Bakiye]]/SUM(tblRisk[Açık Bakiye]))</calculatedColumnFormula>
    </tableColumn>
    <tableColumn id="13" name="İtirazlı Tutar">
      <calculatedColumnFormula>SUMIFS(tblYaslandirma[İtirazlı Tutar],tblYaslandirma[Müşteri Kodu],tblRisk[[#This Row],[Müşteri Kodu]])</calculatedColumnFormula>
    </tableColumn>
    <tableColumn id="14" name="Gecikme Katkısı">
      <calculatedColumnFormula>MIN(GecikmeMaxPuan,tblRisk[[#This Row],[Maks Gecikme Günü]]/YaslamaDilim3*GecikmeMaxPuan)</calculatedColumnFormula>
    </tableColumn>
    <tableColumn id="15" name="Vade Katkısı">
      <calculatedColumnFormula>MIN(VadeMaxPuan,tblRisk[[#This Row],[Vadesi Geçmiş Oranı]]*VadeMaxPuan)</calculatedColumnFormula>
    </tableColumn>
    <tableColumn id="16" name="Limit Katkısı">
      <calculatedColumnFormula>MIN(LimitMaxPuan,tblRisk[[#This Row],[Limit Kullanım Oranı]]*LimitMaxPuan)</calculatedColumnFormula>
    </tableColumn>
    <tableColumn id="17" name="Teminat Katkısı">
      <calculatedColumnFormula>IF(tblRisk[[#This Row],[Açık Bakiye]]=0,0,MIN(TeminatMaxPuan,tblRisk[[#This Row],[Net Risk]]/tblRisk[[#This Row],[Açık Bakiye]]*TeminatMaxPuan))</calculatedColumnFormula>
    </tableColumn>
    <tableColumn id="18" name="İtiraz Katkısı">
      <calculatedColumnFormula>IF(tblRisk[[#This Row],[Açık Bakiye]]=0,0,MIN(ItirazMaxPuan,tblRisk[[#This Row],[İtirazlı Tutar]]/tblRisk[[#This Row],[Açık Bakiye]]*ItirazMaxPuan))</calculatedColumnFormula>
    </tableColumn>
    <tableColumn id="19" name="Statü Katkısı">
      <calculatedColumnFormula>IF(tblMusteriler[[#This Row],[Durum]]="Askıda",StatufAskida,IF(tblMusteriler[[#This Row],[Durum]]="İzlemede",StatufIzleme,0))</calculatedColumnFormula>
    </tableColumn>
    <tableColumn id="20" name="Veri Kalitesi">
      <calculatedColumnFormula>IF(tblMusteriler[[#This Row],[Kontrol]]="OK",100,IF(tblMusteriler[[#This Row],[Kontrol]]="EKSİK",VeriKalitesiEksik,0))</calculatedColumnFormula>
    </tableColumn>
    <tableColumn id="21" name="Güven">
      <calculatedColumnFormula>IF(tblRisk[[#This Row],[Veri Kalitesi]]&gt;=GuvenYuksek,"YÜKSEK",IF(tblRisk[[#This Row],[Veri Kalitesi]]&gt;=GuvenOrta,"ORTA","DÜŞÜK"))</calculatedColumnFormula>
    </tableColumn>
    <tableColumn id="22" name="Karar">
      <calculatedColumnFormula>IF(tblRisk[[#This Row],[Risk Skoru]]&lt;=EsikDevam,"DEVAM",IF(tblRisk[[#This Row],[Risk Skoru]]&lt;=EsikIzle,"İZLE",IF(tblRisk[[#This Row],[Risk Skoru]]&lt;=EsikLimitAzalt,"LİMİTİ AZALT",IF(tblRisk[[#This Row],[Risk Skoru]]&lt;=EsikPesin,"PEŞİN / TEMİNATLI","VADELİ SATIŞI DURDUR"))))</calculatedColumnFormula>
    </tableColumn>
    <tableColumn id="23" name="Aksiyon">
      <calculatedColumnFormula>IF(tblRisk[[#This Row],[Risk Skoru]]&gt;EsikKritik,"Yönetim onayı ve acil tahsilat planı",IF(tblRisk[[#This Row],[Risk Skoru]]&gt;EsikYuksek,"Yeni satışı teminata bağla",IF(tblRisk[[#This Row],[Risk Skoru]]&gt;EsikIzle,"Limit revizyonu ve tahsilatı hızlandır","Planlı izleme")))</calculatedColumnFormula>
    </tableColumn>
    <tableColumn id="24" name="Risk Skoru">
      <calculatedColumnFormula>ROUND(MIN(100,SUM(tblRisk[[#This Row],[Gecikme Katkısı]]+tblRisk[[#This Row],[Vade Katkısı]]+tblRisk[[#This Row],[Limit Katkısı]]+tblRisk[[#This Row],[Teminat Katkısı]]+tblRisk[[#This Row],[İtiraz Katkısı]]+tblRisk[[#This Row],[Statü Katkısı]])),0)</calculatedColumnFormula>
    </tableColumn>
  </tableColumns>
</table>
</file>

<file path=xl/tables/table6.xml><?xml version="1.0" encoding="utf-8"?>
<table xmlns="http://schemas.openxmlformats.org/spreadsheetml/2006/main" id="6" name="tblTahsilatlar" displayName="tblTahsilatlar" ref="A5:K204" headerRowCount="1" totalsRowCount="0" totalsRowShown="0">
  <tableColumns count="11">
    <tableColumn id="1" name="Tahsilat Kayıt Numarası"/>
    <tableColumn id="2" name="Tarih"/>
    <tableColumn id="3" name="Müşteri Kodu"/>
    <tableColumn id="4" name="Fatura Numarası"/>
    <tableColumn id="5" name="Tahsilat Tutarı"/>
    <tableColumn id="6" name="Ödeme Türü"/>
    <tableColumn id="7" name="Banka/Kasa"/>
    <tableColumn id="8" name="Çek/Senet Numarası"/>
    <tableColumn id="9" name="Valör Tarihi"/>
    <tableColumn id="10" name="Kesinleşti mi?">
      <calculatedColumnFormula>=IF(tblTahsilatlar[[#This Row],[Tarih]]="","",IF(ISNUMBER(tblTahsilatlar[[#This Row],[Tahsilat Tutarı]]),IF(OR(tblTahsilatlar[[#This Row],[Ödeme Türü]]="Çek/Senet",tblTahsilatlar[[#This Row],[Ödeme Türü]]=""),"Hayır","Evet"),"Hayır"))</calculatedColumnFormula>
    </tableColumn>
    <tableColumn id="11" name="Açıklama"/>
  </tableColumns>
</table>
</file>

<file path=xl/tables/table7.xml><?xml version="1.0" encoding="utf-8"?>
<table xmlns="http://schemas.openxmlformats.org/spreadsheetml/2006/main" id="7" name="tblTeminatlar" displayName="tblTeminatlar" ref="A5:L204" headerRowCount="1" totalsRowCount="0" totalsRowShown="0">
  <tableColumns count="12">
    <tableColumn id="1" name="Teminat Kayıt Numarası"/>
    <tableColumn id="2" name="Müşteri Kodu"/>
    <tableColumn id="3" name="Teminat Türü"/>
    <tableColumn id="4" name="Belge Numarası"/>
    <tableColumn id="5" name="Başlangıç Tarihi"/>
    <tableColumn id="6" name="Geçerlilik Tarihi"/>
    <tableColumn id="7" name="Nominal Değer"/>
    <tableColumn id="8" name="Değerleme İndirimi"/>
    <tableColumn id="9" name="Kabul Edilen Değer">
      <calculatedColumnFormula>tblTeminatlar[[#This Row],[Nominal Değer]]*(1-tblTeminatlar[[#This Row],[Değerleme İndirimi]])</calculatedColumnFormula>
    </tableColumn>
    <tableColumn id="10" name="Para Birimi"/>
    <tableColumn id="11" name="Durum">
      <calculatedColumnFormula>IF(tblTeminatlar[[#This Row],[Geçerlilik Tarihi]]="","",IF(tblTeminatlar[[#This Row],[Geçerlilik Tarihi]]&lt;RaporTarihi,"SÜRESİ GEÇTİ",IF(tblTeminatlar[[#This Row],[Geçerlilik Tarihi]]-RaporTarihi&lt;=YenilemeUyariGunu,"30 GÜN İÇİNDE BİTİYOR","GEÇERLİ")))</calculatedColumnFormula>
    </tableColumn>
    <tableColumn id="12" name="Kontrol">
      <calculatedColumnFormula>=IF($A6="","",IF(COUNTA($A6:$J6)&gt;=ZorunluTeminatAlanSayisi,"OK","EKSİK"))</calculatedColumnFormula>
    </tableColumn>
  </tableColumns>
</table>
</file>

<file path=xl/tables/table8.xml><?xml version="1.0" encoding="utf-8"?>
<table xmlns="http://schemas.openxmlformats.org/spreadsheetml/2006/main" id="8" name="tblYaslandirma" displayName="tblYaslandirma" ref="A5:J204" headerRowCount="1" totalsRowCount="0" totalsRowShown="0">
  <tableColumns count="10">
    <tableColumn id="1" name="Fatura Numarası">
      <calculatedColumnFormula>tblFaturalar[[#This Row],[Fatura Numarası]]</calculatedColumnFormula>
    </tableColumn>
    <tableColumn id="2" name="Müşteri Kodu">
      <calculatedColumnFormula>tblFaturalar[[#This Row],[Müşteri Kodu]]</calculatedColumnFormula>
    </tableColumn>
    <tableColumn id="3" name="Vade Tarihi">
      <calculatedColumnFormula>tblFaturalar[[#This Row],[Vade Tarihi]]</calculatedColumnFormula>
    </tableColumn>
    <tableColumn id="4" name="Net Fatura">
      <calculatedColumnFormula>tblFaturalar[[#This Row],[Net Fatura]]</calculatedColumnFormula>
    </tableColumn>
    <tableColumn id="5" name="Kesin Tahsilat">
      <calculatedColumnFormula>SUMIFS(tblTahsilatlar[Tahsilat Tutarı],tblTahsilatlar[Fatura Numarası],tblYaslandirma[[#This Row],[Fatura Numarası]],tblTahsilatlar[Kesinleşti mi?],"Evet")</calculatedColumnFormula>
    </tableColumn>
    <tableColumn id="6" name="Açık Tutar">
      <calculatedColumnFormula>IF(tblYaslandirma[[#This Row],[Net Fatura]]="","",MAX(0,tblYaslandirma[[#This Row],[Net Fatura]]-tblYaslandirma[[#This Row],[Kesin Tahsilat]]))</calculatedColumnFormula>
    </tableColumn>
    <tableColumn id="7" name="Gecikme Günü">
      <calculatedColumnFormula>IF(tblYaslandirma[[#This Row],[Açık Tutar]]="","",IF(tblYaslandirma[[#This Row],[Açık Tutar]]=0,0,MAX(0,RaporTarihi-tblYaslandirma[[#This Row],[Vade Tarihi]])))</calculatedColumnFormula>
    </tableColumn>
    <tableColumn id="8" name="Yaşlandırma">
      <calculatedColumnFormula>IF(tblYaslandirma[[#This Row],[Açık Tutar]]="","",IF(tblYaslandirma[[#This Row],[Açık Tutar]]=0,"KAPALI",IF(tblYaslandirma[[#This Row],[Gecikme Günü]]&lt;=0,"VADESİ GELMEMİŞ",IF(tblYaslandirma[[#This Row],[Gecikme Günü]]&lt;=YaslamaDilim1,"1-"&amp;TEXT(YaslamaDilim1,"0"),IF(tblYaslandirma[[#This Row],[Gecikme Günü]]&lt;=YaslamaDilim2,TEXT(YaslamaDilim1+1,"0")&amp;"-"&amp;TEXT(YaslamaDilim2,"0"),IF(tblYaslandirma[[#This Row],[Gecikme Günü]]&lt;=YaslamaDilim3,TEXT(YaslamaDilim2+1,"0")&amp;"-"&amp;TEXT(YaslamaDilim3,"0"),TEXT(YaslamaDilim3+1,"0")&amp;"+"))))))</calculatedColumnFormula>
    </tableColumn>
    <tableColumn id="9" name="İtirazlı Tutar">
      <calculatedColumnFormula>IF(tblFaturalar[[#This Row],[İtirazlı Tutar]]=0,"",tblFaturalar[[#This Row],[İtirazlı Tutar]])</calculatedColumnFormula>
    </tableColumn>
    <tableColumn id="10" name="Teminat Kapsamı">
      <calculatedColumnFormula>IF(tblFaturalar[[#This Row],[Teminat Kapsamı]]=0,"",tblFaturalar[[#This Row],[Teminat Kapsamı]])</calculatedColumnFormula>
    </tableColumn>
  </tableColumns>
</table>
</file>

<file path=xl/tables/table9.xml><?xml version="1.0" encoding="utf-8"?>
<table xmlns="http://schemas.openxmlformats.org/spreadsheetml/2006/main" id="9" name="tblIletisim" displayName="tblIletisim" ref="A5:L204" headerRowCount="1" totalsRowCount="0" totalsRowShown="0">
  <tableColumns count="12">
    <tableColumn id="1" name="Takip Kayıt Numarası"/>
    <tableColumn id="2" name="Tarih"/>
    <tableColumn id="3" name="Müşteri Kodu"/>
    <tableColumn id="4" name="Yetkili Kişi"/>
    <tableColumn id="5" name="Kanal"/>
    <tableColumn id="6" name="Görüşme Sonucu"/>
    <tableColumn id="7" name="Söz Verilen Tarih"/>
    <tableColumn id="8" name="Söz Verilen Tutar"/>
    <tableColumn id="9" name="Sonraki Aksiyon"/>
    <tableColumn id="10" name="Sorumlu"/>
    <tableColumn id="11" name="Söz Gecikme Günü">
      <calculatedColumnFormula>=IF(tblIletisim[[#This Row],[Tarih]]="","",IF(tblIletisim[[#This Row],[Söz Verilen Tarih]]="","",MAX(0,RaporTarihi-tblIletisim[[#This Row],[Söz Verilen Tarih]])))</calculatedColumnFormula>
    </tableColumn>
    <tableColumn id="12" name="Söz Durumu">
      <calculatedColumnFormula>=IF(tblIletisim[[#This Row],[Tarih]]="","",IF(tblIletisim[[#This Row],[Söz Verilen Tarih]]="","BEKLİYOR",IF(RaporTarihi-tblIletisim[[#This Row],[Söz Verilen Tarih]]&gt;0,"SÖZ GECİKTİ",IF(tblIletisim[[#This Row],[Görüşme Sonucu]]="Yerine getirildi","YERİNE GETİRİLDİ","BEKLİYOR"))))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>
      <c r="A5" s="2" t="s">
        <v>1</v>
      </c>
    </row>
    <row r="6" customFormat="false" ht="15.75" hidden="false" customHeight="true" outlineLevel="0" collapsed="false">
      <c r="A6" s="3" t="s">
        <v>2</v>
      </c>
    </row>
    <row r="7" customFormat="false" ht="15.75" hidden="false" customHeight="true" outlineLevel="0" collapsed="false"/>
    <row r="8" customFormat="false" ht="15.75" hidden="false" customHeight="true" outlineLevel="0" collapsed="false">
      <c r="A8" s="4" t="s">
        <v>3</v>
      </c>
    </row>
    <row r="9" customFormat="false" ht="15.75" hidden="false" customHeight="true" outlineLevel="0" collapsed="false">
      <c r="A9" s="5" t="s">
        <v>4</v>
      </c>
    </row>
    <row r="10" customFormat="false" ht="15.75" hidden="false" customHeight="true" outlineLevel="0" collapsed="false"/>
    <row r="11" customFormat="false" ht="15.75" hidden="false" customHeight="true" outlineLevel="0" collapsed="false">
      <c r="A11" s="6" t="s">
        <v>5</v>
      </c>
    </row>
    <row r="12" customFormat="false" ht="15.75" hidden="false" customHeight="true" outlineLevel="0" collapsed="false">
      <c r="A12" s="7" t="s">
        <v>6</v>
      </c>
    </row>
    <row r="13" customFormat="false" ht="15.75" hidden="false" customHeight="true" outlineLevel="0" collapsed="false">
      <c r="A13" s="7" t="s">
        <v>7</v>
      </c>
    </row>
    <row r="14" customFormat="false" ht="15.75" hidden="false" customHeight="true" outlineLevel="0" collapsed="false">
      <c r="A14" s="7" t="s">
        <v>8</v>
      </c>
    </row>
    <row r="15" customFormat="false" ht="15.75" hidden="false" customHeight="true" outlineLevel="0" collapsed="false"/>
    <row r="16" customFormat="false" ht="15.75" hidden="false" customHeight="true" outlineLevel="0" collapsed="false">
      <c r="A16" s="6" t="s">
        <v>9</v>
      </c>
    </row>
    <row r="17" customFormat="false" ht="15.75" hidden="false" customHeight="true" outlineLevel="0" collapsed="false">
      <c r="A17" s="7" t="s">
        <v>10</v>
      </c>
    </row>
    <row r="18" customFormat="false" ht="15.75" hidden="false" customHeight="true" outlineLevel="0" collapsed="false">
      <c r="A18" s="7" t="s">
        <v>11</v>
      </c>
    </row>
    <row r="19" customFormat="false" ht="15.75" hidden="false" customHeight="true" outlineLevel="0" collapsed="false">
      <c r="A19" s="7" t="s">
        <v>12</v>
      </c>
    </row>
    <row r="20" customFormat="false" ht="15.75" hidden="false" customHeight="true" outlineLevel="0" collapsed="false">
      <c r="A20" s="7" t="s">
        <v>13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9.5" hidden="false" customHeight="true" outlineLevel="0" collapsed="false">
      <c r="A28" s="8" t="s">
        <v>14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customFormat="false" ht="15.75" hidden="false" customHeight="true" outlineLevel="0" collapsed="false"/>
  </sheetData>
  <sheetProtection sheet="true" password="cc3d" objects="true" scenarios="true" deleteColumns="false" deleteRows="false"/>
  <mergeCells count="2">
    <mergeCell ref="A1:AN1"/>
    <mergeCell ref="A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9" t="s">
        <v>16</v>
      </c>
    </row>
    <row r="5" customFormat="false" ht="15" hidden="false" customHeight="false" outlineLevel="0" collapsed="false">
      <c r="A5" s="10" t="s">
        <v>17</v>
      </c>
    </row>
    <row r="6" customFormat="false" ht="24" hidden="false" customHeight="true" outlineLevel="0" collapsed="false">
      <c r="A6" s="11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customFormat="false" ht="15" hidden="false" customHeight="false" outlineLevel="0" collapsed="false">
      <c r="A7" s="10" t="s">
        <v>19</v>
      </c>
    </row>
    <row r="8" customFormat="false" ht="24" hidden="false" customHeight="true" outlineLevel="0" collapsed="false">
      <c r="A8" s="11" t="s">
        <v>20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customFormat="false" ht="15" hidden="false" customHeight="false" outlineLevel="0" collapsed="false">
      <c r="A9" s="10" t="s">
        <v>21</v>
      </c>
    </row>
    <row r="10" customFormat="false" ht="24" hidden="false" customHeight="true" outlineLevel="0" collapsed="false">
      <c r="A10" s="11" t="s">
        <v>22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4" customFormat="false" ht="15" hidden="false" customHeight="false" outlineLevel="0" collapsed="false">
      <c r="A14" s="12" t="s">
        <v>23</v>
      </c>
    </row>
    <row r="15" customFormat="false" ht="21.75" hidden="false" customHeight="true" outlineLevel="0" collapsed="false">
      <c r="A15" s="11" t="s">
        <v>24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customFormat="false" ht="21.75" hidden="false" customHeight="true" outlineLevel="0" collapsed="false">
      <c r="A16" s="11" t="s">
        <v>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customFormat="false" ht="21.75" hidden="false" customHeight="true" outlineLevel="0" collapsed="false">
      <c r="A17" s="11" t="s">
        <v>26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</sheetData>
  <sheetProtection sheet="true" password="cc3d" objects="true" scenarios="true" deleteColumns="false" deleteRows="false"/>
  <mergeCells count="7">
    <mergeCell ref="A1:AN1"/>
    <mergeCell ref="A6:AD6"/>
    <mergeCell ref="A8:AD8"/>
    <mergeCell ref="A10:AD10"/>
    <mergeCell ref="A15:AD15"/>
    <mergeCell ref="A16:AD16"/>
    <mergeCell ref="A17:A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6"/>
    <col collapsed="false" customWidth="true" hidden="false" outlineLevel="0" max="14" min="13" style="0" width="13"/>
    <col collapsed="false" customWidth="true" hidden="false" outlineLevel="0" max="17" min="15" style="0" width="12"/>
    <col collapsed="false" customWidth="true" hidden="false" outlineLevel="0" max="18" min="18" style="0" width="9"/>
  </cols>
  <sheetData>
    <row r="1" customFormat="false" ht="25.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5" customFormat="false" ht="30" hidden="false" customHeight="true" outlineLevel="0" collapsed="false">
      <c r="A5" s="14" t="s">
        <v>29</v>
      </c>
      <c r="B5" s="14" t="s">
        <v>30</v>
      </c>
      <c r="C5" s="14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14" t="s">
        <v>36</v>
      </c>
      <c r="I5" s="14" t="s">
        <v>37</v>
      </c>
      <c r="J5" s="14" t="s">
        <v>38</v>
      </c>
      <c r="K5" s="14" t="s">
        <v>39</v>
      </c>
      <c r="L5" s="14" t="s">
        <v>40</v>
      </c>
      <c r="M5" s="14" t="s">
        <v>41</v>
      </c>
      <c r="N5" s="14" t="s">
        <v>42</v>
      </c>
      <c r="O5" s="14" t="s">
        <v>43</v>
      </c>
      <c r="P5" s="14" t="s">
        <v>44</v>
      </c>
      <c r="Q5" s="14" t="s">
        <v>45</v>
      </c>
      <c r="R5" s="14" t="s">
        <v>46</v>
      </c>
    </row>
    <row r="6" customFormat="false" ht="15" hidden="false" customHeight="false" outlineLevel="0" collapsed="false">
      <c r="A6" s="15" t="s">
        <v>47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  <c r="G6" s="16" t="n">
        <v>44576</v>
      </c>
      <c r="H6" s="17" t="n">
        <v>60</v>
      </c>
      <c r="I6" s="18" t="n">
        <v>1250000</v>
      </c>
      <c r="J6" s="18" t="n">
        <v>250000</v>
      </c>
      <c r="K6" s="16" t="n">
        <v>46387</v>
      </c>
      <c r="L6" s="15" t="s">
        <v>53</v>
      </c>
      <c r="M6" s="18" t="n">
        <v>900000</v>
      </c>
      <c r="N6" s="16" t="n">
        <v>46387</v>
      </c>
      <c r="O6" s="15" t="s">
        <v>54</v>
      </c>
      <c r="P6" s="15" t="s">
        <v>55</v>
      </c>
      <c r="Q6" s="15" t="s">
        <v>56</v>
      </c>
      <c r="R6" s="19" t="str">
        <f aca="false">IF($A6="","",IF(COUNTA($A6:$Q6)&gt;=ZorunluAlanSayisi,"OK","EKSİK"))</f>
        <v>OK</v>
      </c>
    </row>
    <row r="7" customFormat="false" ht="15" hidden="false" customHeight="false" outlineLevel="0" collapsed="false">
      <c r="A7" s="15" t="s">
        <v>57</v>
      </c>
      <c r="B7" s="15" t="s">
        <v>58</v>
      </c>
      <c r="C7" s="15" t="s">
        <v>59</v>
      </c>
      <c r="D7" s="15" t="s">
        <v>60</v>
      </c>
      <c r="E7" s="15" t="s">
        <v>61</v>
      </c>
      <c r="F7" s="15" t="s">
        <v>62</v>
      </c>
      <c r="G7" s="16" t="n">
        <v>44995</v>
      </c>
      <c r="H7" s="17" t="n">
        <v>45</v>
      </c>
      <c r="I7" s="18" t="n">
        <v>800000</v>
      </c>
      <c r="J7" s="18" t="n">
        <v>0</v>
      </c>
      <c r="K7" s="16" t="n">
        <v>46387</v>
      </c>
      <c r="L7" s="15" t="s">
        <v>63</v>
      </c>
      <c r="M7" s="18" t="n">
        <v>550000</v>
      </c>
      <c r="N7" s="16" t="n">
        <v>46203</v>
      </c>
      <c r="O7" s="15" t="s">
        <v>64</v>
      </c>
      <c r="P7" s="15" t="s">
        <v>55</v>
      </c>
      <c r="Q7" s="15" t="s">
        <v>56</v>
      </c>
      <c r="R7" s="19" t="str">
        <f aca="false">IF($A6="","",IF(COUNTA($A6:$Q6)&gt;=ZorunluAlanSayisi,"OK","EKSİK"))</f>
        <v>OK</v>
      </c>
    </row>
    <row r="8" customFormat="false" ht="15" hidden="false" customHeight="false" outlineLevel="0" collapsed="false">
      <c r="A8" s="15" t="s">
        <v>65</v>
      </c>
      <c r="B8" s="15" t="s">
        <v>66</v>
      </c>
      <c r="C8" s="15" t="s">
        <v>67</v>
      </c>
      <c r="D8" s="15" t="s">
        <v>68</v>
      </c>
      <c r="E8" s="15" t="s">
        <v>69</v>
      </c>
      <c r="F8" s="15" t="s">
        <v>70</v>
      </c>
      <c r="G8" s="16" t="n">
        <v>44367</v>
      </c>
      <c r="H8" s="17" t="n">
        <v>30</v>
      </c>
      <c r="I8" s="18" t="n">
        <v>650000</v>
      </c>
      <c r="J8" s="18" t="n">
        <v>100000</v>
      </c>
      <c r="K8" s="16" t="n">
        <v>46387</v>
      </c>
      <c r="L8" s="15" t="s">
        <v>71</v>
      </c>
      <c r="M8" s="18" t="n">
        <v>300000</v>
      </c>
      <c r="N8" s="16" t="n">
        <v>46235</v>
      </c>
      <c r="O8" s="15" t="s">
        <v>64</v>
      </c>
      <c r="P8" s="15" t="s">
        <v>55</v>
      </c>
      <c r="Q8" s="15" t="s">
        <v>72</v>
      </c>
      <c r="R8" s="19" t="str">
        <f aca="false">IF($A6="","",IF(COUNTA($A6:$Q6)&gt;=ZorunluAlanSayisi,"OK","EKSİK"))</f>
        <v>OK</v>
      </c>
    </row>
    <row r="9" customFormat="false" ht="15" hidden="false" customHeight="false" outlineLevel="0" collapsed="false">
      <c r="A9" s="15" t="s">
        <v>73</v>
      </c>
      <c r="B9" s="15" t="s">
        <v>74</v>
      </c>
      <c r="C9" s="15" t="s">
        <v>75</v>
      </c>
      <c r="D9" s="15" t="s">
        <v>76</v>
      </c>
      <c r="E9" s="15" t="s">
        <v>61</v>
      </c>
      <c r="F9" s="15" t="s">
        <v>77</v>
      </c>
      <c r="G9" s="16" t="n">
        <v>43866</v>
      </c>
      <c r="H9" s="17" t="n">
        <v>90</v>
      </c>
      <c r="I9" s="18" t="n">
        <v>2000000</v>
      </c>
      <c r="J9" s="18" t="n">
        <v>0</v>
      </c>
      <c r="K9" s="16" t="n">
        <v>46387</v>
      </c>
      <c r="L9" s="15" t="s">
        <v>78</v>
      </c>
      <c r="M9" s="18" t="n">
        <v>0</v>
      </c>
      <c r="N9" s="16" t="n">
        <v>46387</v>
      </c>
      <c r="O9" s="15" t="s">
        <v>64</v>
      </c>
      <c r="P9" s="15" t="s">
        <v>79</v>
      </c>
      <c r="Q9" s="15" t="s">
        <v>80</v>
      </c>
      <c r="R9" s="19" t="str">
        <f aca="false">IF($A6="","",IF(COUNTA($A6:$Q6)&gt;=ZorunluAlanSayisi,"OK","EKSİK"))</f>
        <v>OK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9" t="str">
        <f aca="false">IF($A6="","",IF(COUNTA($A6:$Q6)&gt;=ZorunluAlanSayisi,"OK","EKSİK"))</f>
        <v>OK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9" t="str">
        <f aca="false">IF($A6="","",IF(COUNTA($A6:$Q6)&gt;=ZorunluAlanSayisi,"OK","EKSİK"))</f>
        <v>OK</v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9" t="str">
        <f aca="false">IF($A6="","",IF(COUNTA($A6:$Q6)&gt;=ZorunluAlanSayisi,"OK","EKSİK"))</f>
        <v>OK</v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9" t="str">
        <f aca="false">IF($A6="","",IF(COUNTA($A6:$Q6)&gt;=ZorunluAlanSayisi,"OK","EKSİK"))</f>
        <v>OK</v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19" t="str">
        <f aca="false">IF($A6="","",IF(COUNTA($A6:$Q6)&gt;=ZorunluAlanSayisi,"OK","EKSİK"))</f>
        <v>OK</v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 t="str">
        <f aca="false">IF($A6="","",IF(COUNTA($A6:$Q6)&gt;=ZorunluAlanSayisi,"OK","EKSİK"))</f>
        <v>OK</v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9" t="str">
        <f aca="false">IF($A6="","",IF(COUNTA($A6:$Q6)&gt;=ZorunluAlanSayisi,"OK","EKSİK"))</f>
        <v>OK</v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19" t="str">
        <f aca="false">IF($A6="","",IF(COUNTA($A6:$Q6)&gt;=ZorunluAlanSayisi,"OK","EKSİK"))</f>
        <v>OK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9" t="str">
        <f aca="false">IF($A6="","",IF(COUNTA($A6:$Q6)&gt;=ZorunluAlanSayisi,"OK","EKSİK"))</f>
        <v>OK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19" t="str">
        <f aca="false">IF($A6="","",IF(COUNTA($A6:$Q6)&gt;=ZorunluAlanSayisi,"OK","EKSİK"))</f>
        <v>OK</v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9" t="str">
        <f aca="false">IF($A6="","",IF(COUNTA($A6:$Q6)&gt;=ZorunluAlanSayisi,"OK","EKSİK"))</f>
        <v>OK</v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9" t="str">
        <f aca="false">IF($A6="","",IF(COUNTA($A6:$Q6)&gt;=ZorunluAlanSayisi,"OK","EKSİK"))</f>
        <v>OK</v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9" t="str">
        <f aca="false">IF($A6="","",IF(COUNTA($A6:$Q6)&gt;=ZorunluAlanSayisi,"OK","EKSİK"))</f>
        <v>OK</v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 t="str">
        <f aca="false">IF($A6="","",IF(COUNTA($A6:$Q6)&gt;=ZorunluAlanSayisi,"OK","EKSİK"))</f>
        <v>OK</v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 t="str">
        <f aca="false">IF($A6="","",IF(COUNTA($A6:$Q6)&gt;=ZorunluAlanSayisi,"OK","EKSİK"))</f>
        <v>OK</v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 t="str">
        <f aca="false">IF($A6="","",IF(COUNTA($A6:$Q6)&gt;=ZorunluAlanSayisi,"OK","EKSİK"))</f>
        <v>OK</v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 t="str">
        <f aca="false">IF($A6="","",IF(COUNTA($A6:$Q6)&gt;=ZorunluAlanSayisi,"OK","EKSİK"))</f>
        <v>OK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 t="str">
        <f aca="false">IF($A6="","",IF(COUNTA($A6:$Q6)&gt;=ZorunluAlanSayisi,"OK","EKSİK"))</f>
        <v>OK</v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 t="str">
        <f aca="false">IF($A6="","",IF(COUNTA($A6:$Q6)&gt;=ZorunluAlanSayisi,"OK","EKSİK"))</f>
        <v>OK</v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 t="str">
        <f aca="false">IF($A6="","",IF(COUNTA($A6:$Q6)&gt;=ZorunluAlanSayisi,"OK","EKSİK"))</f>
        <v>OK</v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 t="str">
        <f aca="false">IF($A6="","",IF(COUNTA($A6:$Q6)&gt;=ZorunluAlanSayisi,"OK","EKSİK"))</f>
        <v>OK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 t="str">
        <f aca="false">IF($A6="","",IF(COUNTA($A6:$Q6)&gt;=ZorunluAlanSayisi,"OK","EKSİK"))</f>
        <v>OK</v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 t="str">
        <f aca="false">IF($A6="","",IF(COUNTA($A6:$Q6)&gt;=ZorunluAlanSayisi,"OK","EKSİK"))</f>
        <v>OK</v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 t="str">
        <f aca="false">IF($A6="","",IF(COUNTA($A6:$Q6)&gt;=ZorunluAlanSayisi,"OK","EKSİK"))</f>
        <v>OK</v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 t="str">
        <f aca="false">IF($A6="","",IF(COUNTA($A6:$Q6)&gt;=ZorunluAlanSayisi,"OK","EKSİK"))</f>
        <v>OK</v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 t="str">
        <f aca="false">IF($A6="","",IF(COUNTA($A6:$Q6)&gt;=ZorunluAlanSayisi,"OK","EKSİK"))</f>
        <v>OK</v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 t="str">
        <f aca="false">IF($A6="","",IF(COUNTA($A6:$Q6)&gt;=ZorunluAlanSayisi,"OK","EKSİK"))</f>
        <v>OK</v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 t="str">
        <f aca="false">IF($A6="","",IF(COUNTA($A6:$Q6)&gt;=ZorunluAlanSayisi,"OK","EKSİK"))</f>
        <v>OK</v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 t="str">
        <f aca="false">IF($A6="","",IF(COUNTA($A6:$Q6)&gt;=ZorunluAlanSayisi,"OK","EKSİK"))</f>
        <v>OK</v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 t="str">
        <f aca="false">IF($A6="","",IF(COUNTA($A6:$Q6)&gt;=ZorunluAlanSayisi,"OK","EKSİK"))</f>
        <v>OK</v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 t="str">
        <f aca="false">IF($A6="","",IF(COUNTA($A6:$Q6)&gt;=ZorunluAlanSayisi,"OK","EKSİK"))</f>
        <v>OK</v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 t="str">
        <f aca="false">IF($A6="","",IF(COUNTA($A6:$Q6)&gt;=ZorunluAlanSayisi,"OK","EKSİK"))</f>
        <v>OK</v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 t="str">
        <f aca="false">IF($A6="","",IF(COUNTA($A6:$Q6)&gt;=ZorunluAlanSayisi,"OK","EKSİK"))</f>
        <v>OK</v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 t="str">
        <f aca="false">IF($A6="","",IF(COUNTA($A6:$Q6)&gt;=ZorunluAlanSayisi,"OK","EKSİK"))</f>
        <v>OK</v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 t="str">
        <f aca="false">IF($A6="","",IF(COUNTA($A6:$Q6)&gt;=ZorunluAlanSayisi,"OK","EKSİK"))</f>
        <v>OK</v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 t="str">
        <f aca="false">IF($A6="","",IF(COUNTA($A6:$Q6)&gt;=ZorunluAlanSayisi,"OK","EKSİK"))</f>
        <v>OK</v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</sheetData>
  <sheetProtection sheet="true" password="cc3d" objects="true" scenarios="true" deleteColumns="false" deleteRows="false"/>
  <mergeCells count="2">
    <mergeCell ref="A1:AN1"/>
    <mergeCell ref="A3:R3"/>
  </mergeCells>
  <conditionalFormatting sqref="Q6:Q204">
    <cfRule type="cellIs" priority="2" operator="equal" aboveAverage="0" equalAverage="0" bottom="0" percent="0" rank="0" text="" dxfId="9">
      <formula>"Aktif"</formula>
    </cfRule>
    <cfRule type="cellIs" priority="3" operator="equal" aboveAverage="0" equalAverage="0" bottom="0" percent="0" rank="0" text="" dxfId="10">
      <formula>"İzlemede"</formula>
    </cfRule>
    <cfRule type="cellIs" priority="4" operator="equal" aboveAverage="0" equalAverage="0" bottom="0" percent="0" rank="0" text="" dxfId="11">
      <formula>"Askıda"</formula>
    </cfRule>
    <cfRule type="cellIs" priority="5" operator="equal" aboveAverage="0" equalAverage="0" bottom="0" percent="0" rank="0" text="" dxfId="12">
      <formula>"Kapalı"</formula>
    </cfRule>
  </conditionalFormatting>
  <conditionalFormatting sqref="P6:P204">
    <cfRule type="cellIs" priority="6" operator="equal" aboveAverage="0" equalAverage="0" bottom="0" percent="0" rank="0" text="" dxfId="11">
      <formula>"Evet"</formula>
    </cfRule>
  </conditionalFormatting>
  <conditionalFormatting sqref="I6:I204">
    <cfRule type="cellIs" priority="7" operator="lessThan" aboveAverage="0" equalAverage="0" bottom="0" percent="0" rank="0" text="" dxfId="11">
      <formula>0</formula>
    </cfRule>
  </conditionalFormatting>
  <dataValidations count="3">
    <dataValidation allowBlank="true" error="Lütfen listeden geçerli bir durum seçin." errorStyle="stop" errorTitle="Geçersiz Durum" operator="between" prompt="Aktif, İzlemede, Askıda veya Kapalı seçin." promptTitle="Müşteri Durumu" showDropDown="false" showErrorMessage="true" showInputMessage="true" sqref="Q6:Q204" type="list">
      <formula1>ListeMusteriDurum</formula1>
      <formula2>0</formula2>
    </dataValidation>
    <dataValidation allowBlank="true" error="Lütfen Evet veya Hayır seçin." errorStyle="stop" errorTitle="Geçersiz Değer" operator="between" prompt="Evet veya Hayır seçin." promptTitle="Kritik Müşteri" showDropDown="false" showErrorMessage="true" showInputMessage="true" sqref="P6:P204" type="list">
      <formula1>ListeEvetHayir</formula1>
      <formula2>0</formula2>
    </dataValidation>
    <dataValidation allowBlank="true" error="Vade günü 0-365 arasında olmalıdır." errorStyle="stop" errorTitle="Geçersiz Vade" operator="between" prompt="0 ile 365 arasında gün sayısı girin." promptTitle="Varsayılan Vade (gün)" showDropDown="false" showErrorMessage="true" showInputMessage="true" sqref="H6:H204" type="whole">
      <formula1>0</formula1>
      <formula2>365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6" min="3" style="0" width="13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5" min="14" style="0" width="15"/>
    <col collapsed="false" customWidth="true" hidden="false" outlineLevel="0" max="16" min="16" style="0" width="13"/>
    <col collapsed="false" customWidth="true" hidden="false" outlineLevel="0" max="17" min="17" style="0" width="12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82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5" customFormat="false" ht="30" hidden="false" customHeight="true" outlineLevel="0" collapsed="false">
      <c r="A5" s="14" t="s">
        <v>83</v>
      </c>
      <c r="B5" s="14" t="s">
        <v>84</v>
      </c>
      <c r="C5" s="14" t="s">
        <v>29</v>
      </c>
      <c r="D5" s="14" t="s">
        <v>85</v>
      </c>
      <c r="E5" s="14" t="s">
        <v>86</v>
      </c>
      <c r="F5" s="14" t="s">
        <v>87</v>
      </c>
      <c r="G5" s="14" t="s">
        <v>88</v>
      </c>
      <c r="H5" s="14" t="s">
        <v>89</v>
      </c>
      <c r="I5" s="14" t="s">
        <v>90</v>
      </c>
      <c r="J5" s="14" t="s">
        <v>91</v>
      </c>
      <c r="K5" s="14" t="s">
        <v>92</v>
      </c>
      <c r="L5" s="14" t="s">
        <v>93</v>
      </c>
      <c r="M5" s="14" t="s">
        <v>94</v>
      </c>
      <c r="N5" s="14" t="s">
        <v>95</v>
      </c>
      <c r="O5" s="14" t="s">
        <v>34</v>
      </c>
      <c r="P5" s="14" t="s">
        <v>96</v>
      </c>
      <c r="Q5" s="14" t="s">
        <v>97</v>
      </c>
    </row>
    <row r="6" customFormat="false" ht="16.4" hidden="false" customHeight="false" outlineLevel="0" collapsed="false">
      <c r="A6" s="15" t="s">
        <v>98</v>
      </c>
      <c r="B6" s="15" t="s">
        <v>99</v>
      </c>
      <c r="C6" s="15" t="s">
        <v>47</v>
      </c>
      <c r="D6" s="16" t="n">
        <v>46091</v>
      </c>
      <c r="E6" s="16" t="n">
        <v>46151</v>
      </c>
      <c r="F6" s="18" t="n">
        <v>780000</v>
      </c>
      <c r="G6" s="15" t="s">
        <v>100</v>
      </c>
      <c r="H6" s="17" t="n">
        <v>1</v>
      </c>
      <c r="I6" s="19" t="n">
        <f aca="false">IF($B6="","",$F6*$H6)</f>
        <v>780000</v>
      </c>
      <c r="J6" s="18" t="n">
        <v>30000</v>
      </c>
      <c r="K6" s="19" t="n">
        <f aca="false">IF($B6="","",$I6-$J6)</f>
        <v>750000</v>
      </c>
      <c r="L6" s="18" t="n">
        <v>0</v>
      </c>
      <c r="M6" s="18" t="n">
        <v>0</v>
      </c>
      <c r="N6" s="15" t="s">
        <v>101</v>
      </c>
      <c r="O6" s="15" t="s">
        <v>52</v>
      </c>
      <c r="P6" s="15" t="s">
        <v>102</v>
      </c>
      <c r="Q6" s="19" t="str">
        <f aca="false">IF($B6="","",IF(COUNTIFS(tblFaturalar[Fatura Numarası],$B6,tblFaturalar[Müşteri Kodu],$C6)&gt;1,"MÜKERRER","UYGUN"))</f>
        <v>UYGUN</v>
      </c>
    </row>
    <row r="7" customFormat="false" ht="16.4" hidden="false" customHeight="false" outlineLevel="0" collapsed="false">
      <c r="A7" s="15" t="s">
        <v>103</v>
      </c>
      <c r="B7" s="15" t="s">
        <v>104</v>
      </c>
      <c r="C7" s="15" t="s">
        <v>47</v>
      </c>
      <c r="D7" s="16" t="n">
        <v>46188</v>
      </c>
      <c r="E7" s="16" t="n">
        <v>46248</v>
      </c>
      <c r="F7" s="18" t="n">
        <v>520000</v>
      </c>
      <c r="G7" s="15" t="s">
        <v>100</v>
      </c>
      <c r="H7" s="17" t="n">
        <v>1</v>
      </c>
      <c r="I7" s="19" t="n">
        <f aca="false">IF($B7="","",$F7*$H7)</f>
        <v>520000</v>
      </c>
      <c r="J7" s="18" t="n">
        <v>0</v>
      </c>
      <c r="K7" s="19" t="n">
        <f aca="false">IF($B7="","",$I7-$J7)</f>
        <v>520000</v>
      </c>
      <c r="L7" s="18" t="n">
        <v>0</v>
      </c>
      <c r="M7" s="18" t="n">
        <v>0</v>
      </c>
      <c r="N7" s="15" t="s">
        <v>105</v>
      </c>
      <c r="O7" s="15" t="s">
        <v>52</v>
      </c>
      <c r="P7" s="15" t="s">
        <v>102</v>
      </c>
      <c r="Q7" s="19" t="str">
        <f aca="false">IF($B7="","",IF(COUNTIFS(tblFaturalar[Fatura Numarası],$B7,tblFaturalar[Müşteri Kodu],$C7)&gt;1,"MÜKERRER","UYGUN"))</f>
        <v>UYGUN</v>
      </c>
    </row>
    <row r="8" customFormat="false" ht="16.4" hidden="false" customHeight="false" outlineLevel="0" collapsed="false">
      <c r="A8" s="15" t="s">
        <v>106</v>
      </c>
      <c r="B8" s="15" t="s">
        <v>107</v>
      </c>
      <c r="C8" s="15" t="s">
        <v>57</v>
      </c>
      <c r="D8" s="16" t="n">
        <v>46204</v>
      </c>
      <c r="E8" s="16" t="n">
        <v>46249</v>
      </c>
      <c r="F8" s="18" t="n">
        <v>420000</v>
      </c>
      <c r="G8" s="15" t="s">
        <v>100</v>
      </c>
      <c r="H8" s="17" t="n">
        <v>1</v>
      </c>
      <c r="I8" s="19" t="n">
        <f aca="false">IF($B8="","",$F8*$H8)</f>
        <v>420000</v>
      </c>
      <c r="J8" s="18" t="n">
        <v>20000</v>
      </c>
      <c r="K8" s="19" t="n">
        <f aca="false">IF($B8="","",$I8-$J8)</f>
        <v>400000</v>
      </c>
      <c r="L8" s="18" t="n">
        <v>0</v>
      </c>
      <c r="M8" s="18" t="n">
        <v>0</v>
      </c>
      <c r="N8" s="15" t="s">
        <v>108</v>
      </c>
      <c r="O8" s="15" t="s">
        <v>62</v>
      </c>
      <c r="P8" s="15" t="s">
        <v>102</v>
      </c>
      <c r="Q8" s="19" t="str">
        <f aca="false">IF($B8="","",IF(COUNTIFS(tblFaturalar[Fatura Numarası],$B8,tblFaturalar[Müşteri Kodu],$C8)&gt;1,"MÜKERRER","UYGUN"))</f>
        <v>UYGUN</v>
      </c>
    </row>
    <row r="9" customFormat="false" ht="16.4" hidden="false" customHeight="false" outlineLevel="0" collapsed="false">
      <c r="A9" s="15" t="s">
        <v>109</v>
      </c>
      <c r="B9" s="15" t="s">
        <v>110</v>
      </c>
      <c r="C9" s="15" t="s">
        <v>65</v>
      </c>
      <c r="D9" s="16" t="n">
        <v>46162</v>
      </c>
      <c r="E9" s="16" t="n">
        <v>46192</v>
      </c>
      <c r="F9" s="18" t="n">
        <v>680000</v>
      </c>
      <c r="G9" s="15" t="s">
        <v>100</v>
      </c>
      <c r="H9" s="17" t="n">
        <v>1</v>
      </c>
      <c r="I9" s="19" t="n">
        <f aca="false">IF($B9="","",$F9*$H9)</f>
        <v>680000</v>
      </c>
      <c r="J9" s="18" t="n">
        <v>0</v>
      </c>
      <c r="K9" s="19" t="n">
        <f aca="false">IF($B9="","",$I9-$J9)</f>
        <v>680000</v>
      </c>
      <c r="L9" s="18" t="n">
        <v>150000</v>
      </c>
      <c r="M9" s="18" t="n">
        <v>0</v>
      </c>
      <c r="N9" s="15" t="s">
        <v>111</v>
      </c>
      <c r="O9" s="15" t="s">
        <v>70</v>
      </c>
      <c r="P9" s="15" t="s">
        <v>112</v>
      </c>
      <c r="Q9" s="19" t="str">
        <f aca="false">IF($B9="","",IF(COUNTIFS(tblFaturalar[Fatura Numarası],$B9,tblFaturalar[Müşteri Kodu],$C9)&gt;1,"MÜKERRER","UYGUN"))</f>
        <v>UYGUN</v>
      </c>
    </row>
    <row r="10" customFormat="false" ht="16.4" hidden="false" customHeight="false" outlineLevel="0" collapsed="false">
      <c r="A10" s="15" t="s">
        <v>113</v>
      </c>
      <c r="B10" s="15" t="s">
        <v>114</v>
      </c>
      <c r="C10" s="15" t="s">
        <v>73</v>
      </c>
      <c r="D10" s="16" t="n">
        <v>46063</v>
      </c>
      <c r="E10" s="16" t="n">
        <v>46153</v>
      </c>
      <c r="F10" s="18" t="n">
        <v>1500000</v>
      </c>
      <c r="G10" s="15" t="s">
        <v>100</v>
      </c>
      <c r="H10" s="17" t="n">
        <v>1</v>
      </c>
      <c r="I10" s="19" t="n">
        <f aca="false">IF($B10="","",$F10*$H10)</f>
        <v>1500000</v>
      </c>
      <c r="J10" s="18" t="n">
        <v>0</v>
      </c>
      <c r="K10" s="19" t="n">
        <f aca="false">IF($B10="","",$I10-$J10)</f>
        <v>1500000</v>
      </c>
      <c r="L10" s="18" t="n">
        <v>0</v>
      </c>
      <c r="M10" s="18" t="n">
        <v>0</v>
      </c>
      <c r="N10" s="15" t="s">
        <v>115</v>
      </c>
      <c r="O10" s="15" t="s">
        <v>77</v>
      </c>
      <c r="P10" s="15" t="s">
        <v>102</v>
      </c>
      <c r="Q10" s="19" t="str">
        <f aca="false">IF($B10="","",IF(COUNTIFS(tblFaturalar[Fatura Numarası],$B10,tblFaturalar[Müşteri Kodu],$C10)&gt;1,"MÜKERRER","UYGUN"))</f>
        <v>UYGUN</v>
      </c>
    </row>
    <row r="11" customFormat="false" ht="16.4" hidden="false" customHeight="false" outlineLevel="0" collapsed="false">
      <c r="A11" s="15" t="s">
        <v>116</v>
      </c>
      <c r="B11" s="15" t="s">
        <v>117</v>
      </c>
      <c r="C11" s="15" t="s">
        <v>65</v>
      </c>
      <c r="D11" s="16" t="n">
        <v>46213</v>
      </c>
      <c r="E11" s="16" t="n">
        <v>46243</v>
      </c>
      <c r="F11" s="18" t="n">
        <v>260000</v>
      </c>
      <c r="G11" s="15" t="s">
        <v>100</v>
      </c>
      <c r="H11" s="17" t="n">
        <v>1</v>
      </c>
      <c r="I11" s="19" t="n">
        <f aca="false">IF($B11="","",$F11*$H11)</f>
        <v>260000</v>
      </c>
      <c r="J11" s="18" t="n">
        <v>0</v>
      </c>
      <c r="K11" s="19" t="n">
        <f aca="false">IF($B11="","",$I11-$J11)</f>
        <v>260000</v>
      </c>
      <c r="L11" s="18" t="n">
        <v>0</v>
      </c>
      <c r="M11" s="18" t="n">
        <v>0</v>
      </c>
      <c r="N11" s="15" t="s">
        <v>118</v>
      </c>
      <c r="O11" s="15" t="s">
        <v>70</v>
      </c>
      <c r="P11" s="15" t="s">
        <v>102</v>
      </c>
      <c r="Q11" s="19" t="str">
        <f aca="false">IF($B11="","",IF(COUNTIFS(tblFaturalar[Fatura Numarası],$B11,tblFaturalar[Müşteri Kodu],$C11)&gt;1,"MÜKERRER","UYGUN"))</f>
        <v>UYGUN</v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19" t="str">
        <f aca="false">IF($B12="","",$F12*$H12)</f>
        <v/>
      </c>
      <c r="J12" s="20"/>
      <c r="K12" s="19" t="str">
        <f aca="false">IF($B12="","",$I12-$J12)</f>
        <v/>
      </c>
      <c r="L12" s="20"/>
      <c r="M12" s="20"/>
      <c r="N12" s="20"/>
      <c r="O12" s="20"/>
      <c r="P12" s="20"/>
      <c r="Q12" s="19" t="str">
        <f aca="false">IF($B12="","",IF(COUNTIFS(tblFaturalar[Fatura Numarası],$B12,tblFaturalar[Müşteri Kodu],$C12)&gt;1,"MÜKERRER","UYGUN"))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19" t="str">
        <f aca="false">IF($B13="","",$F13*$H13)</f>
        <v/>
      </c>
      <c r="J13" s="20"/>
      <c r="K13" s="19" t="str">
        <f aca="false">IF($B13="","",$I13-$J13)</f>
        <v/>
      </c>
      <c r="L13" s="20"/>
      <c r="M13" s="20"/>
      <c r="N13" s="20"/>
      <c r="O13" s="20"/>
      <c r="P13" s="20"/>
      <c r="Q13" s="19" t="str">
        <f aca="false">IF($B13="","",IF(COUNTIFS(tblFaturalar[Fatura Numarası],$B13,tblFaturalar[Müşteri Kodu],$C13)&gt;1,"MÜKERRER","UYGUN"))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19" t="str">
        <f aca="false">IF($B14="","",$F14*$H14)</f>
        <v/>
      </c>
      <c r="J14" s="20"/>
      <c r="K14" s="19" t="str">
        <f aca="false">IF($B14="","",$I14-$J14)</f>
        <v/>
      </c>
      <c r="L14" s="20"/>
      <c r="M14" s="20"/>
      <c r="N14" s="20"/>
      <c r="O14" s="20"/>
      <c r="P14" s="20"/>
      <c r="Q14" s="19" t="str">
        <f aca="false">IF($B14="","",IF(COUNTIFS(tblFaturalar[Fatura Numarası],$B14,tblFaturalar[Müşteri Kodu],$C14)&gt;1,"MÜKERRER","UYGUN"))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19" t="str">
        <f aca="false">IF($B15="","",$F15*$H15)</f>
        <v/>
      </c>
      <c r="J15" s="20"/>
      <c r="K15" s="19" t="str">
        <f aca="false">IF($B15="","",$I15-$J15)</f>
        <v/>
      </c>
      <c r="L15" s="20"/>
      <c r="M15" s="20"/>
      <c r="N15" s="20"/>
      <c r="O15" s="20"/>
      <c r="P15" s="20"/>
      <c r="Q15" s="19" t="str">
        <f aca="false">IF($B15="","",IF(COUNTIFS(tblFaturalar[Fatura Numarası],$B15,tblFaturalar[Müşteri Kodu],$C15)&gt;1,"MÜKERRER","UYGUN"))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19" t="str">
        <f aca="false">IF($B16="","",$F16*$H16)</f>
        <v/>
      </c>
      <c r="J16" s="20"/>
      <c r="K16" s="19" t="str">
        <f aca="false">IF($B16="","",$I16-$J16)</f>
        <v/>
      </c>
      <c r="L16" s="20"/>
      <c r="M16" s="20"/>
      <c r="N16" s="20"/>
      <c r="O16" s="20"/>
      <c r="P16" s="20"/>
      <c r="Q16" s="19" t="str">
        <f aca="false">IF($B16="","",IF(COUNTIFS(tblFaturalar[Fatura Numarası],$B16,tblFaturalar[Müşteri Kodu],$C16)&gt;1,"MÜKERRER","UYGUN"))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19" t="str">
        <f aca="false">IF($B17="","",$F17*$H17)</f>
        <v/>
      </c>
      <c r="J17" s="20"/>
      <c r="K17" s="19" t="str">
        <f aca="false">IF($B17="","",$I17-$J17)</f>
        <v/>
      </c>
      <c r="L17" s="20"/>
      <c r="M17" s="20"/>
      <c r="N17" s="20"/>
      <c r="O17" s="20"/>
      <c r="P17" s="20"/>
      <c r="Q17" s="19" t="str">
        <f aca="false">IF($B17="","",IF(COUNTIFS(tblFaturalar[Fatura Numarası],$B17,tblFaturalar[Müşteri Kodu],$C17)&gt;1,"MÜKERRER","UYGUN"))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19" t="str">
        <f aca="false">IF($B18="","",$F18*$H18)</f>
        <v/>
      </c>
      <c r="J18" s="20"/>
      <c r="K18" s="19" t="str">
        <f aca="false">IF($B18="","",$I18-$J18)</f>
        <v/>
      </c>
      <c r="L18" s="20"/>
      <c r="M18" s="20"/>
      <c r="N18" s="20"/>
      <c r="O18" s="20"/>
      <c r="P18" s="20"/>
      <c r="Q18" s="19" t="str">
        <f aca="false">IF($B18="","",IF(COUNTIFS(tblFaturalar[Fatura Numarası],$B18,tblFaturalar[Müşteri Kodu],$C18)&gt;1,"MÜKERRER","UYGUN"))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19" t="str">
        <f aca="false">IF($B19="","",$F19*$H19)</f>
        <v/>
      </c>
      <c r="J19" s="20"/>
      <c r="K19" s="19" t="str">
        <f aca="false">IF($B19="","",$I19-$J19)</f>
        <v/>
      </c>
      <c r="L19" s="20"/>
      <c r="M19" s="20"/>
      <c r="N19" s="20"/>
      <c r="O19" s="20"/>
      <c r="P19" s="20"/>
      <c r="Q19" s="19" t="str">
        <f aca="false">IF($B19="","",IF(COUNTIFS(tblFaturalar[Fatura Numarası],$B19,tblFaturalar[Müşteri Kodu],$C19)&gt;1,"MÜKERRER","UYGUN"))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19" t="str">
        <f aca="false">IF($B20="","",$F20*$H20)</f>
        <v/>
      </c>
      <c r="J20" s="20"/>
      <c r="K20" s="19" t="str">
        <f aca="false">IF($B20="","",$I20-$J20)</f>
        <v/>
      </c>
      <c r="L20" s="20"/>
      <c r="M20" s="20"/>
      <c r="N20" s="20"/>
      <c r="O20" s="20"/>
      <c r="P20" s="20"/>
      <c r="Q20" s="19" t="str">
        <f aca="false">IF($B20="","",IF(COUNTIFS(tblFaturalar[Fatura Numarası],$B20,tblFaturalar[Müşteri Kodu],$C20)&gt;1,"MÜKERRER","UYGUN"))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19" t="str">
        <f aca="false">IF($B21="","",$F21*$H21)</f>
        <v/>
      </c>
      <c r="J21" s="20"/>
      <c r="K21" s="19" t="str">
        <f aca="false">IF($B21="","",$I21-$J21)</f>
        <v/>
      </c>
      <c r="L21" s="20"/>
      <c r="M21" s="20"/>
      <c r="N21" s="20"/>
      <c r="O21" s="20"/>
      <c r="P21" s="20"/>
      <c r="Q21" s="19" t="str">
        <f aca="false">IF($B21="","",IF(COUNTIFS(tblFaturalar[Fatura Numarası],$B21,tblFaturalar[Müşteri Kodu],$C21)&gt;1,"MÜKERRER","UYGUN"))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19" t="str">
        <f aca="false">IF($B22="","",$F22*$H22)</f>
        <v/>
      </c>
      <c r="J22" s="20"/>
      <c r="K22" s="19" t="str">
        <f aca="false">IF($B22="","",$I22-$J22)</f>
        <v/>
      </c>
      <c r="L22" s="20"/>
      <c r="M22" s="20"/>
      <c r="N22" s="20"/>
      <c r="O22" s="20"/>
      <c r="P22" s="20"/>
      <c r="Q22" s="19" t="str">
        <f aca="false">IF($B22="","",IF(COUNTIFS(tblFaturalar[Fatura Numarası],$B22,tblFaturalar[Müşteri Kodu],$C22)&gt;1,"MÜKERRER","UYGUN"))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19" t="str">
        <f aca="false">IF($B23="","",$F23*$H23)</f>
        <v/>
      </c>
      <c r="J23" s="20"/>
      <c r="K23" s="19" t="str">
        <f aca="false">IF($B23="","",$I23-$J23)</f>
        <v/>
      </c>
      <c r="L23" s="20"/>
      <c r="M23" s="20"/>
      <c r="N23" s="20"/>
      <c r="O23" s="20"/>
      <c r="P23" s="20"/>
      <c r="Q23" s="19" t="str">
        <f aca="false">IF($B23="","",IF(COUNTIFS(tblFaturalar[Fatura Numarası],$B23,tblFaturalar[Müşteri Kodu],$C23)&gt;1,"MÜKERRER","UYGUN"))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19" t="str">
        <f aca="false">IF($B24="","",$F24*$H24)</f>
        <v/>
      </c>
      <c r="J24" s="20"/>
      <c r="K24" s="19" t="str">
        <f aca="false">IF($B24="","",$I24-$J24)</f>
        <v/>
      </c>
      <c r="L24" s="20"/>
      <c r="M24" s="20"/>
      <c r="N24" s="20"/>
      <c r="O24" s="20"/>
      <c r="P24" s="20"/>
      <c r="Q24" s="19" t="str">
        <f aca="false">IF($B24="","",IF(COUNTIFS(tblFaturalar[Fatura Numarası],$B24,tblFaturalar[Müşteri Kodu],$C24)&gt;1,"MÜKERRER","UYGUN"))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19" t="str">
        <f aca="false">IF($B25="","",$F25*$H25)</f>
        <v/>
      </c>
      <c r="J25" s="20"/>
      <c r="K25" s="19" t="str">
        <f aca="false">IF($B25="","",$I25-$J25)</f>
        <v/>
      </c>
      <c r="L25" s="20"/>
      <c r="M25" s="20"/>
      <c r="N25" s="20"/>
      <c r="O25" s="20"/>
      <c r="P25" s="20"/>
      <c r="Q25" s="19" t="str">
        <f aca="false">IF($B25="","",IF(COUNTIFS(tblFaturalar[Fatura Numarası],$B25,tblFaturalar[Müşteri Kodu],$C25)&gt;1,"MÜKERRER","UYGUN"))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19" t="str">
        <f aca="false">IF($B26="","",$F26*$H26)</f>
        <v/>
      </c>
      <c r="J26" s="20"/>
      <c r="K26" s="19" t="str">
        <f aca="false">IF($B26="","",$I26-$J26)</f>
        <v/>
      </c>
      <c r="L26" s="20"/>
      <c r="M26" s="20"/>
      <c r="N26" s="20"/>
      <c r="O26" s="20"/>
      <c r="P26" s="20"/>
      <c r="Q26" s="19" t="str">
        <f aca="false">IF($B26="","",IF(COUNTIFS(tblFaturalar[Fatura Numarası],$B26,tblFaturalar[Müşteri Kodu],$C26)&gt;1,"MÜKERRER","UYGUN"))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19" t="str">
        <f aca="false">IF($B27="","",$F27*$H27)</f>
        <v/>
      </c>
      <c r="J27" s="20"/>
      <c r="K27" s="19" t="str">
        <f aca="false">IF($B27="","",$I27-$J27)</f>
        <v/>
      </c>
      <c r="L27" s="20"/>
      <c r="M27" s="20"/>
      <c r="N27" s="20"/>
      <c r="O27" s="20"/>
      <c r="P27" s="20"/>
      <c r="Q27" s="19" t="str">
        <f aca="false">IF($B27="","",IF(COUNTIFS(tblFaturalar[Fatura Numarası],$B27,tblFaturalar[Müşteri Kodu],$C27)&gt;1,"MÜKERRER","UYGUN"))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19" t="str">
        <f aca="false">IF($B28="","",$F28*$H28)</f>
        <v/>
      </c>
      <c r="J28" s="20"/>
      <c r="K28" s="19" t="str">
        <f aca="false">IF($B28="","",$I28-$J28)</f>
        <v/>
      </c>
      <c r="L28" s="20"/>
      <c r="M28" s="20"/>
      <c r="N28" s="20"/>
      <c r="O28" s="20"/>
      <c r="P28" s="20"/>
      <c r="Q28" s="19" t="str">
        <f aca="false">IF($B28="","",IF(COUNTIFS(tblFaturalar[Fatura Numarası],$B28,tblFaturalar[Müşteri Kodu],$C28)&gt;1,"MÜKERRER","UYGUN"))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19" t="str">
        <f aca="false">IF($B29="","",$F29*$H29)</f>
        <v/>
      </c>
      <c r="J29" s="20"/>
      <c r="K29" s="19" t="str">
        <f aca="false">IF($B29="","",$I29-$J29)</f>
        <v/>
      </c>
      <c r="L29" s="20"/>
      <c r="M29" s="20"/>
      <c r="N29" s="20"/>
      <c r="O29" s="20"/>
      <c r="P29" s="20"/>
      <c r="Q29" s="19" t="str">
        <f aca="false">IF($B29="","",IF(COUNTIFS(tblFaturalar[Fatura Numarası],$B29,tblFaturalar[Müşteri Kodu],$C29)&gt;1,"MÜKERRER","UYGUN"))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19" t="str">
        <f aca="false">IF($B30="","",$F30*$H30)</f>
        <v/>
      </c>
      <c r="J30" s="20"/>
      <c r="K30" s="19" t="str">
        <f aca="false">IF($B30="","",$I30-$J30)</f>
        <v/>
      </c>
      <c r="L30" s="20"/>
      <c r="M30" s="20"/>
      <c r="N30" s="20"/>
      <c r="O30" s="20"/>
      <c r="P30" s="20"/>
      <c r="Q30" s="19" t="str">
        <f aca="false">IF($B30="","",IF(COUNTIFS(tblFaturalar[Fatura Numarası],$B30,tblFaturalar[Müşteri Kodu],$C30)&gt;1,"MÜKERRER","UYGUN"))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19" t="str">
        <f aca="false">IF($B31="","",$F31*$H31)</f>
        <v/>
      </c>
      <c r="J31" s="20"/>
      <c r="K31" s="19" t="str">
        <f aca="false">IF($B31="","",$I31-$J31)</f>
        <v/>
      </c>
      <c r="L31" s="20"/>
      <c r="M31" s="20"/>
      <c r="N31" s="20"/>
      <c r="O31" s="20"/>
      <c r="P31" s="20"/>
      <c r="Q31" s="19" t="str">
        <f aca="false">IF($B31="","",IF(COUNTIFS(tblFaturalar[Fatura Numarası],$B31,tblFaturalar[Müşteri Kodu],$C31)&gt;1,"MÜKERRER","UYGUN"))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19" t="str">
        <f aca="false">IF($B32="","",$F32*$H32)</f>
        <v/>
      </c>
      <c r="J32" s="20"/>
      <c r="K32" s="19" t="str">
        <f aca="false">IF($B32="","",$I32-$J32)</f>
        <v/>
      </c>
      <c r="L32" s="20"/>
      <c r="M32" s="20"/>
      <c r="N32" s="20"/>
      <c r="O32" s="20"/>
      <c r="P32" s="20"/>
      <c r="Q32" s="19" t="str">
        <f aca="false">IF($B32="","",IF(COUNTIFS(tblFaturalar[Fatura Numarası],$B32,tblFaturalar[Müşteri Kodu],$C32)&gt;1,"MÜKERRER","UYGUN"))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19" t="str">
        <f aca="false">IF($B33="","",$F33*$H33)</f>
        <v/>
      </c>
      <c r="J33" s="20"/>
      <c r="K33" s="19" t="str">
        <f aca="false">IF($B33="","",$I33-$J33)</f>
        <v/>
      </c>
      <c r="L33" s="20"/>
      <c r="M33" s="20"/>
      <c r="N33" s="20"/>
      <c r="O33" s="20"/>
      <c r="P33" s="20"/>
      <c r="Q33" s="19" t="str">
        <f aca="false">IF($B33="","",IF(COUNTIFS(tblFaturalar[Fatura Numarası],$B33,tblFaturalar[Müşteri Kodu],$C33)&gt;1,"MÜKERRER","UYGUN"))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19" t="str">
        <f aca="false">IF($B34="","",$F34*$H34)</f>
        <v/>
      </c>
      <c r="J34" s="20"/>
      <c r="K34" s="19" t="str">
        <f aca="false">IF($B34="","",$I34-$J34)</f>
        <v/>
      </c>
      <c r="L34" s="20"/>
      <c r="M34" s="20"/>
      <c r="N34" s="20"/>
      <c r="O34" s="20"/>
      <c r="P34" s="20"/>
      <c r="Q34" s="19" t="str">
        <f aca="false">IF($B34="","",IF(COUNTIFS(tblFaturalar[Fatura Numarası],$B34,tblFaturalar[Müşteri Kodu],$C34)&gt;1,"MÜKERRER","UYGUN"))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19" t="str">
        <f aca="false">IF($B35="","",$F35*$H35)</f>
        <v/>
      </c>
      <c r="J35" s="20"/>
      <c r="K35" s="19" t="str">
        <f aca="false">IF($B35="","",$I35-$J35)</f>
        <v/>
      </c>
      <c r="L35" s="20"/>
      <c r="M35" s="20"/>
      <c r="N35" s="20"/>
      <c r="O35" s="20"/>
      <c r="P35" s="20"/>
      <c r="Q35" s="19" t="str">
        <f aca="false">IF($B35="","",IF(COUNTIFS(tblFaturalar[Fatura Numarası],$B35,tblFaturalar[Müşteri Kodu],$C35)&gt;1,"MÜKERRER","UYGUN"))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19" t="str">
        <f aca="false">IF($B36="","",$F36*$H36)</f>
        <v/>
      </c>
      <c r="J36" s="20"/>
      <c r="K36" s="19" t="str">
        <f aca="false">IF($B36="","",$I36-$J36)</f>
        <v/>
      </c>
      <c r="L36" s="20"/>
      <c r="M36" s="20"/>
      <c r="N36" s="20"/>
      <c r="O36" s="20"/>
      <c r="P36" s="20"/>
      <c r="Q36" s="19" t="str">
        <f aca="false">IF($B36="","",IF(COUNTIFS(tblFaturalar[Fatura Numarası],$B36,tblFaturalar[Müşteri Kodu],$C36)&gt;1,"MÜKERRER","UYGUN"))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19" t="str">
        <f aca="false">IF($B37="","",$F37*$H37)</f>
        <v/>
      </c>
      <c r="J37" s="20"/>
      <c r="K37" s="19" t="str">
        <f aca="false">IF($B37="","",$I37-$J37)</f>
        <v/>
      </c>
      <c r="L37" s="20"/>
      <c r="M37" s="20"/>
      <c r="N37" s="20"/>
      <c r="O37" s="20"/>
      <c r="P37" s="20"/>
      <c r="Q37" s="19" t="str">
        <f aca="false">IF($B37="","",IF(COUNTIFS(tblFaturalar[Fatura Numarası],$B37,tblFaturalar[Müşteri Kodu],$C37)&gt;1,"MÜKERRER","UYGUN"))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19" t="str">
        <f aca="false">IF($B38="","",$F38*$H38)</f>
        <v/>
      </c>
      <c r="J38" s="20"/>
      <c r="K38" s="19" t="str">
        <f aca="false">IF($B38="","",$I38-$J38)</f>
        <v/>
      </c>
      <c r="L38" s="20"/>
      <c r="M38" s="20"/>
      <c r="N38" s="20"/>
      <c r="O38" s="20"/>
      <c r="P38" s="20"/>
      <c r="Q38" s="19" t="str">
        <f aca="false">IF($B38="","",IF(COUNTIFS(tblFaturalar[Fatura Numarası],$B38,tblFaturalar[Müşteri Kodu],$C38)&gt;1,"MÜKERRER","UYGUN"))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19" t="str">
        <f aca="false">IF($B39="","",$F39*$H39)</f>
        <v/>
      </c>
      <c r="J39" s="20"/>
      <c r="K39" s="19" t="str">
        <f aca="false">IF($B39="","",$I39-$J39)</f>
        <v/>
      </c>
      <c r="L39" s="20"/>
      <c r="M39" s="20"/>
      <c r="N39" s="20"/>
      <c r="O39" s="20"/>
      <c r="P39" s="20"/>
      <c r="Q39" s="19" t="str">
        <f aca="false">IF($B39="","",IF(COUNTIFS(tblFaturalar[Fatura Numarası],$B39,tblFaturalar[Müşteri Kodu],$C39)&gt;1,"MÜKERRER","UYGUN"))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19" t="str">
        <f aca="false">IF($B40="","",$F40*$H40)</f>
        <v/>
      </c>
      <c r="J40" s="20"/>
      <c r="K40" s="19" t="str">
        <f aca="false">IF($B40="","",$I40-$J40)</f>
        <v/>
      </c>
      <c r="L40" s="20"/>
      <c r="M40" s="20"/>
      <c r="N40" s="20"/>
      <c r="O40" s="20"/>
      <c r="P40" s="20"/>
      <c r="Q40" s="19" t="str">
        <f aca="false">IF($B40="","",IF(COUNTIFS(tblFaturalar[Fatura Numarası],$B40,tblFaturalar[Müşteri Kodu],$C40)&gt;1,"MÜKERRER","UYGUN"))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19" t="str">
        <f aca="false">IF($B41="","",$F41*$H41)</f>
        <v/>
      </c>
      <c r="J41" s="20"/>
      <c r="K41" s="19" t="str">
        <f aca="false">IF($B41="","",$I41-$J41)</f>
        <v/>
      </c>
      <c r="L41" s="20"/>
      <c r="M41" s="20"/>
      <c r="N41" s="20"/>
      <c r="O41" s="20"/>
      <c r="P41" s="20"/>
      <c r="Q41" s="19" t="str">
        <f aca="false">IF($B41="","",IF(COUNTIFS(tblFaturalar[Fatura Numarası],$B41,tblFaturalar[Müşteri Kodu],$C41)&gt;1,"MÜKERRER","UYGUN"))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19" t="str">
        <f aca="false">IF($B42="","",$F42*$H42)</f>
        <v/>
      </c>
      <c r="J42" s="20"/>
      <c r="K42" s="19" t="str">
        <f aca="false">IF($B42="","",$I42-$J42)</f>
        <v/>
      </c>
      <c r="L42" s="20"/>
      <c r="M42" s="20"/>
      <c r="N42" s="20"/>
      <c r="O42" s="20"/>
      <c r="P42" s="20"/>
      <c r="Q42" s="19" t="str">
        <f aca="false">IF($B42="","",IF(COUNTIFS(tblFaturalar[Fatura Numarası],$B42,tblFaturalar[Müşteri Kodu],$C42)&gt;1,"MÜKERRER","UYGUN"))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19" t="str">
        <f aca="false">IF($B43="","",$F43*$H43)</f>
        <v/>
      </c>
      <c r="J43" s="20"/>
      <c r="K43" s="19" t="str">
        <f aca="false">IF($B43="","",$I43-$J43)</f>
        <v/>
      </c>
      <c r="L43" s="20"/>
      <c r="M43" s="20"/>
      <c r="N43" s="20"/>
      <c r="O43" s="20"/>
      <c r="P43" s="20"/>
      <c r="Q43" s="19" t="str">
        <f aca="false">IF($B43="","",IF(COUNTIFS(tblFaturalar[Fatura Numarası],$B43,tblFaturalar[Müşteri Kodu],$C43)&gt;1,"MÜKERRER","UYGUN"))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19" t="str">
        <f aca="false">IF($B44="","",$F44*$H44)</f>
        <v/>
      </c>
      <c r="J44" s="20"/>
      <c r="K44" s="19" t="str">
        <f aca="false">IF($B44="","",$I44-$J44)</f>
        <v/>
      </c>
      <c r="L44" s="20"/>
      <c r="M44" s="20"/>
      <c r="N44" s="20"/>
      <c r="O44" s="20"/>
      <c r="P44" s="20"/>
      <c r="Q44" s="19" t="str">
        <f aca="false">IF($B44="","",IF(COUNTIFS(tblFaturalar[Fatura Numarası],$B44,tblFaturalar[Müşteri Kodu],$C44)&gt;1,"MÜKERRER","UYGUN"))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19" t="str">
        <f aca="false">IF($B45="","",$F45*$H45)</f>
        <v/>
      </c>
      <c r="J45" s="20"/>
      <c r="K45" s="19" t="str">
        <f aca="false">IF($B45="","",$I45-$J45)</f>
        <v/>
      </c>
      <c r="L45" s="20"/>
      <c r="M45" s="20"/>
      <c r="N45" s="20"/>
      <c r="O45" s="20"/>
      <c r="P45" s="20"/>
      <c r="Q45" s="19" t="str">
        <f aca="false">IF($B45="","",IF(COUNTIFS(tblFaturalar[Fatura Numarası],$B45,tblFaturalar[Müşteri Kodu],$C45)&gt;1,"MÜKERRER","UYGUN"))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J46" s="20"/>
      <c r="L46" s="20"/>
      <c r="M46" s="20"/>
      <c r="N46" s="20"/>
      <c r="O46" s="20"/>
      <c r="P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J47" s="20"/>
      <c r="L47" s="20"/>
      <c r="M47" s="20"/>
      <c r="N47" s="20"/>
      <c r="O47" s="20"/>
      <c r="P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J48" s="20"/>
      <c r="L48" s="20"/>
      <c r="M48" s="20"/>
      <c r="N48" s="20"/>
      <c r="O48" s="20"/>
      <c r="P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J49" s="20"/>
      <c r="L49" s="20"/>
      <c r="M49" s="20"/>
      <c r="N49" s="20"/>
      <c r="O49" s="20"/>
      <c r="P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J50" s="20"/>
      <c r="L50" s="20"/>
      <c r="M50" s="20"/>
      <c r="N50" s="20"/>
      <c r="O50" s="20"/>
      <c r="P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J51" s="20"/>
      <c r="L51" s="20"/>
      <c r="M51" s="20"/>
      <c r="N51" s="20"/>
      <c r="O51" s="20"/>
      <c r="P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J52" s="20"/>
      <c r="L52" s="20"/>
      <c r="M52" s="20"/>
      <c r="N52" s="20"/>
      <c r="O52" s="20"/>
      <c r="P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J53" s="20"/>
      <c r="L53" s="20"/>
      <c r="M53" s="20"/>
      <c r="N53" s="20"/>
      <c r="O53" s="20"/>
      <c r="P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J54" s="20"/>
      <c r="L54" s="20"/>
      <c r="M54" s="20"/>
      <c r="N54" s="20"/>
      <c r="O54" s="20"/>
      <c r="P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J55" s="20"/>
      <c r="L55" s="20"/>
      <c r="M55" s="20"/>
      <c r="N55" s="20"/>
      <c r="O55" s="20"/>
      <c r="P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J56" s="20"/>
      <c r="L56" s="20"/>
      <c r="M56" s="20"/>
      <c r="N56" s="20"/>
      <c r="O56" s="20"/>
      <c r="P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J57" s="20"/>
      <c r="L57" s="20"/>
      <c r="M57" s="20"/>
      <c r="N57" s="20"/>
      <c r="O57" s="20"/>
      <c r="P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J58" s="20"/>
      <c r="L58" s="20"/>
      <c r="M58" s="20"/>
      <c r="N58" s="20"/>
      <c r="O58" s="20"/>
      <c r="P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J59" s="20"/>
      <c r="L59" s="20"/>
      <c r="M59" s="20"/>
      <c r="N59" s="20"/>
      <c r="O59" s="20"/>
      <c r="P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J60" s="20"/>
      <c r="L60" s="20"/>
      <c r="M60" s="20"/>
      <c r="N60" s="20"/>
      <c r="O60" s="20"/>
      <c r="P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J61" s="20"/>
      <c r="L61" s="20"/>
      <c r="M61" s="20"/>
      <c r="N61" s="20"/>
      <c r="O61" s="20"/>
      <c r="P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J62" s="20"/>
      <c r="L62" s="20"/>
      <c r="M62" s="20"/>
      <c r="N62" s="20"/>
      <c r="O62" s="20"/>
      <c r="P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J63" s="20"/>
      <c r="L63" s="20"/>
      <c r="M63" s="20"/>
      <c r="N63" s="20"/>
      <c r="O63" s="20"/>
      <c r="P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J64" s="20"/>
      <c r="L64" s="20"/>
      <c r="M64" s="20"/>
      <c r="N64" s="20"/>
      <c r="O64" s="20"/>
      <c r="P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J65" s="20"/>
      <c r="L65" s="20"/>
      <c r="M65" s="20"/>
      <c r="N65" s="20"/>
      <c r="O65" s="20"/>
      <c r="P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J66" s="20"/>
      <c r="L66" s="20"/>
      <c r="M66" s="20"/>
      <c r="N66" s="20"/>
      <c r="O66" s="20"/>
      <c r="P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J67" s="20"/>
      <c r="L67" s="20"/>
      <c r="M67" s="20"/>
      <c r="N67" s="20"/>
      <c r="O67" s="20"/>
      <c r="P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J68" s="20"/>
      <c r="L68" s="20"/>
      <c r="M68" s="20"/>
      <c r="N68" s="20"/>
      <c r="O68" s="20"/>
      <c r="P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J69" s="20"/>
      <c r="L69" s="20"/>
      <c r="M69" s="20"/>
      <c r="N69" s="20"/>
      <c r="O69" s="20"/>
      <c r="P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J70" s="20"/>
      <c r="L70" s="20"/>
      <c r="M70" s="20"/>
      <c r="N70" s="20"/>
      <c r="O70" s="20"/>
      <c r="P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J71" s="20"/>
      <c r="L71" s="20"/>
      <c r="M71" s="20"/>
      <c r="N71" s="20"/>
      <c r="O71" s="20"/>
      <c r="P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J72" s="20"/>
      <c r="L72" s="20"/>
      <c r="M72" s="20"/>
      <c r="N72" s="20"/>
      <c r="O72" s="20"/>
      <c r="P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J73" s="20"/>
      <c r="L73" s="20"/>
      <c r="M73" s="20"/>
      <c r="N73" s="20"/>
      <c r="O73" s="20"/>
      <c r="P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J74" s="20"/>
      <c r="L74" s="20"/>
      <c r="M74" s="20"/>
      <c r="N74" s="20"/>
      <c r="O74" s="20"/>
      <c r="P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J75" s="20"/>
      <c r="L75" s="20"/>
      <c r="M75" s="20"/>
      <c r="N75" s="20"/>
      <c r="O75" s="20"/>
      <c r="P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J76" s="20"/>
      <c r="L76" s="20"/>
      <c r="M76" s="20"/>
      <c r="N76" s="20"/>
      <c r="O76" s="20"/>
      <c r="P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J77" s="20"/>
      <c r="L77" s="20"/>
      <c r="M77" s="20"/>
      <c r="N77" s="20"/>
      <c r="O77" s="20"/>
      <c r="P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J78" s="20"/>
      <c r="L78" s="20"/>
      <c r="M78" s="20"/>
      <c r="N78" s="20"/>
      <c r="O78" s="20"/>
      <c r="P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J79" s="20"/>
      <c r="L79" s="20"/>
      <c r="M79" s="20"/>
      <c r="N79" s="20"/>
      <c r="O79" s="20"/>
      <c r="P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J80" s="20"/>
      <c r="L80" s="20"/>
      <c r="M80" s="20"/>
      <c r="N80" s="20"/>
      <c r="O80" s="20"/>
      <c r="P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J81" s="20"/>
      <c r="L81" s="20"/>
      <c r="M81" s="20"/>
      <c r="N81" s="20"/>
      <c r="O81" s="20"/>
      <c r="P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J82" s="20"/>
      <c r="L82" s="20"/>
      <c r="M82" s="20"/>
      <c r="N82" s="20"/>
      <c r="O82" s="20"/>
      <c r="P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J83" s="20"/>
      <c r="L83" s="20"/>
      <c r="M83" s="20"/>
      <c r="N83" s="20"/>
      <c r="O83" s="20"/>
      <c r="P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J84" s="20"/>
      <c r="L84" s="20"/>
      <c r="M84" s="20"/>
      <c r="N84" s="20"/>
      <c r="O84" s="20"/>
      <c r="P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J85" s="20"/>
      <c r="L85" s="20"/>
      <c r="M85" s="20"/>
      <c r="N85" s="20"/>
      <c r="O85" s="20"/>
      <c r="P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J86" s="20"/>
      <c r="L86" s="20"/>
      <c r="M86" s="20"/>
      <c r="N86" s="20"/>
      <c r="O86" s="20"/>
      <c r="P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J87" s="20"/>
      <c r="L87" s="20"/>
      <c r="M87" s="20"/>
      <c r="N87" s="20"/>
      <c r="O87" s="20"/>
      <c r="P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J88" s="20"/>
      <c r="L88" s="20"/>
      <c r="M88" s="20"/>
      <c r="N88" s="20"/>
      <c r="O88" s="20"/>
      <c r="P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J89" s="20"/>
      <c r="L89" s="20"/>
      <c r="M89" s="20"/>
      <c r="N89" s="20"/>
      <c r="O89" s="20"/>
      <c r="P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J90" s="20"/>
      <c r="L90" s="20"/>
      <c r="M90" s="20"/>
      <c r="N90" s="20"/>
      <c r="O90" s="20"/>
      <c r="P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J91" s="20"/>
      <c r="L91" s="20"/>
      <c r="M91" s="20"/>
      <c r="N91" s="20"/>
      <c r="O91" s="20"/>
      <c r="P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J92" s="20"/>
      <c r="L92" s="20"/>
      <c r="M92" s="20"/>
      <c r="N92" s="20"/>
      <c r="O92" s="20"/>
      <c r="P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J93" s="20"/>
      <c r="L93" s="20"/>
      <c r="M93" s="20"/>
      <c r="N93" s="20"/>
      <c r="O93" s="20"/>
      <c r="P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J94" s="20"/>
      <c r="L94" s="20"/>
      <c r="M94" s="20"/>
      <c r="N94" s="20"/>
      <c r="O94" s="20"/>
      <c r="P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J95" s="20"/>
      <c r="L95" s="20"/>
      <c r="M95" s="20"/>
      <c r="N95" s="20"/>
      <c r="O95" s="20"/>
      <c r="P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J96" s="20"/>
      <c r="L96" s="20"/>
      <c r="M96" s="20"/>
      <c r="N96" s="20"/>
      <c r="O96" s="20"/>
      <c r="P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J97" s="20"/>
      <c r="L97" s="20"/>
      <c r="M97" s="20"/>
      <c r="N97" s="20"/>
      <c r="O97" s="20"/>
      <c r="P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J98" s="20"/>
      <c r="L98" s="20"/>
      <c r="M98" s="20"/>
      <c r="N98" s="20"/>
      <c r="O98" s="20"/>
      <c r="P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J99" s="20"/>
      <c r="L99" s="20"/>
      <c r="M99" s="20"/>
      <c r="N99" s="20"/>
      <c r="O99" s="20"/>
      <c r="P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J100" s="20"/>
      <c r="L100" s="20"/>
      <c r="M100" s="20"/>
      <c r="N100" s="20"/>
      <c r="O100" s="20"/>
      <c r="P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J101" s="20"/>
      <c r="L101" s="20"/>
      <c r="M101" s="20"/>
      <c r="N101" s="20"/>
      <c r="O101" s="20"/>
      <c r="P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J102" s="20"/>
      <c r="L102" s="20"/>
      <c r="M102" s="20"/>
      <c r="N102" s="20"/>
      <c r="O102" s="20"/>
      <c r="P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J103" s="20"/>
      <c r="L103" s="20"/>
      <c r="M103" s="20"/>
      <c r="N103" s="20"/>
      <c r="O103" s="20"/>
      <c r="P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J104" s="20"/>
      <c r="L104" s="20"/>
      <c r="M104" s="20"/>
      <c r="N104" s="20"/>
      <c r="O104" s="20"/>
      <c r="P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J105" s="20"/>
      <c r="L105" s="20"/>
      <c r="M105" s="20"/>
      <c r="N105" s="20"/>
      <c r="O105" s="20"/>
      <c r="P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J106" s="20"/>
      <c r="L106" s="20"/>
      <c r="M106" s="20"/>
      <c r="N106" s="20"/>
      <c r="O106" s="20"/>
      <c r="P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J107" s="20"/>
      <c r="L107" s="20"/>
      <c r="M107" s="20"/>
      <c r="N107" s="20"/>
      <c r="O107" s="20"/>
      <c r="P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J108" s="20"/>
      <c r="L108" s="20"/>
      <c r="M108" s="20"/>
      <c r="N108" s="20"/>
      <c r="O108" s="20"/>
      <c r="P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J109" s="20"/>
      <c r="L109" s="20"/>
      <c r="M109" s="20"/>
      <c r="N109" s="20"/>
      <c r="O109" s="20"/>
      <c r="P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J110" s="20"/>
      <c r="L110" s="20"/>
      <c r="M110" s="20"/>
      <c r="N110" s="20"/>
      <c r="O110" s="20"/>
      <c r="P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J111" s="20"/>
      <c r="L111" s="20"/>
      <c r="M111" s="20"/>
      <c r="N111" s="20"/>
      <c r="O111" s="20"/>
      <c r="P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J112" s="20"/>
      <c r="L112" s="20"/>
      <c r="M112" s="20"/>
      <c r="N112" s="20"/>
      <c r="O112" s="20"/>
      <c r="P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J113" s="20"/>
      <c r="L113" s="20"/>
      <c r="M113" s="20"/>
      <c r="N113" s="20"/>
      <c r="O113" s="20"/>
      <c r="P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J114" s="20"/>
      <c r="L114" s="20"/>
      <c r="M114" s="20"/>
      <c r="N114" s="20"/>
      <c r="O114" s="20"/>
      <c r="P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J115" s="20"/>
      <c r="L115" s="20"/>
      <c r="M115" s="20"/>
      <c r="N115" s="20"/>
      <c r="O115" s="20"/>
      <c r="P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J116" s="20"/>
      <c r="L116" s="20"/>
      <c r="M116" s="20"/>
      <c r="N116" s="20"/>
      <c r="O116" s="20"/>
      <c r="P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J117" s="20"/>
      <c r="L117" s="20"/>
      <c r="M117" s="20"/>
      <c r="N117" s="20"/>
      <c r="O117" s="20"/>
      <c r="P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J118" s="20"/>
      <c r="L118" s="20"/>
      <c r="M118" s="20"/>
      <c r="N118" s="20"/>
      <c r="O118" s="20"/>
      <c r="P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J119" s="20"/>
      <c r="L119" s="20"/>
      <c r="M119" s="20"/>
      <c r="N119" s="20"/>
      <c r="O119" s="20"/>
      <c r="P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J120" s="20"/>
      <c r="L120" s="20"/>
      <c r="M120" s="20"/>
      <c r="N120" s="20"/>
      <c r="O120" s="20"/>
      <c r="P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J121" s="20"/>
      <c r="L121" s="20"/>
      <c r="M121" s="20"/>
      <c r="N121" s="20"/>
      <c r="O121" s="20"/>
      <c r="P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J122" s="20"/>
      <c r="L122" s="20"/>
      <c r="M122" s="20"/>
      <c r="N122" s="20"/>
      <c r="O122" s="20"/>
      <c r="P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J123" s="20"/>
      <c r="L123" s="20"/>
      <c r="M123" s="20"/>
      <c r="N123" s="20"/>
      <c r="O123" s="20"/>
      <c r="P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J124" s="20"/>
      <c r="L124" s="20"/>
      <c r="M124" s="20"/>
      <c r="N124" s="20"/>
      <c r="O124" s="20"/>
      <c r="P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J125" s="20"/>
      <c r="L125" s="20"/>
      <c r="M125" s="20"/>
      <c r="N125" s="20"/>
      <c r="O125" s="20"/>
      <c r="P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J126" s="20"/>
      <c r="L126" s="20"/>
      <c r="M126" s="20"/>
      <c r="N126" s="20"/>
      <c r="O126" s="20"/>
      <c r="P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J127" s="20"/>
      <c r="L127" s="20"/>
      <c r="M127" s="20"/>
      <c r="N127" s="20"/>
      <c r="O127" s="20"/>
      <c r="P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J128" s="20"/>
      <c r="L128" s="20"/>
      <c r="M128" s="20"/>
      <c r="N128" s="20"/>
      <c r="O128" s="20"/>
      <c r="P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J129" s="20"/>
      <c r="L129" s="20"/>
      <c r="M129" s="20"/>
      <c r="N129" s="20"/>
      <c r="O129" s="20"/>
      <c r="P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J130" s="20"/>
      <c r="L130" s="20"/>
      <c r="M130" s="20"/>
      <c r="N130" s="20"/>
      <c r="O130" s="20"/>
      <c r="P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J131" s="20"/>
      <c r="L131" s="20"/>
      <c r="M131" s="20"/>
      <c r="N131" s="20"/>
      <c r="O131" s="20"/>
      <c r="P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J132" s="20"/>
      <c r="L132" s="20"/>
      <c r="M132" s="20"/>
      <c r="N132" s="20"/>
      <c r="O132" s="20"/>
      <c r="P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J133" s="20"/>
      <c r="L133" s="20"/>
      <c r="M133" s="20"/>
      <c r="N133" s="20"/>
      <c r="O133" s="20"/>
      <c r="P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J134" s="20"/>
      <c r="L134" s="20"/>
      <c r="M134" s="20"/>
      <c r="N134" s="20"/>
      <c r="O134" s="20"/>
      <c r="P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J135" s="20"/>
      <c r="L135" s="20"/>
      <c r="M135" s="20"/>
      <c r="N135" s="20"/>
      <c r="O135" s="20"/>
      <c r="P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J136" s="20"/>
      <c r="L136" s="20"/>
      <c r="M136" s="20"/>
      <c r="N136" s="20"/>
      <c r="O136" s="20"/>
      <c r="P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J137" s="20"/>
      <c r="L137" s="20"/>
      <c r="M137" s="20"/>
      <c r="N137" s="20"/>
      <c r="O137" s="20"/>
      <c r="P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J138" s="20"/>
      <c r="L138" s="20"/>
      <c r="M138" s="20"/>
      <c r="N138" s="20"/>
      <c r="O138" s="20"/>
      <c r="P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J139" s="20"/>
      <c r="L139" s="20"/>
      <c r="M139" s="20"/>
      <c r="N139" s="20"/>
      <c r="O139" s="20"/>
      <c r="P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J140" s="20"/>
      <c r="L140" s="20"/>
      <c r="M140" s="20"/>
      <c r="N140" s="20"/>
      <c r="O140" s="20"/>
      <c r="P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J141" s="20"/>
      <c r="L141" s="20"/>
      <c r="M141" s="20"/>
      <c r="N141" s="20"/>
      <c r="O141" s="20"/>
      <c r="P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J142" s="20"/>
      <c r="L142" s="20"/>
      <c r="M142" s="20"/>
      <c r="N142" s="20"/>
      <c r="O142" s="20"/>
      <c r="P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J143" s="20"/>
      <c r="L143" s="20"/>
      <c r="M143" s="20"/>
      <c r="N143" s="20"/>
      <c r="O143" s="20"/>
      <c r="P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J144" s="20"/>
      <c r="L144" s="20"/>
      <c r="M144" s="20"/>
      <c r="N144" s="20"/>
      <c r="O144" s="20"/>
      <c r="P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J145" s="20"/>
      <c r="L145" s="20"/>
      <c r="M145" s="20"/>
      <c r="N145" s="20"/>
      <c r="O145" s="20"/>
      <c r="P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J146" s="20"/>
      <c r="L146" s="20"/>
      <c r="M146" s="20"/>
      <c r="N146" s="20"/>
      <c r="O146" s="20"/>
      <c r="P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J147" s="20"/>
      <c r="L147" s="20"/>
      <c r="M147" s="20"/>
      <c r="N147" s="20"/>
      <c r="O147" s="20"/>
      <c r="P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J148" s="20"/>
      <c r="L148" s="20"/>
      <c r="M148" s="20"/>
      <c r="N148" s="20"/>
      <c r="O148" s="20"/>
      <c r="P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J149" s="20"/>
      <c r="L149" s="20"/>
      <c r="M149" s="20"/>
      <c r="N149" s="20"/>
      <c r="O149" s="20"/>
      <c r="P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J150" s="20"/>
      <c r="L150" s="20"/>
      <c r="M150" s="20"/>
      <c r="N150" s="20"/>
      <c r="O150" s="20"/>
      <c r="P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J151" s="20"/>
      <c r="L151" s="20"/>
      <c r="M151" s="20"/>
      <c r="N151" s="20"/>
      <c r="O151" s="20"/>
      <c r="P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J152" s="20"/>
      <c r="L152" s="20"/>
      <c r="M152" s="20"/>
      <c r="N152" s="20"/>
      <c r="O152" s="20"/>
      <c r="P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J153" s="20"/>
      <c r="L153" s="20"/>
      <c r="M153" s="20"/>
      <c r="N153" s="20"/>
      <c r="O153" s="20"/>
      <c r="P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J154" s="20"/>
      <c r="L154" s="20"/>
      <c r="M154" s="20"/>
      <c r="N154" s="20"/>
      <c r="O154" s="20"/>
      <c r="P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J155" s="20"/>
      <c r="L155" s="20"/>
      <c r="M155" s="20"/>
      <c r="N155" s="20"/>
      <c r="O155" s="20"/>
      <c r="P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J156" s="20"/>
      <c r="L156" s="20"/>
      <c r="M156" s="20"/>
      <c r="N156" s="20"/>
      <c r="O156" s="20"/>
      <c r="P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J157" s="20"/>
      <c r="L157" s="20"/>
      <c r="M157" s="20"/>
      <c r="N157" s="20"/>
      <c r="O157" s="20"/>
      <c r="P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J158" s="20"/>
      <c r="L158" s="20"/>
      <c r="M158" s="20"/>
      <c r="N158" s="20"/>
      <c r="O158" s="20"/>
      <c r="P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J159" s="20"/>
      <c r="L159" s="20"/>
      <c r="M159" s="20"/>
      <c r="N159" s="20"/>
      <c r="O159" s="20"/>
      <c r="P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J160" s="20"/>
      <c r="L160" s="20"/>
      <c r="M160" s="20"/>
      <c r="N160" s="20"/>
      <c r="O160" s="20"/>
      <c r="P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J161" s="20"/>
      <c r="L161" s="20"/>
      <c r="M161" s="20"/>
      <c r="N161" s="20"/>
      <c r="O161" s="20"/>
      <c r="P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J162" s="20"/>
      <c r="L162" s="20"/>
      <c r="M162" s="20"/>
      <c r="N162" s="20"/>
      <c r="O162" s="20"/>
      <c r="P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J163" s="20"/>
      <c r="L163" s="20"/>
      <c r="M163" s="20"/>
      <c r="N163" s="20"/>
      <c r="O163" s="20"/>
      <c r="P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J164" s="20"/>
      <c r="L164" s="20"/>
      <c r="M164" s="20"/>
      <c r="N164" s="20"/>
      <c r="O164" s="20"/>
      <c r="P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J165" s="20"/>
      <c r="L165" s="20"/>
      <c r="M165" s="20"/>
      <c r="N165" s="20"/>
      <c r="O165" s="20"/>
      <c r="P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J166" s="20"/>
      <c r="L166" s="20"/>
      <c r="M166" s="20"/>
      <c r="N166" s="20"/>
      <c r="O166" s="20"/>
      <c r="P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J167" s="20"/>
      <c r="L167" s="20"/>
      <c r="M167" s="20"/>
      <c r="N167" s="20"/>
      <c r="O167" s="20"/>
      <c r="P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J168" s="20"/>
      <c r="L168" s="20"/>
      <c r="M168" s="20"/>
      <c r="N168" s="20"/>
      <c r="O168" s="20"/>
      <c r="P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J169" s="20"/>
      <c r="L169" s="20"/>
      <c r="M169" s="20"/>
      <c r="N169" s="20"/>
      <c r="O169" s="20"/>
      <c r="P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J170" s="20"/>
      <c r="L170" s="20"/>
      <c r="M170" s="20"/>
      <c r="N170" s="20"/>
      <c r="O170" s="20"/>
      <c r="P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J171" s="20"/>
      <c r="L171" s="20"/>
      <c r="M171" s="20"/>
      <c r="N171" s="20"/>
      <c r="O171" s="20"/>
      <c r="P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J172" s="20"/>
      <c r="L172" s="20"/>
      <c r="M172" s="20"/>
      <c r="N172" s="20"/>
      <c r="O172" s="20"/>
      <c r="P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J173" s="20"/>
      <c r="L173" s="20"/>
      <c r="M173" s="20"/>
      <c r="N173" s="20"/>
      <c r="O173" s="20"/>
      <c r="P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J174" s="20"/>
      <c r="L174" s="20"/>
      <c r="M174" s="20"/>
      <c r="N174" s="20"/>
      <c r="O174" s="20"/>
      <c r="P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J175" s="20"/>
      <c r="L175" s="20"/>
      <c r="M175" s="20"/>
      <c r="N175" s="20"/>
      <c r="O175" s="20"/>
      <c r="P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J176" s="20"/>
      <c r="L176" s="20"/>
      <c r="M176" s="20"/>
      <c r="N176" s="20"/>
      <c r="O176" s="20"/>
      <c r="P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J177" s="20"/>
      <c r="L177" s="20"/>
      <c r="M177" s="20"/>
      <c r="N177" s="20"/>
      <c r="O177" s="20"/>
      <c r="P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J178" s="20"/>
      <c r="L178" s="20"/>
      <c r="M178" s="20"/>
      <c r="N178" s="20"/>
      <c r="O178" s="20"/>
      <c r="P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J179" s="20"/>
      <c r="L179" s="20"/>
      <c r="M179" s="20"/>
      <c r="N179" s="20"/>
      <c r="O179" s="20"/>
      <c r="P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J180" s="20"/>
      <c r="L180" s="20"/>
      <c r="M180" s="20"/>
      <c r="N180" s="20"/>
      <c r="O180" s="20"/>
      <c r="P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J181" s="20"/>
      <c r="L181" s="20"/>
      <c r="M181" s="20"/>
      <c r="N181" s="20"/>
      <c r="O181" s="20"/>
      <c r="P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J182" s="20"/>
      <c r="L182" s="20"/>
      <c r="M182" s="20"/>
      <c r="N182" s="20"/>
      <c r="O182" s="20"/>
      <c r="P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J183" s="20"/>
      <c r="L183" s="20"/>
      <c r="M183" s="20"/>
      <c r="N183" s="20"/>
      <c r="O183" s="20"/>
      <c r="P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J184" s="20"/>
      <c r="L184" s="20"/>
      <c r="M184" s="20"/>
      <c r="N184" s="20"/>
      <c r="O184" s="20"/>
      <c r="P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J185" s="20"/>
      <c r="L185" s="20"/>
      <c r="M185" s="20"/>
      <c r="N185" s="20"/>
      <c r="O185" s="20"/>
      <c r="P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J186" s="20"/>
      <c r="L186" s="20"/>
      <c r="M186" s="20"/>
      <c r="N186" s="20"/>
      <c r="O186" s="20"/>
      <c r="P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J187" s="20"/>
      <c r="L187" s="20"/>
      <c r="M187" s="20"/>
      <c r="N187" s="20"/>
      <c r="O187" s="20"/>
      <c r="P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J188" s="20"/>
      <c r="L188" s="20"/>
      <c r="M188" s="20"/>
      <c r="N188" s="20"/>
      <c r="O188" s="20"/>
      <c r="P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J189" s="20"/>
      <c r="L189" s="20"/>
      <c r="M189" s="20"/>
      <c r="N189" s="20"/>
      <c r="O189" s="20"/>
      <c r="P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J190" s="20"/>
      <c r="L190" s="20"/>
      <c r="M190" s="20"/>
      <c r="N190" s="20"/>
      <c r="O190" s="20"/>
      <c r="P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J191" s="20"/>
      <c r="L191" s="20"/>
      <c r="M191" s="20"/>
      <c r="N191" s="20"/>
      <c r="O191" s="20"/>
      <c r="P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J192" s="20"/>
      <c r="L192" s="20"/>
      <c r="M192" s="20"/>
      <c r="N192" s="20"/>
      <c r="O192" s="20"/>
      <c r="P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J193" s="20"/>
      <c r="L193" s="20"/>
      <c r="M193" s="20"/>
      <c r="N193" s="20"/>
      <c r="O193" s="20"/>
      <c r="P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J194" s="20"/>
      <c r="L194" s="20"/>
      <c r="M194" s="20"/>
      <c r="N194" s="20"/>
      <c r="O194" s="20"/>
      <c r="P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J195" s="20"/>
      <c r="L195" s="20"/>
      <c r="M195" s="20"/>
      <c r="N195" s="20"/>
      <c r="O195" s="20"/>
      <c r="P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J196" s="20"/>
      <c r="L196" s="20"/>
      <c r="M196" s="20"/>
      <c r="N196" s="20"/>
      <c r="O196" s="20"/>
      <c r="P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J197" s="20"/>
      <c r="L197" s="20"/>
      <c r="M197" s="20"/>
      <c r="N197" s="20"/>
      <c r="O197" s="20"/>
      <c r="P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J198" s="20"/>
      <c r="L198" s="20"/>
      <c r="M198" s="20"/>
      <c r="N198" s="20"/>
      <c r="O198" s="20"/>
      <c r="P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J199" s="20"/>
      <c r="L199" s="20"/>
      <c r="M199" s="20"/>
      <c r="N199" s="20"/>
      <c r="O199" s="20"/>
      <c r="P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J200" s="20"/>
      <c r="L200" s="20"/>
      <c r="M200" s="20"/>
      <c r="N200" s="20"/>
      <c r="O200" s="20"/>
      <c r="P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J201" s="20"/>
      <c r="L201" s="20"/>
      <c r="M201" s="20"/>
      <c r="N201" s="20"/>
      <c r="O201" s="20"/>
      <c r="P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J202" s="20"/>
      <c r="L202" s="20"/>
      <c r="M202" s="20"/>
      <c r="N202" s="20"/>
      <c r="O202" s="20"/>
      <c r="P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J203" s="20"/>
      <c r="L203" s="20"/>
      <c r="M203" s="20"/>
      <c r="N203" s="20"/>
      <c r="O203" s="20"/>
      <c r="P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J204" s="20"/>
      <c r="L204" s="20"/>
      <c r="M204" s="20"/>
      <c r="N204" s="20"/>
      <c r="O204" s="20"/>
      <c r="P204" s="20"/>
    </row>
  </sheetData>
  <sheetProtection sheet="true" password="cc3d" objects="true" scenarios="true" deleteColumns="false" deleteRows="false"/>
  <mergeCells count="2">
    <mergeCell ref="A1:AN1"/>
    <mergeCell ref="A3:Q3"/>
  </mergeCells>
  <conditionalFormatting sqref="Q6:Q204">
    <cfRule type="cellIs" priority="2" operator="equal" aboveAverage="0" equalAverage="0" bottom="0" percent="0" rank="0" text="" dxfId="13">
      <formula>"MÜKERRER"</formula>
    </cfRule>
    <cfRule type="cellIs" priority="3" operator="equal" aboveAverage="0" equalAverage="0" bottom="0" percent="0" rank="0" text="" dxfId="9">
      <formula>"UYGUN"</formula>
    </cfRule>
  </conditionalFormatting>
  <conditionalFormatting sqref="K6:K204">
    <cfRule type="cellIs" priority="4" operator="lessThan" aboveAverage="0" equalAverage="0" bottom="0" percent="0" rank="0" text="" dxfId="11">
      <formula>0</formula>
    </cfRule>
  </conditionalFormatting>
  <conditionalFormatting sqref="L6:L204">
    <cfRule type="cellIs" priority="5" operator="greaterThan" aboveAverage="0" equalAverage="0" bottom="0" percent="0" rank="0" text="" dxfId="11">
      <formula>0</formula>
    </cfRule>
  </conditionalFormatting>
  <conditionalFormatting sqref="E6:E204">
    <cfRule type="cellIs" priority="6" operator="lessThan" aboveAverage="0" equalAverage="0" bottom="0" percent="0" rank="0" text="" dxfId="11">
      <formula>0</formula>
    </cfRule>
  </conditionalFormatting>
  <conditionalFormatting sqref="P6:P204">
    <cfRule type="cellIs" priority="7" operator="equal" aboveAverage="0" equalAverage="0" bottom="0" percent="0" rank="0" text="" dxfId="11">
      <formula>"İtirazlı"</formula>
    </cfRule>
    <cfRule type="cellIs" priority="8" operator="equal" aboveAverage="0" equalAverage="0" bottom="0" percent="0" rank="0" text="" dxfId="9">
      <formula>"Onaylı"</formula>
    </cfRule>
  </conditionalFormatting>
  <dataValidations count="3">
    <dataValidation allowBlank="true" error="Lütfen geçerli bir para birimi girin." errorStyle="stop" errorTitle="Geçersiz Birim" operator="between" prompt="TRY, USD veya EUR seçin." promptTitle="Para Birimi" showDropDown="false" showErrorMessage="true" showInputMessage="true" sqref="G6:G204" type="list">
      <formula1>ListeParaBirimi</formula1>
      <formula2>0</formula2>
    </dataValidation>
    <dataValidation allowBlank="true" error="Fatura tutarı 0'dan büyük olmalıdır." errorStyle="stop" errorTitle="Geçersiz Tutar" operator="greaterThan" prompt="Sıfırdan büyük tutar girin." promptTitle="Fatura Tutarı" showDropDown="false" showErrorMessage="true" showInputMessage="true" sqref="F6:F204" type="decimal">
      <formula1>0</formula1>
      <formula2>0</formula2>
    </dataValidation>
    <dataValidation allowBlank="true" error="Lütfen geçerli bir belge durumu seçin." errorStyle="stop" errorTitle="Geçersiz Durum" operator="between" prompt="Onaylı, İtirazlı veya Beklemede seçin." promptTitle="Belge Durumu" showDropDown="false" showErrorMessage="true" showInputMessage="true" sqref="P6:P204" type="list">
      <formula1>ListeBelgeDurum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10" min="9" style="0" width="13"/>
    <col collapsed="false" customWidth="true" hidden="false" outlineLevel="0" max="11" min="11" style="0" width="24"/>
  </cols>
  <sheetData>
    <row r="1" customFormat="false" ht="25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120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5" customFormat="false" ht="30" hidden="false" customHeight="true" outlineLevel="0" collapsed="false">
      <c r="A5" s="14" t="s">
        <v>121</v>
      </c>
      <c r="B5" s="14" t="s">
        <v>122</v>
      </c>
      <c r="C5" s="14" t="s">
        <v>29</v>
      </c>
      <c r="D5" s="14" t="s">
        <v>84</v>
      </c>
      <c r="E5" s="14" t="s">
        <v>123</v>
      </c>
      <c r="F5" s="14" t="s">
        <v>124</v>
      </c>
      <c r="G5" s="14" t="s">
        <v>125</v>
      </c>
      <c r="H5" s="14" t="s">
        <v>126</v>
      </c>
      <c r="I5" s="14" t="s">
        <v>127</v>
      </c>
      <c r="J5" s="14" t="s">
        <v>128</v>
      </c>
      <c r="K5" s="14" t="s">
        <v>129</v>
      </c>
    </row>
    <row r="6" customFormat="false" ht="15" hidden="false" customHeight="false" outlineLevel="0" collapsed="false">
      <c r="A6" s="15" t="s">
        <v>130</v>
      </c>
      <c r="B6" s="16" t="n">
        <v>46162</v>
      </c>
      <c r="C6" s="15" t="s">
        <v>47</v>
      </c>
      <c r="D6" s="15" t="s">
        <v>99</v>
      </c>
      <c r="E6" s="18" t="n">
        <v>300000</v>
      </c>
      <c r="F6" s="15" t="s">
        <v>131</v>
      </c>
      <c r="G6" s="15" t="s">
        <v>132</v>
      </c>
      <c r="H6" s="15"/>
      <c r="I6" s="16" t="n">
        <v>46162</v>
      </c>
      <c r="J6" s="21" t="str">
        <f aca="false">IF($B6="","",IF(ISNUMBER($E6),IF(OR($F6="Çek/Senet",$F6=""),"Hayır","Evet"),"Hayır"))</f>
        <v>Evet</v>
      </c>
      <c r="K6" s="15"/>
    </row>
    <row r="7" customFormat="false" ht="15" hidden="false" customHeight="false" outlineLevel="0" collapsed="false">
      <c r="A7" s="15" t="s">
        <v>133</v>
      </c>
      <c r="B7" s="16" t="n">
        <v>46218</v>
      </c>
      <c r="C7" s="15" t="s">
        <v>47</v>
      </c>
      <c r="D7" s="15" t="s">
        <v>99</v>
      </c>
      <c r="E7" s="18" t="n">
        <v>250000</v>
      </c>
      <c r="F7" s="15" t="s">
        <v>131</v>
      </c>
      <c r="G7" s="15" t="s">
        <v>134</v>
      </c>
      <c r="H7" s="15"/>
      <c r="I7" s="16" t="n">
        <v>46218</v>
      </c>
      <c r="J7" s="21" t="str">
        <f aca="false">IF($B7="","",IF(ISNUMBER($E7),IF(OR($F7="Çek/Senet",$F7=""),"Hayır","Evet"),"Hayır"))</f>
        <v>Evet</v>
      </c>
      <c r="K7" s="15"/>
    </row>
    <row r="8" customFormat="false" ht="15" hidden="false" customHeight="false" outlineLevel="0" collapsed="false">
      <c r="A8" s="15" t="s">
        <v>135</v>
      </c>
      <c r="B8" s="16" t="n">
        <v>46236</v>
      </c>
      <c r="C8" s="15" t="s">
        <v>57</v>
      </c>
      <c r="D8" s="15" t="s">
        <v>107</v>
      </c>
      <c r="E8" s="18" t="n">
        <v>180000</v>
      </c>
      <c r="F8" s="15" t="s">
        <v>131</v>
      </c>
      <c r="G8" s="15" t="s">
        <v>136</v>
      </c>
      <c r="H8" s="15"/>
      <c r="I8" s="16" t="n">
        <v>46236</v>
      </c>
      <c r="J8" s="21" t="str">
        <f aca="false">IF($B8="","",IF(ISNUMBER($E8),IF(OR($F8="Çek/Senet",$F8=""),"Hayır","Evet"),"Hayır"))</f>
        <v>Evet</v>
      </c>
      <c r="K8" s="15"/>
    </row>
    <row r="9" customFormat="false" ht="15" hidden="false" customHeight="false" outlineLevel="0" collapsed="false">
      <c r="A9" s="15" t="s">
        <v>137</v>
      </c>
      <c r="B9" s="16" t="n">
        <v>46183</v>
      </c>
      <c r="C9" s="15" t="s">
        <v>65</v>
      </c>
      <c r="D9" s="15" t="s">
        <v>110</v>
      </c>
      <c r="E9" s="18" t="n">
        <v>120000</v>
      </c>
      <c r="F9" s="15" t="s">
        <v>138</v>
      </c>
      <c r="G9" s="15"/>
      <c r="H9" s="15" t="s">
        <v>139</v>
      </c>
      <c r="I9" s="16" t="n">
        <v>46244</v>
      </c>
      <c r="J9" s="21" t="str">
        <f aca="false">IF($B9="","",IF(ISNUMBER($E9),IF(OR($F9="Çek/Senet",$F9=""),"Hayır","Evet"),"Hayır"))</f>
        <v>Hayır</v>
      </c>
      <c r="K9" s="15" t="s">
        <v>140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19" t="str">
        <f aca="false">IF($B10="","",IF(ISNUMBER($E10),IF(OR($F10="Çek/Senet",$F10=""),"Hayır","Evet"),"Hayır"))</f>
        <v/>
      </c>
      <c r="K10" s="20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19" t="str">
        <f aca="false">IF($B11="","",IF(ISNUMBER($E11),IF(OR($F11="Çek/Senet",$F11=""),"Hayır","Evet"),"Hayır"))</f>
        <v/>
      </c>
      <c r="K11" s="20"/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19" t="str">
        <f aca="false">IF($B12="","",IF(ISNUMBER($E12),IF(OR($F12="Çek/Senet",$F12=""),"Hayır","Evet"),"Hayır"))</f>
        <v/>
      </c>
      <c r="K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19" t="str">
        <f aca="false">IF($B13="","",IF(ISNUMBER($E13),IF(OR($F13="Çek/Senet",$F13=""),"Hayır","Evet"),"Hayır"))</f>
        <v/>
      </c>
      <c r="K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19" t="str">
        <f aca="false">IF($B14="","",IF(ISNUMBER($E14),IF(OR($F14="Çek/Senet",$F14=""),"Hayır","Evet"),"Hayır"))</f>
        <v/>
      </c>
      <c r="K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19" t="str">
        <f aca="false">IF($B15="","",IF(ISNUMBER($E15),IF(OR($F15="Çek/Senet",$F15=""),"Hayır","Evet"),"Hayır"))</f>
        <v/>
      </c>
      <c r="K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19" t="str">
        <f aca="false">IF($B16="","",IF(ISNUMBER($E16),IF(OR($F16="Çek/Senet",$F16=""),"Hayır","Evet"),"Hayır"))</f>
        <v/>
      </c>
      <c r="K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19" t="str">
        <f aca="false">IF($B17="","",IF(ISNUMBER($E17),IF(OR($F17="Çek/Senet",$F17=""),"Hayır","Evet"),"Hayır"))</f>
        <v/>
      </c>
      <c r="K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19" t="str">
        <f aca="false">IF($B18="","",IF(ISNUMBER($E18),IF(OR($F18="Çek/Senet",$F18=""),"Hayır","Evet"),"Hayır"))</f>
        <v/>
      </c>
      <c r="K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19" t="str">
        <f aca="false">IF($B19="","",IF(ISNUMBER($E19),IF(OR($F19="Çek/Senet",$F19=""),"Hayır","Evet"),"Hayır"))</f>
        <v/>
      </c>
      <c r="K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19" t="str">
        <f aca="false">IF($B20="","",IF(ISNUMBER($E20),IF(OR($F20="Çek/Senet",$F20=""),"Hayır","Evet"),"Hayır"))</f>
        <v/>
      </c>
      <c r="K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19" t="str">
        <f aca="false">IF($B21="","",IF(ISNUMBER($E21),IF(OR($F21="Çek/Senet",$F21=""),"Hayır","Evet"),"Hayır"))</f>
        <v/>
      </c>
      <c r="K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19" t="str">
        <f aca="false">IF($B22="","",IF(ISNUMBER($E22),IF(OR($F22="Çek/Senet",$F22=""),"Hayır","Evet"),"Hayır"))</f>
        <v/>
      </c>
      <c r="K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19" t="str">
        <f aca="false">IF($B23="","",IF(ISNUMBER($E23),IF(OR($F23="Çek/Senet",$F23=""),"Hayır","Evet"),"Hayır"))</f>
        <v/>
      </c>
      <c r="K23" s="20"/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19" t="str">
        <f aca="false">IF($B24="","",IF(ISNUMBER($E24),IF(OR($F24="Çek/Senet",$F24=""),"Hayır","Evet"),"Hayır"))</f>
        <v/>
      </c>
      <c r="K24" s="20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19" t="str">
        <f aca="false">IF($B25="","",IF(ISNUMBER($E25),IF(OR($F25="Çek/Senet",$F25=""),"Hayır","Evet"),"Hayır"))</f>
        <v/>
      </c>
      <c r="K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19" t="str">
        <f aca="false">IF($B26="","",IF(ISNUMBER($E26),IF(OR($F26="Çek/Senet",$F26=""),"Hayır","Evet"),"Hayır"))</f>
        <v/>
      </c>
      <c r="K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19" t="str">
        <f aca="false">IF($B27="","",IF(ISNUMBER($E27),IF(OR($F27="Çek/Senet",$F27=""),"Hayır","Evet"),"Hayır"))</f>
        <v/>
      </c>
      <c r="K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19" t="str">
        <f aca="false">IF($B28="","",IF(ISNUMBER($E28),IF(OR($F28="Çek/Senet",$F28=""),"Hayır","Evet"),"Hayır"))</f>
        <v/>
      </c>
      <c r="K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19" t="str">
        <f aca="false">IF($B29="","",IF(ISNUMBER($E29),IF(OR($F29="Çek/Senet",$F29=""),"Hayır","Evet"),"Hayır"))</f>
        <v/>
      </c>
      <c r="K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19" t="str">
        <f aca="false">IF($B30="","",IF(ISNUMBER($E30),IF(OR($F30="Çek/Senet",$F30=""),"Hayır","Evet"),"Hayır"))</f>
        <v/>
      </c>
      <c r="K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19" t="str">
        <f aca="false">IF($B31="","",IF(ISNUMBER($E31),IF(OR($F31="Çek/Senet",$F31=""),"Hayır","Evet"),"Hayır"))</f>
        <v/>
      </c>
      <c r="K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19" t="str">
        <f aca="false">IF($B32="","",IF(ISNUMBER($E32),IF(OR($F32="Çek/Senet",$F32=""),"Hayır","Evet"),"Hayır"))</f>
        <v/>
      </c>
      <c r="K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19" t="str">
        <f aca="false">IF($B33="","",IF(ISNUMBER($E33),IF(OR($F33="Çek/Senet",$F33=""),"Hayır","Evet"),"Hayır"))</f>
        <v/>
      </c>
      <c r="K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19" t="str">
        <f aca="false">IF($B34="","",IF(ISNUMBER($E34),IF(OR($F34="Çek/Senet",$F34=""),"Hayır","Evet"),"Hayır"))</f>
        <v/>
      </c>
      <c r="K34" s="20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19" t="str">
        <f aca="false">IF($B35="","",IF(ISNUMBER($E35),IF(OR($F35="Çek/Senet",$F35=""),"Hayır","Evet"),"Hayır"))</f>
        <v/>
      </c>
      <c r="K35" s="20"/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19" t="str">
        <f aca="false">IF($B36="","",IF(ISNUMBER($E36),IF(OR($F36="Çek/Senet",$F36=""),"Hayır","Evet"),"Hayır"))</f>
        <v/>
      </c>
      <c r="K36" s="20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19" t="str">
        <f aca="false">IF($B37="","",IF(ISNUMBER($E37),IF(OR($F37="Çek/Senet",$F37=""),"Hayır","Evet"),"Hayır"))</f>
        <v/>
      </c>
      <c r="K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19" t="str">
        <f aca="false">IF($B38="","",IF(ISNUMBER($E38),IF(OR($F38="Çek/Senet",$F38=""),"Hayır","Evet"),"Hayır"))</f>
        <v/>
      </c>
      <c r="K38" s="20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19" t="str">
        <f aca="false">IF($B39="","",IF(ISNUMBER($E39),IF(OR($F39="Çek/Senet",$F39=""),"Hayır","Evet"),"Hayır"))</f>
        <v/>
      </c>
      <c r="K39" s="20"/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19" t="str">
        <f aca="false">IF($B40="","",IF(ISNUMBER($E40),IF(OR($F40="Çek/Senet",$F40=""),"Hayır","Evet"),"Hayır"))</f>
        <v/>
      </c>
      <c r="K40" s="20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19" t="str">
        <f aca="false">IF($B41="","",IF(ISNUMBER($E41),IF(OR($F41="Çek/Senet",$F41=""),"Hayır","Evet"),"Hayır"))</f>
        <v/>
      </c>
      <c r="K41" s="20"/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19" t="str">
        <f aca="false">IF($B42="","",IF(ISNUMBER($E42),IF(OR($F42="Çek/Senet",$F42=""),"Hayır","Evet"),"Hayır"))</f>
        <v/>
      </c>
      <c r="K42" s="20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19" t="str">
        <f aca="false">IF($B43="","",IF(ISNUMBER($E43),IF(OR($F43="Çek/Senet",$F43=""),"Hayır","Evet"),"Hayır"))</f>
        <v/>
      </c>
      <c r="K43" s="20"/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19" t="str">
        <f aca="false">IF($B44="","",IF(ISNUMBER($E44),IF(OR($F44="Çek/Senet",$F44=""),"Hayır","Evet"),"Hayır"))</f>
        <v/>
      </c>
      <c r="K44" s="20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19" t="str">
        <f aca="false">IF($B45="","",IF(ISNUMBER($E45),IF(OR($F45="Çek/Senet",$F45=""),"Hayır","Evet"),"Hayır"))</f>
        <v/>
      </c>
      <c r="K45" s="20"/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K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K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K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K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K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K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K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K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K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K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K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K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K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K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K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K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K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K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K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K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K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K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K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K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K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K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K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K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K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K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K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K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K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K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K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K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K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K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K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K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K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K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K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K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K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K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K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K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K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K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K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K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K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K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K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K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K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K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K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K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K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K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K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K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K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K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K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K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K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K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K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K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K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K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K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K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K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K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K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K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K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K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K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K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K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K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K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K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K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K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K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K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K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K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K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K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K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K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K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K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K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K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K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K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K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K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K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K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K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K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K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K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K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K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K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K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K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K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K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K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K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K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K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K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K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K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K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K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K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K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K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K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K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K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K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K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K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K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K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K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K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K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K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K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K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K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K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K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K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K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K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K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K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K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K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K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K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K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K204" s="20"/>
    </row>
  </sheetData>
  <sheetProtection sheet="true" password="cc3d" objects="true" scenarios="true" deleteColumns="false" deleteRows="false"/>
  <mergeCells count="2">
    <mergeCell ref="A1:AN1"/>
    <mergeCell ref="A3:K3"/>
  </mergeCells>
  <conditionalFormatting sqref="E6:E204">
    <cfRule type="cellIs" priority="2" operator="lessThan" aboveAverage="0" equalAverage="0" bottom="0" percent="0" rank="0" text="" dxfId="11">
      <formula>0</formula>
    </cfRule>
  </conditionalFormatting>
  <conditionalFormatting sqref="J6:J204">
    <cfRule type="cellIs" priority="3" operator="equal" aboveAverage="0" equalAverage="0" bottom="0" percent="0" rank="0" text="" dxfId="9">
      <formula>"Evet"</formula>
    </cfRule>
    <cfRule type="cellIs" priority="4" operator="equal" aboveAverage="0" equalAverage="0" bottom="0" percent="0" rank="0" text="" dxfId="10">
      <formula>"Hayır"</formula>
    </cfRule>
  </conditionalFormatting>
  <conditionalFormatting sqref="A6:A204">
    <cfRule type="cellIs" priority="5" operator="equal" aboveAverage="0" equalAverage="0" bottom="0" percent="0" rank="0" text="" dxfId="11">
      <formula>"EKSİK"</formula>
    </cfRule>
  </conditionalFormatting>
  <dataValidations count="3">
    <dataValidation allowBlank="true" error="Lütfen listeden geçerli bir ödeme türü seçin." errorStyle="stop" errorTitle="Geçersiz Ödeme Türü" operator="between" prompt="Havale/EFT, Kredi Kartı, Çek/Senet veya Nakit seçin." promptTitle="Ödeme Türü" showDropDown="false" showErrorMessage="true" showInputMessage="true" sqref="F6:F204" type="list">
      <formula1>ListeOdemeTuru</formula1>
      <formula2>0</formula2>
    </dataValidation>
    <dataValidation allowBlank="true" error="Lütfen Evet veya Hayır seçin." errorStyle="stop" errorTitle="Geçersiz Değer" operator="between" prompt="Evet veya Hayır seçin." promptTitle="Kesinleşti mi?" showDropDown="false" showErrorMessage="true" showInputMessage="true" sqref="J6:J204" type="list">
      <formula1>ListeEvetHayir</formula1>
      <formula2>0</formula2>
    </dataValidation>
    <dataValidation allowBlank="true" error="Tahsilat tutarı 0'dan büyük olmalıdır." errorStyle="stop" errorTitle="Geçersiz Tutar" operator="greaterThan" prompt="Sıfırdan büyük tutar girin." promptTitle="Tahsilat Tutarı" showDropDown="false" showErrorMessage="true" showInputMessage="true" sqref="E6:E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2" t="s">
        <v>142</v>
      </c>
    </row>
    <row r="5" customFormat="false" ht="30" hidden="false" customHeight="true" outlineLevel="0" collapsed="false">
      <c r="A5" s="14" t="s">
        <v>143</v>
      </c>
      <c r="B5" s="14" t="s">
        <v>29</v>
      </c>
      <c r="C5" s="14" t="s">
        <v>40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  <c r="J5" s="14" t="s">
        <v>88</v>
      </c>
      <c r="K5" s="14" t="s">
        <v>45</v>
      </c>
      <c r="L5" s="14" t="s">
        <v>46</v>
      </c>
    </row>
    <row r="6" customFormat="false" ht="15" hidden="false" customHeight="false" outlineLevel="0" collapsed="false">
      <c r="A6" s="15" t="s">
        <v>130</v>
      </c>
      <c r="B6" s="15" t="s">
        <v>47</v>
      </c>
      <c r="C6" s="15" t="s">
        <v>53</v>
      </c>
      <c r="D6" s="15" t="s">
        <v>150</v>
      </c>
      <c r="E6" s="16" t="n">
        <v>45366</v>
      </c>
      <c r="F6" s="16" t="n">
        <v>46461</v>
      </c>
      <c r="G6" s="18" t="n">
        <v>900000</v>
      </c>
      <c r="H6" s="23" t="n">
        <v>0.1</v>
      </c>
      <c r="I6" s="21" t="n">
        <f aca="false">$G6*(1-$H6)</f>
        <v>810000</v>
      </c>
      <c r="J6" s="15" t="s">
        <v>100</v>
      </c>
      <c r="K6" s="19" t="str">
        <f aca="false">IF($F6="","",IF($F6&lt;RaporTarihi,"SÜRESİ GEÇTİ",IF($F6-RaporTarihi&lt;=YenilemeUyariGunu,"30 GÜN İÇİNDE BİTİYOR","GEÇERLİ")))</f>
        <v>GEÇERLİ</v>
      </c>
      <c r="L6" s="19" t="str">
        <f aca="false">IF($A6="","",IF(COUNTA($A6:$J6)&gt;=ZorunluTeminatAlanSayisi,"OK","EKSİK"))</f>
        <v>OK</v>
      </c>
    </row>
    <row r="7" customFormat="false" ht="15" hidden="false" customHeight="false" outlineLevel="0" collapsed="false">
      <c r="A7" s="15" t="s">
        <v>133</v>
      </c>
      <c r="B7" s="15" t="s">
        <v>57</v>
      </c>
      <c r="C7" s="15" t="s">
        <v>63</v>
      </c>
      <c r="D7" s="15" t="s">
        <v>151</v>
      </c>
      <c r="E7" s="16" t="n">
        <v>45108</v>
      </c>
      <c r="F7" s="16" t="n">
        <v>46203</v>
      </c>
      <c r="G7" s="18" t="n">
        <v>550000</v>
      </c>
      <c r="H7" s="23" t="n">
        <v>0.25</v>
      </c>
      <c r="I7" s="21" t="n">
        <f aca="false">$G7*(1-$H7)</f>
        <v>412500</v>
      </c>
      <c r="J7" s="15" t="s">
        <v>100</v>
      </c>
      <c r="K7" s="19" t="str">
        <f aca="false">IF($F7="","",IF($F7&lt;RaporTarihi,"SÜRESİ GEÇTİ",IF($F7-RaporTarihi&lt;=YenilemeUyariGunu,"30 GÜN İÇİNDE BİTİYOR","GEÇERLİ")))</f>
        <v>SÜRESİ GEÇTİ</v>
      </c>
      <c r="L7" s="19" t="str">
        <f aca="false">IF($A6="","",IF(COUNTA($A6:$J6)&gt;=ZorunluTeminatAlanSayisi,"OK","EKSİK"))</f>
        <v>OK</v>
      </c>
    </row>
    <row r="8" customFormat="false" ht="15" hidden="false" customHeight="false" outlineLevel="0" collapsed="false">
      <c r="A8" s="15" t="s">
        <v>135</v>
      </c>
      <c r="B8" s="15" t="s">
        <v>65</v>
      </c>
      <c r="C8" s="15" t="s">
        <v>71</v>
      </c>
      <c r="D8" s="15" t="s">
        <v>139</v>
      </c>
      <c r="E8" s="16" t="n">
        <v>46023</v>
      </c>
      <c r="F8" s="16" t="n">
        <v>46235</v>
      </c>
      <c r="G8" s="18" t="n">
        <v>300000</v>
      </c>
      <c r="H8" s="23" t="n">
        <v>0.2</v>
      </c>
      <c r="I8" s="21" t="n">
        <f aca="false">$G8*(1-$H8)</f>
        <v>240000</v>
      </c>
      <c r="J8" s="15" t="s">
        <v>100</v>
      </c>
      <c r="K8" s="19" t="str">
        <f aca="false">IF($F8="","",IF($F8&lt;RaporTarihi,"SÜRESİ GEÇTİ",IF($F8-RaporTarihi&lt;=YenilemeUyariGunu,"30 GÜN İÇİNDE BİTİYOR","GEÇERLİ")))</f>
        <v>SÜRESİ GEÇTİ</v>
      </c>
      <c r="L8" s="19" t="str">
        <f aca="false">IF($A6="","",IF(COUNTA($A6:$J6)&gt;=ZorunluTeminatAlanSayisi,"OK","EKSİK"))</f>
        <v>OK</v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19" t="n">
        <f aca="false">$G9*(1-$H9)</f>
        <v>0</v>
      </c>
      <c r="J9" s="20"/>
      <c r="K9" s="19" t="str">
        <f aca="false">IF($F9="","",IF($F9&lt;RaporTarihi,"SÜRESİ GEÇTİ",IF($F9-RaporTarihi&lt;=YenilemeUyariGunu,"30 GÜN İÇİNDE BİTİYOR","GEÇERLİ")))</f>
        <v/>
      </c>
      <c r="L9" s="19" t="str">
        <f aca="false">IF($A6="","",IF(COUNTA($A6:$J6)&gt;=ZorunluTeminatAlanSayisi,"OK","EKSİK"))</f>
        <v>OK</v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19" t="n">
        <f aca="false">$G10*(1-$H10)</f>
        <v>0</v>
      </c>
      <c r="J10" s="20"/>
      <c r="K10" s="19" t="str">
        <f aca="false">IF($F10="","",IF($F10&lt;RaporTarihi,"SÜRESİ GEÇTİ",IF($F10-RaporTarihi&lt;=YenilemeUyariGunu,"30 GÜN İÇİNDE BİTİYOR","GEÇERLİ")))</f>
        <v/>
      </c>
      <c r="L10" s="19" t="str">
        <f aca="false">IF($A6="","",IF(COUNTA($A6:$J6)&gt;=ZorunluTeminatAlanSayisi,"OK","EKSİK"))</f>
        <v>OK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19" t="n">
        <f aca="false">$G11*(1-$H11)</f>
        <v>0</v>
      </c>
      <c r="J11" s="20"/>
      <c r="K11" s="19" t="str">
        <f aca="false">IF($F11="","",IF($F11&lt;RaporTarihi,"SÜRESİ GEÇTİ",IF($F11-RaporTarihi&lt;=YenilemeUyariGunu,"30 GÜN İÇİNDE BİTİYOR","GEÇERLİ")))</f>
        <v/>
      </c>
      <c r="L11" s="19" t="str">
        <f aca="false">IF($A6="","",IF(COUNTA($A6:$J6)&gt;=ZorunluTeminatAlanSayisi,"OK","EKSİK"))</f>
        <v>OK</v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19" t="n">
        <f aca="false">$G12*(1-$H12)</f>
        <v>0</v>
      </c>
      <c r="J12" s="20"/>
      <c r="K12" s="19" t="str">
        <f aca="false">IF($F12="","",IF($F12&lt;RaporTarihi,"SÜRESİ GEÇTİ",IF($F12-RaporTarihi&lt;=YenilemeUyariGunu,"30 GÜN İÇİNDE BİTİYOR","GEÇERLİ")))</f>
        <v/>
      </c>
      <c r="L12" s="19" t="str">
        <f aca="false">IF($A6="","",IF(COUNTA($A6:$J6)&gt;=ZorunluTeminatAlanSayisi,"OK","EKSİK"))</f>
        <v>OK</v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19" t="n">
        <f aca="false">$G13*(1-$H13)</f>
        <v>0</v>
      </c>
      <c r="J13" s="20"/>
      <c r="K13" s="19" t="str">
        <f aca="false">IF($F13="","",IF($F13&lt;RaporTarihi,"SÜRESİ GEÇTİ",IF($F13-RaporTarihi&lt;=YenilemeUyariGunu,"30 GÜN İÇİNDE BİTİYOR","GEÇERLİ")))</f>
        <v/>
      </c>
      <c r="L13" s="19" t="str">
        <f aca="false">IF($A6="","",IF(COUNTA($A6:$J6)&gt;=ZorunluTeminatAlanSayisi,"OK","EKSİK"))</f>
        <v>OK</v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19" t="n">
        <f aca="false">$G14*(1-$H14)</f>
        <v>0</v>
      </c>
      <c r="J14" s="20"/>
      <c r="K14" s="19" t="str">
        <f aca="false">IF($F14="","",IF($F14&lt;RaporTarihi,"SÜRESİ GEÇTİ",IF($F14-RaporTarihi&lt;=YenilemeUyariGunu,"30 GÜN İÇİNDE BİTİYOR","GEÇERLİ")))</f>
        <v/>
      </c>
      <c r="L14" s="19" t="str">
        <f aca="false">IF($A6="","",IF(COUNTA($A6:$J6)&gt;=ZorunluTeminatAlanSayisi,"OK","EKSİK"))</f>
        <v>OK</v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19" t="n">
        <f aca="false">$G15*(1-$H15)</f>
        <v>0</v>
      </c>
      <c r="J15" s="20"/>
      <c r="K15" s="19" t="str">
        <f aca="false">IF($F15="","",IF($F15&lt;RaporTarihi,"SÜRESİ GEÇTİ",IF($F15-RaporTarihi&lt;=YenilemeUyariGunu,"30 GÜN İÇİNDE BİTİYOR","GEÇERLİ")))</f>
        <v/>
      </c>
      <c r="L15" s="19" t="str">
        <f aca="false">IF($A6="","",IF(COUNTA($A6:$J6)&gt;=ZorunluTeminatAlanSayisi,"OK","EKSİK"))</f>
        <v>OK</v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19" t="n">
        <f aca="false">$G16*(1-$H16)</f>
        <v>0</v>
      </c>
      <c r="J16" s="20"/>
      <c r="K16" s="19" t="str">
        <f aca="false">IF($F16="","",IF($F16&lt;RaporTarihi,"SÜRESİ GEÇTİ",IF($F16-RaporTarihi&lt;=YenilemeUyariGunu,"30 GÜN İÇİNDE BİTİYOR","GEÇERLİ")))</f>
        <v/>
      </c>
      <c r="L16" s="19" t="str">
        <f aca="false">IF($A6="","",IF(COUNTA($A6:$J6)&gt;=ZorunluTeminatAlanSayisi,"OK","EKSİK"))</f>
        <v>OK</v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19" t="n">
        <f aca="false">$G17*(1-$H17)</f>
        <v>0</v>
      </c>
      <c r="J17" s="20"/>
      <c r="K17" s="19" t="str">
        <f aca="false">IF($F17="","",IF($F17&lt;RaporTarihi,"SÜRESİ GEÇTİ",IF($F17-RaporTarihi&lt;=YenilemeUyariGunu,"30 GÜN İÇİNDE BİTİYOR","GEÇERLİ")))</f>
        <v/>
      </c>
      <c r="L17" s="19" t="str">
        <f aca="false">IF($A6="","",IF(COUNTA($A6:$J6)&gt;=ZorunluTeminatAlanSayisi,"OK","EKSİK"))</f>
        <v>OK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19" t="n">
        <f aca="false">$G18*(1-$H18)</f>
        <v>0</v>
      </c>
      <c r="J18" s="20"/>
      <c r="K18" s="19" t="str">
        <f aca="false">IF($F18="","",IF($F18&lt;RaporTarihi,"SÜRESİ GEÇTİ",IF($F18-RaporTarihi&lt;=YenilemeUyariGunu,"30 GÜN İÇİNDE BİTİYOR","GEÇERLİ")))</f>
        <v/>
      </c>
      <c r="L18" s="19" t="str">
        <f aca="false">IF($A6="","",IF(COUNTA($A6:$J6)&gt;=ZorunluTeminatAlanSayisi,"OK","EKSİK"))</f>
        <v>OK</v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19" t="n">
        <f aca="false">$G19*(1-$H19)</f>
        <v>0</v>
      </c>
      <c r="J19" s="20"/>
      <c r="K19" s="19" t="str">
        <f aca="false">IF($F19="","",IF($F19&lt;RaporTarihi,"SÜRESİ GEÇTİ",IF($F19-RaporTarihi&lt;=YenilemeUyariGunu,"30 GÜN İÇİNDE BİTİYOR","GEÇERLİ")))</f>
        <v/>
      </c>
      <c r="L19" s="19" t="str">
        <f aca="false">IF($A6="","",IF(COUNTA($A6:$J6)&gt;=ZorunluTeminatAlanSayisi,"OK","EKSİK"))</f>
        <v>OK</v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19" t="n">
        <f aca="false">$G20*(1-$H20)</f>
        <v>0</v>
      </c>
      <c r="J20" s="20"/>
      <c r="K20" s="19" t="str">
        <f aca="false">IF($F20="","",IF($F20&lt;RaporTarihi,"SÜRESİ GEÇTİ",IF($F20-RaporTarihi&lt;=YenilemeUyariGunu,"30 GÜN İÇİNDE BİTİYOR","GEÇERLİ")))</f>
        <v/>
      </c>
      <c r="L20" s="19" t="str">
        <f aca="false">IF($A6="","",IF(COUNTA($A6:$J6)&gt;=ZorunluTeminatAlanSayisi,"OK","EKSİK"))</f>
        <v>OK</v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19" t="n">
        <f aca="false">$G21*(1-$H21)</f>
        <v>0</v>
      </c>
      <c r="J21" s="20"/>
      <c r="K21" s="19" t="str">
        <f aca="false">IF($F21="","",IF($F21&lt;RaporTarihi,"SÜRESİ GEÇTİ",IF($F21-RaporTarihi&lt;=YenilemeUyariGunu,"30 GÜN İÇİNDE BİTİYOR","GEÇERLİ")))</f>
        <v/>
      </c>
      <c r="L21" s="19" t="str">
        <f aca="false">IF($A6="","",IF(COUNTA($A6:$J6)&gt;=ZorunluTeminatAlanSayisi,"OK","EKSİK"))</f>
        <v>OK</v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19" t="n">
        <f aca="false">$G22*(1-$H22)</f>
        <v>0</v>
      </c>
      <c r="J22" s="20"/>
      <c r="K22" s="19" t="str">
        <f aca="false">IF($F22="","",IF($F22&lt;RaporTarihi,"SÜRESİ GEÇTİ",IF($F22-RaporTarihi&lt;=YenilemeUyariGunu,"30 GÜN İÇİNDE BİTİYOR","GEÇERLİ")))</f>
        <v/>
      </c>
      <c r="L22" s="19" t="str">
        <f aca="false">IF($A6="","",IF(COUNTA($A6:$J6)&gt;=ZorunluTeminatAlanSayisi,"OK","EKSİK"))</f>
        <v>OK</v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19" t="n">
        <f aca="false">$G23*(1-$H23)</f>
        <v>0</v>
      </c>
      <c r="J23" s="20"/>
      <c r="K23" s="19" t="str">
        <f aca="false">IF($F23="","",IF($F23&lt;RaporTarihi,"SÜRESİ GEÇTİ",IF($F23-RaporTarihi&lt;=YenilemeUyariGunu,"30 GÜN İÇİNDE BİTİYOR","GEÇERLİ")))</f>
        <v/>
      </c>
      <c r="L23" s="19" t="str">
        <f aca="false">IF($A6="","",IF(COUNTA($A6:$J6)&gt;=ZorunluTeminatAlanSayisi,"OK","EKSİK"))</f>
        <v>OK</v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19" t="n">
        <f aca="false">$G24*(1-$H24)</f>
        <v>0</v>
      </c>
      <c r="J24" s="20"/>
      <c r="K24" s="19" t="str">
        <f aca="false">IF($F24="","",IF($F24&lt;RaporTarihi,"SÜRESİ GEÇTİ",IF($F24-RaporTarihi&lt;=YenilemeUyariGunu,"30 GÜN İÇİNDE BİTİYOR","GEÇERLİ")))</f>
        <v/>
      </c>
      <c r="L24" s="19" t="str">
        <f aca="false">IF($A6="","",IF(COUNTA($A6:$J6)&gt;=ZorunluTeminatAlanSayisi,"OK","EKSİK"))</f>
        <v>OK</v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19" t="n">
        <f aca="false">$G25*(1-$H25)</f>
        <v>0</v>
      </c>
      <c r="J25" s="20"/>
      <c r="K25" s="19" t="str">
        <f aca="false">IF($F25="","",IF($F25&lt;RaporTarihi,"SÜRESİ GEÇTİ",IF($F25-RaporTarihi&lt;=YenilemeUyariGunu,"30 GÜN İÇİNDE BİTİYOR","GEÇERLİ")))</f>
        <v/>
      </c>
      <c r="L25" s="19" t="str">
        <f aca="false">IF($A6="","",IF(COUNTA($A6:$J6)&gt;=ZorunluTeminatAlanSayisi,"OK","EKSİK"))</f>
        <v>OK</v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19" t="n">
        <f aca="false">$G26*(1-$H26)</f>
        <v>0</v>
      </c>
      <c r="J26" s="20"/>
      <c r="K26" s="19" t="str">
        <f aca="false">IF($F26="","",IF($F26&lt;RaporTarihi,"SÜRESİ GEÇTİ",IF($F26-RaporTarihi&lt;=YenilemeUyariGunu,"30 GÜN İÇİNDE BİTİYOR","GEÇERLİ")))</f>
        <v/>
      </c>
      <c r="L26" s="19" t="str">
        <f aca="false">IF($A6="","",IF(COUNTA($A6:$J6)&gt;=ZorunluTeminatAlanSayisi,"OK","EKSİK"))</f>
        <v>OK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19" t="n">
        <f aca="false">$G27*(1-$H27)</f>
        <v>0</v>
      </c>
      <c r="J27" s="20"/>
      <c r="K27" s="19" t="str">
        <f aca="false">IF($F27="","",IF($F27&lt;RaporTarihi,"SÜRESİ GEÇTİ",IF($F27-RaporTarihi&lt;=YenilemeUyariGunu,"30 GÜN İÇİNDE BİTİYOR","GEÇERLİ")))</f>
        <v/>
      </c>
      <c r="L27" s="19" t="str">
        <f aca="false">IF($A6="","",IF(COUNTA($A6:$J6)&gt;=ZorunluTeminatAlanSayisi,"OK","EKSİK"))</f>
        <v>OK</v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19" t="n">
        <f aca="false">$G28*(1-$H28)</f>
        <v>0</v>
      </c>
      <c r="J28" s="20"/>
      <c r="K28" s="19" t="str">
        <f aca="false">IF($F28="","",IF($F28&lt;RaporTarihi,"SÜRESİ GEÇTİ",IF($F28-RaporTarihi&lt;=YenilemeUyariGunu,"30 GÜN İÇİNDE BİTİYOR","GEÇERLİ")))</f>
        <v/>
      </c>
      <c r="L28" s="19" t="str">
        <f aca="false">IF($A6="","",IF(COUNTA($A6:$J6)&gt;=ZorunluTeminatAlanSayisi,"OK","EKSİK"))</f>
        <v>OK</v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19" t="n">
        <f aca="false">$G29*(1-$H29)</f>
        <v>0</v>
      </c>
      <c r="J29" s="20"/>
      <c r="K29" s="19" t="str">
        <f aca="false">IF($F29="","",IF($F29&lt;RaporTarihi,"SÜRESİ GEÇTİ",IF($F29-RaporTarihi&lt;=YenilemeUyariGunu,"30 GÜN İÇİNDE BİTİYOR","GEÇERLİ")))</f>
        <v/>
      </c>
      <c r="L29" s="19" t="str">
        <f aca="false">IF($A6="","",IF(COUNTA($A6:$J6)&gt;=ZorunluTeminatAlanSayisi,"OK","EKSİK"))</f>
        <v>OK</v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19" t="n">
        <f aca="false">$G30*(1-$H30)</f>
        <v>0</v>
      </c>
      <c r="J30" s="20"/>
      <c r="K30" s="19" t="str">
        <f aca="false">IF($F30="","",IF($F30&lt;RaporTarihi,"SÜRESİ GEÇTİ",IF($F30-RaporTarihi&lt;=YenilemeUyariGunu,"30 GÜN İÇİNDE BİTİYOR","GEÇERLİ")))</f>
        <v/>
      </c>
      <c r="L30" s="19" t="str">
        <f aca="false">IF($A6="","",IF(COUNTA($A6:$J6)&gt;=ZorunluTeminatAlanSayisi,"OK","EKSİK"))</f>
        <v>OK</v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19" t="n">
        <f aca="false">$G31*(1-$H31)</f>
        <v>0</v>
      </c>
      <c r="J31" s="20"/>
      <c r="K31" s="19" t="str">
        <f aca="false">IF($F31="","",IF($F31&lt;RaporTarihi,"SÜRESİ GEÇTİ",IF($F31-RaporTarihi&lt;=YenilemeUyariGunu,"30 GÜN İÇİNDE BİTİYOR","GEÇERLİ")))</f>
        <v/>
      </c>
      <c r="L31" s="19" t="str">
        <f aca="false">IF($A6="","",IF(COUNTA($A6:$J6)&gt;=ZorunluTeminatAlanSayisi,"OK","EKSİK"))</f>
        <v>OK</v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19" t="n">
        <f aca="false">$G32*(1-$H32)</f>
        <v>0</v>
      </c>
      <c r="J32" s="20"/>
      <c r="K32" s="19" t="str">
        <f aca="false">IF($F32="","",IF($F32&lt;RaporTarihi,"SÜRESİ GEÇTİ",IF($F32-RaporTarihi&lt;=YenilemeUyariGunu,"30 GÜN İÇİNDE BİTİYOR","GEÇERLİ")))</f>
        <v/>
      </c>
      <c r="L32" s="19" t="str">
        <f aca="false">IF($A6="","",IF(COUNTA($A6:$J6)&gt;=ZorunluTeminatAlanSayisi,"OK","EKSİK"))</f>
        <v>OK</v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19" t="n">
        <f aca="false">$G33*(1-$H33)</f>
        <v>0</v>
      </c>
      <c r="J33" s="20"/>
      <c r="K33" s="19" t="str">
        <f aca="false">IF($F33="","",IF($F33&lt;RaporTarihi,"SÜRESİ GEÇTİ",IF($F33-RaporTarihi&lt;=YenilemeUyariGunu,"30 GÜN İÇİNDE BİTİYOR","GEÇERLİ")))</f>
        <v/>
      </c>
      <c r="L33" s="19" t="str">
        <f aca="false">IF($A6="","",IF(COUNTA($A6:$J6)&gt;=ZorunluTeminatAlanSayisi,"OK","EKSİK"))</f>
        <v>OK</v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19" t="n">
        <f aca="false">$G34*(1-$H34)</f>
        <v>0</v>
      </c>
      <c r="J34" s="20"/>
      <c r="K34" s="19" t="str">
        <f aca="false">IF($F34="","",IF($F34&lt;RaporTarihi,"SÜRESİ GEÇTİ",IF($F34-RaporTarihi&lt;=YenilemeUyariGunu,"30 GÜN İÇİNDE BİTİYOR","GEÇERLİ")))</f>
        <v/>
      </c>
      <c r="L34" s="19" t="str">
        <f aca="false">IF($A6="","",IF(COUNTA($A6:$J6)&gt;=ZorunluTeminatAlanSayisi,"OK","EKSİK"))</f>
        <v>OK</v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19" t="n">
        <f aca="false">$G35*(1-$H35)</f>
        <v>0</v>
      </c>
      <c r="J35" s="20"/>
      <c r="K35" s="19" t="str">
        <f aca="false">IF($F35="","",IF($F35&lt;RaporTarihi,"SÜRESİ GEÇTİ",IF($F35-RaporTarihi&lt;=YenilemeUyariGunu,"30 GÜN İÇİNDE BİTİYOR","GEÇERLİ")))</f>
        <v/>
      </c>
      <c r="L35" s="19" t="str">
        <f aca="false">IF($A6="","",IF(COUNTA($A6:$J6)&gt;=ZorunluTeminatAlanSayisi,"OK","EKSİK"))</f>
        <v>OK</v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19" t="n">
        <f aca="false">$G36*(1-$H36)</f>
        <v>0</v>
      </c>
      <c r="J36" s="20"/>
      <c r="K36" s="19" t="str">
        <f aca="false">IF($F36="","",IF($F36&lt;RaporTarihi,"SÜRESİ GEÇTİ",IF($F36-RaporTarihi&lt;=YenilemeUyariGunu,"30 GÜN İÇİNDE BİTİYOR","GEÇERLİ")))</f>
        <v/>
      </c>
      <c r="L36" s="19" t="str">
        <f aca="false">IF($A6="","",IF(COUNTA($A6:$J6)&gt;=ZorunluTeminatAlanSayisi,"OK","EKSİK"))</f>
        <v>OK</v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19" t="n">
        <f aca="false">$G37*(1-$H37)</f>
        <v>0</v>
      </c>
      <c r="J37" s="20"/>
      <c r="K37" s="19" t="str">
        <f aca="false">IF($F37="","",IF($F37&lt;RaporTarihi,"SÜRESİ GEÇTİ",IF($F37-RaporTarihi&lt;=YenilemeUyariGunu,"30 GÜN İÇİNDE BİTİYOR","GEÇERLİ")))</f>
        <v/>
      </c>
      <c r="L37" s="19" t="str">
        <f aca="false">IF($A6="","",IF(COUNTA($A6:$J6)&gt;=ZorunluTeminatAlanSayisi,"OK","EKSİK"))</f>
        <v>OK</v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19" t="n">
        <f aca="false">$G38*(1-$H38)</f>
        <v>0</v>
      </c>
      <c r="J38" s="20"/>
      <c r="K38" s="19" t="str">
        <f aca="false">IF($F38="","",IF($F38&lt;RaporTarihi,"SÜRESİ GEÇTİ",IF($F38-RaporTarihi&lt;=YenilemeUyariGunu,"30 GÜN İÇİNDE BİTİYOR","GEÇERLİ")))</f>
        <v/>
      </c>
      <c r="L38" s="19" t="str">
        <f aca="false">IF($A6="","",IF(COUNTA($A6:$J6)&gt;=ZorunluTeminatAlanSayisi,"OK","EKSİK"))</f>
        <v>OK</v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19" t="n">
        <f aca="false">$G39*(1-$H39)</f>
        <v>0</v>
      </c>
      <c r="J39" s="20"/>
      <c r="K39" s="19" t="str">
        <f aca="false">IF($F39="","",IF($F39&lt;RaporTarihi,"SÜRESİ GEÇTİ",IF($F39-RaporTarihi&lt;=YenilemeUyariGunu,"30 GÜN İÇİNDE BİTİYOR","GEÇERLİ")))</f>
        <v/>
      </c>
      <c r="L39" s="19" t="str">
        <f aca="false">IF($A6="","",IF(COUNTA($A6:$J6)&gt;=ZorunluTeminatAlanSayisi,"OK","EKSİK"))</f>
        <v>OK</v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19" t="n">
        <f aca="false">$G40*(1-$H40)</f>
        <v>0</v>
      </c>
      <c r="J40" s="20"/>
      <c r="K40" s="19" t="str">
        <f aca="false">IF($F40="","",IF($F40&lt;RaporTarihi,"SÜRESİ GEÇTİ",IF($F40-RaporTarihi&lt;=YenilemeUyariGunu,"30 GÜN İÇİNDE BİTİYOR","GEÇERLİ")))</f>
        <v/>
      </c>
      <c r="L40" s="19" t="str">
        <f aca="false">IF($A6="","",IF(COUNTA($A6:$J6)&gt;=ZorunluTeminatAlanSayisi,"OK","EKSİK"))</f>
        <v>OK</v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19" t="n">
        <f aca="false">$G41*(1-$H41)</f>
        <v>0</v>
      </c>
      <c r="J41" s="20"/>
      <c r="K41" s="19" t="str">
        <f aca="false">IF($F41="","",IF($F41&lt;RaporTarihi,"SÜRESİ GEÇTİ",IF($F41-RaporTarihi&lt;=YenilemeUyariGunu,"30 GÜN İÇİNDE BİTİYOR","GEÇERLİ")))</f>
        <v/>
      </c>
      <c r="L41" s="19" t="str">
        <f aca="false">IF($A6="","",IF(COUNTA($A6:$J6)&gt;=ZorunluTeminatAlanSayisi,"OK","EKSİK"))</f>
        <v>OK</v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19" t="n">
        <f aca="false">$G42*(1-$H42)</f>
        <v>0</v>
      </c>
      <c r="J42" s="20"/>
      <c r="K42" s="19" t="str">
        <f aca="false">IF($F42="","",IF($F42&lt;RaporTarihi,"SÜRESİ GEÇTİ",IF($F42-RaporTarihi&lt;=YenilemeUyariGunu,"30 GÜN İÇİNDE BİTİYOR","GEÇERLİ")))</f>
        <v/>
      </c>
      <c r="L42" s="19" t="str">
        <f aca="false">IF($A6="","",IF(COUNTA($A6:$J6)&gt;=ZorunluTeminatAlanSayisi,"OK","EKSİK"))</f>
        <v>OK</v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19" t="n">
        <f aca="false">$G43*(1-$H43)</f>
        <v>0</v>
      </c>
      <c r="J43" s="20"/>
      <c r="K43" s="19" t="str">
        <f aca="false">IF($F43="","",IF($F43&lt;RaporTarihi,"SÜRESİ GEÇTİ",IF($F43-RaporTarihi&lt;=YenilemeUyariGunu,"30 GÜN İÇİNDE BİTİYOR","GEÇERLİ")))</f>
        <v/>
      </c>
      <c r="L43" s="19" t="str">
        <f aca="false">IF($A6="","",IF(COUNTA($A6:$J6)&gt;=ZorunluTeminatAlanSayisi,"OK","EKSİK"))</f>
        <v>OK</v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19" t="n">
        <f aca="false">$G44*(1-$H44)</f>
        <v>0</v>
      </c>
      <c r="J44" s="20"/>
      <c r="K44" s="19" t="str">
        <f aca="false">IF($F44="","",IF($F44&lt;RaporTarihi,"SÜRESİ GEÇTİ",IF($F44-RaporTarihi&lt;=YenilemeUyariGunu,"30 GÜN İÇİNDE BİTİYOR","GEÇERLİ")))</f>
        <v/>
      </c>
      <c r="L44" s="19" t="str">
        <f aca="false">IF($A6="","",IF(COUNTA($A6:$J6)&gt;=ZorunluTeminatAlanSayisi,"OK","EKSİK"))</f>
        <v>OK</v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19" t="n">
        <f aca="false">$G45*(1-$H45)</f>
        <v>0</v>
      </c>
      <c r="J45" s="20"/>
      <c r="K45" s="19" t="str">
        <f aca="false">IF($F45="","",IF($F45&lt;RaporTarihi,"SÜRESİ GEÇTİ",IF($F45-RaporTarihi&lt;=YenilemeUyariGunu,"30 GÜN İÇİNDE BİTİYOR","GEÇERLİ")))</f>
        <v/>
      </c>
      <c r="L45" s="19" t="str">
        <f aca="false">IF($A6="","",IF(COUNTA($A6:$J6)&gt;=ZorunluTeminatAlanSayisi,"OK","EKSİK"))</f>
        <v>OK</v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J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J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J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J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J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J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J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J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J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J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J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J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J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J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J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J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J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J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J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J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J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J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J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J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J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J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J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J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J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J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J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J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J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J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J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J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J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J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J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J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J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J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J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J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J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J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J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J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J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J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J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J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J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J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J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J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J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J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J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J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J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J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J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J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J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J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J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J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J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J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J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J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J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J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J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J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J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J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J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J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J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J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J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J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J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J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J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J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J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J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J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J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J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J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J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J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J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J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J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J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J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J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J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J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J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J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J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J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J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J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J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J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J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J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J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J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J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J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J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J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J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J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J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J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J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J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J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J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J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J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J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J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J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J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J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J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J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J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J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J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J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J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J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J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J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J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J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J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J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J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J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J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J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J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J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J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J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J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J204" s="20"/>
    </row>
  </sheetData>
  <sheetProtection sheet="true" password="cc3d" objects="true" scenarios="true" deleteColumns="false" deleteRows="false"/>
  <mergeCells count="1">
    <mergeCell ref="A1:AN1"/>
  </mergeCells>
  <conditionalFormatting sqref="N6:N204">
    <cfRule type="cellIs" priority="2" operator="equal" aboveAverage="0" equalAverage="0" bottom="0" percent="0" rank="0" text="" dxfId="13">
      <formula>"SÜRESİ GEÇTİ"</formula>
    </cfRule>
    <cfRule type="cellIs" priority="3" operator="equal" aboveAverage="0" equalAverage="0" bottom="0" percent="0" rank="0" text="" dxfId="10">
      <formula>"30 GÜN İÇİNDE BİTİYOR"</formula>
    </cfRule>
    <cfRule type="cellIs" priority="4" operator="equal" aboveAverage="0" equalAverage="0" bottom="0" percent="0" rank="0" text="" dxfId="9">
      <formula>"GEÇERLİ"</formula>
    </cfRule>
  </conditionalFormatting>
  <conditionalFormatting sqref="I6:I204">
    <cfRule type="cellIs" priority="5" operator="lessThan" aboveAverage="0" equalAverage="0" bottom="0" percent="0" rank="0" text="" dxfId="11">
      <formula>0</formula>
    </cfRule>
  </conditionalFormatting>
  <conditionalFormatting sqref="H6:H204">
    <cfRule type="cellIs" priority="6" operator="between" aboveAverage="0" equalAverage="0" bottom="0" percent="0" rank="0" text="" dxfId="10">
      <formula>0.5</formula>
      <formula>0.9</formula>
    </cfRule>
  </conditionalFormatting>
  <dataValidations count="3">
    <dataValidation allowBlank="true" error="Lütfen geçerli bir teminat türü seçin." errorStyle="stop" errorTitle="Geçersiz Tür" operator="between" prompt="Banka Teminat Mektubu, İpotek, Çek ve Senet, Kefalet veya Teminatsız seçin." promptTitle="Teminat Türü" showDropDown="false" showErrorMessage="true" showInputMessage="true" sqref="C6:C204" type="list">
      <formula1>ListeTeminatTuru</formula1>
      <formula2>0</formula2>
    </dataValidation>
    <dataValidation allowBlank="true" error="Lütfen geçerli bir para birimi girin." errorStyle="stop" errorTitle="Geçersiz Birim" operator="between" prompt="TRY, USD veya EUR seçin." promptTitle="Para Birimi" showDropDown="false" showErrorMessage="true" showInputMessage="true" sqref="J6:J204" type="list">
      <formula1>ListeParaBirimi</formula1>
      <formula2>0</formula2>
    </dataValidation>
    <dataValidation allowBlank="true" error="Değerleme indirimi 0-1 arasında olmalıdır." errorStyle="stop" errorTitle="Geçersiz Oran" operator="between" prompt="0 ile 1 arasında oran girin (örn. 0,25)." promptTitle="Değerleme İndirimi" showDropDown="false" showErrorMessage="true" showInputMessage="true" sqref="H6:H2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153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customFormat="false" ht="30" hidden="false" customHeight="true" outlineLevel="0" collapsed="false">
      <c r="A5" s="14" t="s">
        <v>154</v>
      </c>
      <c r="B5" s="14" t="s">
        <v>122</v>
      </c>
      <c r="C5" s="14" t="s">
        <v>29</v>
      </c>
      <c r="D5" s="14" t="s">
        <v>155</v>
      </c>
      <c r="E5" s="14" t="s">
        <v>156</v>
      </c>
      <c r="F5" s="14" t="s">
        <v>157</v>
      </c>
      <c r="G5" s="14" t="s">
        <v>158</v>
      </c>
      <c r="H5" s="14" t="s">
        <v>159</v>
      </c>
      <c r="I5" s="14" t="s">
        <v>160</v>
      </c>
      <c r="J5" s="14" t="s">
        <v>161</v>
      </c>
      <c r="K5" s="14" t="s">
        <v>162</v>
      </c>
      <c r="L5" s="14" t="s">
        <v>163</v>
      </c>
    </row>
    <row r="6" customFormat="false" ht="16.4" hidden="false" customHeight="false" outlineLevel="0" collapsed="false">
      <c r="A6" s="15" t="s">
        <v>164</v>
      </c>
      <c r="B6" s="16" t="n">
        <v>46235</v>
      </c>
      <c r="C6" s="15" t="s">
        <v>65</v>
      </c>
      <c r="D6" s="15" t="s">
        <v>165</v>
      </c>
      <c r="E6" s="15" t="s">
        <v>166</v>
      </c>
      <c r="F6" s="15" t="s">
        <v>167</v>
      </c>
      <c r="G6" s="16" t="n">
        <v>46237</v>
      </c>
      <c r="H6" s="18" t="n">
        <v>150000</v>
      </c>
      <c r="I6" s="15" t="s">
        <v>168</v>
      </c>
      <c r="J6" s="15" t="s">
        <v>169</v>
      </c>
      <c r="K6" s="19" t="n">
        <f aca="false">IF($B6="","",IF($G6="","",MAX(0,RaporTarihi-$G6)))</f>
        <v>2</v>
      </c>
      <c r="L6" s="19" t="str">
        <f aca="false">IF($B6="","",IF($G6="","BEKLİYOR",IF(RaporTarihi-$G6&gt;0,"SÖZ GECİKTİ",IF($F6="Yerine getirildi","YERİNE GETİRİLDİ","BEKLİYOR"))))</f>
        <v>SÖZ GECİKTİ</v>
      </c>
    </row>
    <row r="7" customFormat="false" ht="16.4" hidden="false" customHeight="false" outlineLevel="0" collapsed="false">
      <c r="A7" s="15" t="s">
        <v>170</v>
      </c>
      <c r="B7" s="16" t="n">
        <v>46236</v>
      </c>
      <c r="C7" s="15" t="s">
        <v>73</v>
      </c>
      <c r="D7" s="15" t="s">
        <v>171</v>
      </c>
      <c r="E7" s="15" t="s">
        <v>172</v>
      </c>
      <c r="F7" s="15" t="s">
        <v>173</v>
      </c>
      <c r="G7" s="16" t="n">
        <v>46242</v>
      </c>
      <c r="H7" s="18" t="n">
        <v>400000</v>
      </c>
      <c r="I7" s="15" t="s">
        <v>174</v>
      </c>
      <c r="J7" s="15" t="s">
        <v>175</v>
      </c>
      <c r="K7" s="19" t="n">
        <f aca="false">IF($B7="","",IF($G7="","",MAX(0,RaporTarihi-$G7)))</f>
        <v>0</v>
      </c>
      <c r="L7" s="19" t="str">
        <f aca="false">IF($B7="","",IF($G7="","BEKLİYOR",IF(RaporTarihi-$G7&gt;0,"SÖZ GECİKTİ",IF($F7="Yerine getirildi","YERİNE GETİRİLDİ","BEKLİYOR"))))</f>
        <v>BEKLİYOR</v>
      </c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19" t="str">
        <f aca="false">IF($B8="","",IF($G8="","",MAX(0,RaporTarihi-$G8)))</f>
        <v/>
      </c>
      <c r="L8" s="19" t="str">
        <f aca="false">IF($B8="","",IF($G8="","BEKLİYOR",IF(RaporTarihi-$G8&gt;0,"SÖZ GECİKTİ",IF($F8="Yerine getirildi","YERİNE GETİRİLDİ","BEKLİYOR"))))</f>
        <v/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19" t="str">
        <f aca="false">IF($B9="","",IF($G9="","",MAX(0,RaporTarihi-$G9)))</f>
        <v/>
      </c>
      <c r="L9" s="19" t="str">
        <f aca="false">IF($B9="","",IF($G9="","BEKLİYOR",IF(RaporTarihi-$G9&gt;0,"SÖZ GECİKTİ",IF($F9="Yerine getirildi","YERİNE GETİRİLDİ","BEKLİYOR"))))</f>
        <v/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19" t="str">
        <f aca="false">IF($B10="","",IF($G10="","",MAX(0,RaporTarihi-$G10)))</f>
        <v/>
      </c>
      <c r="L10" s="19" t="str">
        <f aca="false">IF($B10="","",IF($G10="","BEKLİYOR",IF(RaporTarihi-$G10&gt;0,"SÖZ GECİKTİ",IF($F10="Yerine getirildi","YERİNE GETİRİLDİ","BEKLİYOR"))))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19" t="str">
        <f aca="false">IF($B11="","",IF($G11="","",MAX(0,RaporTarihi-$G11)))</f>
        <v/>
      </c>
      <c r="L11" s="19" t="str">
        <f aca="false">IF($B11="","",IF($G11="","BEKLİYOR",IF(RaporTarihi-$G11&gt;0,"SÖZ GECİKTİ",IF($F11="Yerine getirildi","YERİNE GETİRİLDİ","BEKLİYOR"))))</f>
        <v/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19" t="str">
        <f aca="false">IF($B12="","",IF($G12="","",MAX(0,RaporTarihi-$G12)))</f>
        <v/>
      </c>
      <c r="L12" s="19" t="str">
        <f aca="false">IF($B12="","",IF($G12="","BEKLİYOR",IF(RaporTarihi-$G12&gt;0,"SÖZ GECİKTİ",IF($F12="Yerine getirildi","YERİNE GETİRİLDİ","BEKLİYOR"))))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19" t="str">
        <f aca="false">IF($B13="","",IF($G13="","",MAX(0,RaporTarihi-$G13)))</f>
        <v/>
      </c>
      <c r="L13" s="19" t="str">
        <f aca="false">IF($B13="","",IF($G13="","BEKLİYOR",IF(RaporTarihi-$G13&gt;0,"SÖZ GECİKTİ",IF($F13="Yerine getirildi","YERİNE GETİRİLDİ","BEKLİYOR"))))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19" t="str">
        <f aca="false">IF($B14="","",IF($G14="","",MAX(0,RaporTarihi-$G14)))</f>
        <v/>
      </c>
      <c r="L14" s="19" t="str">
        <f aca="false">IF($B14="","",IF($G14="","BEKLİYOR",IF(RaporTarihi-$G14&gt;0,"SÖZ GECİKTİ",IF($F14="Yerine getirildi","YERİNE GETİRİLDİ","BEKLİYOR"))))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19" t="str">
        <f aca="false">IF($B15="","",IF($G15="","",MAX(0,RaporTarihi-$G15)))</f>
        <v/>
      </c>
      <c r="L15" s="19" t="str">
        <f aca="false">IF($B15="","",IF($G15="","BEKLİYOR",IF(RaporTarihi-$G15&gt;0,"SÖZ GECİKTİ",IF($F15="Yerine getirildi","YERİNE GETİRİLDİ","BEKLİYOR"))))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19" t="str">
        <f aca="false">IF($B16="","",IF($G16="","",MAX(0,RaporTarihi-$G16)))</f>
        <v/>
      </c>
      <c r="L16" s="19" t="str">
        <f aca="false">IF($B16="","",IF($G16="","BEKLİYOR",IF(RaporTarihi-$G16&gt;0,"SÖZ GECİKTİ",IF($F16="Yerine getirildi","YERİNE GETİRİLDİ","BEKLİYOR"))))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19" t="str">
        <f aca="false">IF($B17="","",IF($G17="","",MAX(0,RaporTarihi-$G17)))</f>
        <v/>
      </c>
      <c r="L17" s="19" t="str">
        <f aca="false">IF($B17="","",IF($G17="","BEKLİYOR",IF(RaporTarihi-$G17&gt;0,"SÖZ GECİKTİ",IF($F17="Yerine getirildi","YERİNE GETİRİLDİ","BEKLİYOR"))))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19" t="str">
        <f aca="false">IF($B18="","",IF($G18="","",MAX(0,RaporTarihi-$G18)))</f>
        <v/>
      </c>
      <c r="L18" s="19" t="str">
        <f aca="false">IF($B18="","",IF($G18="","BEKLİYOR",IF(RaporTarihi-$G18&gt;0,"SÖZ GECİKTİ",IF($F18="Yerine getirildi","YERİNE GETİRİLDİ","BEKLİYOR"))))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19" t="str">
        <f aca="false">IF($B19="","",IF($G19="","",MAX(0,RaporTarihi-$G19)))</f>
        <v/>
      </c>
      <c r="L19" s="19" t="str">
        <f aca="false">IF($B19="","",IF($G19="","BEKLİYOR",IF(RaporTarihi-$G19&gt;0,"SÖZ GECİKTİ",IF($F19="Yerine getirildi","YERİNE GETİRİLDİ","BEKLİYOR"))))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19" t="str">
        <f aca="false">IF($B20="","",IF($G20="","",MAX(0,RaporTarihi-$G20)))</f>
        <v/>
      </c>
      <c r="L20" s="19" t="str">
        <f aca="false">IF($B20="","",IF($G20="","BEKLİYOR",IF(RaporTarihi-$G20&gt;0,"SÖZ GECİKTİ",IF($F20="Yerine getirildi","YERİNE GETİRİLDİ","BEKLİYOR"))))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19" t="str">
        <f aca="false">IF($B21="","",IF($G21="","",MAX(0,RaporTarihi-$G21)))</f>
        <v/>
      </c>
      <c r="L21" s="19" t="str">
        <f aca="false">IF($B21="","",IF($G21="","BEKLİYOR",IF(RaporTarihi-$G21&gt;0,"SÖZ GECİKTİ",IF($F21="Yerine getirildi","YERİNE GETİRİLDİ","BEKLİYOR"))))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19" t="str">
        <f aca="false">IF($B22="","",IF($G22="","",MAX(0,RaporTarihi-$G22)))</f>
        <v/>
      </c>
      <c r="L22" s="19" t="str">
        <f aca="false">IF($B22="","",IF($G22="","BEKLİYOR",IF(RaporTarihi-$G22&gt;0,"SÖZ GECİKTİ",IF($F22="Yerine getirildi","YERİNE GETİRİLDİ","BEKLİYOR"))))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19" t="str">
        <f aca="false">IF($B23="","",IF($G23="","",MAX(0,RaporTarihi-$G23)))</f>
        <v/>
      </c>
      <c r="L23" s="19" t="str">
        <f aca="false">IF($B23="","",IF($G23="","BEKLİYOR",IF(RaporTarihi-$G23&gt;0,"SÖZ GECİKTİ",IF($F23="Yerine getirildi","YERİNE GETİRİLDİ","BEKLİYOR"))))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19" t="str">
        <f aca="false">IF($B24="","",IF($G24="","",MAX(0,RaporTarihi-$G24)))</f>
        <v/>
      </c>
      <c r="L24" s="19" t="str">
        <f aca="false">IF($B24="","",IF($G24="","BEKLİYOR",IF(RaporTarihi-$G24&gt;0,"SÖZ GECİKTİ",IF($F24="Yerine getirildi","YERİNE GETİRİLDİ","BEKLİYOR"))))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19" t="str">
        <f aca="false">IF($B25="","",IF($G25="","",MAX(0,RaporTarihi-$G25)))</f>
        <v/>
      </c>
      <c r="L25" s="19" t="str">
        <f aca="false">IF($B25="","",IF($G25="","BEKLİYOR",IF(RaporTarihi-$G25&gt;0,"SÖZ GECİKTİ",IF($F25="Yerine getirildi","YERİNE GETİRİLDİ","BEKLİYOR"))))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19" t="str">
        <f aca="false">IF($B26="","",IF($G26="","",MAX(0,RaporTarihi-$G26)))</f>
        <v/>
      </c>
      <c r="L26" s="19" t="str">
        <f aca="false">IF($B26="","",IF($G26="","BEKLİYOR",IF(RaporTarihi-$G26&gt;0,"SÖZ GECİKTİ",IF($F26="Yerine getirildi","YERİNE GETİRİLDİ","BEKLİYOR"))))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19" t="str">
        <f aca="false">IF($B27="","",IF($G27="","",MAX(0,RaporTarihi-$G27)))</f>
        <v/>
      </c>
      <c r="L27" s="19" t="str">
        <f aca="false">IF($B27="","",IF($G27="","BEKLİYOR",IF(RaporTarihi-$G27&gt;0,"SÖZ GECİKTİ",IF($F27="Yerine getirildi","YERİNE GETİRİLDİ","BEKLİYOR"))))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19" t="str">
        <f aca="false">IF($B28="","",IF($G28="","",MAX(0,RaporTarihi-$G28)))</f>
        <v/>
      </c>
      <c r="L28" s="19" t="str">
        <f aca="false">IF($B28="","",IF($G28="","BEKLİYOR",IF(RaporTarihi-$G28&gt;0,"SÖZ GECİKTİ",IF($F28="Yerine getirildi","YERİNE GETİRİLDİ","BEKLİYOR"))))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19" t="str">
        <f aca="false">IF($B29="","",IF($G29="","",MAX(0,RaporTarihi-$G29)))</f>
        <v/>
      </c>
      <c r="L29" s="19" t="str">
        <f aca="false">IF($B29="","",IF($G29="","BEKLİYOR",IF(RaporTarihi-$G29&gt;0,"SÖZ GECİKTİ",IF($F29="Yerine getirildi","YERİNE GETİRİLDİ","BEKLİYOR"))))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19" t="str">
        <f aca="false">IF($B30="","",IF($G30="","",MAX(0,RaporTarihi-$G30)))</f>
        <v/>
      </c>
      <c r="L30" s="19" t="str">
        <f aca="false">IF($B30="","",IF($G30="","BEKLİYOR",IF(RaporTarihi-$G30&gt;0,"SÖZ GECİKTİ",IF($F30="Yerine getirildi","YERİNE GETİRİLDİ","BEKLİYOR"))))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19" t="str">
        <f aca="false">IF($B31="","",IF($G31="","",MAX(0,RaporTarihi-$G31)))</f>
        <v/>
      </c>
      <c r="L31" s="19" t="str">
        <f aca="false">IF($B31="","",IF($G31="","BEKLİYOR",IF(RaporTarihi-$G31&gt;0,"SÖZ GECİKTİ",IF($F31="Yerine getirildi","YERİNE GETİRİLDİ","BEKLİYOR"))))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19" t="str">
        <f aca="false">IF($B32="","",IF($G32="","",MAX(0,RaporTarihi-$G32)))</f>
        <v/>
      </c>
      <c r="L32" s="19" t="str">
        <f aca="false">IF($B32="","",IF($G32="","BEKLİYOR",IF(RaporTarihi-$G32&gt;0,"SÖZ GECİKTİ",IF($F32="Yerine getirildi","YERİNE GETİRİLDİ","BEKLİYOR"))))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19" t="str">
        <f aca="false">IF($B33="","",IF($G33="","",MAX(0,RaporTarihi-$G33)))</f>
        <v/>
      </c>
      <c r="L33" s="19" t="str">
        <f aca="false">IF($B33="","",IF($G33="","BEKLİYOR",IF(RaporTarihi-$G33&gt;0,"SÖZ GECİKTİ",IF($F33="Yerine getirildi","YERİNE GETİRİLDİ","BEKLİYOR"))))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 t="str">
        <f aca="false">IF($B34="","",IF($G34="","",MAX(0,RaporTarihi-$G34)))</f>
        <v/>
      </c>
      <c r="L34" s="19" t="str">
        <f aca="false">IF($B34="","",IF($G34="","BEKLİYOR",IF(RaporTarihi-$G34&gt;0,"SÖZ GECİKTİ",IF($F34="Yerine getirildi","YERİNE GETİRİLDİ","BEKLİYOR"))))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 t="str">
        <f aca="false">IF($B35="","",IF($G35="","",MAX(0,RaporTarihi-$G35)))</f>
        <v/>
      </c>
      <c r="L35" s="19" t="str">
        <f aca="false">IF($B35="","",IF($G35="","BEKLİYOR",IF(RaporTarihi-$G35&gt;0,"SÖZ GECİKTİ",IF($F35="Yerine getirildi","YERİNE GETİRİLDİ","BEKLİYOR"))))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19" t="str">
        <f aca="false">IF($B36="","",IF($G36="","",MAX(0,RaporTarihi-$G36)))</f>
        <v/>
      </c>
      <c r="L36" s="19" t="str">
        <f aca="false">IF($B36="","",IF($G36="","BEKLİYOR",IF(RaporTarihi-$G36&gt;0,"SÖZ GECİKTİ",IF($F36="Yerine getirildi","YERİNE GETİRİLDİ","BEKLİYOR"))))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19" t="str">
        <f aca="false">IF($B37="","",IF($G37="","",MAX(0,RaporTarihi-$G37)))</f>
        <v/>
      </c>
      <c r="L37" s="19" t="str">
        <f aca="false">IF($B37="","",IF($G37="","BEKLİYOR",IF(RaporTarihi-$G37&gt;0,"SÖZ GECİKTİ",IF($F37="Yerine getirildi","YERİNE GETİRİLDİ","BEKLİYOR"))))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19" t="str">
        <f aca="false">IF($B38="","",IF($G38="","",MAX(0,RaporTarihi-$G38)))</f>
        <v/>
      </c>
      <c r="L38" s="19" t="str">
        <f aca="false">IF($B38="","",IF($G38="","BEKLİYOR",IF(RaporTarihi-$G38&gt;0,"SÖZ GECİKTİ",IF($F38="Yerine getirildi","YERİNE GETİRİLDİ","BEKLİYOR"))))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19" t="str">
        <f aca="false">IF($B39="","",IF($G39="","",MAX(0,RaporTarihi-$G39)))</f>
        <v/>
      </c>
      <c r="L39" s="19" t="str">
        <f aca="false">IF($B39="","",IF($G39="","BEKLİYOR",IF(RaporTarihi-$G39&gt;0,"SÖZ GECİKTİ",IF($F39="Yerine getirildi","YERİNE GETİRİLDİ","BEKLİYOR"))))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19" t="str">
        <f aca="false">IF($B40="","",IF($G40="","",MAX(0,RaporTarihi-$G40)))</f>
        <v/>
      </c>
      <c r="L40" s="19" t="str">
        <f aca="false">IF($B40="","",IF($G40="","BEKLİYOR",IF(RaporTarihi-$G40&gt;0,"SÖZ GECİKTİ",IF($F40="Yerine getirildi","YERİNE GETİRİLDİ","BEKLİYOR"))))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19" t="str">
        <f aca="false">IF($B41="","",IF($G41="","",MAX(0,RaporTarihi-$G41)))</f>
        <v/>
      </c>
      <c r="L41" s="19" t="str">
        <f aca="false">IF($B41="","",IF($G41="","BEKLİYOR",IF(RaporTarihi-$G41&gt;0,"SÖZ GECİKTİ",IF($F41="Yerine getirildi","YERİNE GETİRİLDİ","BEKLİYOR"))))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19" t="str">
        <f aca="false">IF($B42="","",IF($G42="","",MAX(0,RaporTarihi-$G42)))</f>
        <v/>
      </c>
      <c r="L42" s="19" t="str">
        <f aca="false">IF($B42="","",IF($G42="","BEKLİYOR",IF(RaporTarihi-$G42&gt;0,"SÖZ GECİKTİ",IF($F42="Yerine getirildi","YERİNE GETİRİLDİ","BEKLİYOR"))))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19" t="str">
        <f aca="false">IF($B43="","",IF($G43="","",MAX(0,RaporTarihi-$G43)))</f>
        <v/>
      </c>
      <c r="L43" s="19" t="str">
        <f aca="false">IF($B43="","",IF($G43="","BEKLİYOR",IF(RaporTarihi-$G43&gt;0,"SÖZ GECİKTİ",IF($F43="Yerine getirildi","YERİNE GETİRİLDİ","BEKLİYOR"))))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19" t="str">
        <f aca="false">IF($B44="","",IF($G44="","",MAX(0,RaporTarihi-$G44)))</f>
        <v/>
      </c>
      <c r="L44" s="19" t="str">
        <f aca="false">IF($B44="","",IF($G44="","BEKLİYOR",IF(RaporTarihi-$G44&gt;0,"SÖZ GECİKTİ",IF($F44="Yerine getirildi","YERİNE GETİRİLDİ","BEKLİYOR"))))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19" t="str">
        <f aca="false">IF($B45="","",IF($G45="","",MAX(0,RaporTarihi-$G45)))</f>
        <v/>
      </c>
      <c r="L45" s="19" t="str">
        <f aca="false">IF($B45="","",IF($G45="","BEKLİYOR",IF(RaporTarihi-$G45&gt;0,"SÖZ GECİKTİ",IF($F45="Yerine getirildi","YERİNE GETİRİLDİ","BEKLİYOR"))))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</row>
  </sheetData>
  <sheetProtection sheet="true" password="cc3d" objects="true" scenarios="true" deleteColumns="false" deleteRows="false"/>
  <mergeCells count="2">
    <mergeCell ref="A1:AN1"/>
    <mergeCell ref="A3:L3"/>
  </mergeCells>
  <conditionalFormatting sqref="G6:G204">
    <cfRule type="cellIs" priority="2" operator="lessThan" aboveAverage="0" equalAverage="0" bottom="0" percent="0" rank="0" text="" dxfId="11">
      <formula>0</formula>
    </cfRule>
  </conditionalFormatting>
  <conditionalFormatting sqref="H6:H204">
    <cfRule type="cellIs" priority="3" operator="lessThan" aboveAverage="0" equalAverage="0" bottom="0" percent="0" rank="0" text="" dxfId="11">
      <formula>0</formula>
    </cfRule>
  </conditionalFormatting>
  <conditionalFormatting sqref="L6:L204">
    <cfRule type="cellIs" priority="4" operator="equal" aboveAverage="0" equalAverage="0" bottom="0" percent="0" rank="0" text="" dxfId="11">
      <formula>"SÖZ GECİKTİ"</formula>
    </cfRule>
    <cfRule type="cellIs" priority="5" operator="equal" aboveAverage="0" equalAverage="0" bottom="0" percent="0" rank="0" text="" dxfId="10">
      <formula>"BEKLİYOR"</formula>
    </cfRule>
    <cfRule type="cellIs" priority="6" operator="equal" aboveAverage="0" equalAverage="0" bottom="0" percent="0" rank="0" text="" dxfId="9">
      <formula>"YERİNE GETİRİLDİ"</formula>
    </cfRule>
  </conditionalFormatting>
  <dataValidations count="2">
    <dataValidation allowBlank="true" error="Lütfen geçerli bir iletişim kanalı seçin." errorStyle="stop" errorTitle="Geçersiz Kanal" operator="between" prompt="Telefon, E-posta, Yüz yüze veya Yazılı seçin." promptTitle="İletişim Kanalı" showDropDown="false" showErrorMessage="true" showInputMessage="true" sqref="E6:E204" type="list">
      <formula1>ListeIletisimKanali</formula1>
      <formula2>0</formula2>
    </dataValidation>
    <dataValidation allowBlank="true" error="Söz verilen tutar 0'dan büyük olmalıdır." errorStyle="stop" errorTitle="Geçersiz Tutar" operator="greaterThan" prompt="Sıfırdan büyük tutar girin." promptTitle="Söz Verilen Tutar" showDropDown="false" showErrorMessage="true" showInputMessage="true" sqref="H6:H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10" min="9" style="0" width="14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177</v>
      </c>
      <c r="B3" s="13"/>
      <c r="C3" s="13"/>
      <c r="D3" s="13"/>
      <c r="E3" s="13"/>
      <c r="F3" s="13"/>
      <c r="G3" s="13"/>
      <c r="H3" s="13"/>
      <c r="I3" s="13"/>
      <c r="J3" s="13"/>
    </row>
    <row r="5" customFormat="false" ht="30" hidden="false" customHeight="true" outlineLevel="0" collapsed="false">
      <c r="A5" s="14" t="s">
        <v>84</v>
      </c>
      <c r="B5" s="14" t="s">
        <v>29</v>
      </c>
      <c r="C5" s="14" t="s">
        <v>86</v>
      </c>
      <c r="D5" s="14" t="s">
        <v>92</v>
      </c>
      <c r="E5" s="14" t="s">
        <v>178</v>
      </c>
      <c r="F5" s="14" t="s">
        <v>179</v>
      </c>
      <c r="G5" s="14" t="s">
        <v>180</v>
      </c>
      <c r="H5" s="14" t="s">
        <v>181</v>
      </c>
      <c r="I5" s="14" t="s">
        <v>93</v>
      </c>
      <c r="J5" s="14" t="s">
        <v>94</v>
      </c>
    </row>
    <row r="6" customFormat="false" ht="16.4" hidden="false" customHeight="false" outlineLevel="0" collapsed="false">
      <c r="A6" s="19" t="str">
        <f aca="false">FATURALAR!$B6</f>
        <v>2026-001</v>
      </c>
      <c r="B6" s="19" t="str">
        <f aca="false">FATURALAR!$C6</f>
        <v>M001</v>
      </c>
      <c r="C6" s="24" t="n">
        <f aca="false">FATURALAR!$E6</f>
        <v>46151</v>
      </c>
      <c r="D6" s="19" t="n">
        <f aca="false">FATURALAR!$K6</f>
        <v>750000</v>
      </c>
      <c r="E6" s="19" t="n">
        <f aca="false">SUMIFS(tblTahsilatlar[Tahsilat Tutarı],tblTahsilatlar[Fatura Numarası],$A6,tblTahsilatlar[Kesinleşti mi?],"Evet")</f>
        <v>550000</v>
      </c>
      <c r="F6" s="19" t="n">
        <f aca="false">IF($D6="","",MAX(0,$D6-$E6))</f>
        <v>200000</v>
      </c>
      <c r="G6" s="19" t="n">
        <f aca="false">IF($F6="","",IF($F6=0,0,MAX(0,RaporTarihi-$C6)))</f>
        <v>88</v>
      </c>
      <c r="H6" s="19" t="str">
        <f aca="false">IF($F6="","",IF($F6=0,"KAPALI",IF($G6&lt;=0,"VADESİ GELMEMİŞ",IF($G6&lt;=YaslamaDilim1,"1-"&amp;TEXT(YaslamaDilim1,"0"),IF($G6&lt;=YaslamaDilim2,TEXT(YaslamaDilim1+1,"0")&amp;"-"&amp;TEXT(YaslamaDilim2,"0"),IF($G6&lt;=YaslamaDilim3,TEXT(YaslamaDilim2+1,"0")&amp;"-"&amp;TEXT(YaslamaDilim3,"0"),TEXT(YaslamaDilim3+1,"0")&amp;"+"))))))</f>
        <v>61+</v>
      </c>
      <c r="I6" s="19" t="str">
        <f aca="false">IF(FATURALAR!$L6=0,"",FATURALAR!$L6)</f>
        <v/>
      </c>
      <c r="J6" s="19" t="str">
        <f aca="false">IF(FATURALAR!$M6=0,"",FATURALAR!$M6)</f>
        <v/>
      </c>
    </row>
    <row r="7" customFormat="false" ht="16.4" hidden="false" customHeight="false" outlineLevel="0" collapsed="false">
      <c r="A7" s="19" t="str">
        <f aca="false">FATURALAR!$B7</f>
        <v>2026-002</v>
      </c>
      <c r="B7" s="19" t="str">
        <f aca="false">FATURALAR!$C7</f>
        <v>M001</v>
      </c>
      <c r="C7" s="24" t="n">
        <f aca="false">FATURALAR!$E7</f>
        <v>46248</v>
      </c>
      <c r="D7" s="19" t="n">
        <f aca="false">FATURALAR!$K7</f>
        <v>520000</v>
      </c>
      <c r="E7" s="19" t="n">
        <f aca="false">SUMIFS(tblTahsilatlar[Tahsilat Tutarı],tblTahsilatlar[Fatura Numarası],$A7,tblTahsilatlar[Kesinleşti mi?],"Evet")</f>
        <v>0</v>
      </c>
      <c r="F7" s="19" t="n">
        <f aca="false">IF($D7="","",MAX(0,$D7-$E7))</f>
        <v>520000</v>
      </c>
      <c r="G7" s="19" t="n">
        <f aca="false">IF($F7="","",IF($F7=0,0,MAX(0,RaporTarihi-$C7)))</f>
        <v>0</v>
      </c>
      <c r="H7" s="19" t="str">
        <f aca="false">IF($F7="","",IF($F7=0,"KAPALI",IF($G7&lt;=0,"VADESİ GELMEMİŞ",IF($G7&lt;=YaslamaDilim1,"1-"&amp;TEXT(YaslamaDilim1,"0"),IF($G7&lt;=YaslamaDilim2,TEXT(YaslamaDilim1+1,"0")&amp;"-"&amp;TEXT(YaslamaDilim2,"0"),IF($G7&lt;=YaslamaDilim3,TEXT(YaslamaDilim2+1,"0")&amp;"-"&amp;TEXT(YaslamaDilim3,"0"),TEXT(YaslamaDilim3+1,"0")&amp;"+"))))))</f>
        <v>VADESİ GELMEMİŞ</v>
      </c>
      <c r="I7" s="19" t="str">
        <f aca="false">IF(FATURALAR!$L7=0,"",FATURALAR!$L7)</f>
        <v/>
      </c>
      <c r="J7" s="19" t="str">
        <f aca="false">IF(FATURALAR!$M7=0,"",FATURALAR!$M7)</f>
        <v/>
      </c>
    </row>
    <row r="8" customFormat="false" ht="16.4" hidden="false" customHeight="false" outlineLevel="0" collapsed="false">
      <c r="A8" s="19" t="str">
        <f aca="false">FATURALAR!$B8</f>
        <v>2026-003</v>
      </c>
      <c r="B8" s="19" t="str">
        <f aca="false">FATURALAR!$C8</f>
        <v>M002</v>
      </c>
      <c r="C8" s="24" t="n">
        <f aca="false">FATURALAR!$E8</f>
        <v>46249</v>
      </c>
      <c r="D8" s="19" t="n">
        <f aca="false">FATURALAR!$K8</f>
        <v>400000</v>
      </c>
      <c r="E8" s="19" t="n">
        <f aca="false">SUMIFS(tblTahsilatlar[Tahsilat Tutarı],tblTahsilatlar[Fatura Numarası],$A8,tblTahsilatlar[Kesinleşti mi?],"Evet")</f>
        <v>180000</v>
      </c>
      <c r="F8" s="19" t="n">
        <f aca="false">IF($D8="","",MAX(0,$D8-$E8))</f>
        <v>220000</v>
      </c>
      <c r="G8" s="19" t="n">
        <f aca="false">IF($F8="","",IF($F8=0,0,MAX(0,RaporTarihi-$C8)))</f>
        <v>0</v>
      </c>
      <c r="H8" s="19" t="str">
        <f aca="false">IF($F8="","",IF($F8=0,"KAPALI",IF($G8&lt;=0,"VADESİ GELMEMİŞ",IF($G8&lt;=YaslamaDilim1,"1-"&amp;TEXT(YaslamaDilim1,"0"),IF($G8&lt;=YaslamaDilim2,TEXT(YaslamaDilim1+1,"0")&amp;"-"&amp;TEXT(YaslamaDilim2,"0"),IF($G8&lt;=YaslamaDilim3,TEXT(YaslamaDilim2+1,"0")&amp;"-"&amp;TEXT(YaslamaDilim3,"0"),TEXT(YaslamaDilim3+1,"0")&amp;"+"))))))</f>
        <v>VADESİ GELMEMİŞ</v>
      </c>
      <c r="I8" s="19" t="str">
        <f aca="false">IF(FATURALAR!$L8=0,"",FATURALAR!$L8)</f>
        <v/>
      </c>
      <c r="J8" s="19" t="str">
        <f aca="false">IF(FATURALAR!$M8=0,"",FATURALAR!$M8)</f>
        <v/>
      </c>
    </row>
    <row r="9" customFormat="false" ht="16.4" hidden="false" customHeight="false" outlineLevel="0" collapsed="false">
      <c r="A9" s="19" t="str">
        <f aca="false">FATURALAR!$B9</f>
        <v>2026-004</v>
      </c>
      <c r="B9" s="19" t="str">
        <f aca="false">FATURALAR!$C9</f>
        <v>M003</v>
      </c>
      <c r="C9" s="24" t="n">
        <f aca="false">FATURALAR!$E9</f>
        <v>46192</v>
      </c>
      <c r="D9" s="19" t="n">
        <f aca="false">FATURALAR!$K9</f>
        <v>680000</v>
      </c>
      <c r="E9" s="19" t="n">
        <f aca="false">SUMIFS(tblTahsilatlar[Tahsilat Tutarı],tblTahsilatlar[Fatura Numarası],$A9,tblTahsilatlar[Kesinleşti mi?],"Evet")</f>
        <v>0</v>
      </c>
      <c r="F9" s="19" t="n">
        <f aca="false">IF($D9="","",MAX(0,$D9-$E9))</f>
        <v>680000</v>
      </c>
      <c r="G9" s="19" t="n">
        <f aca="false">IF($F9="","",IF($F9=0,0,MAX(0,RaporTarihi-$C9)))</f>
        <v>47</v>
      </c>
      <c r="H9" s="19" t="str">
        <f aca="false">IF($F9="","",IF($F9=0,"KAPALI",IF($G9&lt;=0,"VADESİ GELMEMİŞ",IF($G9&lt;=YaslamaDilim1,"1-"&amp;TEXT(YaslamaDilim1,"0"),IF($G9&lt;=YaslamaDilim2,TEXT(YaslamaDilim1+1,"0")&amp;"-"&amp;TEXT(YaslamaDilim2,"0"),IF($G9&lt;=YaslamaDilim3,TEXT(YaslamaDilim2+1,"0")&amp;"-"&amp;TEXT(YaslamaDilim3,"0"),TEXT(YaslamaDilim3+1,"0")&amp;"+"))))))</f>
        <v>31-60</v>
      </c>
      <c r="I9" s="25" t="n">
        <f aca="false">IF(FATURALAR!$L9=0,"",FATURALAR!$L9)</f>
        <v>150000</v>
      </c>
      <c r="J9" s="19" t="str">
        <f aca="false">IF(FATURALAR!$M9=0,"",FATURALAR!$M9)</f>
        <v/>
      </c>
    </row>
    <row r="10" customFormat="false" ht="16.4" hidden="false" customHeight="false" outlineLevel="0" collapsed="false">
      <c r="A10" s="19" t="str">
        <f aca="false">FATURALAR!$B10</f>
        <v>2026-005</v>
      </c>
      <c r="B10" s="19" t="str">
        <f aca="false">FATURALAR!$C10</f>
        <v>M004</v>
      </c>
      <c r="C10" s="24" t="n">
        <f aca="false">FATURALAR!$E10</f>
        <v>46153</v>
      </c>
      <c r="D10" s="19" t="n">
        <f aca="false">FATURALAR!$K10</f>
        <v>1500000</v>
      </c>
      <c r="E10" s="19" t="n">
        <f aca="false">SUMIFS(tblTahsilatlar[Tahsilat Tutarı],tblTahsilatlar[Fatura Numarası],$A10,tblTahsilatlar[Kesinleşti mi?],"Evet")</f>
        <v>0</v>
      </c>
      <c r="F10" s="19" t="n">
        <f aca="false">IF($D10="","",MAX(0,$D10-$E10))</f>
        <v>1500000</v>
      </c>
      <c r="G10" s="19" t="n">
        <f aca="false">IF($F10="","",IF($F10=0,0,MAX(0,RaporTarihi-$C10)))</f>
        <v>86</v>
      </c>
      <c r="H10" s="19" t="str">
        <f aca="false">IF($F10="","",IF($F10=0,"KAPALI",IF($G10&lt;=0,"VADESİ GELMEMİŞ",IF($G10&lt;=YaslamaDilim1,"1-"&amp;TEXT(YaslamaDilim1,"0"),IF($G10&lt;=YaslamaDilim2,TEXT(YaslamaDilim1+1,"0")&amp;"-"&amp;TEXT(YaslamaDilim2,"0"),IF($G10&lt;=YaslamaDilim3,TEXT(YaslamaDilim2+1,"0")&amp;"-"&amp;TEXT(YaslamaDilim3,"0"),TEXT(YaslamaDilim3+1,"0")&amp;"+"))))))</f>
        <v>61+</v>
      </c>
      <c r="I10" s="19" t="str">
        <f aca="false">IF(FATURALAR!$L10=0,"",FATURALAR!$L10)</f>
        <v/>
      </c>
      <c r="J10" s="19" t="str">
        <f aca="false">IF(FATURALAR!$M10=0,"",FATURALAR!$M10)</f>
        <v/>
      </c>
    </row>
    <row r="11" customFormat="false" ht="16.4" hidden="false" customHeight="false" outlineLevel="0" collapsed="false">
      <c r="A11" s="19" t="str">
        <f aca="false">FATURALAR!$B11</f>
        <v>2026-006</v>
      </c>
      <c r="B11" s="19" t="str">
        <f aca="false">FATURALAR!$C11</f>
        <v>M003</v>
      </c>
      <c r="C11" s="24" t="n">
        <f aca="false">FATURALAR!$E11</f>
        <v>46243</v>
      </c>
      <c r="D11" s="19" t="n">
        <f aca="false">FATURALAR!$K11</f>
        <v>260000</v>
      </c>
      <c r="E11" s="19" t="n">
        <f aca="false">SUMIFS(tblTahsilatlar[Tahsilat Tutarı],tblTahsilatlar[Fatura Numarası],$A11,tblTahsilatlar[Kesinleşti mi?],"Evet")</f>
        <v>0</v>
      </c>
      <c r="F11" s="19" t="n">
        <f aca="false">IF($D11="","",MAX(0,$D11-$E11))</f>
        <v>260000</v>
      </c>
      <c r="G11" s="19" t="n">
        <f aca="false">IF($F11="","",IF($F11=0,0,MAX(0,RaporTarihi-$C11)))</f>
        <v>0</v>
      </c>
      <c r="H11" s="19" t="str">
        <f aca="false">IF($F11="","",IF($F11=0,"KAPALI",IF($G11&lt;=0,"VADESİ GELMEMİŞ",IF($G11&lt;=YaslamaDilim1,"1-"&amp;TEXT(YaslamaDilim1,"0"),IF($G11&lt;=YaslamaDilim2,TEXT(YaslamaDilim1+1,"0")&amp;"-"&amp;TEXT(YaslamaDilim2,"0"),IF($G11&lt;=YaslamaDilim3,TEXT(YaslamaDilim2+1,"0")&amp;"-"&amp;TEXT(YaslamaDilim3,"0"),TEXT(YaslamaDilim3+1,"0")&amp;"+"))))))</f>
        <v>VADESİ GELMEMİŞ</v>
      </c>
      <c r="I11" s="19" t="str">
        <f aca="false">IF(FATURALAR!$L11=0,"",FATURALAR!$L11)</f>
        <v/>
      </c>
      <c r="J11" s="19" t="str">
        <f aca="false">IF(FATURALAR!$M11=0,"",FATURALAR!$M11)</f>
        <v/>
      </c>
    </row>
    <row r="12" customFormat="false" ht="15" hidden="false" customHeight="false" outlineLevel="0" collapsed="false">
      <c r="A12" s="19" t="n">
        <f aca="false">FATURALAR!$B12</f>
        <v>0</v>
      </c>
      <c r="B12" s="19" t="n">
        <f aca="false">FATURALAR!$C12</f>
        <v>0</v>
      </c>
      <c r="C12" s="19" t="n">
        <f aca="false">FATURALAR!$E12</f>
        <v>0</v>
      </c>
      <c r="D12" s="19" t="str">
        <f aca="false">FATURALAR!$K12</f>
        <v/>
      </c>
      <c r="E12" s="19" t="n">
        <f aca="false">SUMIFS(tblTahsilatlar[Tahsilat Tutarı],tblTahsilatlar[Fatura Numarası],$A12,tblTahsilatlar[Kesinleşti mi?],"Evet")</f>
        <v>0</v>
      </c>
      <c r="F12" s="19" t="str">
        <f aca="false">IF($D12="","",MAX(0,$D12-$E12))</f>
        <v/>
      </c>
      <c r="G12" s="19" t="str">
        <f aca="false">IF($F12="","",IF($F12=0,0,MAX(0,RaporTarihi-$C12)))</f>
        <v/>
      </c>
      <c r="H12" s="19" t="str">
        <f aca="false">IF($F12="","",IF($F12=0,"KAPALI",IF($G12&lt;=0,"VADESİ GELMEMİŞ",IF($G12&lt;=YaslamaDilim1,"1-"&amp;TEXT(YaslamaDilim1,"0"),IF($G12&lt;=YaslamaDilim2,TEXT(YaslamaDilim1+1,"0")&amp;"-"&amp;TEXT(YaslamaDilim2,"0"),IF($G12&lt;=YaslamaDilim3,TEXT(YaslamaDilim2+1,"0")&amp;"-"&amp;TEXT(YaslamaDilim3,"0"),TEXT(YaslamaDilim3+1,"0")&amp;"+"))))))</f>
        <v/>
      </c>
      <c r="I12" s="19" t="str">
        <f aca="false">IF(FATURALAR!$L12=0,"",FATURALAR!$L12)</f>
        <v/>
      </c>
      <c r="J12" s="19" t="str">
        <f aca="false">IF(FATURALAR!$M12=0,"",FATURALAR!$M12)</f>
        <v/>
      </c>
    </row>
    <row r="13" customFormat="false" ht="15" hidden="false" customHeight="false" outlineLevel="0" collapsed="false">
      <c r="A13" s="19" t="n">
        <f aca="false">FATURALAR!$B13</f>
        <v>0</v>
      </c>
      <c r="B13" s="19" t="n">
        <f aca="false">FATURALAR!$C13</f>
        <v>0</v>
      </c>
      <c r="C13" s="19" t="n">
        <f aca="false">FATURALAR!$E13</f>
        <v>0</v>
      </c>
      <c r="D13" s="19" t="str">
        <f aca="false">FATURALAR!$K13</f>
        <v/>
      </c>
      <c r="E13" s="19" t="n">
        <f aca="false">SUMIFS(tblTahsilatlar[Tahsilat Tutarı],tblTahsilatlar[Fatura Numarası],$A13,tblTahsilatlar[Kesinleşti mi?],"Evet")</f>
        <v>0</v>
      </c>
      <c r="F13" s="19" t="str">
        <f aca="false">IF($D13="","",MAX(0,$D13-$E13))</f>
        <v/>
      </c>
      <c r="G13" s="19" t="str">
        <f aca="false">IF($F13="","",IF($F13=0,0,MAX(0,RaporTarihi-$C13)))</f>
        <v/>
      </c>
      <c r="H13" s="19" t="str">
        <f aca="false">IF($F13="","",IF($F13=0,"KAPALI",IF($G13&lt;=0,"VADESİ GELMEMİŞ",IF($G13&lt;=YaslamaDilim1,"1-"&amp;TEXT(YaslamaDilim1,"0"),IF($G13&lt;=YaslamaDilim2,TEXT(YaslamaDilim1+1,"0")&amp;"-"&amp;TEXT(YaslamaDilim2,"0"),IF($G13&lt;=YaslamaDilim3,TEXT(YaslamaDilim2+1,"0")&amp;"-"&amp;TEXT(YaslamaDilim3,"0"),TEXT(YaslamaDilim3+1,"0")&amp;"+"))))))</f>
        <v/>
      </c>
      <c r="I13" s="19" t="str">
        <f aca="false">IF(FATURALAR!$L13=0,"",FATURALAR!$L13)</f>
        <v/>
      </c>
      <c r="J13" s="19" t="str">
        <f aca="false">IF(FATURALAR!$M13=0,"",FATURALAR!$M13)</f>
        <v/>
      </c>
    </row>
    <row r="14" customFormat="false" ht="15" hidden="false" customHeight="false" outlineLevel="0" collapsed="false">
      <c r="A14" s="19" t="n">
        <f aca="false">FATURALAR!$B14</f>
        <v>0</v>
      </c>
      <c r="B14" s="19" t="n">
        <f aca="false">FATURALAR!$C14</f>
        <v>0</v>
      </c>
      <c r="C14" s="19" t="n">
        <f aca="false">FATURALAR!$E14</f>
        <v>0</v>
      </c>
      <c r="D14" s="19" t="str">
        <f aca="false">FATURALAR!$K14</f>
        <v/>
      </c>
      <c r="E14" s="19" t="n">
        <f aca="false">SUMIFS(tblTahsilatlar[Tahsilat Tutarı],tblTahsilatlar[Fatura Numarası],$A14,tblTahsilatlar[Kesinleşti mi?],"Evet")</f>
        <v>0</v>
      </c>
      <c r="F14" s="19" t="str">
        <f aca="false">IF($D14="","",MAX(0,$D14-$E14))</f>
        <v/>
      </c>
      <c r="G14" s="19" t="str">
        <f aca="false">IF($F14="","",IF($F14=0,0,MAX(0,RaporTarihi-$C14)))</f>
        <v/>
      </c>
      <c r="H14" s="19" t="str">
        <f aca="false">IF($F14="","",IF($F14=0,"KAPALI",IF($G14&lt;=0,"VADESİ GELMEMİŞ",IF($G14&lt;=YaslamaDilim1,"1-"&amp;TEXT(YaslamaDilim1,"0"),IF($G14&lt;=YaslamaDilim2,TEXT(YaslamaDilim1+1,"0")&amp;"-"&amp;TEXT(YaslamaDilim2,"0"),IF($G14&lt;=YaslamaDilim3,TEXT(YaslamaDilim2+1,"0")&amp;"-"&amp;TEXT(YaslamaDilim3,"0"),TEXT(YaslamaDilim3+1,"0")&amp;"+"))))))</f>
        <v/>
      </c>
      <c r="I14" s="19" t="str">
        <f aca="false">IF(FATURALAR!$L14=0,"",FATURALAR!$L14)</f>
        <v/>
      </c>
      <c r="J14" s="19" t="str">
        <f aca="false">IF(FATURALAR!$M14=0,"",FATURALAR!$M14)</f>
        <v/>
      </c>
    </row>
    <row r="15" customFormat="false" ht="15" hidden="false" customHeight="false" outlineLevel="0" collapsed="false">
      <c r="A15" s="19" t="n">
        <f aca="false">FATURALAR!$B15</f>
        <v>0</v>
      </c>
      <c r="B15" s="19" t="n">
        <f aca="false">FATURALAR!$C15</f>
        <v>0</v>
      </c>
      <c r="C15" s="19" t="n">
        <f aca="false">FATURALAR!$E15</f>
        <v>0</v>
      </c>
      <c r="D15" s="19" t="str">
        <f aca="false">FATURALAR!$K15</f>
        <v/>
      </c>
      <c r="E15" s="19" t="n">
        <f aca="false">SUMIFS(tblTahsilatlar[Tahsilat Tutarı],tblTahsilatlar[Fatura Numarası],$A15,tblTahsilatlar[Kesinleşti mi?],"Evet")</f>
        <v>0</v>
      </c>
      <c r="F15" s="19" t="str">
        <f aca="false">IF($D15="","",MAX(0,$D15-$E15))</f>
        <v/>
      </c>
      <c r="G15" s="19" t="str">
        <f aca="false">IF($F15="","",IF($F15=0,0,MAX(0,RaporTarihi-$C15)))</f>
        <v/>
      </c>
      <c r="H15" s="19" t="str">
        <f aca="false">IF($F15="","",IF($F15=0,"KAPALI",IF($G15&lt;=0,"VADESİ GELMEMİŞ",IF($G15&lt;=YaslamaDilim1,"1-"&amp;TEXT(YaslamaDilim1,"0"),IF($G15&lt;=YaslamaDilim2,TEXT(YaslamaDilim1+1,"0")&amp;"-"&amp;TEXT(YaslamaDilim2,"0"),IF($G15&lt;=YaslamaDilim3,TEXT(YaslamaDilim2+1,"0")&amp;"-"&amp;TEXT(YaslamaDilim3,"0"),TEXT(YaslamaDilim3+1,"0")&amp;"+"))))))</f>
        <v/>
      </c>
      <c r="I15" s="19" t="str">
        <f aca="false">IF(FATURALAR!$L15=0,"",FATURALAR!$L15)</f>
        <v/>
      </c>
      <c r="J15" s="19" t="str">
        <f aca="false">IF(FATURALAR!$M15=0,"",FATURALAR!$M15)</f>
        <v/>
      </c>
    </row>
    <row r="16" customFormat="false" ht="15" hidden="false" customHeight="false" outlineLevel="0" collapsed="false">
      <c r="A16" s="19" t="n">
        <f aca="false">FATURALAR!$B16</f>
        <v>0</v>
      </c>
      <c r="B16" s="19" t="n">
        <f aca="false">FATURALAR!$C16</f>
        <v>0</v>
      </c>
      <c r="C16" s="19" t="n">
        <f aca="false">FATURALAR!$E16</f>
        <v>0</v>
      </c>
      <c r="D16" s="19" t="str">
        <f aca="false">FATURALAR!$K16</f>
        <v/>
      </c>
      <c r="E16" s="19" t="n">
        <f aca="false">SUMIFS(tblTahsilatlar[Tahsilat Tutarı],tblTahsilatlar[Fatura Numarası],$A16,tblTahsilatlar[Kesinleşti mi?],"Evet")</f>
        <v>0</v>
      </c>
      <c r="F16" s="19" t="str">
        <f aca="false">IF($D16="","",MAX(0,$D16-$E16))</f>
        <v/>
      </c>
      <c r="G16" s="19" t="str">
        <f aca="false">IF($F16="","",IF($F16=0,0,MAX(0,RaporTarihi-$C16)))</f>
        <v/>
      </c>
      <c r="H16" s="19" t="str">
        <f aca="false">IF($F16="","",IF($F16=0,"KAPALI",IF($G16&lt;=0,"VADESİ GELMEMİŞ",IF($G16&lt;=YaslamaDilim1,"1-"&amp;TEXT(YaslamaDilim1,"0"),IF($G16&lt;=YaslamaDilim2,TEXT(YaslamaDilim1+1,"0")&amp;"-"&amp;TEXT(YaslamaDilim2,"0"),IF($G16&lt;=YaslamaDilim3,TEXT(YaslamaDilim2+1,"0")&amp;"-"&amp;TEXT(YaslamaDilim3,"0"),TEXT(YaslamaDilim3+1,"0")&amp;"+"))))))</f>
        <v/>
      </c>
      <c r="I16" s="19" t="str">
        <f aca="false">IF(FATURALAR!$L16=0,"",FATURALAR!$L16)</f>
        <v/>
      </c>
      <c r="J16" s="19" t="str">
        <f aca="false">IF(FATURALAR!$M16=0,"",FATURALAR!$M16)</f>
        <v/>
      </c>
    </row>
    <row r="17" customFormat="false" ht="15" hidden="false" customHeight="false" outlineLevel="0" collapsed="false">
      <c r="A17" s="19" t="n">
        <f aca="false">FATURALAR!$B17</f>
        <v>0</v>
      </c>
      <c r="B17" s="19" t="n">
        <f aca="false">FATURALAR!$C17</f>
        <v>0</v>
      </c>
      <c r="C17" s="19" t="n">
        <f aca="false">FATURALAR!$E17</f>
        <v>0</v>
      </c>
      <c r="D17" s="19" t="str">
        <f aca="false">FATURALAR!$K17</f>
        <v/>
      </c>
      <c r="E17" s="19" t="n">
        <f aca="false">SUMIFS(tblTahsilatlar[Tahsilat Tutarı],tblTahsilatlar[Fatura Numarası],$A17,tblTahsilatlar[Kesinleşti mi?],"Evet")</f>
        <v>0</v>
      </c>
      <c r="F17" s="19" t="str">
        <f aca="false">IF($D17="","",MAX(0,$D17-$E17))</f>
        <v/>
      </c>
      <c r="G17" s="19" t="str">
        <f aca="false">IF($F17="","",IF($F17=0,0,MAX(0,RaporTarihi-$C17)))</f>
        <v/>
      </c>
      <c r="H17" s="19" t="str">
        <f aca="false">IF($F17="","",IF($F17=0,"KAPALI",IF($G17&lt;=0,"VADESİ GELMEMİŞ",IF($G17&lt;=YaslamaDilim1,"1-"&amp;TEXT(YaslamaDilim1,"0"),IF($G17&lt;=YaslamaDilim2,TEXT(YaslamaDilim1+1,"0")&amp;"-"&amp;TEXT(YaslamaDilim2,"0"),IF($G17&lt;=YaslamaDilim3,TEXT(YaslamaDilim2+1,"0")&amp;"-"&amp;TEXT(YaslamaDilim3,"0"),TEXT(YaslamaDilim3+1,"0")&amp;"+"))))))</f>
        <v/>
      </c>
      <c r="I17" s="19" t="str">
        <f aca="false">IF(FATURALAR!$L17=0,"",FATURALAR!$L17)</f>
        <v/>
      </c>
      <c r="J17" s="19" t="str">
        <f aca="false">IF(FATURALAR!$M17=0,"",FATURALAR!$M17)</f>
        <v/>
      </c>
    </row>
    <row r="18" customFormat="false" ht="15" hidden="false" customHeight="false" outlineLevel="0" collapsed="false">
      <c r="A18" s="19" t="n">
        <f aca="false">FATURALAR!$B18</f>
        <v>0</v>
      </c>
      <c r="B18" s="19" t="n">
        <f aca="false">FATURALAR!$C18</f>
        <v>0</v>
      </c>
      <c r="C18" s="19" t="n">
        <f aca="false">FATURALAR!$E18</f>
        <v>0</v>
      </c>
      <c r="D18" s="19" t="str">
        <f aca="false">FATURALAR!$K18</f>
        <v/>
      </c>
      <c r="E18" s="19" t="n">
        <f aca="false">SUMIFS(tblTahsilatlar[Tahsilat Tutarı],tblTahsilatlar[Fatura Numarası],$A18,tblTahsilatlar[Kesinleşti mi?],"Evet")</f>
        <v>0</v>
      </c>
      <c r="F18" s="19" t="str">
        <f aca="false">IF($D18="","",MAX(0,$D18-$E18))</f>
        <v/>
      </c>
      <c r="G18" s="19" t="str">
        <f aca="false">IF($F18="","",IF($F18=0,0,MAX(0,RaporTarihi-$C18)))</f>
        <v/>
      </c>
      <c r="H18" s="19" t="str">
        <f aca="false">IF($F18="","",IF($F18=0,"KAPALI",IF($G18&lt;=0,"VADESİ GELMEMİŞ",IF($G18&lt;=YaslamaDilim1,"1-"&amp;TEXT(YaslamaDilim1,"0"),IF($G18&lt;=YaslamaDilim2,TEXT(YaslamaDilim1+1,"0")&amp;"-"&amp;TEXT(YaslamaDilim2,"0"),IF($G18&lt;=YaslamaDilim3,TEXT(YaslamaDilim2+1,"0")&amp;"-"&amp;TEXT(YaslamaDilim3,"0"),TEXT(YaslamaDilim3+1,"0")&amp;"+"))))))</f>
        <v/>
      </c>
      <c r="I18" s="19" t="str">
        <f aca="false">IF(FATURALAR!$L18=0,"",FATURALAR!$L18)</f>
        <v/>
      </c>
      <c r="J18" s="19" t="str">
        <f aca="false">IF(FATURALAR!$M18=0,"",FATURALAR!$M18)</f>
        <v/>
      </c>
    </row>
    <row r="19" customFormat="false" ht="15" hidden="false" customHeight="false" outlineLevel="0" collapsed="false">
      <c r="A19" s="19" t="n">
        <f aca="false">FATURALAR!$B19</f>
        <v>0</v>
      </c>
      <c r="B19" s="19" t="n">
        <f aca="false">FATURALAR!$C19</f>
        <v>0</v>
      </c>
      <c r="C19" s="19" t="n">
        <f aca="false">FATURALAR!$E19</f>
        <v>0</v>
      </c>
      <c r="D19" s="19" t="str">
        <f aca="false">FATURALAR!$K19</f>
        <v/>
      </c>
      <c r="E19" s="19" t="n">
        <f aca="false">SUMIFS(tblTahsilatlar[Tahsilat Tutarı],tblTahsilatlar[Fatura Numarası],$A19,tblTahsilatlar[Kesinleşti mi?],"Evet")</f>
        <v>0</v>
      </c>
      <c r="F19" s="19" t="str">
        <f aca="false">IF($D19="","",MAX(0,$D19-$E19))</f>
        <v/>
      </c>
      <c r="G19" s="19" t="str">
        <f aca="false">IF($F19="","",IF($F19=0,0,MAX(0,RaporTarihi-$C19)))</f>
        <v/>
      </c>
      <c r="H19" s="19" t="str">
        <f aca="false">IF($F19="","",IF($F19=0,"KAPALI",IF($G19&lt;=0,"VADESİ GELMEMİŞ",IF($G19&lt;=YaslamaDilim1,"1-"&amp;TEXT(YaslamaDilim1,"0"),IF($G19&lt;=YaslamaDilim2,TEXT(YaslamaDilim1+1,"0")&amp;"-"&amp;TEXT(YaslamaDilim2,"0"),IF($G19&lt;=YaslamaDilim3,TEXT(YaslamaDilim2+1,"0")&amp;"-"&amp;TEXT(YaslamaDilim3,"0"),TEXT(YaslamaDilim3+1,"0")&amp;"+"))))))</f>
        <v/>
      </c>
      <c r="I19" s="19" t="str">
        <f aca="false">IF(FATURALAR!$L19=0,"",FATURALAR!$L19)</f>
        <v/>
      </c>
      <c r="J19" s="19" t="str">
        <f aca="false">IF(FATURALAR!$M19=0,"",FATURALAR!$M19)</f>
        <v/>
      </c>
    </row>
    <row r="20" customFormat="false" ht="15" hidden="false" customHeight="false" outlineLevel="0" collapsed="false">
      <c r="A20" s="19" t="n">
        <f aca="false">FATURALAR!$B20</f>
        <v>0</v>
      </c>
      <c r="B20" s="19" t="n">
        <f aca="false">FATURALAR!$C20</f>
        <v>0</v>
      </c>
      <c r="C20" s="19" t="n">
        <f aca="false">FATURALAR!$E20</f>
        <v>0</v>
      </c>
      <c r="D20" s="19" t="str">
        <f aca="false">FATURALAR!$K20</f>
        <v/>
      </c>
      <c r="E20" s="19" t="n">
        <f aca="false">SUMIFS(tblTahsilatlar[Tahsilat Tutarı],tblTahsilatlar[Fatura Numarası],$A20,tblTahsilatlar[Kesinleşti mi?],"Evet")</f>
        <v>0</v>
      </c>
      <c r="F20" s="19" t="str">
        <f aca="false">IF($D20="","",MAX(0,$D20-$E20))</f>
        <v/>
      </c>
      <c r="G20" s="19" t="str">
        <f aca="false">IF($F20="","",IF($F20=0,0,MAX(0,RaporTarihi-$C20)))</f>
        <v/>
      </c>
      <c r="H20" s="19" t="str">
        <f aca="false">IF($F20="","",IF($F20=0,"KAPALI",IF($G20&lt;=0,"VADESİ GELMEMİŞ",IF($G20&lt;=YaslamaDilim1,"1-"&amp;TEXT(YaslamaDilim1,"0"),IF($G20&lt;=YaslamaDilim2,TEXT(YaslamaDilim1+1,"0")&amp;"-"&amp;TEXT(YaslamaDilim2,"0"),IF($G20&lt;=YaslamaDilim3,TEXT(YaslamaDilim2+1,"0")&amp;"-"&amp;TEXT(YaslamaDilim3,"0"),TEXT(YaslamaDilim3+1,"0")&amp;"+"))))))</f>
        <v/>
      </c>
      <c r="I20" s="19" t="str">
        <f aca="false">IF(FATURALAR!$L20=0,"",FATURALAR!$L20)</f>
        <v/>
      </c>
      <c r="J20" s="19" t="str">
        <f aca="false">IF(FATURALAR!$M20=0,"",FATURALAR!$M20)</f>
        <v/>
      </c>
    </row>
    <row r="21" customFormat="false" ht="15" hidden="false" customHeight="false" outlineLevel="0" collapsed="false">
      <c r="A21" s="19" t="n">
        <f aca="false">FATURALAR!$B21</f>
        <v>0</v>
      </c>
      <c r="B21" s="19" t="n">
        <f aca="false">FATURALAR!$C21</f>
        <v>0</v>
      </c>
      <c r="C21" s="19" t="n">
        <f aca="false">FATURALAR!$E21</f>
        <v>0</v>
      </c>
      <c r="D21" s="19" t="str">
        <f aca="false">FATURALAR!$K21</f>
        <v/>
      </c>
      <c r="E21" s="19" t="n">
        <f aca="false">SUMIFS(tblTahsilatlar[Tahsilat Tutarı],tblTahsilatlar[Fatura Numarası],$A21,tblTahsilatlar[Kesinleşti mi?],"Evet")</f>
        <v>0</v>
      </c>
      <c r="F21" s="19" t="str">
        <f aca="false">IF($D21="","",MAX(0,$D21-$E21))</f>
        <v/>
      </c>
      <c r="G21" s="19" t="str">
        <f aca="false">IF($F21="","",IF($F21=0,0,MAX(0,RaporTarihi-$C21)))</f>
        <v/>
      </c>
      <c r="H21" s="19" t="str">
        <f aca="false">IF($F21="","",IF($F21=0,"KAPALI",IF($G21&lt;=0,"VADESİ GELMEMİŞ",IF($G21&lt;=YaslamaDilim1,"1-"&amp;TEXT(YaslamaDilim1,"0"),IF($G21&lt;=YaslamaDilim2,TEXT(YaslamaDilim1+1,"0")&amp;"-"&amp;TEXT(YaslamaDilim2,"0"),IF($G21&lt;=YaslamaDilim3,TEXT(YaslamaDilim2+1,"0")&amp;"-"&amp;TEXT(YaslamaDilim3,"0"),TEXT(YaslamaDilim3+1,"0")&amp;"+"))))))</f>
        <v/>
      </c>
      <c r="I21" s="19" t="str">
        <f aca="false">IF(FATURALAR!$L21=0,"",FATURALAR!$L21)</f>
        <v/>
      </c>
      <c r="J21" s="19" t="str">
        <f aca="false">IF(FATURALAR!$M21=0,"",FATURALAR!$M21)</f>
        <v/>
      </c>
    </row>
    <row r="22" customFormat="false" ht="15" hidden="false" customHeight="false" outlineLevel="0" collapsed="false">
      <c r="A22" s="19" t="n">
        <f aca="false">FATURALAR!$B22</f>
        <v>0</v>
      </c>
      <c r="B22" s="19" t="n">
        <f aca="false">FATURALAR!$C22</f>
        <v>0</v>
      </c>
      <c r="C22" s="19" t="n">
        <f aca="false">FATURALAR!$E22</f>
        <v>0</v>
      </c>
      <c r="D22" s="19" t="str">
        <f aca="false">FATURALAR!$K22</f>
        <v/>
      </c>
      <c r="E22" s="19" t="n">
        <f aca="false">SUMIFS(tblTahsilatlar[Tahsilat Tutarı],tblTahsilatlar[Fatura Numarası],$A22,tblTahsilatlar[Kesinleşti mi?],"Evet")</f>
        <v>0</v>
      </c>
      <c r="F22" s="19" t="str">
        <f aca="false">IF($D22="","",MAX(0,$D22-$E22))</f>
        <v/>
      </c>
      <c r="G22" s="19" t="str">
        <f aca="false">IF($F22="","",IF($F22=0,0,MAX(0,RaporTarihi-$C22)))</f>
        <v/>
      </c>
      <c r="H22" s="19" t="str">
        <f aca="false">IF($F22="","",IF($F22=0,"KAPALI",IF($G22&lt;=0,"VADESİ GELMEMİŞ",IF($G22&lt;=YaslamaDilim1,"1-"&amp;TEXT(YaslamaDilim1,"0"),IF($G22&lt;=YaslamaDilim2,TEXT(YaslamaDilim1+1,"0")&amp;"-"&amp;TEXT(YaslamaDilim2,"0"),IF($G22&lt;=YaslamaDilim3,TEXT(YaslamaDilim2+1,"0")&amp;"-"&amp;TEXT(YaslamaDilim3,"0"),TEXT(YaslamaDilim3+1,"0")&amp;"+"))))))</f>
        <v/>
      </c>
      <c r="I22" s="19" t="str">
        <f aca="false">IF(FATURALAR!$L22=0,"",FATURALAR!$L22)</f>
        <v/>
      </c>
      <c r="J22" s="19" t="str">
        <f aca="false">IF(FATURALAR!$M22=0,"",FATURALAR!$M22)</f>
        <v/>
      </c>
    </row>
    <row r="23" customFormat="false" ht="15" hidden="false" customHeight="false" outlineLevel="0" collapsed="false">
      <c r="A23" s="19" t="n">
        <f aca="false">FATURALAR!$B23</f>
        <v>0</v>
      </c>
      <c r="B23" s="19" t="n">
        <f aca="false">FATURALAR!$C23</f>
        <v>0</v>
      </c>
      <c r="C23" s="19" t="n">
        <f aca="false">FATURALAR!$E23</f>
        <v>0</v>
      </c>
      <c r="D23" s="19" t="str">
        <f aca="false">FATURALAR!$K23</f>
        <v/>
      </c>
      <c r="E23" s="19" t="n">
        <f aca="false">SUMIFS(tblTahsilatlar[Tahsilat Tutarı],tblTahsilatlar[Fatura Numarası],$A23,tblTahsilatlar[Kesinleşti mi?],"Evet")</f>
        <v>0</v>
      </c>
      <c r="F23" s="19" t="str">
        <f aca="false">IF($D23="","",MAX(0,$D23-$E23))</f>
        <v/>
      </c>
      <c r="G23" s="19" t="str">
        <f aca="false">IF($F23="","",IF($F23=0,0,MAX(0,RaporTarihi-$C23)))</f>
        <v/>
      </c>
      <c r="H23" s="19" t="str">
        <f aca="false">IF($F23="","",IF($F23=0,"KAPALI",IF($G23&lt;=0,"VADESİ GELMEMİŞ",IF($G23&lt;=YaslamaDilim1,"1-"&amp;TEXT(YaslamaDilim1,"0"),IF($G23&lt;=YaslamaDilim2,TEXT(YaslamaDilim1+1,"0")&amp;"-"&amp;TEXT(YaslamaDilim2,"0"),IF($G23&lt;=YaslamaDilim3,TEXT(YaslamaDilim2+1,"0")&amp;"-"&amp;TEXT(YaslamaDilim3,"0"),TEXT(YaslamaDilim3+1,"0")&amp;"+"))))))</f>
        <v/>
      </c>
      <c r="I23" s="19" t="str">
        <f aca="false">IF(FATURALAR!$L23=0,"",FATURALAR!$L23)</f>
        <v/>
      </c>
      <c r="J23" s="19" t="str">
        <f aca="false">IF(FATURALAR!$M23=0,"",FATURALAR!$M23)</f>
        <v/>
      </c>
    </row>
    <row r="24" customFormat="false" ht="15" hidden="false" customHeight="false" outlineLevel="0" collapsed="false">
      <c r="A24" s="19" t="n">
        <f aca="false">FATURALAR!$B24</f>
        <v>0</v>
      </c>
      <c r="B24" s="19" t="n">
        <f aca="false">FATURALAR!$C24</f>
        <v>0</v>
      </c>
      <c r="C24" s="19" t="n">
        <f aca="false">FATURALAR!$E24</f>
        <v>0</v>
      </c>
      <c r="D24" s="19" t="str">
        <f aca="false">FATURALAR!$K24</f>
        <v/>
      </c>
      <c r="E24" s="19" t="n">
        <f aca="false">SUMIFS(tblTahsilatlar[Tahsilat Tutarı],tblTahsilatlar[Fatura Numarası],$A24,tblTahsilatlar[Kesinleşti mi?],"Evet")</f>
        <v>0</v>
      </c>
      <c r="F24" s="19" t="str">
        <f aca="false">IF($D24="","",MAX(0,$D24-$E24))</f>
        <v/>
      </c>
      <c r="G24" s="19" t="str">
        <f aca="false">IF($F24="","",IF($F24=0,0,MAX(0,RaporTarihi-$C24)))</f>
        <v/>
      </c>
      <c r="H24" s="19" t="str">
        <f aca="false">IF($F24="","",IF($F24=0,"KAPALI",IF($G24&lt;=0,"VADESİ GELMEMİŞ",IF($G24&lt;=YaslamaDilim1,"1-"&amp;TEXT(YaslamaDilim1,"0"),IF($G24&lt;=YaslamaDilim2,TEXT(YaslamaDilim1+1,"0")&amp;"-"&amp;TEXT(YaslamaDilim2,"0"),IF($G24&lt;=YaslamaDilim3,TEXT(YaslamaDilim2+1,"0")&amp;"-"&amp;TEXT(YaslamaDilim3,"0"),TEXT(YaslamaDilim3+1,"0")&amp;"+"))))))</f>
        <v/>
      </c>
      <c r="I24" s="19" t="str">
        <f aca="false">IF(FATURALAR!$L24=0,"",FATURALAR!$L24)</f>
        <v/>
      </c>
      <c r="J24" s="19" t="str">
        <f aca="false">IF(FATURALAR!$M24=0,"",FATURALAR!$M24)</f>
        <v/>
      </c>
    </row>
    <row r="25" customFormat="false" ht="15" hidden="false" customHeight="false" outlineLevel="0" collapsed="false">
      <c r="A25" s="19" t="n">
        <f aca="false">FATURALAR!$B25</f>
        <v>0</v>
      </c>
      <c r="B25" s="19" t="n">
        <f aca="false">FATURALAR!$C25</f>
        <v>0</v>
      </c>
      <c r="C25" s="19" t="n">
        <f aca="false">FATURALAR!$E25</f>
        <v>0</v>
      </c>
      <c r="D25" s="19" t="str">
        <f aca="false">FATURALAR!$K25</f>
        <v/>
      </c>
      <c r="E25" s="19" t="n">
        <f aca="false">SUMIFS(tblTahsilatlar[Tahsilat Tutarı],tblTahsilatlar[Fatura Numarası],$A25,tblTahsilatlar[Kesinleşti mi?],"Evet")</f>
        <v>0</v>
      </c>
      <c r="F25" s="19" t="str">
        <f aca="false">IF($D25="","",MAX(0,$D25-$E25))</f>
        <v/>
      </c>
      <c r="G25" s="19" t="str">
        <f aca="false">IF($F25="","",IF($F25=0,0,MAX(0,RaporTarihi-$C25)))</f>
        <v/>
      </c>
      <c r="H25" s="19" t="str">
        <f aca="false">IF($F25="","",IF($F25=0,"KAPALI",IF($G25&lt;=0,"VADESİ GELMEMİŞ",IF($G25&lt;=YaslamaDilim1,"1-"&amp;TEXT(YaslamaDilim1,"0"),IF($G25&lt;=YaslamaDilim2,TEXT(YaslamaDilim1+1,"0")&amp;"-"&amp;TEXT(YaslamaDilim2,"0"),IF($G25&lt;=YaslamaDilim3,TEXT(YaslamaDilim2+1,"0")&amp;"-"&amp;TEXT(YaslamaDilim3,"0"),TEXT(YaslamaDilim3+1,"0")&amp;"+"))))))</f>
        <v/>
      </c>
      <c r="I25" s="19" t="str">
        <f aca="false">IF(FATURALAR!$L25=0,"",FATURALAR!$L25)</f>
        <v/>
      </c>
      <c r="J25" s="19" t="str">
        <f aca="false">IF(FATURALAR!$M25=0,"",FATURALAR!$M25)</f>
        <v/>
      </c>
    </row>
    <row r="26" customFormat="false" ht="15" hidden="false" customHeight="false" outlineLevel="0" collapsed="false">
      <c r="A26" s="19" t="n">
        <f aca="false">FATURALAR!$B26</f>
        <v>0</v>
      </c>
      <c r="B26" s="19" t="n">
        <f aca="false">FATURALAR!$C26</f>
        <v>0</v>
      </c>
      <c r="C26" s="19" t="n">
        <f aca="false">FATURALAR!$E26</f>
        <v>0</v>
      </c>
      <c r="D26" s="19" t="str">
        <f aca="false">FATURALAR!$K26</f>
        <v/>
      </c>
      <c r="E26" s="19" t="n">
        <f aca="false">SUMIFS(tblTahsilatlar[Tahsilat Tutarı],tblTahsilatlar[Fatura Numarası],$A26,tblTahsilatlar[Kesinleşti mi?],"Evet")</f>
        <v>0</v>
      </c>
      <c r="F26" s="19" t="str">
        <f aca="false">IF($D26="","",MAX(0,$D26-$E26))</f>
        <v/>
      </c>
      <c r="G26" s="19" t="str">
        <f aca="false">IF($F26="","",IF($F26=0,0,MAX(0,RaporTarihi-$C26)))</f>
        <v/>
      </c>
      <c r="H26" s="19" t="str">
        <f aca="false">IF($F26="","",IF($F26=0,"KAPALI",IF($G26&lt;=0,"VADESİ GELMEMİŞ",IF($G26&lt;=YaslamaDilim1,"1-"&amp;TEXT(YaslamaDilim1,"0"),IF($G26&lt;=YaslamaDilim2,TEXT(YaslamaDilim1+1,"0")&amp;"-"&amp;TEXT(YaslamaDilim2,"0"),IF($G26&lt;=YaslamaDilim3,TEXT(YaslamaDilim2+1,"0")&amp;"-"&amp;TEXT(YaslamaDilim3,"0"),TEXT(YaslamaDilim3+1,"0")&amp;"+"))))))</f>
        <v/>
      </c>
      <c r="I26" s="19" t="str">
        <f aca="false">IF(FATURALAR!$L26=0,"",FATURALAR!$L26)</f>
        <v/>
      </c>
      <c r="J26" s="19" t="str">
        <f aca="false">IF(FATURALAR!$M26=0,"",FATURALAR!$M26)</f>
        <v/>
      </c>
    </row>
    <row r="27" customFormat="false" ht="15" hidden="false" customHeight="false" outlineLevel="0" collapsed="false">
      <c r="A27" s="19" t="n">
        <f aca="false">FATURALAR!$B27</f>
        <v>0</v>
      </c>
      <c r="B27" s="19" t="n">
        <f aca="false">FATURALAR!$C27</f>
        <v>0</v>
      </c>
      <c r="C27" s="19" t="n">
        <f aca="false">FATURALAR!$E27</f>
        <v>0</v>
      </c>
      <c r="D27" s="19" t="str">
        <f aca="false">FATURALAR!$K27</f>
        <v/>
      </c>
      <c r="E27" s="19" t="n">
        <f aca="false">SUMIFS(tblTahsilatlar[Tahsilat Tutarı],tblTahsilatlar[Fatura Numarası],$A27,tblTahsilatlar[Kesinleşti mi?],"Evet")</f>
        <v>0</v>
      </c>
      <c r="F27" s="19" t="str">
        <f aca="false">IF($D27="","",MAX(0,$D27-$E27))</f>
        <v/>
      </c>
      <c r="G27" s="19" t="str">
        <f aca="false">IF($F27="","",IF($F27=0,0,MAX(0,RaporTarihi-$C27)))</f>
        <v/>
      </c>
      <c r="H27" s="19" t="str">
        <f aca="false">IF($F27="","",IF($F27=0,"KAPALI",IF($G27&lt;=0,"VADESİ GELMEMİŞ",IF($G27&lt;=YaslamaDilim1,"1-"&amp;TEXT(YaslamaDilim1,"0"),IF($G27&lt;=YaslamaDilim2,TEXT(YaslamaDilim1+1,"0")&amp;"-"&amp;TEXT(YaslamaDilim2,"0"),IF($G27&lt;=YaslamaDilim3,TEXT(YaslamaDilim2+1,"0")&amp;"-"&amp;TEXT(YaslamaDilim3,"0"),TEXT(YaslamaDilim3+1,"0")&amp;"+"))))))</f>
        <v/>
      </c>
      <c r="I27" s="19" t="str">
        <f aca="false">IF(FATURALAR!$L27=0,"",FATURALAR!$L27)</f>
        <v/>
      </c>
      <c r="J27" s="19" t="str">
        <f aca="false">IF(FATURALAR!$M27=0,"",FATURALAR!$M27)</f>
        <v/>
      </c>
    </row>
    <row r="28" customFormat="false" ht="15" hidden="false" customHeight="false" outlineLevel="0" collapsed="false">
      <c r="A28" s="19" t="n">
        <f aca="false">FATURALAR!$B28</f>
        <v>0</v>
      </c>
      <c r="B28" s="19" t="n">
        <f aca="false">FATURALAR!$C28</f>
        <v>0</v>
      </c>
      <c r="C28" s="19" t="n">
        <f aca="false">FATURALAR!$E28</f>
        <v>0</v>
      </c>
      <c r="D28" s="19" t="str">
        <f aca="false">FATURALAR!$K28</f>
        <v/>
      </c>
      <c r="E28" s="19" t="n">
        <f aca="false">SUMIFS(tblTahsilatlar[Tahsilat Tutarı],tblTahsilatlar[Fatura Numarası],$A28,tblTahsilatlar[Kesinleşti mi?],"Evet")</f>
        <v>0</v>
      </c>
      <c r="F28" s="19" t="str">
        <f aca="false">IF($D28="","",MAX(0,$D28-$E28))</f>
        <v/>
      </c>
      <c r="G28" s="19" t="str">
        <f aca="false">IF($F28="","",IF($F28=0,0,MAX(0,RaporTarihi-$C28)))</f>
        <v/>
      </c>
      <c r="H28" s="19" t="str">
        <f aca="false">IF($F28="","",IF($F28=0,"KAPALI",IF($G28&lt;=0,"VADESİ GELMEMİŞ",IF($G28&lt;=YaslamaDilim1,"1-"&amp;TEXT(YaslamaDilim1,"0"),IF($G28&lt;=YaslamaDilim2,TEXT(YaslamaDilim1+1,"0")&amp;"-"&amp;TEXT(YaslamaDilim2,"0"),IF($G28&lt;=YaslamaDilim3,TEXT(YaslamaDilim2+1,"0")&amp;"-"&amp;TEXT(YaslamaDilim3,"0"),TEXT(YaslamaDilim3+1,"0")&amp;"+"))))))</f>
        <v/>
      </c>
      <c r="I28" s="19" t="str">
        <f aca="false">IF(FATURALAR!$L28=0,"",FATURALAR!$L28)</f>
        <v/>
      </c>
      <c r="J28" s="19" t="str">
        <f aca="false">IF(FATURALAR!$M28=0,"",FATURALAR!$M28)</f>
        <v/>
      </c>
    </row>
    <row r="29" customFormat="false" ht="15" hidden="false" customHeight="false" outlineLevel="0" collapsed="false">
      <c r="A29" s="19" t="n">
        <f aca="false">FATURALAR!$B29</f>
        <v>0</v>
      </c>
      <c r="B29" s="19" t="n">
        <f aca="false">FATURALAR!$C29</f>
        <v>0</v>
      </c>
      <c r="C29" s="19" t="n">
        <f aca="false">FATURALAR!$E29</f>
        <v>0</v>
      </c>
      <c r="D29" s="19" t="str">
        <f aca="false">FATURALAR!$K29</f>
        <v/>
      </c>
      <c r="E29" s="19" t="n">
        <f aca="false">SUMIFS(tblTahsilatlar[Tahsilat Tutarı],tblTahsilatlar[Fatura Numarası],$A29,tblTahsilatlar[Kesinleşti mi?],"Evet")</f>
        <v>0</v>
      </c>
      <c r="F29" s="19" t="str">
        <f aca="false">IF($D29="","",MAX(0,$D29-$E29))</f>
        <v/>
      </c>
      <c r="G29" s="19" t="str">
        <f aca="false">IF($F29="","",IF($F29=0,0,MAX(0,RaporTarihi-$C29)))</f>
        <v/>
      </c>
      <c r="H29" s="19" t="str">
        <f aca="false">IF($F29="","",IF($F29=0,"KAPALI",IF($G29&lt;=0,"VADESİ GELMEMİŞ",IF($G29&lt;=YaslamaDilim1,"1-"&amp;TEXT(YaslamaDilim1,"0"),IF($G29&lt;=YaslamaDilim2,TEXT(YaslamaDilim1+1,"0")&amp;"-"&amp;TEXT(YaslamaDilim2,"0"),IF($G29&lt;=YaslamaDilim3,TEXT(YaslamaDilim2+1,"0")&amp;"-"&amp;TEXT(YaslamaDilim3,"0"),TEXT(YaslamaDilim3+1,"0")&amp;"+"))))))</f>
        <v/>
      </c>
      <c r="I29" s="19" t="str">
        <f aca="false">IF(FATURALAR!$L29=0,"",FATURALAR!$L29)</f>
        <v/>
      </c>
      <c r="J29" s="19" t="str">
        <f aca="false">IF(FATURALAR!$M29=0,"",FATURALAR!$M29)</f>
        <v/>
      </c>
    </row>
    <row r="30" customFormat="false" ht="15" hidden="false" customHeight="false" outlineLevel="0" collapsed="false">
      <c r="A30" s="19" t="n">
        <f aca="false">FATURALAR!$B30</f>
        <v>0</v>
      </c>
      <c r="B30" s="19" t="n">
        <f aca="false">FATURALAR!$C30</f>
        <v>0</v>
      </c>
      <c r="C30" s="19" t="n">
        <f aca="false">FATURALAR!$E30</f>
        <v>0</v>
      </c>
      <c r="D30" s="19" t="str">
        <f aca="false">FATURALAR!$K30</f>
        <v/>
      </c>
      <c r="E30" s="19" t="n">
        <f aca="false">SUMIFS(tblTahsilatlar[Tahsilat Tutarı],tblTahsilatlar[Fatura Numarası],$A30,tblTahsilatlar[Kesinleşti mi?],"Evet")</f>
        <v>0</v>
      </c>
      <c r="F30" s="19" t="str">
        <f aca="false">IF($D30="","",MAX(0,$D30-$E30))</f>
        <v/>
      </c>
      <c r="G30" s="19" t="str">
        <f aca="false">IF($F30="","",IF($F30=0,0,MAX(0,RaporTarihi-$C30)))</f>
        <v/>
      </c>
      <c r="H30" s="19" t="str">
        <f aca="false">IF($F30="","",IF($F30=0,"KAPALI",IF($G30&lt;=0,"VADESİ GELMEMİŞ",IF($G30&lt;=YaslamaDilim1,"1-"&amp;TEXT(YaslamaDilim1,"0"),IF($G30&lt;=YaslamaDilim2,TEXT(YaslamaDilim1+1,"0")&amp;"-"&amp;TEXT(YaslamaDilim2,"0"),IF($G30&lt;=YaslamaDilim3,TEXT(YaslamaDilim2+1,"0")&amp;"-"&amp;TEXT(YaslamaDilim3,"0"),TEXT(YaslamaDilim3+1,"0")&amp;"+"))))))</f>
        <v/>
      </c>
      <c r="I30" s="19" t="str">
        <f aca="false">IF(FATURALAR!$L30=0,"",FATURALAR!$L30)</f>
        <v/>
      </c>
      <c r="J30" s="19" t="str">
        <f aca="false">IF(FATURALAR!$M30=0,"",FATURALAR!$M30)</f>
        <v/>
      </c>
    </row>
    <row r="31" customFormat="false" ht="15" hidden="false" customHeight="false" outlineLevel="0" collapsed="false">
      <c r="A31" s="19" t="n">
        <f aca="false">FATURALAR!$B31</f>
        <v>0</v>
      </c>
      <c r="B31" s="19" t="n">
        <f aca="false">FATURALAR!$C31</f>
        <v>0</v>
      </c>
      <c r="C31" s="19" t="n">
        <f aca="false">FATURALAR!$E31</f>
        <v>0</v>
      </c>
      <c r="D31" s="19" t="str">
        <f aca="false">FATURALAR!$K31</f>
        <v/>
      </c>
      <c r="E31" s="19" t="n">
        <f aca="false">SUMIFS(tblTahsilatlar[Tahsilat Tutarı],tblTahsilatlar[Fatura Numarası],$A31,tblTahsilatlar[Kesinleşti mi?],"Evet")</f>
        <v>0</v>
      </c>
      <c r="F31" s="19" t="str">
        <f aca="false">IF($D31="","",MAX(0,$D31-$E31))</f>
        <v/>
      </c>
      <c r="G31" s="19" t="str">
        <f aca="false">IF($F31="","",IF($F31=0,0,MAX(0,RaporTarihi-$C31)))</f>
        <v/>
      </c>
      <c r="H31" s="19" t="str">
        <f aca="false">IF($F31="","",IF($F31=0,"KAPALI",IF($G31&lt;=0,"VADESİ GELMEMİŞ",IF($G31&lt;=YaslamaDilim1,"1-"&amp;TEXT(YaslamaDilim1,"0"),IF($G31&lt;=YaslamaDilim2,TEXT(YaslamaDilim1+1,"0")&amp;"-"&amp;TEXT(YaslamaDilim2,"0"),IF($G31&lt;=YaslamaDilim3,TEXT(YaslamaDilim2+1,"0")&amp;"-"&amp;TEXT(YaslamaDilim3,"0"),TEXT(YaslamaDilim3+1,"0")&amp;"+"))))))</f>
        <v/>
      </c>
      <c r="I31" s="19" t="str">
        <f aca="false">IF(FATURALAR!$L31=0,"",FATURALAR!$L31)</f>
        <v/>
      </c>
      <c r="J31" s="19" t="str">
        <f aca="false">IF(FATURALAR!$M31=0,"",FATURALAR!$M31)</f>
        <v/>
      </c>
    </row>
    <row r="32" customFormat="false" ht="15" hidden="false" customHeight="false" outlineLevel="0" collapsed="false">
      <c r="A32" s="19" t="n">
        <f aca="false">FATURALAR!$B32</f>
        <v>0</v>
      </c>
      <c r="B32" s="19" t="n">
        <f aca="false">FATURALAR!$C32</f>
        <v>0</v>
      </c>
      <c r="C32" s="19" t="n">
        <f aca="false">FATURALAR!$E32</f>
        <v>0</v>
      </c>
      <c r="D32" s="19" t="str">
        <f aca="false">FATURALAR!$K32</f>
        <v/>
      </c>
      <c r="E32" s="19" t="n">
        <f aca="false">SUMIFS(tblTahsilatlar[Tahsilat Tutarı],tblTahsilatlar[Fatura Numarası],$A32,tblTahsilatlar[Kesinleşti mi?],"Evet")</f>
        <v>0</v>
      </c>
      <c r="F32" s="19" t="str">
        <f aca="false">IF($D32="","",MAX(0,$D32-$E32))</f>
        <v/>
      </c>
      <c r="G32" s="19" t="str">
        <f aca="false">IF($F32="","",IF($F32=0,0,MAX(0,RaporTarihi-$C32)))</f>
        <v/>
      </c>
      <c r="H32" s="19" t="str">
        <f aca="false">IF($F32="","",IF($F32=0,"KAPALI",IF($G32&lt;=0,"VADESİ GELMEMİŞ",IF($G32&lt;=YaslamaDilim1,"1-"&amp;TEXT(YaslamaDilim1,"0"),IF($G32&lt;=YaslamaDilim2,TEXT(YaslamaDilim1+1,"0")&amp;"-"&amp;TEXT(YaslamaDilim2,"0"),IF($G32&lt;=YaslamaDilim3,TEXT(YaslamaDilim2+1,"0")&amp;"-"&amp;TEXT(YaslamaDilim3,"0"),TEXT(YaslamaDilim3+1,"0")&amp;"+"))))))</f>
        <v/>
      </c>
      <c r="I32" s="19" t="str">
        <f aca="false">IF(FATURALAR!$L32=0,"",FATURALAR!$L32)</f>
        <v/>
      </c>
      <c r="J32" s="19" t="str">
        <f aca="false">IF(FATURALAR!$M32=0,"",FATURALAR!$M32)</f>
        <v/>
      </c>
    </row>
    <row r="33" customFormat="false" ht="15" hidden="false" customHeight="false" outlineLevel="0" collapsed="false">
      <c r="A33" s="19" t="n">
        <f aca="false">FATURALAR!$B33</f>
        <v>0</v>
      </c>
      <c r="B33" s="19" t="n">
        <f aca="false">FATURALAR!$C33</f>
        <v>0</v>
      </c>
      <c r="C33" s="19" t="n">
        <f aca="false">FATURALAR!$E33</f>
        <v>0</v>
      </c>
      <c r="D33" s="19" t="str">
        <f aca="false">FATURALAR!$K33</f>
        <v/>
      </c>
      <c r="E33" s="19" t="n">
        <f aca="false">SUMIFS(tblTahsilatlar[Tahsilat Tutarı],tblTahsilatlar[Fatura Numarası],$A33,tblTahsilatlar[Kesinleşti mi?],"Evet")</f>
        <v>0</v>
      </c>
      <c r="F33" s="19" t="str">
        <f aca="false">IF($D33="","",MAX(0,$D33-$E33))</f>
        <v/>
      </c>
      <c r="G33" s="19" t="str">
        <f aca="false">IF($F33="","",IF($F33=0,0,MAX(0,RaporTarihi-$C33)))</f>
        <v/>
      </c>
      <c r="H33" s="19" t="str">
        <f aca="false">IF($F33="","",IF($F33=0,"KAPALI",IF($G33&lt;=0,"VADESİ GELMEMİŞ",IF($G33&lt;=YaslamaDilim1,"1-"&amp;TEXT(YaslamaDilim1,"0"),IF($G33&lt;=YaslamaDilim2,TEXT(YaslamaDilim1+1,"0")&amp;"-"&amp;TEXT(YaslamaDilim2,"0"),IF($G33&lt;=YaslamaDilim3,TEXT(YaslamaDilim2+1,"0")&amp;"-"&amp;TEXT(YaslamaDilim3,"0"),TEXT(YaslamaDilim3+1,"0")&amp;"+"))))))</f>
        <v/>
      </c>
      <c r="I33" s="19" t="str">
        <f aca="false">IF(FATURALAR!$L33=0,"",FATURALAR!$L33)</f>
        <v/>
      </c>
      <c r="J33" s="19" t="str">
        <f aca="false">IF(FATURALAR!$M33=0,"",FATURALAR!$M33)</f>
        <v/>
      </c>
    </row>
    <row r="34" customFormat="false" ht="15" hidden="false" customHeight="false" outlineLevel="0" collapsed="false">
      <c r="A34" s="19" t="n">
        <f aca="false">FATURALAR!$B34</f>
        <v>0</v>
      </c>
      <c r="B34" s="19" t="n">
        <f aca="false">FATURALAR!$C34</f>
        <v>0</v>
      </c>
      <c r="C34" s="19" t="n">
        <f aca="false">FATURALAR!$E34</f>
        <v>0</v>
      </c>
      <c r="D34" s="19" t="str">
        <f aca="false">FATURALAR!$K34</f>
        <v/>
      </c>
      <c r="E34" s="19" t="n">
        <f aca="false">SUMIFS(tblTahsilatlar[Tahsilat Tutarı],tblTahsilatlar[Fatura Numarası],$A34,tblTahsilatlar[Kesinleşti mi?],"Evet")</f>
        <v>0</v>
      </c>
      <c r="F34" s="19" t="str">
        <f aca="false">IF($D34="","",MAX(0,$D34-$E34))</f>
        <v/>
      </c>
      <c r="G34" s="19" t="str">
        <f aca="false">IF($F34="","",IF($F34=0,0,MAX(0,RaporTarihi-$C34)))</f>
        <v/>
      </c>
      <c r="H34" s="19" t="str">
        <f aca="false">IF($F34="","",IF($F34=0,"KAPALI",IF($G34&lt;=0,"VADESİ GELMEMİŞ",IF($G34&lt;=YaslamaDilim1,"1-"&amp;TEXT(YaslamaDilim1,"0"),IF($G34&lt;=YaslamaDilim2,TEXT(YaslamaDilim1+1,"0")&amp;"-"&amp;TEXT(YaslamaDilim2,"0"),IF($G34&lt;=YaslamaDilim3,TEXT(YaslamaDilim2+1,"0")&amp;"-"&amp;TEXT(YaslamaDilim3,"0"),TEXT(YaslamaDilim3+1,"0")&amp;"+"))))))</f>
        <v/>
      </c>
      <c r="I34" s="19" t="str">
        <f aca="false">IF(FATURALAR!$L34=0,"",FATURALAR!$L34)</f>
        <v/>
      </c>
      <c r="J34" s="19" t="str">
        <f aca="false">IF(FATURALAR!$M34=0,"",FATURALAR!$M34)</f>
        <v/>
      </c>
    </row>
    <row r="35" customFormat="false" ht="15" hidden="false" customHeight="false" outlineLevel="0" collapsed="false">
      <c r="A35" s="19" t="n">
        <f aca="false">FATURALAR!$B35</f>
        <v>0</v>
      </c>
      <c r="B35" s="19" t="n">
        <f aca="false">FATURALAR!$C35</f>
        <v>0</v>
      </c>
      <c r="C35" s="19" t="n">
        <f aca="false">FATURALAR!$E35</f>
        <v>0</v>
      </c>
      <c r="D35" s="19" t="str">
        <f aca="false">FATURALAR!$K35</f>
        <v/>
      </c>
      <c r="E35" s="19" t="n">
        <f aca="false">SUMIFS(tblTahsilatlar[Tahsilat Tutarı],tblTahsilatlar[Fatura Numarası],$A35,tblTahsilatlar[Kesinleşti mi?],"Evet")</f>
        <v>0</v>
      </c>
      <c r="F35" s="19" t="str">
        <f aca="false">IF($D35="","",MAX(0,$D35-$E35))</f>
        <v/>
      </c>
      <c r="G35" s="19" t="str">
        <f aca="false">IF($F35="","",IF($F35=0,0,MAX(0,RaporTarihi-$C35)))</f>
        <v/>
      </c>
      <c r="H35" s="19" t="str">
        <f aca="false">IF($F35="","",IF($F35=0,"KAPALI",IF($G35&lt;=0,"VADESİ GELMEMİŞ",IF($G35&lt;=YaslamaDilim1,"1-"&amp;TEXT(YaslamaDilim1,"0"),IF($G35&lt;=YaslamaDilim2,TEXT(YaslamaDilim1+1,"0")&amp;"-"&amp;TEXT(YaslamaDilim2,"0"),IF($G35&lt;=YaslamaDilim3,TEXT(YaslamaDilim2+1,"0")&amp;"-"&amp;TEXT(YaslamaDilim3,"0"),TEXT(YaslamaDilim3+1,"0")&amp;"+"))))))</f>
        <v/>
      </c>
      <c r="I35" s="19" t="str">
        <f aca="false">IF(FATURALAR!$L35=0,"",FATURALAR!$L35)</f>
        <v/>
      </c>
      <c r="J35" s="19" t="str">
        <f aca="false">IF(FATURALAR!$M35=0,"",FATURALAR!$M35)</f>
        <v/>
      </c>
    </row>
    <row r="36" customFormat="false" ht="15" hidden="false" customHeight="false" outlineLevel="0" collapsed="false">
      <c r="A36" s="19" t="n">
        <f aca="false">FATURALAR!$B36</f>
        <v>0</v>
      </c>
      <c r="B36" s="19" t="n">
        <f aca="false">FATURALAR!$C36</f>
        <v>0</v>
      </c>
      <c r="C36" s="19" t="n">
        <f aca="false">FATURALAR!$E36</f>
        <v>0</v>
      </c>
      <c r="D36" s="19" t="str">
        <f aca="false">FATURALAR!$K36</f>
        <v/>
      </c>
      <c r="E36" s="19" t="n">
        <f aca="false">SUMIFS(tblTahsilatlar[Tahsilat Tutarı],tblTahsilatlar[Fatura Numarası],$A36,tblTahsilatlar[Kesinleşti mi?],"Evet")</f>
        <v>0</v>
      </c>
      <c r="F36" s="19" t="str">
        <f aca="false">IF($D36="","",MAX(0,$D36-$E36))</f>
        <v/>
      </c>
      <c r="G36" s="19" t="str">
        <f aca="false">IF($F36="","",IF($F36=0,0,MAX(0,RaporTarihi-$C36)))</f>
        <v/>
      </c>
      <c r="H36" s="19" t="str">
        <f aca="false">IF($F36="","",IF($F36=0,"KAPALI",IF($G36&lt;=0,"VADESİ GELMEMİŞ",IF($G36&lt;=YaslamaDilim1,"1-"&amp;TEXT(YaslamaDilim1,"0"),IF($G36&lt;=YaslamaDilim2,TEXT(YaslamaDilim1+1,"0")&amp;"-"&amp;TEXT(YaslamaDilim2,"0"),IF($G36&lt;=YaslamaDilim3,TEXT(YaslamaDilim2+1,"0")&amp;"-"&amp;TEXT(YaslamaDilim3,"0"),TEXT(YaslamaDilim3+1,"0")&amp;"+"))))))</f>
        <v/>
      </c>
      <c r="I36" s="19" t="str">
        <f aca="false">IF(FATURALAR!$L36=0,"",FATURALAR!$L36)</f>
        <v/>
      </c>
      <c r="J36" s="19" t="str">
        <f aca="false">IF(FATURALAR!$M36=0,"",FATURALAR!$M36)</f>
        <v/>
      </c>
    </row>
    <row r="37" customFormat="false" ht="15" hidden="false" customHeight="false" outlineLevel="0" collapsed="false">
      <c r="A37" s="19" t="n">
        <f aca="false">FATURALAR!$B37</f>
        <v>0</v>
      </c>
      <c r="B37" s="19" t="n">
        <f aca="false">FATURALAR!$C37</f>
        <v>0</v>
      </c>
      <c r="C37" s="19" t="n">
        <f aca="false">FATURALAR!$E37</f>
        <v>0</v>
      </c>
      <c r="D37" s="19" t="str">
        <f aca="false">FATURALAR!$K37</f>
        <v/>
      </c>
      <c r="E37" s="19" t="n">
        <f aca="false">SUMIFS(tblTahsilatlar[Tahsilat Tutarı],tblTahsilatlar[Fatura Numarası],$A37,tblTahsilatlar[Kesinleşti mi?],"Evet")</f>
        <v>0</v>
      </c>
      <c r="F37" s="19" t="str">
        <f aca="false">IF($D37="","",MAX(0,$D37-$E37))</f>
        <v/>
      </c>
      <c r="G37" s="19" t="str">
        <f aca="false">IF($F37="","",IF($F37=0,0,MAX(0,RaporTarihi-$C37)))</f>
        <v/>
      </c>
      <c r="H37" s="19" t="str">
        <f aca="false">IF($F37="","",IF($F37=0,"KAPALI",IF($G37&lt;=0,"VADESİ GELMEMİŞ",IF($G37&lt;=YaslamaDilim1,"1-"&amp;TEXT(YaslamaDilim1,"0"),IF($G37&lt;=YaslamaDilim2,TEXT(YaslamaDilim1+1,"0")&amp;"-"&amp;TEXT(YaslamaDilim2,"0"),IF($G37&lt;=YaslamaDilim3,TEXT(YaslamaDilim2+1,"0")&amp;"-"&amp;TEXT(YaslamaDilim3,"0"),TEXT(YaslamaDilim3+1,"0")&amp;"+"))))))</f>
        <v/>
      </c>
      <c r="I37" s="19" t="str">
        <f aca="false">IF(FATURALAR!$L37=0,"",FATURALAR!$L37)</f>
        <v/>
      </c>
      <c r="J37" s="19" t="str">
        <f aca="false">IF(FATURALAR!$M37=0,"",FATURALAR!$M37)</f>
        <v/>
      </c>
    </row>
    <row r="38" customFormat="false" ht="15" hidden="false" customHeight="false" outlineLevel="0" collapsed="false">
      <c r="A38" s="19" t="n">
        <f aca="false">FATURALAR!$B38</f>
        <v>0</v>
      </c>
      <c r="B38" s="19" t="n">
        <f aca="false">FATURALAR!$C38</f>
        <v>0</v>
      </c>
      <c r="C38" s="19" t="n">
        <f aca="false">FATURALAR!$E38</f>
        <v>0</v>
      </c>
      <c r="D38" s="19" t="str">
        <f aca="false">FATURALAR!$K38</f>
        <v/>
      </c>
      <c r="E38" s="19" t="n">
        <f aca="false">SUMIFS(tblTahsilatlar[Tahsilat Tutarı],tblTahsilatlar[Fatura Numarası],$A38,tblTahsilatlar[Kesinleşti mi?],"Evet")</f>
        <v>0</v>
      </c>
      <c r="F38" s="19" t="str">
        <f aca="false">IF($D38="","",MAX(0,$D38-$E38))</f>
        <v/>
      </c>
      <c r="G38" s="19" t="str">
        <f aca="false">IF($F38="","",IF($F38=0,0,MAX(0,RaporTarihi-$C38)))</f>
        <v/>
      </c>
      <c r="H38" s="19" t="str">
        <f aca="false">IF($F38="","",IF($F38=0,"KAPALI",IF($G38&lt;=0,"VADESİ GELMEMİŞ",IF($G38&lt;=YaslamaDilim1,"1-"&amp;TEXT(YaslamaDilim1,"0"),IF($G38&lt;=YaslamaDilim2,TEXT(YaslamaDilim1+1,"0")&amp;"-"&amp;TEXT(YaslamaDilim2,"0"),IF($G38&lt;=YaslamaDilim3,TEXT(YaslamaDilim2+1,"0")&amp;"-"&amp;TEXT(YaslamaDilim3,"0"),TEXT(YaslamaDilim3+1,"0")&amp;"+"))))))</f>
        <v/>
      </c>
      <c r="I38" s="19" t="str">
        <f aca="false">IF(FATURALAR!$L38=0,"",FATURALAR!$L38)</f>
        <v/>
      </c>
      <c r="J38" s="19" t="str">
        <f aca="false">IF(FATURALAR!$M38=0,"",FATURALAR!$M38)</f>
        <v/>
      </c>
    </row>
    <row r="39" customFormat="false" ht="15" hidden="false" customHeight="false" outlineLevel="0" collapsed="false">
      <c r="A39" s="19" t="n">
        <f aca="false">FATURALAR!$B39</f>
        <v>0</v>
      </c>
      <c r="B39" s="19" t="n">
        <f aca="false">FATURALAR!$C39</f>
        <v>0</v>
      </c>
      <c r="C39" s="19" t="n">
        <f aca="false">FATURALAR!$E39</f>
        <v>0</v>
      </c>
      <c r="D39" s="19" t="str">
        <f aca="false">FATURALAR!$K39</f>
        <v/>
      </c>
      <c r="E39" s="19" t="n">
        <f aca="false">SUMIFS(tblTahsilatlar[Tahsilat Tutarı],tblTahsilatlar[Fatura Numarası],$A39,tblTahsilatlar[Kesinleşti mi?],"Evet")</f>
        <v>0</v>
      </c>
      <c r="F39" s="19" t="str">
        <f aca="false">IF($D39="","",MAX(0,$D39-$E39))</f>
        <v/>
      </c>
      <c r="G39" s="19" t="str">
        <f aca="false">IF($F39="","",IF($F39=0,0,MAX(0,RaporTarihi-$C39)))</f>
        <v/>
      </c>
      <c r="H39" s="19" t="str">
        <f aca="false">IF($F39="","",IF($F39=0,"KAPALI",IF($G39&lt;=0,"VADESİ GELMEMİŞ",IF($G39&lt;=YaslamaDilim1,"1-"&amp;TEXT(YaslamaDilim1,"0"),IF($G39&lt;=YaslamaDilim2,TEXT(YaslamaDilim1+1,"0")&amp;"-"&amp;TEXT(YaslamaDilim2,"0"),IF($G39&lt;=YaslamaDilim3,TEXT(YaslamaDilim2+1,"0")&amp;"-"&amp;TEXT(YaslamaDilim3,"0"),TEXT(YaslamaDilim3+1,"0")&amp;"+"))))))</f>
        <v/>
      </c>
      <c r="I39" s="19" t="str">
        <f aca="false">IF(FATURALAR!$L39=0,"",FATURALAR!$L39)</f>
        <v/>
      </c>
      <c r="J39" s="19" t="str">
        <f aca="false">IF(FATURALAR!$M39=0,"",FATURALAR!$M39)</f>
        <v/>
      </c>
    </row>
    <row r="40" customFormat="false" ht="15" hidden="false" customHeight="false" outlineLevel="0" collapsed="false">
      <c r="A40" s="19" t="n">
        <f aca="false">FATURALAR!$B40</f>
        <v>0</v>
      </c>
      <c r="B40" s="19" t="n">
        <f aca="false">FATURALAR!$C40</f>
        <v>0</v>
      </c>
      <c r="C40" s="19" t="n">
        <f aca="false">FATURALAR!$E40</f>
        <v>0</v>
      </c>
      <c r="D40" s="19" t="str">
        <f aca="false">FATURALAR!$K40</f>
        <v/>
      </c>
      <c r="E40" s="19" t="n">
        <f aca="false">SUMIFS(tblTahsilatlar[Tahsilat Tutarı],tblTahsilatlar[Fatura Numarası],$A40,tblTahsilatlar[Kesinleşti mi?],"Evet")</f>
        <v>0</v>
      </c>
      <c r="F40" s="19" t="str">
        <f aca="false">IF($D40="","",MAX(0,$D40-$E40))</f>
        <v/>
      </c>
      <c r="G40" s="19" t="str">
        <f aca="false">IF($F40="","",IF($F40=0,0,MAX(0,RaporTarihi-$C40)))</f>
        <v/>
      </c>
      <c r="H40" s="19" t="str">
        <f aca="false">IF($F40="","",IF($F40=0,"KAPALI",IF($G40&lt;=0,"VADESİ GELMEMİŞ",IF($G40&lt;=YaslamaDilim1,"1-"&amp;TEXT(YaslamaDilim1,"0"),IF($G40&lt;=YaslamaDilim2,TEXT(YaslamaDilim1+1,"0")&amp;"-"&amp;TEXT(YaslamaDilim2,"0"),IF($G40&lt;=YaslamaDilim3,TEXT(YaslamaDilim2+1,"0")&amp;"-"&amp;TEXT(YaslamaDilim3,"0"),TEXT(YaslamaDilim3+1,"0")&amp;"+"))))))</f>
        <v/>
      </c>
      <c r="I40" s="19" t="str">
        <f aca="false">IF(FATURALAR!$L40=0,"",FATURALAR!$L40)</f>
        <v/>
      </c>
      <c r="J40" s="19" t="str">
        <f aca="false">IF(FATURALAR!$M40=0,"",FATURALAR!$M40)</f>
        <v/>
      </c>
    </row>
    <row r="41" customFormat="false" ht="15" hidden="false" customHeight="false" outlineLevel="0" collapsed="false">
      <c r="A41" s="19" t="n">
        <f aca="false">FATURALAR!$B41</f>
        <v>0</v>
      </c>
      <c r="B41" s="19" t="n">
        <f aca="false">FATURALAR!$C41</f>
        <v>0</v>
      </c>
      <c r="C41" s="19" t="n">
        <f aca="false">FATURALAR!$E41</f>
        <v>0</v>
      </c>
      <c r="D41" s="19" t="str">
        <f aca="false">FATURALAR!$K41</f>
        <v/>
      </c>
      <c r="E41" s="19" t="n">
        <f aca="false">SUMIFS(tblTahsilatlar[Tahsilat Tutarı],tblTahsilatlar[Fatura Numarası],$A41,tblTahsilatlar[Kesinleşti mi?],"Evet")</f>
        <v>0</v>
      </c>
      <c r="F41" s="19" t="str">
        <f aca="false">IF($D41="","",MAX(0,$D41-$E41))</f>
        <v/>
      </c>
      <c r="G41" s="19" t="str">
        <f aca="false">IF($F41="","",IF($F41=0,0,MAX(0,RaporTarihi-$C41)))</f>
        <v/>
      </c>
      <c r="H41" s="19" t="str">
        <f aca="false">IF($F41="","",IF($F41=0,"KAPALI",IF($G41&lt;=0,"VADESİ GELMEMİŞ",IF($G41&lt;=YaslamaDilim1,"1-"&amp;TEXT(YaslamaDilim1,"0"),IF($G41&lt;=YaslamaDilim2,TEXT(YaslamaDilim1+1,"0")&amp;"-"&amp;TEXT(YaslamaDilim2,"0"),IF($G41&lt;=YaslamaDilim3,TEXT(YaslamaDilim2+1,"0")&amp;"-"&amp;TEXT(YaslamaDilim3,"0"),TEXT(YaslamaDilim3+1,"0")&amp;"+"))))))</f>
        <v/>
      </c>
      <c r="I41" s="19" t="str">
        <f aca="false">IF(FATURALAR!$L41=0,"",FATURALAR!$L41)</f>
        <v/>
      </c>
      <c r="J41" s="19" t="str">
        <f aca="false">IF(FATURALAR!$M41=0,"",FATURALAR!$M41)</f>
        <v/>
      </c>
    </row>
    <row r="42" customFormat="false" ht="15" hidden="false" customHeight="false" outlineLevel="0" collapsed="false">
      <c r="A42" s="19" t="n">
        <f aca="false">FATURALAR!$B42</f>
        <v>0</v>
      </c>
      <c r="B42" s="19" t="n">
        <f aca="false">FATURALAR!$C42</f>
        <v>0</v>
      </c>
      <c r="C42" s="19" t="n">
        <f aca="false">FATURALAR!$E42</f>
        <v>0</v>
      </c>
      <c r="D42" s="19" t="str">
        <f aca="false">FATURALAR!$K42</f>
        <v/>
      </c>
      <c r="E42" s="19" t="n">
        <f aca="false">SUMIFS(tblTahsilatlar[Tahsilat Tutarı],tblTahsilatlar[Fatura Numarası],$A42,tblTahsilatlar[Kesinleşti mi?],"Evet")</f>
        <v>0</v>
      </c>
      <c r="F42" s="19" t="str">
        <f aca="false">IF($D42="","",MAX(0,$D42-$E42))</f>
        <v/>
      </c>
      <c r="G42" s="19" t="str">
        <f aca="false">IF($F42="","",IF($F42=0,0,MAX(0,RaporTarihi-$C42)))</f>
        <v/>
      </c>
      <c r="H42" s="19" t="str">
        <f aca="false">IF($F42="","",IF($F42=0,"KAPALI",IF($G42&lt;=0,"VADESİ GELMEMİŞ",IF($G42&lt;=YaslamaDilim1,"1-"&amp;TEXT(YaslamaDilim1,"0"),IF($G42&lt;=YaslamaDilim2,TEXT(YaslamaDilim1+1,"0")&amp;"-"&amp;TEXT(YaslamaDilim2,"0"),IF($G42&lt;=YaslamaDilim3,TEXT(YaslamaDilim2+1,"0")&amp;"-"&amp;TEXT(YaslamaDilim3,"0"),TEXT(YaslamaDilim3+1,"0")&amp;"+"))))))</f>
        <v/>
      </c>
      <c r="I42" s="19" t="str">
        <f aca="false">IF(FATURALAR!$L42=0,"",FATURALAR!$L42)</f>
        <v/>
      </c>
      <c r="J42" s="19" t="str">
        <f aca="false">IF(FATURALAR!$M42=0,"",FATURALAR!$M42)</f>
        <v/>
      </c>
    </row>
    <row r="43" customFormat="false" ht="15" hidden="false" customHeight="false" outlineLevel="0" collapsed="false">
      <c r="A43" s="19" t="n">
        <f aca="false">FATURALAR!$B43</f>
        <v>0</v>
      </c>
      <c r="B43" s="19" t="n">
        <f aca="false">FATURALAR!$C43</f>
        <v>0</v>
      </c>
      <c r="C43" s="19" t="n">
        <f aca="false">FATURALAR!$E43</f>
        <v>0</v>
      </c>
      <c r="D43" s="19" t="str">
        <f aca="false">FATURALAR!$K43</f>
        <v/>
      </c>
      <c r="E43" s="19" t="n">
        <f aca="false">SUMIFS(tblTahsilatlar[Tahsilat Tutarı],tblTahsilatlar[Fatura Numarası],$A43,tblTahsilatlar[Kesinleşti mi?],"Evet")</f>
        <v>0</v>
      </c>
      <c r="F43" s="19" t="str">
        <f aca="false">IF($D43="","",MAX(0,$D43-$E43))</f>
        <v/>
      </c>
      <c r="G43" s="19" t="str">
        <f aca="false">IF($F43="","",IF($F43=0,0,MAX(0,RaporTarihi-$C43)))</f>
        <v/>
      </c>
      <c r="H43" s="19" t="str">
        <f aca="false">IF($F43="","",IF($F43=0,"KAPALI",IF($G43&lt;=0,"VADESİ GELMEMİŞ",IF($G43&lt;=YaslamaDilim1,"1-"&amp;TEXT(YaslamaDilim1,"0"),IF($G43&lt;=YaslamaDilim2,TEXT(YaslamaDilim1+1,"0")&amp;"-"&amp;TEXT(YaslamaDilim2,"0"),IF($G43&lt;=YaslamaDilim3,TEXT(YaslamaDilim2+1,"0")&amp;"-"&amp;TEXT(YaslamaDilim3,"0"),TEXT(YaslamaDilim3+1,"0")&amp;"+"))))))</f>
        <v/>
      </c>
      <c r="I43" s="19" t="str">
        <f aca="false">IF(FATURALAR!$L43=0,"",FATURALAR!$L43)</f>
        <v/>
      </c>
      <c r="J43" s="19" t="str">
        <f aca="false">IF(FATURALAR!$M43=0,"",FATURALAR!$M43)</f>
        <v/>
      </c>
    </row>
    <row r="44" customFormat="false" ht="15" hidden="false" customHeight="false" outlineLevel="0" collapsed="false">
      <c r="A44" s="19" t="n">
        <f aca="false">FATURALAR!$B44</f>
        <v>0</v>
      </c>
      <c r="B44" s="19" t="n">
        <f aca="false">FATURALAR!$C44</f>
        <v>0</v>
      </c>
      <c r="C44" s="19" t="n">
        <f aca="false">FATURALAR!$E44</f>
        <v>0</v>
      </c>
      <c r="D44" s="19" t="str">
        <f aca="false">FATURALAR!$K44</f>
        <v/>
      </c>
      <c r="E44" s="19" t="n">
        <f aca="false">SUMIFS(tblTahsilatlar[Tahsilat Tutarı],tblTahsilatlar[Fatura Numarası],$A44,tblTahsilatlar[Kesinleşti mi?],"Evet")</f>
        <v>0</v>
      </c>
      <c r="F44" s="19" t="str">
        <f aca="false">IF($D44="","",MAX(0,$D44-$E44))</f>
        <v/>
      </c>
      <c r="G44" s="19" t="str">
        <f aca="false">IF($F44="","",IF($F44=0,0,MAX(0,RaporTarihi-$C44)))</f>
        <v/>
      </c>
      <c r="H44" s="19" t="str">
        <f aca="false">IF($F44="","",IF($F44=0,"KAPALI",IF($G44&lt;=0,"VADESİ GELMEMİŞ",IF($G44&lt;=YaslamaDilim1,"1-"&amp;TEXT(YaslamaDilim1,"0"),IF($G44&lt;=YaslamaDilim2,TEXT(YaslamaDilim1+1,"0")&amp;"-"&amp;TEXT(YaslamaDilim2,"0"),IF($G44&lt;=YaslamaDilim3,TEXT(YaslamaDilim2+1,"0")&amp;"-"&amp;TEXT(YaslamaDilim3,"0"),TEXT(YaslamaDilim3+1,"0")&amp;"+"))))))</f>
        <v/>
      </c>
      <c r="I44" s="19" t="str">
        <f aca="false">IF(FATURALAR!$L44=0,"",FATURALAR!$L44)</f>
        <v/>
      </c>
      <c r="J44" s="19" t="str">
        <f aca="false">IF(FATURALAR!$M44=0,"",FATURALAR!$M44)</f>
        <v/>
      </c>
    </row>
    <row r="45" customFormat="false" ht="15" hidden="false" customHeight="false" outlineLevel="0" collapsed="false">
      <c r="A45" s="19" t="n">
        <f aca="false">FATURALAR!$B45</f>
        <v>0</v>
      </c>
      <c r="B45" s="19" t="n">
        <f aca="false">FATURALAR!$C45</f>
        <v>0</v>
      </c>
      <c r="C45" s="19" t="n">
        <f aca="false">FATURALAR!$E45</f>
        <v>0</v>
      </c>
      <c r="D45" s="19" t="str">
        <f aca="false">FATURALAR!$K45</f>
        <v/>
      </c>
      <c r="E45" s="19" t="n">
        <f aca="false">SUMIFS(tblTahsilatlar[Tahsilat Tutarı],tblTahsilatlar[Fatura Numarası],$A45,tblTahsilatlar[Kesinleşti mi?],"Evet")</f>
        <v>0</v>
      </c>
      <c r="F45" s="19" t="str">
        <f aca="false">IF($D45="","",MAX(0,$D45-$E45))</f>
        <v/>
      </c>
      <c r="G45" s="19" t="str">
        <f aca="false">IF($F45="","",IF($F45=0,0,MAX(0,RaporTarihi-$C45)))</f>
        <v/>
      </c>
      <c r="H45" s="19" t="str">
        <f aca="false">IF($F45="","",IF($F45=0,"KAPALI",IF($G45&lt;=0,"VADESİ GELMEMİŞ",IF($G45&lt;=YaslamaDilim1,"1-"&amp;TEXT(YaslamaDilim1,"0"),IF($G45&lt;=YaslamaDilim2,TEXT(YaslamaDilim1+1,"0")&amp;"-"&amp;TEXT(YaslamaDilim2,"0"),IF($G45&lt;=YaslamaDilim3,TEXT(YaslamaDilim2+1,"0")&amp;"-"&amp;TEXT(YaslamaDilim3,"0"),TEXT(YaslamaDilim3+1,"0")&amp;"+"))))))</f>
        <v/>
      </c>
      <c r="I45" s="19" t="str">
        <f aca="false">IF(FATURALAR!$L45=0,"",FATURALAR!$L45)</f>
        <v/>
      </c>
      <c r="J45" s="19" t="str">
        <f aca="false">IF(FATURALAR!$M45=0,"",FATURALAR!$M45)</f>
        <v/>
      </c>
    </row>
  </sheetData>
  <sheetProtection sheet="true" password="cc3d" objects="true" scenarios="true" deleteColumns="false" deleteRows="false"/>
  <mergeCells count="2">
    <mergeCell ref="A1:AN1"/>
    <mergeCell ref="A3:J3"/>
  </mergeCells>
  <conditionalFormatting sqref="F6:F204">
    <cfRule type="cellIs" priority="2" operator="lessThan" aboveAverage="0" equalAverage="0" bottom="0" percent="0" rank="0" text="" dxfId="11">
      <formula>0</formula>
    </cfRule>
  </conditionalFormatting>
  <conditionalFormatting sqref="G6:G204">
    <cfRule type="cellIs" priority="3" operator="between" aboveAverage="0" equalAverage="0" bottom="0" percent="0" rank="0" text="" dxfId="10">
      <formula>1</formula>
      <formula>30</formula>
    </cfRule>
    <cfRule type="cellIs" priority="4" operator="between" aboveAverage="0" equalAverage="0" bottom="0" percent="0" rank="0" text="" dxfId="15">
      <formula>31</formula>
      <formula>60</formula>
    </cfRule>
    <cfRule type="cellIs" priority="5" operator="greaterThan" aboveAverage="0" equalAverage="0" bottom="0" percent="0" rank="0" text="" dxfId="11">
      <formula>60</formula>
    </cfRule>
  </conditionalFormatting>
  <conditionalFormatting sqref="H6:H204">
    <cfRule type="cellIs" priority="6" operator="equal" aboveAverage="0" equalAverage="0" bottom="0" percent="0" rank="0" text="" dxfId="9">
      <formula>"VADESİ GELMEMİŞ"</formula>
    </cfRule>
    <cfRule type="cellIs" priority="7" operator="equal" aboveAverage="0" equalAverage="0" bottom="0" percent="0" rank="0" text="" dxfId="13">
      <formula>"90+"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6" t="s">
        <v>183</v>
      </c>
      <c r="B3" s="26"/>
      <c r="C3" s="26"/>
      <c r="D3" s="26"/>
    </row>
    <row r="5" customFormat="false" ht="30" hidden="false" customHeight="true" outlineLevel="0" collapsed="false">
      <c r="A5" s="14" t="s">
        <v>184</v>
      </c>
      <c r="B5" s="14" t="s">
        <v>185</v>
      </c>
      <c r="C5" s="14" t="s">
        <v>186</v>
      </c>
      <c r="D5" s="14" t="s">
        <v>187</v>
      </c>
    </row>
    <row r="6" customFormat="false" ht="30" hidden="false" customHeight="true" outlineLevel="0" collapsed="false">
      <c r="A6" s="27" t="s">
        <v>188</v>
      </c>
      <c r="B6" s="28" t="s">
        <v>189</v>
      </c>
      <c r="C6" s="29" t="n">
        <f aca="false">SUMIFS(tblYaslandirma[Açık Tutar],tblYaslandirma[Gecikme Günü],"&gt;0")</f>
        <v>2380000</v>
      </c>
      <c r="D6" s="30" t="str">
        <f aca="false">_xlfn.TEXTJOIN("; ",TRUE(),"Vadesi geçmiş alacak ",TEXT(C6,"₺ #,##0")," — bu tutar tahsilat planının birincil hedefidir")</f>
        <v>Vadesi geçmiş alacak ; ₺ 2380000,000;  — bu tutar tahsilat planının birincil hedefidir</v>
      </c>
    </row>
    <row r="7" customFormat="false" ht="30" hidden="false" customHeight="true" outlineLevel="0" collapsed="false">
      <c r="A7" s="27" t="s">
        <v>190</v>
      </c>
      <c r="B7" s="28" t="s">
        <v>191</v>
      </c>
      <c r="C7" s="29" t="n">
        <f aca="false">AVERAGE(PANO!$H$16:$H$19)</f>
        <v>182500</v>
      </c>
      <c r="D7" s="30" t="str">
        <f aca="false">_xlfn.TEXTJOIN("; ",TRUE(),"Aylık tahsilat ortalaması ",TEXT(C7,"₺ #,##0")," TL — eğilim bu seviyede seyrediyor")</f>
        <v>Aylık tahsilat ortalaması ; ₺ 182500,000;  TL — eğilim bu seviyede seyrediyor</v>
      </c>
    </row>
    <row r="8" customFormat="false" ht="30" hidden="false" customHeight="true" outlineLevel="0" collapsed="false">
      <c r="A8" s="27" t="s">
        <v>192</v>
      </c>
      <c r="B8" s="28" t="s">
        <v>193</v>
      </c>
      <c r="C8" s="29" t="n">
        <f aca="false">MAX(tblRisk[Yoğunlaşma Oranı])</f>
        <v>0.443786982248521</v>
      </c>
      <c r="D8" s="30" t="str">
        <f aca="false">_xlfn.TEXTJOIN("; ",TRUE(),"En yüksek müşteri yoğunlaşması ",TEXT(C8,"0,0%")," — tek müşteriye aşırı bağımlılık risk taşır")</f>
        <v>En yüksek müşteri yoğunlaşması ; 44,4%;  — tek müşteriye aşırı bağımlılık risk taşır</v>
      </c>
    </row>
    <row r="9" customFormat="false" ht="30" hidden="false" customHeight="true" outlineLevel="0" collapsed="false">
      <c r="A9" s="27" t="s">
        <v>194</v>
      </c>
      <c r="B9" s="28" t="s">
        <v>195</v>
      </c>
      <c r="C9" s="29" t="n">
        <f aca="false">PANO!$H$19-PANO!$H$16</f>
        <v>-120000</v>
      </c>
      <c r="D9" s="30" t="str">
        <f aca="false">_xlfn.TEXTJOIN("; ",TRUE(),"Dönemler arası tahsilat farkı ",TEXT(C9,"₺ #,##0")," TL — artış nakit gücünü gösterir")</f>
        <v>Dönemler arası tahsilat farkı ; -₺ 120000,000;  TL — artış nakit gücünü gösterir</v>
      </c>
    </row>
    <row r="10" customFormat="false" ht="30" hidden="false" customHeight="true" outlineLevel="0" collapsed="false">
      <c r="A10" s="27" t="s">
        <v>196</v>
      </c>
      <c r="B10" s="28" t="s">
        <v>197</v>
      </c>
      <c r="C10" s="29" t="n">
        <f aca="false">SUM(tblFaturalar[Net Fatura])-SUMIFS(tblTahsilatlar[Tahsilat Tutarı],tblTahsilatlar[Kesinleşti mi?],"Evet")</f>
        <v>3380000</v>
      </c>
      <c r="D10" s="30" t="str">
        <f aca="false">_xlfn.TEXTJOIN("; ",TRUE(),"Fatura ile kesin tahsilat arasındaki fark ",TEXT(C10,"₺ #,##0")," TL — bu tutar açık alacağın kaynağıdır")</f>
        <v>Fatura ile kesin tahsilat arasındaki fark ; ₺ 3380000,000;  TL — bu tutar açık alacağın kaynağıdır</v>
      </c>
    </row>
    <row r="11" customFormat="false" ht="30" hidden="false" customHeight="true" outlineLevel="0" collapsed="false">
      <c r="A11" s="27" t="s">
        <v>198</v>
      </c>
      <c r="B11" s="28" t="s">
        <v>199</v>
      </c>
      <c r="C11" s="29" t="n">
        <f aca="false">IF(SUM(tblYaslandirma[Açık Tutar])=0,0,SUMIFS(tblYaslandirma[Açık Tutar],tblYaslandirma[Gecikme Günü],"&gt;0")/SUM(tblYaslandirma[Açık Tutar]))</f>
        <v>0.70414201183432</v>
      </c>
      <c r="D11" s="30" t="str">
        <f aca="false">_xlfn.TEXTJOIN("; ",TRUE(),"Açık bakiyenin ",TEXT(C11,"0,0%")," i vadesi geçmiş — oran ",IF(C11&gt;VadeGecikmeEsik,"yüksek, öncelikli aksiyon gerekli","kontrol altında"))</f>
        <v>Açık bakiyenin ; 70,4%;  i vadesi geçmiş — oran ; yüksek, öncelikli aksiyon gerekli</v>
      </c>
    </row>
    <row r="12" customFormat="false" ht="30" hidden="false" customHeight="true" outlineLevel="0" collapsed="false">
      <c r="A12" s="27" t="s">
        <v>200</v>
      </c>
      <c r="B12" s="28" t="s">
        <v>201</v>
      </c>
      <c r="C12" s="29" t="n">
        <f aca="false">_xlfn.STDEV.P(PANO!$H$16:$H$19)</f>
        <v>113660.679216693</v>
      </c>
      <c r="D12" s="30" t="str">
        <f aca="false">_xlfn.TEXTJOIN("; ",TRUE(),"Aylık tahsilat sapması ",TEXT(C12,"₺ #,##0")," TL — sapma yüksekse tahsilat öngörülemezdir")</f>
        <v>Aylık tahsilat sapması ; ₺ 113660,679;  TL — sapma yüksekse tahsilat öngörülemezdir</v>
      </c>
    </row>
    <row r="13" customFormat="false" ht="30" hidden="false" customHeight="true" outlineLevel="0" collapsed="false">
      <c r="A13" s="27" t="s">
        <v>202</v>
      </c>
      <c r="B13" s="28" t="s">
        <v>203</v>
      </c>
      <c r="C13" s="29" t="n">
        <f aca="false">COUNTIF(tblRisk[Risk Skoru],"&gt;69")</f>
        <v>2</v>
      </c>
      <c r="D13" s="30" t="str">
        <f aca="false">_xlfn.TEXTJOIN("; ",TRUE(),"Risk skoru 70 üzeri ",C13," müşteri var — bu müşterilerin satışı teminata bağlanmalı")</f>
        <v>Risk skoru 70 üzeri ; 2;  müşteri var — bu müşterilerin satışı teminata bağlanmalı</v>
      </c>
    </row>
    <row r="14" customFormat="false" ht="30" hidden="false" customHeight="true" outlineLevel="0" collapsed="false">
      <c r="A14" s="27" t="s">
        <v>204</v>
      </c>
      <c r="B14" s="28" t="s">
        <v>205</v>
      </c>
      <c r="C14" s="29" t="n">
        <f aca="false">PANO!$B$6*(1+DuyarliOran)</f>
        <v>0</v>
      </c>
      <c r="D14" s="30" t="str">
        <f aca="false">_xlfn.TEXTJOIN("; ",TRUE(),"Kötümser senaryoda açık bakiye ",TEXT(C14,"₺ #,##0")," TL olur — tahsilat başarısı düşerse")</f>
        <v>Kötümser senaryoda açık bakiye ; ₺ ,000;  TL olur — tahsilat başarısı düşerse</v>
      </c>
    </row>
    <row r="15" customFormat="false" ht="30" hidden="false" customHeight="true" outlineLevel="0" collapsed="false">
      <c r="A15" s="27" t="s">
        <v>206</v>
      </c>
      <c r="B15" s="28" t="s">
        <v>207</v>
      </c>
      <c r="C15" s="29" t="n">
        <f aca="false">IF(SUM(tblFaturalar[Net Fatura])=0,0,SUMIFS(tblTahsilatlar[Tahsilat Tutarı],tblTahsilatlar[Kesinleşti mi?],"Evet")/SUM(tblFaturalar[Net Fatura]))</f>
        <v>0.177615571776156</v>
      </c>
      <c r="D15" s="30" t="str">
        <f aca="false">_xlfn.TEXTJOIN("; ",TRUE(),"Faturaların ",TEXT(C15,"0,0%")," i nakit tahsilata dönmüş — düşükse vade süresi uzun demektir")</f>
        <v>Faturaların ; 17,8%;  i nakit tahsilata dönmüş — düşükse vade süresi uzun demektir</v>
      </c>
    </row>
    <row r="16" customFormat="false" ht="30" hidden="false" customHeight="true" outlineLevel="0" collapsed="false">
      <c r="A16" s="27" t="s">
        <v>208</v>
      </c>
      <c r="B16" s="28" t="s">
        <v>209</v>
      </c>
      <c r="C16" s="29" t="n">
        <f aca="false">IFERROR(SUMIFS(tblYaslandirma[Açık Tutar],tblYaslandirma[Gecikme Günü],"&gt;0")*FinansmanMaliyeti/365*AVERAGEIFS(tblYaslandirma[Gecikme Günü],tblYaslandirma[Gecikme Günü],"&gt;0"),0)</f>
        <v>144104.109589041</v>
      </c>
      <c r="D16" s="30" t="str">
        <f aca="false">_xlfn.TEXTJOIN("; ",TRUE(),"Vadesi geçen alacakların finansman maliyeti ",TEXT(C16,"₺ #,##0")," TL — bu kayıp tahsilat hızlandırılarak azaltılabilir")</f>
        <v>Vadesi geçen alacakların finansman maliyeti ; ₺ 144104,110;  TL — bu kayıp tahsilat hızlandırılarak azaltılabilir</v>
      </c>
    </row>
    <row r="17" customFormat="false" ht="30" hidden="false" customHeight="true" outlineLevel="0" collapsed="false">
      <c r="A17" s="27" t="s">
        <v>210</v>
      </c>
      <c r="B17" s="28" t="s">
        <v>211</v>
      </c>
      <c r="C17" s="29" t="n">
        <f aca="false">SUMPRODUCT(tblRisk[Yoğunlaşma Oranı],tblRisk[Yoğunlaşma Oranı])</f>
        <v>0.323903224677007</v>
      </c>
      <c r="D17" s="30" t="str">
        <f aca="false">_xlfn.TEXTJOIN("; ",TRUE(),"HHI yoğunlaşma endeksi ",TEXT(C17,"0.000")," — 0,18 üzeri tek müşteri grubuna bağımlılık riskini gösterir")</f>
        <v>HHI yoğunlaşma endeksi ; 0.000;  — 0,18 üzeri tek müşteri grubuna bağımlılık riskini gösterir</v>
      </c>
    </row>
    <row r="18" customFormat="false" ht="30" hidden="false" customHeight="true" outlineLevel="0" collapsed="false">
      <c r="A18" s="27" t="s">
        <v>212</v>
      </c>
      <c r="B18" s="28" t="s">
        <v>213</v>
      </c>
      <c r="C18" s="29" t="n">
        <f aca="false">AVERAGE(tblRisk[Veri Kalitesi])</f>
        <v>100</v>
      </c>
      <c r="D18" s="30" t="str">
        <f aca="false">_xlfn.TEXTJOIN("; ",TRUE(),"Ortalama veri kalitesi ",TEXT(C18,"0")," puan — ",IF(C18&gt;=KaliteSkorEsik,"yüksek güven","veri girişi tamamlanmalı"))</f>
        <v>Ortalama veri kalitesi ; 100;  puan — ; yüksek güven</v>
      </c>
    </row>
    <row r="19" customFormat="false" ht="30" hidden="false" customHeight="true" outlineLevel="0" collapsed="false">
      <c r="A19" s="27" t="s">
        <v>214</v>
      </c>
      <c r="B19" s="28" t="s">
        <v>215</v>
      </c>
      <c r="C19" s="29" t="n">
        <f aca="false">TREND(PANO!$H$16:$H$19)</f>
        <v>199000</v>
      </c>
      <c r="D19" s="30" t="str">
        <f aca="false">_xlfn.TEXTJOIN("; ",TRUE(),"Trend eğilim değeri ",TEXT(C19,"₺ #,##0")," TL — eğilim sürerse gelecek dönem tahsilatı bu yönde şekillenir")</f>
        <v>Trend eğilim değeri ; ₺ 199000,000;  TL — eğilim sürerse gelecek dönem tahsilatı bu yönde şekillenir</v>
      </c>
    </row>
    <row r="20" customFormat="false" ht="30" hidden="false" customHeight="true" outlineLevel="0" collapsed="false">
      <c r="A20" s="27" t="s">
        <v>216</v>
      </c>
      <c r="B20" s="28" t="s">
        <v>217</v>
      </c>
      <c r="C20" s="29" t="n">
        <f aca="false">_xlfn.PERCENTILE.INC(PANO!$H$16:$H$19,P90Oran)</f>
        <v>285000</v>
      </c>
      <c r="D20" s="30" t="str">
        <f aca="false">_xlfn.TEXTJOIN("; ",TRUE(),"Tahsilatların %90 i ",TEXT(C20,"₺ #,##0")," TL altında gerçekleşir — üst sınır bütçe için kullanılabilir")</f>
        <v>Tahsilatların %90 i ; ₺ 285000,000;  TL altında gerçekleşir — üst sınır bütçe için kullanılabilir</v>
      </c>
    </row>
    <row r="21" customFormat="false" ht="30" hidden="false" customHeight="true" outlineLevel="0" collapsed="false">
      <c r="A21" s="27" t="s">
        <v>218</v>
      </c>
      <c r="B21" s="28" t="s">
        <v>219</v>
      </c>
      <c r="C21" s="29" t="n">
        <f aca="false">SUM(tblYaslandirma[Açık Tutar])-SUMIFS(tblTahsilatlar[Tahsilat Tutarı],tblTahsilatlar[Kesinleşti mi?],"Evet")</f>
        <v>2650000</v>
      </c>
      <c r="D21" s="30" t="str">
        <f aca="false">_xlfn.TEXTJOIN("; ",TRUE(),"Kapatılması gereken nakit açığı ",TEXT(C21,"₺ #,##0")," TL — tahsilat hedefi bu tutarın tamamıdır")</f>
        <v>Kapatılması gereken nakit açığı ; ₺ 2650000,000;  TL — tahsilat hedefi bu tutarın tamamıdır</v>
      </c>
    </row>
  </sheetData>
  <sheetProtection sheet="true" password="cc3d" objects="true" scenarios="true" deleteColumns="false" deleteRows="false"/>
  <mergeCells count="2">
    <mergeCell ref="A1:AN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20" min="14" style="0" width="10"/>
    <col collapsed="false" customWidth="true" hidden="false" outlineLevel="0" max="21" min="21" style="0" width="9"/>
    <col collapsed="false" customWidth="true" hidden="false" outlineLevel="0" max="22" min="22" style="0" width="15"/>
    <col collapsed="false" customWidth="true" hidden="false" outlineLevel="0" max="23" min="23" style="0" width="26"/>
    <col collapsed="false" customWidth="true" hidden="false" outlineLevel="0" max="24" min="24" style="0" width="10"/>
  </cols>
  <sheetData>
    <row r="1" customFormat="false" ht="25.5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2" t="s">
        <v>221</v>
      </c>
    </row>
    <row r="5" customFormat="false" ht="30" hidden="false" customHeight="true" outlineLevel="0" collapsed="false">
      <c r="A5" s="14" t="s">
        <v>29</v>
      </c>
      <c r="B5" s="14" t="s">
        <v>30</v>
      </c>
      <c r="C5" s="14" t="s">
        <v>222</v>
      </c>
      <c r="D5" s="14" t="s">
        <v>223</v>
      </c>
      <c r="E5" s="14" t="s">
        <v>224</v>
      </c>
      <c r="F5" s="14" t="s">
        <v>225</v>
      </c>
      <c r="G5" s="14" t="s">
        <v>226</v>
      </c>
      <c r="H5" s="14" t="s">
        <v>227</v>
      </c>
      <c r="I5" s="14" t="s">
        <v>228</v>
      </c>
      <c r="J5" s="14" t="s">
        <v>41</v>
      </c>
      <c r="K5" s="14" t="s">
        <v>229</v>
      </c>
      <c r="L5" s="14" t="s">
        <v>230</v>
      </c>
      <c r="M5" s="14" t="s">
        <v>93</v>
      </c>
      <c r="N5" s="14" t="s">
        <v>231</v>
      </c>
      <c r="O5" s="14" t="s">
        <v>232</v>
      </c>
      <c r="P5" s="14" t="s">
        <v>233</v>
      </c>
      <c r="Q5" s="14" t="s">
        <v>234</v>
      </c>
      <c r="R5" s="14" t="s">
        <v>235</v>
      </c>
      <c r="S5" s="14" t="s">
        <v>236</v>
      </c>
      <c r="T5" s="14" t="s">
        <v>237</v>
      </c>
      <c r="U5" s="14" t="s">
        <v>238</v>
      </c>
      <c r="V5" s="14" t="s">
        <v>239</v>
      </c>
      <c r="W5" s="14" t="s">
        <v>240</v>
      </c>
      <c r="X5" s="14" t="s">
        <v>241</v>
      </c>
    </row>
    <row r="6" customFormat="false" ht="16.4" hidden="false" customHeight="false" outlineLevel="0" collapsed="false">
      <c r="A6" s="19" t="str">
        <f aca="false">MUSTERI_KARTLARI!$A6</f>
        <v>M001</v>
      </c>
      <c r="B6" s="19" t="str">
        <f aca="false">MUSTERI_KARTLARI!$B6</f>
        <v>Atlas Yapı A.Ş.</v>
      </c>
      <c r="C6" s="19" t="n">
        <f aca="false">SUMIFS(tblYaslandirma[Açık Tutar],tblYaslandirma[Müşteri Kodu],$A6)</f>
        <v>720000</v>
      </c>
      <c r="D6" s="19" t="n">
        <f aca="false">MUSTERI_KARTLARI!$I6+MUSTERI_KARTLARI!$J6</f>
        <v>1500000</v>
      </c>
      <c r="E6" s="19" t="n">
        <f aca="false">$D6-$C6</f>
        <v>780000</v>
      </c>
      <c r="F6" s="19" t="n">
        <f aca="false">IFERROR($C6/$D6,1)</f>
        <v>0.48</v>
      </c>
      <c r="G6" s="19" t="n">
        <f aca="false">SUMIFS(tblYaslandirma[Açık Tutar],tblYaslandirma[Müşteri Kodu],$A6,tblYaslandirma[Gecikme Günü],"&gt;0")</f>
        <v>200000</v>
      </c>
      <c r="H6" s="19" t="n">
        <f aca="false">IF($C6=0,0,$G6/$C6)</f>
        <v>0.277777777777778</v>
      </c>
      <c r="I6" s="19" t="n">
        <f aca="false">_xlfn.MAXIFS(tblYaslandirma[Gecikme Günü],tblYaslandirma[Müşteri Kodu],$A6)</f>
        <v>88</v>
      </c>
      <c r="J6" s="19" t="n">
        <f aca="false">SUMIFS(tblTeminatlar[Kabul Edilen Değer],tblTeminatlar[Müşteri Kodu],$A6)</f>
        <v>810000</v>
      </c>
      <c r="K6" s="19" t="n">
        <f aca="false">MAX(0,$C6-$J6)</f>
        <v>0</v>
      </c>
      <c r="L6" s="19" t="n">
        <f aca="false">IF(SUM(tblRisk[Açık Bakiye])=0,0,$C6/SUM(tblRisk[Açık Bakiye]))</f>
        <v>0.21301775147929</v>
      </c>
      <c r="M6" s="19" t="n">
        <f aca="false">SUMIFS(tblYaslandirma[İtirazlı Tutar],tblYaslandirma[Müşteri Kodu],$A6)</f>
        <v>0</v>
      </c>
      <c r="N6" s="19" t="n">
        <f aca="false">MIN(GecikmeMaxPuan,$I6/YaslamaDilim3*GecikmeMaxPuan)</f>
        <v>25</v>
      </c>
      <c r="O6" s="19" t="n">
        <f aca="false">MIN(VadeMaxPuan,$H6*VadeMaxPuan)</f>
        <v>5.55555555555556</v>
      </c>
      <c r="P6" s="19" t="n">
        <f aca="false">MIN(LimitMaxPuan,$F6*LimitMaxPuan)</f>
        <v>9.6</v>
      </c>
      <c r="Q6" s="19" t="n">
        <f aca="false">IF($C6=0,0,MIN(TeminatMaxPuan,$K6/$C6*TeminatMaxPuan))</f>
        <v>0</v>
      </c>
      <c r="R6" s="19" t="n">
        <f aca="false">IF($C6=0,0,MIN(ItirazMaxPuan,$M6/$C6*ItirazMaxPuan))</f>
        <v>0</v>
      </c>
      <c r="S6" s="19" t="n">
        <f aca="false">IF(MUSTERI_KARTLARI!$Q6="Askıda",StatufAskida,IF(MUSTERI_KARTLARI!$Q6="İzlemede",StatufIzleme,0))</f>
        <v>0</v>
      </c>
      <c r="T6" s="19" t="n">
        <f aca="false">IF(MUSTERI_KARTLARI!$R6="OK",100,IF(MUSTERI_KARTLARI!$R6="EKSİK",VeriKalitesiEksik,0))</f>
        <v>100</v>
      </c>
      <c r="U6" s="19" t="str">
        <f aca="false">IF($T6&gt;=GuvenYuksek,"YÜKSEK",IF($T6&gt;=GuvenOrta,"ORTA","DÜŞÜK"))</f>
        <v>YÜKSEK</v>
      </c>
      <c r="V6" s="19" t="str">
        <f aca="false">IF($X6&lt;=EsikDevam,"DEVAM",IF($X6&lt;=EsikIzle,"İZLE",IF($X6&lt;=EsikLimitAzalt,"LİMİTİ AZALT",IF($X6&lt;=EsikPesin,"PEŞİN / TEMİNATLI","VADELİ SATIŞI DURDUR"))))</f>
        <v>İZLE</v>
      </c>
      <c r="W6" s="19" t="str">
        <f aca="false">IF($X6&gt;EsikKritik,"Yönetim onayı ve acil tahsilat planı",IF($X6&gt;EsikYuksek,"Yeni satışı teminata bağla",IF($X6&gt;EsikIzle,"Limit revizyonu ve tahsilatı hızlandır","Planlı izleme")))</f>
        <v>Planlı izleme</v>
      </c>
      <c r="X6" s="19" t="n">
        <f aca="false">ROUND(MIN(100,SUM($N6+$O6+$P6+$Q6+$R6+$S6)),0)</f>
        <v>40</v>
      </c>
    </row>
    <row r="7" customFormat="false" ht="16.4" hidden="false" customHeight="false" outlineLevel="0" collapsed="false">
      <c r="A7" s="19" t="str">
        <f aca="false">MUSTERI_KARTLARI!$A7</f>
        <v>M002</v>
      </c>
      <c r="B7" s="19" t="str">
        <f aca="false">MUSTERI_KARTLARI!$B7</f>
        <v>Bora Perakende Ltd.</v>
      </c>
      <c r="C7" s="19" t="n">
        <f aca="false">SUMIFS(tblYaslandirma[Açık Tutar],tblYaslandirma[Müşteri Kodu],$A7)</f>
        <v>220000</v>
      </c>
      <c r="D7" s="19" t="n">
        <f aca="false">MUSTERI_KARTLARI!$I7+MUSTERI_KARTLARI!$J7</f>
        <v>800000</v>
      </c>
      <c r="E7" s="19" t="n">
        <f aca="false">$D7-$C7</f>
        <v>580000</v>
      </c>
      <c r="F7" s="19" t="n">
        <f aca="false">IFERROR($C7/$D7,1)</f>
        <v>0.275</v>
      </c>
      <c r="G7" s="19" t="n">
        <f aca="false">SUMIFS(tblYaslandirma[Açık Tutar],tblYaslandirma[Müşteri Kodu],$A7,tblYaslandirma[Gecikme Günü],"&gt;0")</f>
        <v>0</v>
      </c>
      <c r="H7" s="19" t="n">
        <f aca="false">IF($C7=0,0,$G7/$C7)</f>
        <v>0</v>
      </c>
      <c r="I7" s="19" t="n">
        <f aca="false">_xlfn.MAXIFS(tblYaslandirma[Gecikme Günü],tblYaslandirma[Müşteri Kodu],$A7)</f>
        <v>0</v>
      </c>
      <c r="J7" s="19" t="n">
        <f aca="false">SUMIFS(tblTeminatlar[Kabul Edilen Değer],tblTeminatlar[Müşteri Kodu],$A7)</f>
        <v>412500</v>
      </c>
      <c r="K7" s="19" t="n">
        <f aca="false">MAX(0,$C7-$J7)</f>
        <v>0</v>
      </c>
      <c r="L7" s="19" t="n">
        <f aca="false">IF(SUM(tblRisk[Açık Bakiye])=0,0,$C7/SUM(tblRisk[Açık Bakiye]))</f>
        <v>0.0650887573964497</v>
      </c>
      <c r="M7" s="19" t="n">
        <f aca="false">SUMIFS(tblYaslandirma[İtirazlı Tutar],tblYaslandirma[Müşteri Kodu],$A7)</f>
        <v>0</v>
      </c>
      <c r="N7" s="19" t="n">
        <f aca="false">MIN(GecikmeMaxPuan,$I7/YaslamaDilim3*GecikmeMaxPuan)</f>
        <v>0</v>
      </c>
      <c r="O7" s="19" t="n">
        <f aca="false">MIN(VadeMaxPuan,$H7*VadeMaxPuan)</f>
        <v>0</v>
      </c>
      <c r="P7" s="19" t="n">
        <f aca="false">MIN(LimitMaxPuan,$F7*LimitMaxPuan)</f>
        <v>5.5</v>
      </c>
      <c r="Q7" s="19" t="n">
        <f aca="false">IF($C7=0,0,MIN(TeminatMaxPuan,$K7/$C7*TeminatMaxPuan))</f>
        <v>0</v>
      </c>
      <c r="R7" s="19" t="n">
        <f aca="false">IF($C7=0,0,MIN(ItirazMaxPuan,$M7/$C7*ItirazMaxPuan))</f>
        <v>0</v>
      </c>
      <c r="S7" s="19" t="n">
        <f aca="false">IF(MUSTERI_KARTLARI!$Q7="Askıda",StatufAskida,IF(MUSTERI_KARTLARI!$Q7="İzlemede",StatufIzleme,0))</f>
        <v>0</v>
      </c>
      <c r="T7" s="19" t="n">
        <f aca="false">IF(MUSTERI_KARTLARI!$R7="OK",100,IF(MUSTERI_KARTLARI!$R7="EKSİK",VeriKalitesiEksik,0))</f>
        <v>100</v>
      </c>
      <c r="U7" s="19" t="str">
        <f aca="false">IF($T7&gt;=GuvenYuksek,"YÜKSEK",IF($T7&gt;=GuvenOrta,"ORTA","DÜŞÜK"))</f>
        <v>YÜKSEK</v>
      </c>
      <c r="V7" s="19" t="str">
        <f aca="false">IF($X7&lt;=EsikDevam,"DEVAM",IF($X7&lt;=EsikIzle,"İZLE",IF($X7&lt;=EsikLimitAzalt,"LİMİTİ AZALT",IF($X7&lt;=EsikPesin,"PEŞİN / TEMİNATLI","VADELİ SATIŞI DURDUR"))))</f>
        <v>DEVAM</v>
      </c>
      <c r="W7" s="19" t="str">
        <f aca="false">IF($X7&gt;EsikKritik,"Yönetim onayı ve acil tahsilat planı",IF($X7&gt;EsikYuksek,"Yeni satışı teminata bağla",IF($X7&gt;EsikIzle,"Limit revizyonu ve tahsilatı hızlandır","Planlı izleme")))</f>
        <v>Planlı izleme</v>
      </c>
      <c r="X7" s="19" t="n">
        <f aca="false">ROUND(MIN(100,SUM($N7+$O7+$P7+$Q7+$R7+$S7)),0)</f>
        <v>6</v>
      </c>
    </row>
    <row r="8" customFormat="false" ht="16.4" hidden="false" customHeight="false" outlineLevel="0" collapsed="false">
      <c r="A8" s="19" t="str">
        <f aca="false">MUSTERI_KARTLARI!$A8</f>
        <v>M003</v>
      </c>
      <c r="B8" s="19" t="str">
        <f aca="false">MUSTERI_KARTLARI!$B8</f>
        <v>Cemre Gıda A.Ş.</v>
      </c>
      <c r="C8" s="19" t="n">
        <f aca="false">SUMIFS(tblYaslandirma[Açık Tutar],tblYaslandirma[Müşteri Kodu],$A8)</f>
        <v>940000</v>
      </c>
      <c r="D8" s="19" t="n">
        <f aca="false">MUSTERI_KARTLARI!$I8+MUSTERI_KARTLARI!$J8</f>
        <v>750000</v>
      </c>
      <c r="E8" s="19" t="n">
        <f aca="false">$D8-$C8</f>
        <v>-190000</v>
      </c>
      <c r="F8" s="19" t="n">
        <f aca="false">IFERROR($C8/$D8,1)</f>
        <v>1.25333333333333</v>
      </c>
      <c r="G8" s="19" t="n">
        <f aca="false">SUMIFS(tblYaslandirma[Açık Tutar],tblYaslandirma[Müşteri Kodu],$A8,tblYaslandirma[Gecikme Günü],"&gt;0")</f>
        <v>680000</v>
      </c>
      <c r="H8" s="19" t="n">
        <f aca="false">IF($C8=0,0,$G8/$C8)</f>
        <v>0.723404255319149</v>
      </c>
      <c r="I8" s="19" t="n">
        <f aca="false">_xlfn.MAXIFS(tblYaslandirma[Gecikme Günü],tblYaslandirma[Müşteri Kodu],$A8)</f>
        <v>47</v>
      </c>
      <c r="J8" s="19" t="n">
        <f aca="false">SUMIFS(tblTeminatlar[Kabul Edilen Değer],tblTeminatlar[Müşteri Kodu],$A8)</f>
        <v>240000</v>
      </c>
      <c r="K8" s="19" t="n">
        <f aca="false">MAX(0,$C8-$J8)</f>
        <v>700000</v>
      </c>
      <c r="L8" s="19" t="n">
        <f aca="false">IF(SUM(tblRisk[Açık Bakiye])=0,0,$C8/SUM(tblRisk[Açık Bakiye]))</f>
        <v>0.27810650887574</v>
      </c>
      <c r="M8" s="19" t="n">
        <f aca="false">SUMIFS(tblYaslandirma[İtirazlı Tutar],tblYaslandirma[Müşteri Kodu],$A8)</f>
        <v>150000</v>
      </c>
      <c r="N8" s="19" t="n">
        <f aca="false">MIN(GecikmeMaxPuan,$I8/YaslamaDilim3*GecikmeMaxPuan)</f>
        <v>19.5833333333333</v>
      </c>
      <c r="O8" s="19" t="n">
        <f aca="false">MIN(VadeMaxPuan,$H8*VadeMaxPuan)</f>
        <v>14.468085106383</v>
      </c>
      <c r="P8" s="19" t="n">
        <f aca="false">MIN(LimitMaxPuan,$F8*LimitMaxPuan)</f>
        <v>20</v>
      </c>
      <c r="Q8" s="19" t="n">
        <f aca="false">IF($C8=0,0,MIN(TeminatMaxPuan,$K8/$C8*TeminatMaxPuan))</f>
        <v>14.8936170212766</v>
      </c>
      <c r="R8" s="19" t="n">
        <f aca="false">IF($C8=0,0,MIN(ItirazMaxPuan,$M8/$C8*ItirazMaxPuan))</f>
        <v>1.59574468085106</v>
      </c>
      <c r="S8" s="31" t="n">
        <f aca="false">IF(MUSTERI_KARTLARI!$Q8="Askıda",StatufAskida,IF(MUSTERI_KARTLARI!$Q8="İzlemede",StatufIzleme,0))</f>
        <v>3</v>
      </c>
      <c r="T8" s="19" t="n">
        <f aca="false">IF(MUSTERI_KARTLARI!$R8="OK",100,IF(MUSTERI_KARTLARI!$R8="EKSİK",VeriKalitesiEksik,0))</f>
        <v>100</v>
      </c>
      <c r="U8" s="19" t="str">
        <f aca="false">IF($T8&gt;=GuvenYuksek,"YÜKSEK",IF($T8&gt;=GuvenOrta,"ORTA","DÜŞÜK"))</f>
        <v>YÜKSEK</v>
      </c>
      <c r="V8" s="19" t="str">
        <f aca="false">IF($X8&lt;=EsikDevam,"DEVAM",IF($X8&lt;=EsikIzle,"İZLE",IF($X8&lt;=EsikLimitAzalt,"LİMİTİ AZALT",IF($X8&lt;=EsikPesin,"PEŞİN / TEMİNATLI","VADELİ SATIŞI DURDUR"))))</f>
        <v>PEŞİN / TEMİNATLI</v>
      </c>
      <c r="W8" s="19" t="str">
        <f aca="false">IF($X8&gt;EsikKritik,"Yönetim onayı ve acil tahsilat planı",IF($X8&gt;EsikYuksek,"Yeni satışı teminata bağla",IF($X8&gt;EsikIzle,"Limit revizyonu ve tahsilatı hızlandır","Planlı izleme")))</f>
        <v>Yeni satışı teminata bağla</v>
      </c>
      <c r="X8" s="19" t="n">
        <f aca="false">ROUND(MIN(100,SUM($N8+$O8+$P8+$Q8+$R8+$S8)),0)</f>
        <v>74</v>
      </c>
    </row>
    <row r="9" customFormat="false" ht="16.4" hidden="false" customHeight="false" outlineLevel="0" collapsed="false">
      <c r="A9" s="19" t="str">
        <f aca="false">MUSTERI_KARTLARI!$A9</f>
        <v>M004</v>
      </c>
      <c r="B9" s="19" t="str">
        <f aca="false">MUSTERI_KARTLARI!$B9</f>
        <v>Delta Tekstil Ltd.</v>
      </c>
      <c r="C9" s="19" t="n">
        <f aca="false">SUMIFS(tblYaslandirma[Açık Tutar],tblYaslandirma[Müşteri Kodu],$A9)</f>
        <v>1500000</v>
      </c>
      <c r="D9" s="19" t="n">
        <f aca="false">MUSTERI_KARTLARI!$I9+MUSTERI_KARTLARI!$J9</f>
        <v>2000000</v>
      </c>
      <c r="E9" s="19" t="n">
        <f aca="false">$D9-$C9</f>
        <v>500000</v>
      </c>
      <c r="F9" s="19" t="n">
        <f aca="false">IFERROR($C9/$D9,1)</f>
        <v>0.75</v>
      </c>
      <c r="G9" s="19" t="n">
        <f aca="false">SUMIFS(tblYaslandirma[Açık Tutar],tblYaslandirma[Müşteri Kodu],$A9,tblYaslandirma[Gecikme Günü],"&gt;0")</f>
        <v>1500000</v>
      </c>
      <c r="H9" s="19" t="n">
        <f aca="false">IF($C9=0,0,$G9/$C9)</f>
        <v>1</v>
      </c>
      <c r="I9" s="19" t="n">
        <f aca="false">_xlfn.MAXIFS(tblYaslandirma[Gecikme Günü],tblYaslandirma[Müşteri Kodu],$A9)</f>
        <v>86</v>
      </c>
      <c r="J9" s="19" t="n">
        <f aca="false">SUMIFS(tblTeminatlar[Kabul Edilen Değer],tblTeminatlar[Müşteri Kodu],$A9)</f>
        <v>0</v>
      </c>
      <c r="K9" s="19" t="n">
        <f aca="false">MAX(0,$C9-$J9)</f>
        <v>1500000</v>
      </c>
      <c r="L9" s="19" t="n">
        <f aca="false">IF(SUM(tblRisk[Açık Bakiye])=0,0,$C9/SUM(tblRisk[Açık Bakiye]))</f>
        <v>0.443786982248521</v>
      </c>
      <c r="M9" s="19" t="n">
        <f aca="false">SUMIFS(tblYaslandirma[İtirazlı Tutar],tblYaslandirma[Müşteri Kodu],$A9)</f>
        <v>0</v>
      </c>
      <c r="N9" s="19" t="n">
        <f aca="false">MIN(GecikmeMaxPuan,$I9/YaslamaDilim3*GecikmeMaxPuan)</f>
        <v>25</v>
      </c>
      <c r="O9" s="19" t="n">
        <f aca="false">MIN(VadeMaxPuan,$H9*VadeMaxPuan)</f>
        <v>20</v>
      </c>
      <c r="P9" s="19" t="n">
        <f aca="false">MIN(LimitMaxPuan,$F9*LimitMaxPuan)</f>
        <v>15</v>
      </c>
      <c r="Q9" s="19" t="n">
        <f aca="false">IF($C9=0,0,MIN(TeminatMaxPuan,$K9/$C9*TeminatMaxPuan))</f>
        <v>20</v>
      </c>
      <c r="R9" s="19" t="n">
        <f aca="false">IF($C9=0,0,MIN(ItirazMaxPuan,$M9/$C9*ItirazMaxPuan))</f>
        <v>0</v>
      </c>
      <c r="S9" s="31" t="n">
        <f aca="false">IF(MUSTERI_KARTLARI!$Q9="Askıda",StatufAskida,IF(MUSTERI_KARTLARI!$Q9="İzlemede",StatufIzleme,0))</f>
        <v>5</v>
      </c>
      <c r="T9" s="19" t="n">
        <f aca="false">IF(MUSTERI_KARTLARI!$R9="OK",100,IF(MUSTERI_KARTLARI!$R9="EKSİK",VeriKalitesiEksik,0))</f>
        <v>100</v>
      </c>
      <c r="U9" s="19" t="str">
        <f aca="false">IF($T9&gt;=GuvenYuksek,"YÜKSEK",IF($T9&gt;=GuvenOrta,"ORTA","DÜŞÜK"))</f>
        <v>YÜKSEK</v>
      </c>
      <c r="V9" s="19" t="str">
        <f aca="false">IF($X9&lt;=EsikDevam,"DEVAM",IF($X9&lt;=EsikIzle,"İZLE",IF($X9&lt;=EsikLimitAzalt,"LİMİTİ AZALT",IF($X9&lt;=EsikPesin,"PEŞİN / TEMİNATLI","VADELİ SATIŞI DURDUR"))))</f>
        <v>VADELİ SATIŞI DURDUR</v>
      </c>
      <c r="W9" s="19" t="str">
        <f aca="false">IF($X9&gt;EsikKritik,"Yönetim onayı ve acil tahsilat planı",IF($X9&gt;EsikYuksek,"Yeni satışı teminata bağla",IF($X9&gt;EsikIzle,"Limit revizyonu ve tahsilatı hızlandır","Planlı izleme")))</f>
        <v>Yeni satışı teminata bağla</v>
      </c>
      <c r="X9" s="19" t="n">
        <f aca="false">ROUND(MIN(100,SUM($N9+$O9+$P9+$Q9+$R9+$S9)),0)</f>
        <v>85</v>
      </c>
    </row>
    <row r="10" customFormat="false" ht="16.4" hidden="false" customHeight="false" outlineLevel="0" collapsed="false">
      <c r="A10" s="19" t="n">
        <f aca="false">MUSTERI_KARTLARI!$A10</f>
        <v>0</v>
      </c>
      <c r="B10" s="19" t="n">
        <f aca="false">MUSTERI_KARTLARI!$B10</f>
        <v>0</v>
      </c>
      <c r="C10" s="19" t="n">
        <f aca="false">SUMIFS(tblYaslandirma[Açık Tutar],tblYaslandirma[Müşteri Kodu],$A10)</f>
        <v>0</v>
      </c>
      <c r="D10" s="19" t="n">
        <f aca="false">MUSTERI_KARTLARI!$I10+MUSTERI_KARTLARI!$J10</f>
        <v>0</v>
      </c>
      <c r="E10" s="19" t="n">
        <f aca="false">$D10-$C10</f>
        <v>0</v>
      </c>
      <c r="F10" s="19" t="n">
        <f aca="false">IFERROR($C10/$D10,1)</f>
        <v>1</v>
      </c>
      <c r="G10" s="19" t="n">
        <f aca="false">SUMIFS(tblYaslandirma[Açık Tutar],tblYaslandirma[Müşteri Kodu],$A10,tblYaslandirma[Gecikme Günü],"&gt;0")</f>
        <v>0</v>
      </c>
      <c r="H10" s="19" t="n">
        <f aca="false">IF($C10=0,0,$G10/$C10)</f>
        <v>0</v>
      </c>
      <c r="I10" s="19" t="n">
        <f aca="false">_xlfn.MAXIFS(tblYaslandirma[Gecikme Günü],tblYaslandirma[Müşteri Kodu],$A10)</f>
        <v>0</v>
      </c>
      <c r="J10" s="19" t="n">
        <f aca="false">SUMIFS(tblTeminatlar[Kabul Edilen Değer],tblTeminatlar[Müşteri Kodu],$A10)</f>
        <v>0</v>
      </c>
      <c r="K10" s="19" t="n">
        <f aca="false">MAX(0,$C10-$J10)</f>
        <v>0</v>
      </c>
      <c r="L10" s="19" t="n">
        <f aca="false">IF(SUM(tblRisk[Açık Bakiye])=0,0,$C10/SUM(tblRisk[Açık Bakiye]))</f>
        <v>0</v>
      </c>
      <c r="M10" s="19" t="n">
        <f aca="false">SUMIFS(tblYaslandirma[İtirazlı Tutar],tblYaslandirma[Müşteri Kodu],$A10)</f>
        <v>0</v>
      </c>
      <c r="N10" s="19" t="n">
        <f aca="false">MIN(GecikmeMaxPuan,$I10/YaslamaDilim3*GecikmeMaxPuan)</f>
        <v>0</v>
      </c>
      <c r="O10" s="19" t="n">
        <f aca="false">MIN(VadeMaxPuan,$H10*VadeMaxPuan)</f>
        <v>0</v>
      </c>
      <c r="P10" s="19" t="n">
        <f aca="false">MIN(LimitMaxPuan,$F10*LimitMaxPuan)</f>
        <v>20</v>
      </c>
      <c r="Q10" s="19" t="n">
        <f aca="false">IF($C10=0,0,MIN(TeminatMaxPuan,$K10/$C10*TeminatMaxPuan))</f>
        <v>0</v>
      </c>
      <c r="R10" s="19" t="n">
        <f aca="false">IF($C10=0,0,MIN(ItirazMaxPuan,$M10/$C10*ItirazMaxPuan))</f>
        <v>0</v>
      </c>
      <c r="S10" s="19" t="n">
        <f aca="false">IF(MUSTERI_KARTLARI!$Q10="Askıda",StatufAskida,IF(MUSTERI_KARTLARI!$Q10="İzlemede",StatufIzleme,0))</f>
        <v>0</v>
      </c>
      <c r="T10" s="19" t="n">
        <f aca="false">IF(MUSTERI_KARTLARI!$R10="OK",100,IF(MUSTERI_KARTLARI!$R10="EKSİK",VeriKalitesiEksik,0))</f>
        <v>100</v>
      </c>
      <c r="U10" s="19" t="str">
        <f aca="false">IF($T10&gt;=GuvenYuksek,"YÜKSEK",IF($T10&gt;=GuvenOrta,"ORTA","DÜŞÜK"))</f>
        <v>YÜKSEK</v>
      </c>
      <c r="V10" s="19" t="str">
        <f aca="false">IF($X10&lt;=EsikDevam,"DEVAM",IF($X10&lt;=EsikIzle,"İZLE",IF($X10&lt;=EsikLimitAzalt,"LİMİTİ AZALT",IF($X10&lt;=EsikPesin,"PEŞİN / TEMİNATLI","VADELİ SATIŞI DURDUR"))))</f>
        <v>DEVAM</v>
      </c>
      <c r="W10" s="19" t="str">
        <f aca="false">IF($X10&gt;EsikKritik,"Yönetim onayı ve acil tahsilat planı",IF($X10&gt;EsikYuksek,"Yeni satışı teminata bağla",IF($X10&gt;EsikIzle,"Limit revizyonu ve tahsilatı hızlandır","Planlı izleme")))</f>
        <v>Planlı izleme</v>
      </c>
      <c r="X10" s="19" t="n">
        <f aca="false">ROUND(MIN(100,SUM($N10+$O10+$P10+$Q10+$R10+$S10)),0)</f>
        <v>20</v>
      </c>
    </row>
    <row r="11" customFormat="false" ht="16.4" hidden="false" customHeight="false" outlineLevel="0" collapsed="false">
      <c r="A11" s="19" t="n">
        <f aca="false">MUSTERI_KARTLARI!$A11</f>
        <v>0</v>
      </c>
      <c r="B11" s="19" t="n">
        <f aca="false">MUSTERI_KARTLARI!$B11</f>
        <v>0</v>
      </c>
      <c r="C11" s="19" t="n">
        <f aca="false">SUMIFS(tblYaslandirma[Açık Tutar],tblYaslandirma[Müşteri Kodu],$A11)</f>
        <v>0</v>
      </c>
      <c r="D11" s="19" t="n">
        <f aca="false">MUSTERI_KARTLARI!$I11+MUSTERI_KARTLARI!$J11</f>
        <v>0</v>
      </c>
      <c r="E11" s="19" t="n">
        <f aca="false">$D11-$C11</f>
        <v>0</v>
      </c>
      <c r="F11" s="19" t="n">
        <f aca="false">IFERROR($C11/$D11,1)</f>
        <v>1</v>
      </c>
      <c r="G11" s="19" t="n">
        <f aca="false">SUMIFS(tblYaslandirma[Açık Tutar],tblYaslandirma[Müşteri Kodu],$A11,tblYaslandirma[Gecikme Günü],"&gt;0")</f>
        <v>0</v>
      </c>
      <c r="H11" s="19" t="n">
        <f aca="false">IF($C11=0,0,$G11/$C11)</f>
        <v>0</v>
      </c>
      <c r="I11" s="19" t="n">
        <f aca="false">_xlfn.MAXIFS(tblYaslandirma[Gecikme Günü],tblYaslandirma[Müşteri Kodu],$A11)</f>
        <v>0</v>
      </c>
      <c r="J11" s="19" t="n">
        <f aca="false">SUMIFS(tblTeminatlar[Kabul Edilen Değer],tblTeminatlar[Müşteri Kodu],$A11)</f>
        <v>0</v>
      </c>
      <c r="K11" s="19" t="n">
        <f aca="false">MAX(0,$C11-$J11)</f>
        <v>0</v>
      </c>
      <c r="L11" s="19" t="n">
        <f aca="false">IF(SUM(tblRisk[Açık Bakiye])=0,0,$C11/SUM(tblRisk[Açık Bakiye]))</f>
        <v>0</v>
      </c>
      <c r="M11" s="19" t="n">
        <f aca="false">SUMIFS(tblYaslandirma[İtirazlı Tutar],tblYaslandirma[Müşteri Kodu],$A11)</f>
        <v>0</v>
      </c>
      <c r="N11" s="19" t="n">
        <f aca="false">MIN(GecikmeMaxPuan,$I11/YaslamaDilim3*GecikmeMaxPuan)</f>
        <v>0</v>
      </c>
      <c r="O11" s="19" t="n">
        <f aca="false">MIN(VadeMaxPuan,$H11*VadeMaxPuan)</f>
        <v>0</v>
      </c>
      <c r="P11" s="19" t="n">
        <f aca="false">MIN(LimitMaxPuan,$F11*LimitMaxPuan)</f>
        <v>20</v>
      </c>
      <c r="Q11" s="19" t="n">
        <f aca="false">IF($C11=0,0,MIN(TeminatMaxPuan,$K11/$C11*TeminatMaxPuan))</f>
        <v>0</v>
      </c>
      <c r="R11" s="19" t="n">
        <f aca="false">IF($C11=0,0,MIN(ItirazMaxPuan,$M11/$C11*ItirazMaxPuan))</f>
        <v>0</v>
      </c>
      <c r="S11" s="19" t="n">
        <f aca="false">IF(MUSTERI_KARTLARI!$Q11="Askıda",StatufAskida,IF(MUSTERI_KARTLARI!$Q11="İzlemede",StatufIzleme,0))</f>
        <v>0</v>
      </c>
      <c r="T11" s="19" t="n">
        <f aca="false">IF(MUSTERI_KARTLARI!$R11="OK",100,IF(MUSTERI_KARTLARI!$R11="EKSİK",VeriKalitesiEksik,0))</f>
        <v>100</v>
      </c>
      <c r="U11" s="19" t="str">
        <f aca="false">IF($T11&gt;=GuvenYuksek,"YÜKSEK",IF($T11&gt;=GuvenOrta,"ORTA","DÜŞÜK"))</f>
        <v>YÜKSEK</v>
      </c>
      <c r="V11" s="19" t="str">
        <f aca="false">IF($X11&lt;=EsikDevam,"DEVAM",IF($X11&lt;=EsikIzle,"İZLE",IF($X11&lt;=EsikLimitAzalt,"LİMİTİ AZALT",IF($X11&lt;=EsikPesin,"PEŞİN / TEMİNATLI","VADELİ SATIŞI DURDUR"))))</f>
        <v>DEVAM</v>
      </c>
      <c r="W11" s="19" t="str">
        <f aca="false">IF($X11&gt;EsikKritik,"Yönetim onayı ve acil tahsilat planı",IF($X11&gt;EsikYuksek,"Yeni satışı teminata bağla",IF($X11&gt;EsikIzle,"Limit revizyonu ve tahsilatı hızlandır","Planlı izleme")))</f>
        <v>Planlı izleme</v>
      </c>
      <c r="X11" s="19" t="n">
        <f aca="false">ROUND(MIN(100,SUM($N11+$O11+$P11+$Q11+$R11+$S11)),0)</f>
        <v>20</v>
      </c>
    </row>
    <row r="12" customFormat="false" ht="16.4" hidden="false" customHeight="false" outlineLevel="0" collapsed="false">
      <c r="A12" s="19" t="n">
        <f aca="false">MUSTERI_KARTLARI!$A12</f>
        <v>0</v>
      </c>
      <c r="B12" s="19" t="n">
        <f aca="false">MUSTERI_KARTLARI!$B12</f>
        <v>0</v>
      </c>
      <c r="C12" s="19" t="n">
        <f aca="false">SUMIFS(tblYaslandirma[Açık Tutar],tblYaslandirma[Müşteri Kodu],$A12)</f>
        <v>0</v>
      </c>
      <c r="D12" s="19" t="n">
        <f aca="false">MUSTERI_KARTLARI!$I12+MUSTERI_KARTLARI!$J12</f>
        <v>0</v>
      </c>
      <c r="E12" s="19" t="n">
        <f aca="false">$D12-$C12</f>
        <v>0</v>
      </c>
      <c r="F12" s="19" t="n">
        <f aca="false">IFERROR($C12/$D12,1)</f>
        <v>1</v>
      </c>
      <c r="G12" s="19" t="n">
        <f aca="false">SUMIFS(tblYaslandirma[Açık Tutar],tblYaslandirma[Müşteri Kodu],$A12,tblYaslandirma[Gecikme Günü],"&gt;0")</f>
        <v>0</v>
      </c>
      <c r="H12" s="19" t="n">
        <f aca="false">IF($C12=0,0,$G12/$C12)</f>
        <v>0</v>
      </c>
      <c r="I12" s="19" t="n">
        <f aca="false">_xlfn.MAXIFS(tblYaslandirma[Gecikme Günü],tblYaslandirma[Müşteri Kodu],$A12)</f>
        <v>0</v>
      </c>
      <c r="J12" s="19" t="n">
        <f aca="false">SUMIFS(tblTeminatlar[Kabul Edilen Değer],tblTeminatlar[Müşteri Kodu],$A12)</f>
        <v>0</v>
      </c>
      <c r="K12" s="19" t="n">
        <f aca="false">MAX(0,$C12-$J12)</f>
        <v>0</v>
      </c>
      <c r="L12" s="19" t="n">
        <f aca="false">IF(SUM(tblRisk[Açık Bakiye])=0,0,$C12/SUM(tblRisk[Açık Bakiye]))</f>
        <v>0</v>
      </c>
      <c r="M12" s="19" t="n">
        <f aca="false">SUMIFS(tblYaslandirma[İtirazlı Tutar],tblYaslandirma[Müşteri Kodu],$A12)</f>
        <v>0</v>
      </c>
      <c r="N12" s="19" t="n">
        <f aca="false">MIN(GecikmeMaxPuan,$I12/YaslamaDilim3*GecikmeMaxPuan)</f>
        <v>0</v>
      </c>
      <c r="O12" s="19" t="n">
        <f aca="false">MIN(VadeMaxPuan,$H12*VadeMaxPuan)</f>
        <v>0</v>
      </c>
      <c r="P12" s="19" t="n">
        <f aca="false">MIN(LimitMaxPuan,$F12*LimitMaxPuan)</f>
        <v>20</v>
      </c>
      <c r="Q12" s="19" t="n">
        <f aca="false">IF($C12=0,0,MIN(TeminatMaxPuan,$K12/$C12*TeminatMaxPuan))</f>
        <v>0</v>
      </c>
      <c r="R12" s="19" t="n">
        <f aca="false">IF($C12=0,0,MIN(ItirazMaxPuan,$M12/$C12*ItirazMaxPuan))</f>
        <v>0</v>
      </c>
      <c r="S12" s="19" t="n">
        <f aca="false">IF(MUSTERI_KARTLARI!$Q12="Askıda",StatufAskida,IF(MUSTERI_KARTLARI!$Q12="İzlemede",StatufIzleme,0))</f>
        <v>0</v>
      </c>
      <c r="T12" s="19" t="n">
        <f aca="false">IF(MUSTERI_KARTLARI!$R12="OK",100,IF(MUSTERI_KARTLARI!$R12="EKSİK",VeriKalitesiEksik,0))</f>
        <v>100</v>
      </c>
      <c r="U12" s="19" t="str">
        <f aca="false">IF($T12&gt;=GuvenYuksek,"YÜKSEK",IF($T12&gt;=GuvenOrta,"ORTA","DÜŞÜK"))</f>
        <v>YÜKSEK</v>
      </c>
      <c r="V12" s="19" t="str">
        <f aca="false">IF($X12&lt;=EsikDevam,"DEVAM",IF($X12&lt;=EsikIzle,"İZLE",IF($X12&lt;=EsikLimitAzalt,"LİMİTİ AZALT",IF($X12&lt;=EsikPesin,"PEŞİN / TEMİNATLI","VADELİ SATIŞI DURDUR"))))</f>
        <v>DEVAM</v>
      </c>
      <c r="W12" s="19" t="str">
        <f aca="false">IF($X12&gt;EsikKritik,"Yönetim onayı ve acil tahsilat planı",IF($X12&gt;EsikYuksek,"Yeni satışı teminata bağla",IF($X12&gt;EsikIzle,"Limit revizyonu ve tahsilatı hızlandır","Planlı izleme")))</f>
        <v>Planlı izleme</v>
      </c>
      <c r="X12" s="19" t="n">
        <f aca="false">ROUND(MIN(100,SUM($N12+$O12+$P12+$Q12+$R12+$S12)),0)</f>
        <v>20</v>
      </c>
    </row>
    <row r="13" customFormat="false" ht="16.4" hidden="false" customHeight="false" outlineLevel="0" collapsed="false">
      <c r="A13" s="19" t="n">
        <f aca="false">MUSTERI_KARTLARI!$A13</f>
        <v>0</v>
      </c>
      <c r="B13" s="19" t="n">
        <f aca="false">MUSTERI_KARTLARI!$B13</f>
        <v>0</v>
      </c>
      <c r="C13" s="19" t="n">
        <f aca="false">SUMIFS(tblYaslandirma[Açık Tutar],tblYaslandirma[Müşteri Kodu],$A13)</f>
        <v>0</v>
      </c>
      <c r="D13" s="19" t="n">
        <f aca="false">MUSTERI_KARTLARI!$I13+MUSTERI_KARTLARI!$J13</f>
        <v>0</v>
      </c>
      <c r="E13" s="19" t="n">
        <f aca="false">$D13-$C13</f>
        <v>0</v>
      </c>
      <c r="F13" s="19" t="n">
        <f aca="false">IFERROR($C13/$D13,1)</f>
        <v>1</v>
      </c>
      <c r="G13" s="19" t="n">
        <f aca="false">SUMIFS(tblYaslandirma[Açık Tutar],tblYaslandirma[Müşteri Kodu],$A13,tblYaslandirma[Gecikme Günü],"&gt;0")</f>
        <v>0</v>
      </c>
      <c r="H13" s="19" t="n">
        <f aca="false">IF($C13=0,0,$G13/$C13)</f>
        <v>0</v>
      </c>
      <c r="I13" s="19" t="n">
        <f aca="false">_xlfn.MAXIFS(tblYaslandirma[Gecikme Günü],tblYaslandirma[Müşteri Kodu],$A13)</f>
        <v>0</v>
      </c>
      <c r="J13" s="19" t="n">
        <f aca="false">SUMIFS(tblTeminatlar[Kabul Edilen Değer],tblTeminatlar[Müşteri Kodu],$A13)</f>
        <v>0</v>
      </c>
      <c r="K13" s="19" t="n">
        <f aca="false">MAX(0,$C13-$J13)</f>
        <v>0</v>
      </c>
      <c r="L13" s="19" t="n">
        <f aca="false">IF(SUM(tblRisk[Açık Bakiye])=0,0,$C13/SUM(tblRisk[Açık Bakiye]))</f>
        <v>0</v>
      </c>
      <c r="M13" s="19" t="n">
        <f aca="false">SUMIFS(tblYaslandirma[İtirazlı Tutar],tblYaslandirma[Müşteri Kodu],$A13)</f>
        <v>0</v>
      </c>
      <c r="N13" s="19" t="n">
        <f aca="false">MIN(GecikmeMaxPuan,$I13/YaslamaDilim3*GecikmeMaxPuan)</f>
        <v>0</v>
      </c>
      <c r="O13" s="19" t="n">
        <f aca="false">MIN(VadeMaxPuan,$H13*VadeMaxPuan)</f>
        <v>0</v>
      </c>
      <c r="P13" s="19" t="n">
        <f aca="false">MIN(LimitMaxPuan,$F13*LimitMaxPuan)</f>
        <v>20</v>
      </c>
      <c r="Q13" s="19" t="n">
        <f aca="false">IF($C13=0,0,MIN(TeminatMaxPuan,$K13/$C13*TeminatMaxPuan))</f>
        <v>0</v>
      </c>
      <c r="R13" s="19" t="n">
        <f aca="false">IF($C13=0,0,MIN(ItirazMaxPuan,$M13/$C13*ItirazMaxPuan))</f>
        <v>0</v>
      </c>
      <c r="S13" s="19" t="n">
        <f aca="false">IF(MUSTERI_KARTLARI!$Q13="Askıda",StatufAskida,IF(MUSTERI_KARTLARI!$Q13="İzlemede",StatufIzleme,0))</f>
        <v>0</v>
      </c>
      <c r="T13" s="19" t="n">
        <f aca="false">IF(MUSTERI_KARTLARI!$R13="OK",100,IF(MUSTERI_KARTLARI!$R13="EKSİK",VeriKalitesiEksik,0))</f>
        <v>100</v>
      </c>
      <c r="U13" s="19" t="str">
        <f aca="false">IF($T13&gt;=GuvenYuksek,"YÜKSEK",IF($T13&gt;=GuvenOrta,"ORTA","DÜŞÜK"))</f>
        <v>YÜKSEK</v>
      </c>
      <c r="V13" s="19" t="str">
        <f aca="false">IF($X13&lt;=EsikDevam,"DEVAM",IF($X13&lt;=EsikIzle,"İZLE",IF($X13&lt;=EsikLimitAzalt,"LİMİTİ AZALT",IF($X13&lt;=EsikPesin,"PEŞİN / TEMİNATLI","VADELİ SATIŞI DURDUR"))))</f>
        <v>DEVAM</v>
      </c>
      <c r="W13" s="19" t="str">
        <f aca="false">IF($X13&gt;EsikKritik,"Yönetim onayı ve acil tahsilat planı",IF($X13&gt;EsikYuksek,"Yeni satışı teminata bağla",IF($X13&gt;EsikIzle,"Limit revizyonu ve tahsilatı hızlandır","Planlı izleme")))</f>
        <v>Planlı izleme</v>
      </c>
      <c r="X13" s="19" t="n">
        <f aca="false">ROUND(MIN(100,SUM($N13+$O13+$P13+$Q13+$R13+$S13)),0)</f>
        <v>20</v>
      </c>
    </row>
    <row r="14" customFormat="false" ht="16.4" hidden="false" customHeight="false" outlineLevel="0" collapsed="false">
      <c r="A14" s="19" t="n">
        <f aca="false">MUSTERI_KARTLARI!$A14</f>
        <v>0</v>
      </c>
      <c r="B14" s="19" t="n">
        <f aca="false">MUSTERI_KARTLARI!$B14</f>
        <v>0</v>
      </c>
      <c r="C14" s="19" t="n">
        <f aca="false">SUMIFS(tblYaslandirma[Açık Tutar],tblYaslandirma[Müşteri Kodu],$A14)</f>
        <v>0</v>
      </c>
      <c r="D14" s="19" t="n">
        <f aca="false">MUSTERI_KARTLARI!$I14+MUSTERI_KARTLARI!$J14</f>
        <v>0</v>
      </c>
      <c r="E14" s="19" t="n">
        <f aca="false">$D14-$C14</f>
        <v>0</v>
      </c>
      <c r="F14" s="19" t="n">
        <f aca="false">IFERROR($C14/$D14,1)</f>
        <v>1</v>
      </c>
      <c r="G14" s="19" t="n">
        <f aca="false">SUMIFS(tblYaslandirma[Açık Tutar],tblYaslandirma[Müşteri Kodu],$A14,tblYaslandirma[Gecikme Günü],"&gt;0")</f>
        <v>0</v>
      </c>
      <c r="H14" s="19" t="n">
        <f aca="false">IF($C14=0,0,$G14/$C14)</f>
        <v>0</v>
      </c>
      <c r="I14" s="19" t="n">
        <f aca="false">_xlfn.MAXIFS(tblYaslandirma[Gecikme Günü],tblYaslandirma[Müşteri Kodu],$A14)</f>
        <v>0</v>
      </c>
      <c r="J14" s="19" t="n">
        <f aca="false">SUMIFS(tblTeminatlar[Kabul Edilen Değer],tblTeminatlar[Müşteri Kodu],$A14)</f>
        <v>0</v>
      </c>
      <c r="K14" s="19" t="n">
        <f aca="false">MAX(0,$C14-$J14)</f>
        <v>0</v>
      </c>
      <c r="L14" s="19" t="n">
        <f aca="false">IF(SUM(tblRisk[Açık Bakiye])=0,0,$C14/SUM(tblRisk[Açık Bakiye]))</f>
        <v>0</v>
      </c>
      <c r="M14" s="19" t="n">
        <f aca="false">SUMIFS(tblYaslandirma[İtirazlı Tutar],tblYaslandirma[Müşteri Kodu],$A14)</f>
        <v>0</v>
      </c>
      <c r="N14" s="19" t="n">
        <f aca="false">MIN(GecikmeMaxPuan,$I14/YaslamaDilim3*GecikmeMaxPuan)</f>
        <v>0</v>
      </c>
      <c r="O14" s="19" t="n">
        <f aca="false">MIN(VadeMaxPuan,$H14*VadeMaxPuan)</f>
        <v>0</v>
      </c>
      <c r="P14" s="19" t="n">
        <f aca="false">MIN(LimitMaxPuan,$F14*LimitMaxPuan)</f>
        <v>20</v>
      </c>
      <c r="Q14" s="19" t="n">
        <f aca="false">IF($C14=0,0,MIN(TeminatMaxPuan,$K14/$C14*TeminatMaxPuan))</f>
        <v>0</v>
      </c>
      <c r="R14" s="19" t="n">
        <f aca="false">IF($C14=0,0,MIN(ItirazMaxPuan,$M14/$C14*ItirazMaxPuan))</f>
        <v>0</v>
      </c>
      <c r="S14" s="19" t="n">
        <f aca="false">IF(MUSTERI_KARTLARI!$Q14="Askıda",StatufAskida,IF(MUSTERI_KARTLARI!$Q14="İzlemede",StatufIzleme,0))</f>
        <v>0</v>
      </c>
      <c r="T14" s="19" t="n">
        <f aca="false">IF(MUSTERI_KARTLARI!$R14="OK",100,IF(MUSTERI_KARTLARI!$R14="EKSİK",VeriKalitesiEksik,0))</f>
        <v>100</v>
      </c>
      <c r="U14" s="19" t="str">
        <f aca="false">IF($T14&gt;=GuvenYuksek,"YÜKSEK",IF($T14&gt;=GuvenOrta,"ORTA","DÜŞÜK"))</f>
        <v>YÜKSEK</v>
      </c>
      <c r="V14" s="19" t="str">
        <f aca="false">IF($X14&lt;=EsikDevam,"DEVAM",IF($X14&lt;=EsikIzle,"İZLE",IF($X14&lt;=EsikLimitAzalt,"LİMİTİ AZALT",IF($X14&lt;=EsikPesin,"PEŞİN / TEMİNATLI","VADELİ SATIŞI DURDUR"))))</f>
        <v>DEVAM</v>
      </c>
      <c r="W14" s="19" t="str">
        <f aca="false">IF($X14&gt;EsikKritik,"Yönetim onayı ve acil tahsilat planı",IF($X14&gt;EsikYuksek,"Yeni satışı teminata bağla",IF($X14&gt;EsikIzle,"Limit revizyonu ve tahsilatı hızlandır","Planlı izleme")))</f>
        <v>Planlı izleme</v>
      </c>
      <c r="X14" s="19" t="n">
        <f aca="false">ROUND(MIN(100,SUM($N14+$O14+$P14+$Q14+$R14+$S14)),0)</f>
        <v>20</v>
      </c>
    </row>
    <row r="15" customFormat="false" ht="16.4" hidden="false" customHeight="false" outlineLevel="0" collapsed="false">
      <c r="A15" s="19" t="n">
        <f aca="false">MUSTERI_KARTLARI!$A15</f>
        <v>0</v>
      </c>
      <c r="B15" s="19" t="n">
        <f aca="false">MUSTERI_KARTLARI!$B15</f>
        <v>0</v>
      </c>
      <c r="C15" s="19" t="n">
        <f aca="false">SUMIFS(tblYaslandirma[Açık Tutar],tblYaslandirma[Müşteri Kodu],$A15)</f>
        <v>0</v>
      </c>
      <c r="D15" s="19" t="n">
        <f aca="false">MUSTERI_KARTLARI!$I15+MUSTERI_KARTLARI!$J15</f>
        <v>0</v>
      </c>
      <c r="E15" s="19" t="n">
        <f aca="false">$D15-$C15</f>
        <v>0</v>
      </c>
      <c r="F15" s="19" t="n">
        <f aca="false">IFERROR($C15/$D15,1)</f>
        <v>1</v>
      </c>
      <c r="G15" s="19" t="n">
        <f aca="false">SUMIFS(tblYaslandirma[Açık Tutar],tblYaslandirma[Müşteri Kodu],$A15,tblYaslandirma[Gecikme Günü],"&gt;0")</f>
        <v>0</v>
      </c>
      <c r="H15" s="19" t="n">
        <f aca="false">IF($C15=0,0,$G15/$C15)</f>
        <v>0</v>
      </c>
      <c r="I15" s="19" t="n">
        <f aca="false">_xlfn.MAXIFS(tblYaslandirma[Gecikme Günü],tblYaslandirma[Müşteri Kodu],$A15)</f>
        <v>0</v>
      </c>
      <c r="J15" s="19" t="n">
        <f aca="false">SUMIFS(tblTeminatlar[Kabul Edilen Değer],tblTeminatlar[Müşteri Kodu],$A15)</f>
        <v>0</v>
      </c>
      <c r="K15" s="19" t="n">
        <f aca="false">MAX(0,$C15-$J15)</f>
        <v>0</v>
      </c>
      <c r="L15" s="19" t="n">
        <f aca="false">IF(SUM(tblRisk[Açık Bakiye])=0,0,$C15/SUM(tblRisk[Açık Bakiye]))</f>
        <v>0</v>
      </c>
      <c r="M15" s="19" t="n">
        <f aca="false">SUMIFS(tblYaslandirma[İtirazlı Tutar],tblYaslandirma[Müşteri Kodu],$A15)</f>
        <v>0</v>
      </c>
      <c r="N15" s="19" t="n">
        <f aca="false">MIN(GecikmeMaxPuan,$I15/YaslamaDilim3*GecikmeMaxPuan)</f>
        <v>0</v>
      </c>
      <c r="O15" s="19" t="n">
        <f aca="false">MIN(VadeMaxPuan,$H15*VadeMaxPuan)</f>
        <v>0</v>
      </c>
      <c r="P15" s="19" t="n">
        <f aca="false">MIN(LimitMaxPuan,$F15*LimitMaxPuan)</f>
        <v>20</v>
      </c>
      <c r="Q15" s="19" t="n">
        <f aca="false">IF($C15=0,0,MIN(TeminatMaxPuan,$K15/$C15*TeminatMaxPuan))</f>
        <v>0</v>
      </c>
      <c r="R15" s="19" t="n">
        <f aca="false">IF($C15=0,0,MIN(ItirazMaxPuan,$M15/$C15*ItirazMaxPuan))</f>
        <v>0</v>
      </c>
      <c r="S15" s="19" t="n">
        <f aca="false">IF(MUSTERI_KARTLARI!$Q15="Askıda",StatufAskida,IF(MUSTERI_KARTLARI!$Q15="İzlemede",StatufIzleme,0))</f>
        <v>0</v>
      </c>
      <c r="T15" s="19" t="n">
        <f aca="false">IF(MUSTERI_KARTLARI!$R15="OK",100,IF(MUSTERI_KARTLARI!$R15="EKSİK",VeriKalitesiEksik,0))</f>
        <v>100</v>
      </c>
      <c r="U15" s="19" t="str">
        <f aca="false">IF($T15&gt;=GuvenYuksek,"YÜKSEK",IF($T15&gt;=GuvenOrta,"ORTA","DÜŞÜK"))</f>
        <v>YÜKSEK</v>
      </c>
      <c r="V15" s="19" t="str">
        <f aca="false">IF($X15&lt;=EsikDevam,"DEVAM",IF($X15&lt;=EsikIzle,"İZLE",IF($X15&lt;=EsikLimitAzalt,"LİMİTİ AZALT",IF($X15&lt;=EsikPesin,"PEŞİN / TEMİNATLI","VADELİ SATIŞI DURDUR"))))</f>
        <v>DEVAM</v>
      </c>
      <c r="W15" s="19" t="str">
        <f aca="false">IF($X15&gt;EsikKritik,"Yönetim onayı ve acil tahsilat planı",IF($X15&gt;EsikYuksek,"Yeni satışı teminata bağla",IF($X15&gt;EsikIzle,"Limit revizyonu ve tahsilatı hızlandır","Planlı izleme")))</f>
        <v>Planlı izleme</v>
      </c>
      <c r="X15" s="19" t="n">
        <f aca="false">ROUND(MIN(100,SUM($N15+$O15+$P15+$Q15+$R15+$S15)),0)</f>
        <v>20</v>
      </c>
    </row>
    <row r="16" customFormat="false" ht="16.4" hidden="false" customHeight="false" outlineLevel="0" collapsed="false">
      <c r="A16" s="19" t="n">
        <f aca="false">MUSTERI_KARTLARI!$A16</f>
        <v>0</v>
      </c>
      <c r="B16" s="19" t="n">
        <f aca="false">MUSTERI_KARTLARI!$B16</f>
        <v>0</v>
      </c>
      <c r="C16" s="19" t="n">
        <f aca="false">SUMIFS(tblYaslandirma[Açık Tutar],tblYaslandirma[Müşteri Kodu],$A16)</f>
        <v>0</v>
      </c>
      <c r="D16" s="19" t="n">
        <f aca="false">MUSTERI_KARTLARI!$I16+MUSTERI_KARTLARI!$J16</f>
        <v>0</v>
      </c>
      <c r="E16" s="19" t="n">
        <f aca="false">$D16-$C16</f>
        <v>0</v>
      </c>
      <c r="F16" s="19" t="n">
        <f aca="false">IFERROR($C16/$D16,1)</f>
        <v>1</v>
      </c>
      <c r="G16" s="19" t="n">
        <f aca="false">SUMIFS(tblYaslandirma[Açık Tutar],tblYaslandirma[Müşteri Kodu],$A16,tblYaslandirma[Gecikme Günü],"&gt;0")</f>
        <v>0</v>
      </c>
      <c r="H16" s="19" t="n">
        <f aca="false">IF($C16=0,0,$G16/$C16)</f>
        <v>0</v>
      </c>
      <c r="I16" s="19" t="n">
        <f aca="false">_xlfn.MAXIFS(tblYaslandirma[Gecikme Günü],tblYaslandirma[Müşteri Kodu],$A16)</f>
        <v>0</v>
      </c>
      <c r="J16" s="19" t="n">
        <f aca="false">SUMIFS(tblTeminatlar[Kabul Edilen Değer],tblTeminatlar[Müşteri Kodu],$A16)</f>
        <v>0</v>
      </c>
      <c r="K16" s="19" t="n">
        <f aca="false">MAX(0,$C16-$J16)</f>
        <v>0</v>
      </c>
      <c r="L16" s="19" t="n">
        <f aca="false">IF(SUM(tblRisk[Açık Bakiye])=0,0,$C16/SUM(tblRisk[Açık Bakiye]))</f>
        <v>0</v>
      </c>
      <c r="M16" s="19" t="n">
        <f aca="false">SUMIFS(tblYaslandirma[İtirazlı Tutar],tblYaslandirma[Müşteri Kodu],$A16)</f>
        <v>0</v>
      </c>
      <c r="N16" s="19" t="n">
        <f aca="false">MIN(GecikmeMaxPuan,$I16/YaslamaDilim3*GecikmeMaxPuan)</f>
        <v>0</v>
      </c>
      <c r="O16" s="19" t="n">
        <f aca="false">MIN(VadeMaxPuan,$H16*VadeMaxPuan)</f>
        <v>0</v>
      </c>
      <c r="P16" s="19" t="n">
        <f aca="false">MIN(LimitMaxPuan,$F16*LimitMaxPuan)</f>
        <v>20</v>
      </c>
      <c r="Q16" s="19" t="n">
        <f aca="false">IF($C16=0,0,MIN(TeminatMaxPuan,$K16/$C16*TeminatMaxPuan))</f>
        <v>0</v>
      </c>
      <c r="R16" s="19" t="n">
        <f aca="false">IF($C16=0,0,MIN(ItirazMaxPuan,$M16/$C16*ItirazMaxPuan))</f>
        <v>0</v>
      </c>
      <c r="S16" s="19" t="n">
        <f aca="false">IF(MUSTERI_KARTLARI!$Q16="Askıda",StatufAskida,IF(MUSTERI_KARTLARI!$Q16="İzlemede",StatufIzleme,0))</f>
        <v>0</v>
      </c>
      <c r="T16" s="19" t="n">
        <f aca="false">IF(MUSTERI_KARTLARI!$R16="OK",100,IF(MUSTERI_KARTLARI!$R16="EKSİK",VeriKalitesiEksik,0))</f>
        <v>100</v>
      </c>
      <c r="U16" s="19" t="str">
        <f aca="false">IF($T16&gt;=GuvenYuksek,"YÜKSEK",IF($T16&gt;=GuvenOrta,"ORTA","DÜŞÜK"))</f>
        <v>YÜKSEK</v>
      </c>
      <c r="V16" s="19" t="str">
        <f aca="false">IF($X16&lt;=EsikDevam,"DEVAM",IF($X16&lt;=EsikIzle,"İZLE",IF($X16&lt;=EsikLimitAzalt,"LİMİTİ AZALT",IF($X16&lt;=EsikPesin,"PEŞİN / TEMİNATLI","VADELİ SATIŞI DURDUR"))))</f>
        <v>DEVAM</v>
      </c>
      <c r="W16" s="19" t="str">
        <f aca="false">IF($X16&gt;EsikKritik,"Yönetim onayı ve acil tahsilat planı",IF($X16&gt;EsikYuksek,"Yeni satışı teminata bağla",IF($X16&gt;EsikIzle,"Limit revizyonu ve tahsilatı hızlandır","Planlı izleme")))</f>
        <v>Planlı izleme</v>
      </c>
      <c r="X16" s="19" t="n">
        <f aca="false">ROUND(MIN(100,SUM($N16+$O16+$P16+$Q16+$R16+$S16)),0)</f>
        <v>20</v>
      </c>
    </row>
    <row r="17" customFormat="false" ht="16.4" hidden="false" customHeight="false" outlineLevel="0" collapsed="false">
      <c r="A17" s="19" t="n">
        <f aca="false">MUSTERI_KARTLARI!$A17</f>
        <v>0</v>
      </c>
      <c r="B17" s="19" t="n">
        <f aca="false">MUSTERI_KARTLARI!$B17</f>
        <v>0</v>
      </c>
      <c r="C17" s="19" t="n">
        <f aca="false">SUMIFS(tblYaslandirma[Açık Tutar],tblYaslandirma[Müşteri Kodu],$A17)</f>
        <v>0</v>
      </c>
      <c r="D17" s="19" t="n">
        <f aca="false">MUSTERI_KARTLARI!$I17+MUSTERI_KARTLARI!$J17</f>
        <v>0</v>
      </c>
      <c r="E17" s="19" t="n">
        <f aca="false">$D17-$C17</f>
        <v>0</v>
      </c>
      <c r="F17" s="19" t="n">
        <f aca="false">IFERROR($C17/$D17,1)</f>
        <v>1</v>
      </c>
      <c r="G17" s="19" t="n">
        <f aca="false">SUMIFS(tblYaslandirma[Açık Tutar],tblYaslandirma[Müşteri Kodu],$A17,tblYaslandirma[Gecikme Günü],"&gt;0")</f>
        <v>0</v>
      </c>
      <c r="H17" s="19" t="n">
        <f aca="false">IF($C17=0,0,$G17/$C17)</f>
        <v>0</v>
      </c>
      <c r="I17" s="19" t="n">
        <f aca="false">_xlfn.MAXIFS(tblYaslandirma[Gecikme Günü],tblYaslandirma[Müşteri Kodu],$A17)</f>
        <v>0</v>
      </c>
      <c r="J17" s="19" t="n">
        <f aca="false">SUMIFS(tblTeminatlar[Kabul Edilen Değer],tblTeminatlar[Müşteri Kodu],$A17)</f>
        <v>0</v>
      </c>
      <c r="K17" s="19" t="n">
        <f aca="false">MAX(0,$C17-$J17)</f>
        <v>0</v>
      </c>
      <c r="L17" s="19" t="n">
        <f aca="false">IF(SUM(tblRisk[Açık Bakiye])=0,0,$C17/SUM(tblRisk[Açık Bakiye]))</f>
        <v>0</v>
      </c>
      <c r="M17" s="19" t="n">
        <f aca="false">SUMIFS(tblYaslandirma[İtirazlı Tutar],tblYaslandirma[Müşteri Kodu],$A17)</f>
        <v>0</v>
      </c>
      <c r="N17" s="19" t="n">
        <f aca="false">MIN(GecikmeMaxPuan,$I17/YaslamaDilim3*GecikmeMaxPuan)</f>
        <v>0</v>
      </c>
      <c r="O17" s="19" t="n">
        <f aca="false">MIN(VadeMaxPuan,$H17*VadeMaxPuan)</f>
        <v>0</v>
      </c>
      <c r="P17" s="19" t="n">
        <f aca="false">MIN(LimitMaxPuan,$F17*LimitMaxPuan)</f>
        <v>20</v>
      </c>
      <c r="Q17" s="19" t="n">
        <f aca="false">IF($C17=0,0,MIN(TeminatMaxPuan,$K17/$C17*TeminatMaxPuan))</f>
        <v>0</v>
      </c>
      <c r="R17" s="19" t="n">
        <f aca="false">IF($C17=0,0,MIN(ItirazMaxPuan,$M17/$C17*ItirazMaxPuan))</f>
        <v>0</v>
      </c>
      <c r="S17" s="19" t="n">
        <f aca="false">IF(MUSTERI_KARTLARI!$Q17="Askıda",StatufAskida,IF(MUSTERI_KARTLARI!$Q17="İzlemede",StatufIzleme,0))</f>
        <v>0</v>
      </c>
      <c r="T17" s="19" t="n">
        <f aca="false">IF(MUSTERI_KARTLARI!$R17="OK",100,IF(MUSTERI_KARTLARI!$R17="EKSİK",VeriKalitesiEksik,0))</f>
        <v>100</v>
      </c>
      <c r="U17" s="19" t="str">
        <f aca="false">IF($T17&gt;=GuvenYuksek,"YÜKSEK",IF($T17&gt;=GuvenOrta,"ORTA","DÜŞÜK"))</f>
        <v>YÜKSEK</v>
      </c>
      <c r="V17" s="19" t="str">
        <f aca="false">IF($X17&lt;=EsikDevam,"DEVAM",IF($X17&lt;=EsikIzle,"İZLE",IF($X17&lt;=EsikLimitAzalt,"LİMİTİ AZALT",IF($X17&lt;=EsikPesin,"PEŞİN / TEMİNATLI","VADELİ SATIŞI DURDUR"))))</f>
        <v>DEVAM</v>
      </c>
      <c r="W17" s="19" t="str">
        <f aca="false">IF($X17&gt;EsikKritik,"Yönetim onayı ve acil tahsilat planı",IF($X17&gt;EsikYuksek,"Yeni satışı teminata bağla",IF($X17&gt;EsikIzle,"Limit revizyonu ve tahsilatı hızlandır","Planlı izleme")))</f>
        <v>Planlı izleme</v>
      </c>
      <c r="X17" s="19" t="n">
        <f aca="false">ROUND(MIN(100,SUM($N17+$O17+$P17+$Q17+$R17+$S17)),0)</f>
        <v>20</v>
      </c>
    </row>
    <row r="18" customFormat="false" ht="16.4" hidden="false" customHeight="false" outlineLevel="0" collapsed="false">
      <c r="A18" s="19" t="n">
        <f aca="false">MUSTERI_KARTLARI!$A18</f>
        <v>0</v>
      </c>
      <c r="B18" s="19" t="n">
        <f aca="false">MUSTERI_KARTLARI!$B18</f>
        <v>0</v>
      </c>
      <c r="C18" s="19" t="n">
        <f aca="false">SUMIFS(tblYaslandirma[Açık Tutar],tblYaslandirma[Müşteri Kodu],$A18)</f>
        <v>0</v>
      </c>
      <c r="D18" s="19" t="n">
        <f aca="false">MUSTERI_KARTLARI!$I18+MUSTERI_KARTLARI!$J18</f>
        <v>0</v>
      </c>
      <c r="E18" s="19" t="n">
        <f aca="false">$D18-$C18</f>
        <v>0</v>
      </c>
      <c r="F18" s="19" t="n">
        <f aca="false">IFERROR($C18/$D18,1)</f>
        <v>1</v>
      </c>
      <c r="G18" s="19" t="n">
        <f aca="false">SUMIFS(tblYaslandirma[Açık Tutar],tblYaslandirma[Müşteri Kodu],$A18,tblYaslandirma[Gecikme Günü],"&gt;0")</f>
        <v>0</v>
      </c>
      <c r="H18" s="19" t="n">
        <f aca="false">IF($C18=0,0,$G18/$C18)</f>
        <v>0</v>
      </c>
      <c r="I18" s="19" t="n">
        <f aca="false">_xlfn.MAXIFS(tblYaslandirma[Gecikme Günü],tblYaslandirma[Müşteri Kodu],$A18)</f>
        <v>0</v>
      </c>
      <c r="J18" s="19" t="n">
        <f aca="false">SUMIFS(tblTeminatlar[Kabul Edilen Değer],tblTeminatlar[Müşteri Kodu],$A18)</f>
        <v>0</v>
      </c>
      <c r="K18" s="19" t="n">
        <f aca="false">MAX(0,$C18-$J18)</f>
        <v>0</v>
      </c>
      <c r="L18" s="19" t="n">
        <f aca="false">IF(SUM(tblRisk[Açık Bakiye])=0,0,$C18/SUM(tblRisk[Açık Bakiye]))</f>
        <v>0</v>
      </c>
      <c r="M18" s="19" t="n">
        <f aca="false">SUMIFS(tblYaslandirma[İtirazlı Tutar],tblYaslandirma[Müşteri Kodu],$A18)</f>
        <v>0</v>
      </c>
      <c r="N18" s="19" t="n">
        <f aca="false">MIN(GecikmeMaxPuan,$I18/YaslamaDilim3*GecikmeMaxPuan)</f>
        <v>0</v>
      </c>
      <c r="O18" s="19" t="n">
        <f aca="false">MIN(VadeMaxPuan,$H18*VadeMaxPuan)</f>
        <v>0</v>
      </c>
      <c r="P18" s="19" t="n">
        <f aca="false">MIN(LimitMaxPuan,$F18*LimitMaxPuan)</f>
        <v>20</v>
      </c>
      <c r="Q18" s="19" t="n">
        <f aca="false">IF($C18=0,0,MIN(TeminatMaxPuan,$K18/$C18*TeminatMaxPuan))</f>
        <v>0</v>
      </c>
      <c r="R18" s="19" t="n">
        <f aca="false">IF($C18=0,0,MIN(ItirazMaxPuan,$M18/$C18*ItirazMaxPuan))</f>
        <v>0</v>
      </c>
      <c r="S18" s="19" t="n">
        <f aca="false">IF(MUSTERI_KARTLARI!$Q18="Askıda",StatufAskida,IF(MUSTERI_KARTLARI!$Q18="İzlemede",StatufIzleme,0))</f>
        <v>0</v>
      </c>
      <c r="T18" s="19" t="n">
        <f aca="false">IF(MUSTERI_KARTLARI!$R18="OK",100,IF(MUSTERI_KARTLARI!$R18="EKSİK",VeriKalitesiEksik,0))</f>
        <v>100</v>
      </c>
      <c r="U18" s="19" t="str">
        <f aca="false">IF($T18&gt;=GuvenYuksek,"YÜKSEK",IF($T18&gt;=GuvenOrta,"ORTA","DÜŞÜK"))</f>
        <v>YÜKSEK</v>
      </c>
      <c r="V18" s="19" t="str">
        <f aca="false">IF($X18&lt;=EsikDevam,"DEVAM",IF($X18&lt;=EsikIzle,"İZLE",IF($X18&lt;=EsikLimitAzalt,"LİMİTİ AZALT",IF($X18&lt;=EsikPesin,"PEŞİN / TEMİNATLI","VADELİ SATIŞI DURDUR"))))</f>
        <v>DEVAM</v>
      </c>
      <c r="W18" s="19" t="str">
        <f aca="false">IF($X18&gt;EsikKritik,"Yönetim onayı ve acil tahsilat planı",IF($X18&gt;EsikYuksek,"Yeni satışı teminata bağla",IF($X18&gt;EsikIzle,"Limit revizyonu ve tahsilatı hızlandır","Planlı izleme")))</f>
        <v>Planlı izleme</v>
      </c>
      <c r="X18" s="19" t="n">
        <f aca="false">ROUND(MIN(100,SUM($N18+$O18+$P18+$Q18+$R18+$S18)),0)</f>
        <v>20</v>
      </c>
    </row>
    <row r="19" customFormat="false" ht="16.4" hidden="false" customHeight="false" outlineLevel="0" collapsed="false">
      <c r="A19" s="19" t="n">
        <f aca="false">MUSTERI_KARTLARI!$A19</f>
        <v>0</v>
      </c>
      <c r="B19" s="19" t="n">
        <f aca="false">MUSTERI_KARTLARI!$B19</f>
        <v>0</v>
      </c>
      <c r="C19" s="19" t="n">
        <f aca="false">SUMIFS(tblYaslandirma[Açık Tutar],tblYaslandirma[Müşteri Kodu],$A19)</f>
        <v>0</v>
      </c>
      <c r="D19" s="19" t="n">
        <f aca="false">MUSTERI_KARTLARI!$I19+MUSTERI_KARTLARI!$J19</f>
        <v>0</v>
      </c>
      <c r="E19" s="19" t="n">
        <f aca="false">$D19-$C19</f>
        <v>0</v>
      </c>
      <c r="F19" s="19" t="n">
        <f aca="false">IFERROR($C19/$D19,1)</f>
        <v>1</v>
      </c>
      <c r="G19" s="19" t="n">
        <f aca="false">SUMIFS(tblYaslandirma[Açık Tutar],tblYaslandirma[Müşteri Kodu],$A19,tblYaslandirma[Gecikme Günü],"&gt;0")</f>
        <v>0</v>
      </c>
      <c r="H19" s="19" t="n">
        <f aca="false">IF($C19=0,0,$G19/$C19)</f>
        <v>0</v>
      </c>
      <c r="I19" s="19" t="n">
        <f aca="false">_xlfn.MAXIFS(tblYaslandirma[Gecikme Günü],tblYaslandirma[Müşteri Kodu],$A19)</f>
        <v>0</v>
      </c>
      <c r="J19" s="19" t="n">
        <f aca="false">SUMIFS(tblTeminatlar[Kabul Edilen Değer],tblTeminatlar[Müşteri Kodu],$A19)</f>
        <v>0</v>
      </c>
      <c r="K19" s="19" t="n">
        <f aca="false">MAX(0,$C19-$J19)</f>
        <v>0</v>
      </c>
      <c r="L19" s="19" t="n">
        <f aca="false">IF(SUM(tblRisk[Açık Bakiye])=0,0,$C19/SUM(tblRisk[Açık Bakiye]))</f>
        <v>0</v>
      </c>
      <c r="M19" s="19" t="n">
        <f aca="false">SUMIFS(tblYaslandirma[İtirazlı Tutar],tblYaslandirma[Müşteri Kodu],$A19)</f>
        <v>0</v>
      </c>
      <c r="N19" s="19" t="n">
        <f aca="false">MIN(GecikmeMaxPuan,$I19/YaslamaDilim3*GecikmeMaxPuan)</f>
        <v>0</v>
      </c>
      <c r="O19" s="19" t="n">
        <f aca="false">MIN(VadeMaxPuan,$H19*VadeMaxPuan)</f>
        <v>0</v>
      </c>
      <c r="P19" s="19" t="n">
        <f aca="false">MIN(LimitMaxPuan,$F19*LimitMaxPuan)</f>
        <v>20</v>
      </c>
      <c r="Q19" s="19" t="n">
        <f aca="false">IF($C19=0,0,MIN(TeminatMaxPuan,$K19/$C19*TeminatMaxPuan))</f>
        <v>0</v>
      </c>
      <c r="R19" s="19" t="n">
        <f aca="false">IF($C19=0,0,MIN(ItirazMaxPuan,$M19/$C19*ItirazMaxPuan))</f>
        <v>0</v>
      </c>
      <c r="S19" s="19" t="n">
        <f aca="false">IF(MUSTERI_KARTLARI!$Q19="Askıda",StatufAskida,IF(MUSTERI_KARTLARI!$Q19="İzlemede",StatufIzleme,0))</f>
        <v>0</v>
      </c>
      <c r="T19" s="19" t="n">
        <f aca="false">IF(MUSTERI_KARTLARI!$R19="OK",100,IF(MUSTERI_KARTLARI!$R19="EKSİK",VeriKalitesiEksik,0))</f>
        <v>100</v>
      </c>
      <c r="U19" s="19" t="str">
        <f aca="false">IF($T19&gt;=GuvenYuksek,"YÜKSEK",IF($T19&gt;=GuvenOrta,"ORTA","DÜŞÜK"))</f>
        <v>YÜKSEK</v>
      </c>
      <c r="V19" s="19" t="str">
        <f aca="false">IF($X19&lt;=EsikDevam,"DEVAM",IF($X19&lt;=EsikIzle,"İZLE",IF($X19&lt;=EsikLimitAzalt,"LİMİTİ AZALT",IF($X19&lt;=EsikPesin,"PEŞİN / TEMİNATLI","VADELİ SATIŞI DURDUR"))))</f>
        <v>DEVAM</v>
      </c>
      <c r="W19" s="19" t="str">
        <f aca="false">IF($X19&gt;EsikKritik,"Yönetim onayı ve acil tahsilat planı",IF($X19&gt;EsikYuksek,"Yeni satışı teminata bağla",IF($X19&gt;EsikIzle,"Limit revizyonu ve tahsilatı hızlandır","Planlı izleme")))</f>
        <v>Planlı izleme</v>
      </c>
      <c r="X19" s="19" t="n">
        <f aca="false">ROUND(MIN(100,SUM($N19+$O19+$P19+$Q19+$R19+$S19)),0)</f>
        <v>20</v>
      </c>
    </row>
    <row r="20" customFormat="false" ht="16.4" hidden="false" customHeight="false" outlineLevel="0" collapsed="false">
      <c r="A20" s="19" t="n">
        <f aca="false">MUSTERI_KARTLARI!$A20</f>
        <v>0</v>
      </c>
      <c r="B20" s="19" t="n">
        <f aca="false">MUSTERI_KARTLARI!$B20</f>
        <v>0</v>
      </c>
      <c r="C20" s="19" t="n">
        <f aca="false">SUMIFS(tblYaslandirma[Açık Tutar],tblYaslandirma[Müşteri Kodu],$A20)</f>
        <v>0</v>
      </c>
      <c r="D20" s="19" t="n">
        <f aca="false">MUSTERI_KARTLARI!$I20+MUSTERI_KARTLARI!$J20</f>
        <v>0</v>
      </c>
      <c r="E20" s="19" t="n">
        <f aca="false">$D20-$C20</f>
        <v>0</v>
      </c>
      <c r="F20" s="19" t="n">
        <f aca="false">IFERROR($C20/$D20,1)</f>
        <v>1</v>
      </c>
      <c r="G20" s="19" t="n">
        <f aca="false">SUMIFS(tblYaslandirma[Açık Tutar],tblYaslandirma[Müşteri Kodu],$A20,tblYaslandirma[Gecikme Günü],"&gt;0")</f>
        <v>0</v>
      </c>
      <c r="H20" s="19" t="n">
        <f aca="false">IF($C20=0,0,$G20/$C20)</f>
        <v>0</v>
      </c>
      <c r="I20" s="19" t="n">
        <f aca="false">_xlfn.MAXIFS(tblYaslandirma[Gecikme Günü],tblYaslandirma[Müşteri Kodu],$A20)</f>
        <v>0</v>
      </c>
      <c r="J20" s="19" t="n">
        <f aca="false">SUMIFS(tblTeminatlar[Kabul Edilen Değer],tblTeminatlar[Müşteri Kodu],$A20)</f>
        <v>0</v>
      </c>
      <c r="K20" s="19" t="n">
        <f aca="false">MAX(0,$C20-$J20)</f>
        <v>0</v>
      </c>
      <c r="L20" s="19" t="n">
        <f aca="false">IF(SUM(tblRisk[Açık Bakiye])=0,0,$C20/SUM(tblRisk[Açık Bakiye]))</f>
        <v>0</v>
      </c>
      <c r="M20" s="19" t="n">
        <f aca="false">SUMIFS(tblYaslandirma[İtirazlı Tutar],tblYaslandirma[Müşteri Kodu],$A20)</f>
        <v>0</v>
      </c>
      <c r="N20" s="19" t="n">
        <f aca="false">MIN(GecikmeMaxPuan,$I20/YaslamaDilim3*GecikmeMaxPuan)</f>
        <v>0</v>
      </c>
      <c r="O20" s="19" t="n">
        <f aca="false">MIN(VadeMaxPuan,$H20*VadeMaxPuan)</f>
        <v>0</v>
      </c>
      <c r="P20" s="19" t="n">
        <f aca="false">MIN(LimitMaxPuan,$F20*LimitMaxPuan)</f>
        <v>20</v>
      </c>
      <c r="Q20" s="19" t="n">
        <f aca="false">IF($C20=0,0,MIN(TeminatMaxPuan,$K20/$C20*TeminatMaxPuan))</f>
        <v>0</v>
      </c>
      <c r="R20" s="19" t="n">
        <f aca="false">IF($C20=0,0,MIN(ItirazMaxPuan,$M20/$C20*ItirazMaxPuan))</f>
        <v>0</v>
      </c>
      <c r="S20" s="19" t="n">
        <f aca="false">IF(MUSTERI_KARTLARI!$Q20="Askıda",StatufAskida,IF(MUSTERI_KARTLARI!$Q20="İzlemede",StatufIzleme,0))</f>
        <v>0</v>
      </c>
      <c r="T20" s="19" t="n">
        <f aca="false">IF(MUSTERI_KARTLARI!$R20="OK",100,IF(MUSTERI_KARTLARI!$R20="EKSİK",VeriKalitesiEksik,0))</f>
        <v>100</v>
      </c>
      <c r="U20" s="19" t="str">
        <f aca="false">IF($T20&gt;=GuvenYuksek,"YÜKSEK",IF($T20&gt;=GuvenOrta,"ORTA","DÜŞÜK"))</f>
        <v>YÜKSEK</v>
      </c>
      <c r="V20" s="19" t="str">
        <f aca="false">IF($X20&lt;=EsikDevam,"DEVAM",IF($X20&lt;=EsikIzle,"İZLE",IF($X20&lt;=EsikLimitAzalt,"LİMİTİ AZALT",IF($X20&lt;=EsikPesin,"PEŞİN / TEMİNATLI","VADELİ SATIŞI DURDUR"))))</f>
        <v>DEVAM</v>
      </c>
      <c r="W20" s="19" t="str">
        <f aca="false">IF($X20&gt;EsikKritik,"Yönetim onayı ve acil tahsilat planı",IF($X20&gt;EsikYuksek,"Yeni satışı teminata bağla",IF($X20&gt;EsikIzle,"Limit revizyonu ve tahsilatı hızlandır","Planlı izleme")))</f>
        <v>Planlı izleme</v>
      </c>
      <c r="X20" s="19" t="n">
        <f aca="false">ROUND(MIN(100,SUM($N20+$O20+$P20+$Q20+$R20+$S20)),0)</f>
        <v>20</v>
      </c>
    </row>
    <row r="21" customFormat="false" ht="16.4" hidden="false" customHeight="false" outlineLevel="0" collapsed="false">
      <c r="A21" s="19" t="n">
        <f aca="false">MUSTERI_KARTLARI!$A21</f>
        <v>0</v>
      </c>
      <c r="B21" s="19" t="n">
        <f aca="false">MUSTERI_KARTLARI!$B21</f>
        <v>0</v>
      </c>
      <c r="C21" s="19" t="n">
        <f aca="false">SUMIFS(tblYaslandirma[Açık Tutar],tblYaslandirma[Müşteri Kodu],$A21)</f>
        <v>0</v>
      </c>
      <c r="D21" s="19" t="n">
        <f aca="false">MUSTERI_KARTLARI!$I21+MUSTERI_KARTLARI!$J21</f>
        <v>0</v>
      </c>
      <c r="E21" s="19" t="n">
        <f aca="false">$D21-$C21</f>
        <v>0</v>
      </c>
      <c r="F21" s="19" t="n">
        <f aca="false">IFERROR($C21/$D21,1)</f>
        <v>1</v>
      </c>
      <c r="G21" s="19" t="n">
        <f aca="false">SUMIFS(tblYaslandirma[Açık Tutar],tblYaslandirma[Müşteri Kodu],$A21,tblYaslandirma[Gecikme Günü],"&gt;0")</f>
        <v>0</v>
      </c>
      <c r="H21" s="19" t="n">
        <f aca="false">IF($C21=0,0,$G21/$C21)</f>
        <v>0</v>
      </c>
      <c r="I21" s="19" t="n">
        <f aca="false">_xlfn.MAXIFS(tblYaslandirma[Gecikme Günü],tblYaslandirma[Müşteri Kodu],$A21)</f>
        <v>0</v>
      </c>
      <c r="J21" s="19" t="n">
        <f aca="false">SUMIFS(tblTeminatlar[Kabul Edilen Değer],tblTeminatlar[Müşteri Kodu],$A21)</f>
        <v>0</v>
      </c>
      <c r="K21" s="19" t="n">
        <f aca="false">MAX(0,$C21-$J21)</f>
        <v>0</v>
      </c>
      <c r="L21" s="19" t="n">
        <f aca="false">IF(SUM(tblRisk[Açık Bakiye])=0,0,$C21/SUM(tblRisk[Açık Bakiye]))</f>
        <v>0</v>
      </c>
      <c r="M21" s="19" t="n">
        <f aca="false">SUMIFS(tblYaslandirma[İtirazlı Tutar],tblYaslandirma[Müşteri Kodu],$A21)</f>
        <v>0</v>
      </c>
      <c r="N21" s="19" t="n">
        <f aca="false">MIN(GecikmeMaxPuan,$I21/YaslamaDilim3*GecikmeMaxPuan)</f>
        <v>0</v>
      </c>
      <c r="O21" s="19" t="n">
        <f aca="false">MIN(VadeMaxPuan,$H21*VadeMaxPuan)</f>
        <v>0</v>
      </c>
      <c r="P21" s="19" t="n">
        <f aca="false">MIN(LimitMaxPuan,$F21*LimitMaxPuan)</f>
        <v>20</v>
      </c>
      <c r="Q21" s="19" t="n">
        <f aca="false">IF($C21=0,0,MIN(TeminatMaxPuan,$K21/$C21*TeminatMaxPuan))</f>
        <v>0</v>
      </c>
      <c r="R21" s="19" t="n">
        <f aca="false">IF($C21=0,0,MIN(ItirazMaxPuan,$M21/$C21*ItirazMaxPuan))</f>
        <v>0</v>
      </c>
      <c r="S21" s="19" t="n">
        <f aca="false">IF(MUSTERI_KARTLARI!$Q21="Askıda",StatufAskida,IF(MUSTERI_KARTLARI!$Q21="İzlemede",StatufIzleme,0))</f>
        <v>0</v>
      </c>
      <c r="T21" s="19" t="n">
        <f aca="false">IF(MUSTERI_KARTLARI!$R21="OK",100,IF(MUSTERI_KARTLARI!$R21="EKSİK",VeriKalitesiEksik,0))</f>
        <v>100</v>
      </c>
      <c r="U21" s="19" t="str">
        <f aca="false">IF($T21&gt;=GuvenYuksek,"YÜKSEK",IF($T21&gt;=GuvenOrta,"ORTA","DÜŞÜK"))</f>
        <v>YÜKSEK</v>
      </c>
      <c r="V21" s="19" t="str">
        <f aca="false">IF($X21&lt;=EsikDevam,"DEVAM",IF($X21&lt;=EsikIzle,"İZLE",IF($X21&lt;=EsikLimitAzalt,"LİMİTİ AZALT",IF($X21&lt;=EsikPesin,"PEŞİN / TEMİNATLI","VADELİ SATIŞI DURDUR"))))</f>
        <v>DEVAM</v>
      </c>
      <c r="W21" s="19" t="str">
        <f aca="false">IF($X21&gt;EsikKritik,"Yönetim onayı ve acil tahsilat planı",IF($X21&gt;EsikYuksek,"Yeni satışı teminata bağla",IF($X21&gt;EsikIzle,"Limit revizyonu ve tahsilatı hızlandır","Planlı izleme")))</f>
        <v>Planlı izleme</v>
      </c>
      <c r="X21" s="19" t="n">
        <f aca="false">ROUND(MIN(100,SUM($N21+$O21+$P21+$Q21+$R21+$S21)),0)</f>
        <v>20</v>
      </c>
    </row>
    <row r="22" customFormat="false" ht="16.4" hidden="false" customHeight="false" outlineLevel="0" collapsed="false">
      <c r="A22" s="19" t="n">
        <f aca="false">MUSTERI_KARTLARI!$A22</f>
        <v>0</v>
      </c>
      <c r="B22" s="19" t="n">
        <f aca="false">MUSTERI_KARTLARI!$B22</f>
        <v>0</v>
      </c>
      <c r="C22" s="19" t="n">
        <f aca="false">SUMIFS(tblYaslandirma[Açık Tutar],tblYaslandirma[Müşteri Kodu],$A22)</f>
        <v>0</v>
      </c>
      <c r="D22" s="19" t="n">
        <f aca="false">MUSTERI_KARTLARI!$I22+MUSTERI_KARTLARI!$J22</f>
        <v>0</v>
      </c>
      <c r="E22" s="19" t="n">
        <f aca="false">$D22-$C22</f>
        <v>0</v>
      </c>
      <c r="F22" s="19" t="n">
        <f aca="false">IFERROR($C22/$D22,1)</f>
        <v>1</v>
      </c>
      <c r="G22" s="19" t="n">
        <f aca="false">SUMIFS(tblYaslandirma[Açık Tutar],tblYaslandirma[Müşteri Kodu],$A22,tblYaslandirma[Gecikme Günü],"&gt;0")</f>
        <v>0</v>
      </c>
      <c r="H22" s="19" t="n">
        <f aca="false">IF($C22=0,0,$G22/$C22)</f>
        <v>0</v>
      </c>
      <c r="I22" s="19" t="n">
        <f aca="false">_xlfn.MAXIFS(tblYaslandirma[Gecikme Günü],tblYaslandirma[Müşteri Kodu],$A22)</f>
        <v>0</v>
      </c>
      <c r="J22" s="19" t="n">
        <f aca="false">SUMIFS(tblTeminatlar[Kabul Edilen Değer],tblTeminatlar[Müşteri Kodu],$A22)</f>
        <v>0</v>
      </c>
      <c r="K22" s="19" t="n">
        <f aca="false">MAX(0,$C22-$J22)</f>
        <v>0</v>
      </c>
      <c r="L22" s="19" t="n">
        <f aca="false">IF(SUM(tblRisk[Açık Bakiye])=0,0,$C22/SUM(tblRisk[Açık Bakiye]))</f>
        <v>0</v>
      </c>
      <c r="M22" s="19" t="n">
        <f aca="false">SUMIFS(tblYaslandirma[İtirazlı Tutar],tblYaslandirma[Müşteri Kodu],$A22)</f>
        <v>0</v>
      </c>
      <c r="N22" s="19" t="n">
        <f aca="false">MIN(GecikmeMaxPuan,$I22/YaslamaDilim3*GecikmeMaxPuan)</f>
        <v>0</v>
      </c>
      <c r="O22" s="19" t="n">
        <f aca="false">MIN(VadeMaxPuan,$H22*VadeMaxPuan)</f>
        <v>0</v>
      </c>
      <c r="P22" s="19" t="n">
        <f aca="false">MIN(LimitMaxPuan,$F22*LimitMaxPuan)</f>
        <v>20</v>
      </c>
      <c r="Q22" s="19" t="n">
        <f aca="false">IF($C22=0,0,MIN(TeminatMaxPuan,$K22/$C22*TeminatMaxPuan))</f>
        <v>0</v>
      </c>
      <c r="R22" s="19" t="n">
        <f aca="false">IF($C22=0,0,MIN(ItirazMaxPuan,$M22/$C22*ItirazMaxPuan))</f>
        <v>0</v>
      </c>
      <c r="S22" s="19" t="n">
        <f aca="false">IF(MUSTERI_KARTLARI!$Q22="Askıda",StatufAskida,IF(MUSTERI_KARTLARI!$Q22="İzlemede",StatufIzleme,0))</f>
        <v>0</v>
      </c>
      <c r="T22" s="19" t="n">
        <f aca="false">IF(MUSTERI_KARTLARI!$R22="OK",100,IF(MUSTERI_KARTLARI!$R22="EKSİK",VeriKalitesiEksik,0))</f>
        <v>100</v>
      </c>
      <c r="U22" s="19" t="str">
        <f aca="false">IF($T22&gt;=GuvenYuksek,"YÜKSEK",IF($T22&gt;=GuvenOrta,"ORTA","DÜŞÜK"))</f>
        <v>YÜKSEK</v>
      </c>
      <c r="V22" s="19" t="str">
        <f aca="false">IF($X22&lt;=EsikDevam,"DEVAM",IF($X22&lt;=EsikIzle,"İZLE",IF($X22&lt;=EsikLimitAzalt,"LİMİTİ AZALT",IF($X22&lt;=EsikPesin,"PEŞİN / TEMİNATLI","VADELİ SATIŞI DURDUR"))))</f>
        <v>DEVAM</v>
      </c>
      <c r="W22" s="19" t="str">
        <f aca="false">IF($X22&gt;EsikKritik,"Yönetim onayı ve acil tahsilat planı",IF($X22&gt;EsikYuksek,"Yeni satışı teminata bağla",IF($X22&gt;EsikIzle,"Limit revizyonu ve tahsilatı hızlandır","Planlı izleme")))</f>
        <v>Planlı izleme</v>
      </c>
      <c r="X22" s="19" t="n">
        <f aca="false">ROUND(MIN(100,SUM($N22+$O22+$P22+$Q22+$R22+$S22)),0)</f>
        <v>20</v>
      </c>
    </row>
    <row r="23" customFormat="false" ht="16.4" hidden="false" customHeight="false" outlineLevel="0" collapsed="false">
      <c r="A23" s="19" t="n">
        <f aca="false">MUSTERI_KARTLARI!$A23</f>
        <v>0</v>
      </c>
      <c r="B23" s="19" t="n">
        <f aca="false">MUSTERI_KARTLARI!$B23</f>
        <v>0</v>
      </c>
      <c r="C23" s="19" t="n">
        <f aca="false">SUMIFS(tblYaslandirma[Açık Tutar],tblYaslandirma[Müşteri Kodu],$A23)</f>
        <v>0</v>
      </c>
      <c r="D23" s="19" t="n">
        <f aca="false">MUSTERI_KARTLARI!$I23+MUSTERI_KARTLARI!$J23</f>
        <v>0</v>
      </c>
      <c r="E23" s="19" t="n">
        <f aca="false">$D23-$C23</f>
        <v>0</v>
      </c>
      <c r="F23" s="19" t="n">
        <f aca="false">IFERROR($C23/$D23,1)</f>
        <v>1</v>
      </c>
      <c r="G23" s="19" t="n">
        <f aca="false">SUMIFS(tblYaslandirma[Açık Tutar],tblYaslandirma[Müşteri Kodu],$A23,tblYaslandirma[Gecikme Günü],"&gt;0")</f>
        <v>0</v>
      </c>
      <c r="H23" s="19" t="n">
        <f aca="false">IF($C23=0,0,$G23/$C23)</f>
        <v>0</v>
      </c>
      <c r="I23" s="19" t="n">
        <f aca="false">_xlfn.MAXIFS(tblYaslandirma[Gecikme Günü],tblYaslandirma[Müşteri Kodu],$A23)</f>
        <v>0</v>
      </c>
      <c r="J23" s="19" t="n">
        <f aca="false">SUMIFS(tblTeminatlar[Kabul Edilen Değer],tblTeminatlar[Müşteri Kodu],$A23)</f>
        <v>0</v>
      </c>
      <c r="K23" s="19" t="n">
        <f aca="false">MAX(0,$C23-$J23)</f>
        <v>0</v>
      </c>
      <c r="L23" s="19" t="n">
        <f aca="false">IF(SUM(tblRisk[Açık Bakiye])=0,0,$C23/SUM(tblRisk[Açık Bakiye]))</f>
        <v>0</v>
      </c>
      <c r="M23" s="19" t="n">
        <f aca="false">SUMIFS(tblYaslandirma[İtirazlı Tutar],tblYaslandirma[Müşteri Kodu],$A23)</f>
        <v>0</v>
      </c>
      <c r="N23" s="19" t="n">
        <f aca="false">MIN(GecikmeMaxPuan,$I23/YaslamaDilim3*GecikmeMaxPuan)</f>
        <v>0</v>
      </c>
      <c r="O23" s="19" t="n">
        <f aca="false">MIN(VadeMaxPuan,$H23*VadeMaxPuan)</f>
        <v>0</v>
      </c>
      <c r="P23" s="19" t="n">
        <f aca="false">MIN(LimitMaxPuan,$F23*LimitMaxPuan)</f>
        <v>20</v>
      </c>
      <c r="Q23" s="19" t="n">
        <f aca="false">IF($C23=0,0,MIN(TeminatMaxPuan,$K23/$C23*TeminatMaxPuan))</f>
        <v>0</v>
      </c>
      <c r="R23" s="19" t="n">
        <f aca="false">IF($C23=0,0,MIN(ItirazMaxPuan,$M23/$C23*ItirazMaxPuan))</f>
        <v>0</v>
      </c>
      <c r="S23" s="19" t="n">
        <f aca="false">IF(MUSTERI_KARTLARI!$Q23="Askıda",StatufAskida,IF(MUSTERI_KARTLARI!$Q23="İzlemede",StatufIzleme,0))</f>
        <v>0</v>
      </c>
      <c r="T23" s="19" t="n">
        <f aca="false">IF(MUSTERI_KARTLARI!$R23="OK",100,IF(MUSTERI_KARTLARI!$R23="EKSİK",VeriKalitesiEksik,0))</f>
        <v>100</v>
      </c>
      <c r="U23" s="19" t="str">
        <f aca="false">IF($T23&gt;=GuvenYuksek,"YÜKSEK",IF($T23&gt;=GuvenOrta,"ORTA","DÜŞÜK"))</f>
        <v>YÜKSEK</v>
      </c>
      <c r="V23" s="19" t="str">
        <f aca="false">IF($X23&lt;=EsikDevam,"DEVAM",IF($X23&lt;=EsikIzle,"İZLE",IF($X23&lt;=EsikLimitAzalt,"LİMİTİ AZALT",IF($X23&lt;=EsikPesin,"PEŞİN / TEMİNATLI","VADELİ SATIŞI DURDUR"))))</f>
        <v>DEVAM</v>
      </c>
      <c r="W23" s="19" t="str">
        <f aca="false">IF($X23&gt;EsikKritik,"Yönetim onayı ve acil tahsilat planı",IF($X23&gt;EsikYuksek,"Yeni satışı teminata bağla",IF($X23&gt;EsikIzle,"Limit revizyonu ve tahsilatı hızlandır","Planlı izleme")))</f>
        <v>Planlı izleme</v>
      </c>
      <c r="X23" s="19" t="n">
        <f aca="false">ROUND(MIN(100,SUM($N23+$O23+$P23+$Q23+$R23+$S23)),0)</f>
        <v>20</v>
      </c>
    </row>
    <row r="24" customFormat="false" ht="16.4" hidden="false" customHeight="false" outlineLevel="0" collapsed="false">
      <c r="A24" s="19" t="n">
        <f aca="false">MUSTERI_KARTLARI!$A24</f>
        <v>0</v>
      </c>
      <c r="B24" s="19" t="n">
        <f aca="false">MUSTERI_KARTLARI!$B24</f>
        <v>0</v>
      </c>
      <c r="C24" s="19" t="n">
        <f aca="false">SUMIFS(tblYaslandirma[Açık Tutar],tblYaslandirma[Müşteri Kodu],$A24)</f>
        <v>0</v>
      </c>
      <c r="D24" s="19" t="n">
        <f aca="false">MUSTERI_KARTLARI!$I24+MUSTERI_KARTLARI!$J24</f>
        <v>0</v>
      </c>
      <c r="E24" s="19" t="n">
        <f aca="false">$D24-$C24</f>
        <v>0</v>
      </c>
      <c r="F24" s="19" t="n">
        <f aca="false">IFERROR($C24/$D24,1)</f>
        <v>1</v>
      </c>
      <c r="G24" s="19" t="n">
        <f aca="false">SUMIFS(tblYaslandirma[Açık Tutar],tblYaslandirma[Müşteri Kodu],$A24,tblYaslandirma[Gecikme Günü],"&gt;0")</f>
        <v>0</v>
      </c>
      <c r="H24" s="19" t="n">
        <f aca="false">IF($C24=0,0,$G24/$C24)</f>
        <v>0</v>
      </c>
      <c r="I24" s="19" t="n">
        <f aca="false">_xlfn.MAXIFS(tblYaslandirma[Gecikme Günü],tblYaslandirma[Müşteri Kodu],$A24)</f>
        <v>0</v>
      </c>
      <c r="J24" s="19" t="n">
        <f aca="false">SUMIFS(tblTeminatlar[Kabul Edilen Değer],tblTeminatlar[Müşteri Kodu],$A24)</f>
        <v>0</v>
      </c>
      <c r="K24" s="19" t="n">
        <f aca="false">MAX(0,$C24-$J24)</f>
        <v>0</v>
      </c>
      <c r="L24" s="19" t="n">
        <f aca="false">IF(SUM(tblRisk[Açık Bakiye])=0,0,$C24/SUM(tblRisk[Açık Bakiye]))</f>
        <v>0</v>
      </c>
      <c r="M24" s="19" t="n">
        <f aca="false">SUMIFS(tblYaslandirma[İtirazlı Tutar],tblYaslandirma[Müşteri Kodu],$A24)</f>
        <v>0</v>
      </c>
      <c r="N24" s="19" t="n">
        <f aca="false">MIN(GecikmeMaxPuan,$I24/YaslamaDilim3*GecikmeMaxPuan)</f>
        <v>0</v>
      </c>
      <c r="O24" s="19" t="n">
        <f aca="false">MIN(VadeMaxPuan,$H24*VadeMaxPuan)</f>
        <v>0</v>
      </c>
      <c r="P24" s="19" t="n">
        <f aca="false">MIN(LimitMaxPuan,$F24*LimitMaxPuan)</f>
        <v>20</v>
      </c>
      <c r="Q24" s="19" t="n">
        <f aca="false">IF($C24=0,0,MIN(TeminatMaxPuan,$K24/$C24*TeminatMaxPuan))</f>
        <v>0</v>
      </c>
      <c r="R24" s="19" t="n">
        <f aca="false">IF($C24=0,0,MIN(ItirazMaxPuan,$M24/$C24*ItirazMaxPuan))</f>
        <v>0</v>
      </c>
      <c r="S24" s="19" t="n">
        <f aca="false">IF(MUSTERI_KARTLARI!$Q24="Askıda",StatufAskida,IF(MUSTERI_KARTLARI!$Q24="İzlemede",StatufIzleme,0))</f>
        <v>0</v>
      </c>
      <c r="T24" s="19" t="n">
        <f aca="false">IF(MUSTERI_KARTLARI!$R24="OK",100,IF(MUSTERI_KARTLARI!$R24="EKSİK",VeriKalitesiEksik,0))</f>
        <v>100</v>
      </c>
      <c r="U24" s="19" t="str">
        <f aca="false">IF($T24&gt;=GuvenYuksek,"YÜKSEK",IF($T24&gt;=GuvenOrta,"ORTA","DÜŞÜK"))</f>
        <v>YÜKSEK</v>
      </c>
      <c r="V24" s="19" t="str">
        <f aca="false">IF($X24&lt;=EsikDevam,"DEVAM",IF($X24&lt;=EsikIzle,"İZLE",IF($X24&lt;=EsikLimitAzalt,"LİMİTİ AZALT",IF($X24&lt;=EsikPesin,"PEŞİN / TEMİNATLI","VADELİ SATIŞI DURDUR"))))</f>
        <v>DEVAM</v>
      </c>
      <c r="W24" s="19" t="str">
        <f aca="false">IF($X24&gt;EsikKritik,"Yönetim onayı ve acil tahsilat planı",IF($X24&gt;EsikYuksek,"Yeni satışı teminata bağla",IF($X24&gt;EsikIzle,"Limit revizyonu ve tahsilatı hızlandır","Planlı izleme")))</f>
        <v>Planlı izleme</v>
      </c>
      <c r="X24" s="19" t="n">
        <f aca="false">ROUND(MIN(100,SUM($N24+$O24+$P24+$Q24+$R24+$S24)),0)</f>
        <v>20</v>
      </c>
    </row>
    <row r="25" customFormat="false" ht="16.4" hidden="false" customHeight="false" outlineLevel="0" collapsed="false">
      <c r="A25" s="19" t="n">
        <f aca="false">MUSTERI_KARTLARI!$A25</f>
        <v>0</v>
      </c>
      <c r="B25" s="19" t="n">
        <f aca="false">MUSTERI_KARTLARI!$B25</f>
        <v>0</v>
      </c>
      <c r="C25" s="19" t="n">
        <f aca="false">SUMIFS(tblYaslandirma[Açık Tutar],tblYaslandirma[Müşteri Kodu],$A25)</f>
        <v>0</v>
      </c>
      <c r="D25" s="19" t="n">
        <f aca="false">MUSTERI_KARTLARI!$I25+MUSTERI_KARTLARI!$J25</f>
        <v>0</v>
      </c>
      <c r="E25" s="19" t="n">
        <f aca="false">$D25-$C25</f>
        <v>0</v>
      </c>
      <c r="F25" s="19" t="n">
        <f aca="false">IFERROR($C25/$D25,1)</f>
        <v>1</v>
      </c>
      <c r="G25" s="19" t="n">
        <f aca="false">SUMIFS(tblYaslandirma[Açık Tutar],tblYaslandirma[Müşteri Kodu],$A25,tblYaslandirma[Gecikme Günü],"&gt;0")</f>
        <v>0</v>
      </c>
      <c r="H25" s="19" t="n">
        <f aca="false">IF($C25=0,0,$G25/$C25)</f>
        <v>0</v>
      </c>
      <c r="I25" s="19" t="n">
        <f aca="false">_xlfn.MAXIFS(tblYaslandirma[Gecikme Günü],tblYaslandirma[Müşteri Kodu],$A25)</f>
        <v>0</v>
      </c>
      <c r="J25" s="19" t="n">
        <f aca="false">SUMIFS(tblTeminatlar[Kabul Edilen Değer],tblTeminatlar[Müşteri Kodu],$A25)</f>
        <v>0</v>
      </c>
      <c r="K25" s="19" t="n">
        <f aca="false">MAX(0,$C25-$J25)</f>
        <v>0</v>
      </c>
      <c r="L25" s="19" t="n">
        <f aca="false">IF(SUM(tblRisk[Açık Bakiye])=0,0,$C25/SUM(tblRisk[Açık Bakiye]))</f>
        <v>0</v>
      </c>
      <c r="M25" s="19" t="n">
        <f aca="false">SUMIFS(tblYaslandirma[İtirazlı Tutar],tblYaslandirma[Müşteri Kodu],$A25)</f>
        <v>0</v>
      </c>
      <c r="N25" s="19" t="n">
        <f aca="false">MIN(GecikmeMaxPuan,$I25/YaslamaDilim3*GecikmeMaxPuan)</f>
        <v>0</v>
      </c>
      <c r="O25" s="19" t="n">
        <f aca="false">MIN(VadeMaxPuan,$H25*VadeMaxPuan)</f>
        <v>0</v>
      </c>
      <c r="P25" s="19" t="n">
        <f aca="false">MIN(LimitMaxPuan,$F25*LimitMaxPuan)</f>
        <v>20</v>
      </c>
      <c r="Q25" s="19" t="n">
        <f aca="false">IF($C25=0,0,MIN(TeminatMaxPuan,$K25/$C25*TeminatMaxPuan))</f>
        <v>0</v>
      </c>
      <c r="R25" s="19" t="n">
        <f aca="false">IF($C25=0,0,MIN(ItirazMaxPuan,$M25/$C25*ItirazMaxPuan))</f>
        <v>0</v>
      </c>
      <c r="S25" s="19" t="n">
        <f aca="false">IF(MUSTERI_KARTLARI!$Q25="Askıda",StatufAskida,IF(MUSTERI_KARTLARI!$Q25="İzlemede",StatufIzleme,0))</f>
        <v>0</v>
      </c>
      <c r="T25" s="19" t="n">
        <f aca="false">IF(MUSTERI_KARTLARI!$R25="OK",100,IF(MUSTERI_KARTLARI!$R25="EKSİK",VeriKalitesiEksik,0))</f>
        <v>100</v>
      </c>
      <c r="U25" s="19" t="str">
        <f aca="false">IF($T25&gt;=GuvenYuksek,"YÜKSEK",IF($T25&gt;=GuvenOrta,"ORTA","DÜŞÜK"))</f>
        <v>YÜKSEK</v>
      </c>
      <c r="V25" s="19" t="str">
        <f aca="false">IF($X25&lt;=EsikDevam,"DEVAM",IF($X25&lt;=EsikIzle,"İZLE",IF($X25&lt;=EsikLimitAzalt,"LİMİTİ AZALT",IF($X25&lt;=EsikPesin,"PEŞİN / TEMİNATLI","VADELİ SATIŞI DURDUR"))))</f>
        <v>DEVAM</v>
      </c>
      <c r="W25" s="19" t="str">
        <f aca="false">IF($X25&gt;EsikKritik,"Yönetim onayı ve acil tahsilat planı",IF($X25&gt;EsikYuksek,"Yeni satışı teminata bağla",IF($X25&gt;EsikIzle,"Limit revizyonu ve tahsilatı hızlandır","Planlı izleme")))</f>
        <v>Planlı izleme</v>
      </c>
      <c r="X25" s="19" t="n">
        <f aca="false">ROUND(MIN(100,SUM($N25+$O25+$P25+$Q25+$R25+$S25)),0)</f>
        <v>20</v>
      </c>
    </row>
    <row r="26" customFormat="false" ht="16.4" hidden="false" customHeight="false" outlineLevel="0" collapsed="false">
      <c r="A26" s="19" t="n">
        <f aca="false">MUSTERI_KARTLARI!$A26</f>
        <v>0</v>
      </c>
      <c r="B26" s="19" t="n">
        <f aca="false">MUSTERI_KARTLARI!$B26</f>
        <v>0</v>
      </c>
      <c r="C26" s="19" t="n">
        <f aca="false">SUMIFS(tblYaslandirma[Açık Tutar],tblYaslandirma[Müşteri Kodu],$A26)</f>
        <v>0</v>
      </c>
      <c r="D26" s="19" t="n">
        <f aca="false">MUSTERI_KARTLARI!$I26+MUSTERI_KARTLARI!$J26</f>
        <v>0</v>
      </c>
      <c r="E26" s="19" t="n">
        <f aca="false">$D26-$C26</f>
        <v>0</v>
      </c>
      <c r="F26" s="19" t="n">
        <f aca="false">IFERROR($C26/$D26,1)</f>
        <v>1</v>
      </c>
      <c r="G26" s="19" t="n">
        <f aca="false">SUMIFS(tblYaslandirma[Açık Tutar],tblYaslandirma[Müşteri Kodu],$A26,tblYaslandirma[Gecikme Günü],"&gt;0")</f>
        <v>0</v>
      </c>
      <c r="H26" s="19" t="n">
        <f aca="false">IF($C26=0,0,$G26/$C26)</f>
        <v>0</v>
      </c>
      <c r="I26" s="19" t="n">
        <f aca="false">_xlfn.MAXIFS(tblYaslandirma[Gecikme Günü],tblYaslandirma[Müşteri Kodu],$A26)</f>
        <v>0</v>
      </c>
      <c r="J26" s="19" t="n">
        <f aca="false">SUMIFS(tblTeminatlar[Kabul Edilen Değer],tblTeminatlar[Müşteri Kodu],$A26)</f>
        <v>0</v>
      </c>
      <c r="K26" s="19" t="n">
        <f aca="false">MAX(0,$C26-$J26)</f>
        <v>0</v>
      </c>
      <c r="L26" s="19" t="n">
        <f aca="false">IF(SUM(tblRisk[Açık Bakiye])=0,0,$C26/SUM(tblRisk[Açık Bakiye]))</f>
        <v>0</v>
      </c>
      <c r="M26" s="19" t="n">
        <f aca="false">SUMIFS(tblYaslandirma[İtirazlı Tutar],tblYaslandirma[Müşteri Kodu],$A26)</f>
        <v>0</v>
      </c>
      <c r="N26" s="19" t="n">
        <f aca="false">MIN(GecikmeMaxPuan,$I26/YaslamaDilim3*GecikmeMaxPuan)</f>
        <v>0</v>
      </c>
      <c r="O26" s="19" t="n">
        <f aca="false">MIN(VadeMaxPuan,$H26*VadeMaxPuan)</f>
        <v>0</v>
      </c>
      <c r="P26" s="19" t="n">
        <f aca="false">MIN(LimitMaxPuan,$F26*LimitMaxPuan)</f>
        <v>20</v>
      </c>
      <c r="Q26" s="19" t="n">
        <f aca="false">IF($C26=0,0,MIN(TeminatMaxPuan,$K26/$C26*TeminatMaxPuan))</f>
        <v>0</v>
      </c>
      <c r="R26" s="19" t="n">
        <f aca="false">IF($C26=0,0,MIN(ItirazMaxPuan,$M26/$C26*ItirazMaxPuan))</f>
        <v>0</v>
      </c>
      <c r="S26" s="19" t="n">
        <f aca="false">IF(MUSTERI_KARTLARI!$Q26="Askıda",StatufAskida,IF(MUSTERI_KARTLARI!$Q26="İzlemede",StatufIzleme,0))</f>
        <v>0</v>
      </c>
      <c r="T26" s="19" t="n">
        <f aca="false">IF(MUSTERI_KARTLARI!$R26="OK",100,IF(MUSTERI_KARTLARI!$R26="EKSİK",VeriKalitesiEksik,0))</f>
        <v>100</v>
      </c>
      <c r="U26" s="19" t="str">
        <f aca="false">IF($T26&gt;=GuvenYuksek,"YÜKSEK",IF($T26&gt;=GuvenOrta,"ORTA","DÜŞÜK"))</f>
        <v>YÜKSEK</v>
      </c>
      <c r="V26" s="19" t="str">
        <f aca="false">IF($X26&lt;=EsikDevam,"DEVAM",IF($X26&lt;=EsikIzle,"İZLE",IF($X26&lt;=EsikLimitAzalt,"LİMİTİ AZALT",IF($X26&lt;=EsikPesin,"PEŞİN / TEMİNATLI","VADELİ SATIŞI DURDUR"))))</f>
        <v>DEVAM</v>
      </c>
      <c r="W26" s="19" t="str">
        <f aca="false">IF($X26&gt;EsikKritik,"Yönetim onayı ve acil tahsilat planı",IF($X26&gt;EsikYuksek,"Yeni satışı teminata bağla",IF($X26&gt;EsikIzle,"Limit revizyonu ve tahsilatı hızlandır","Planlı izleme")))</f>
        <v>Planlı izleme</v>
      </c>
      <c r="X26" s="19" t="n">
        <f aca="false">ROUND(MIN(100,SUM($N26+$O26+$P26+$Q26+$R26+$S26)),0)</f>
        <v>20</v>
      </c>
    </row>
    <row r="27" customFormat="false" ht="16.4" hidden="false" customHeight="false" outlineLevel="0" collapsed="false">
      <c r="A27" s="19" t="n">
        <f aca="false">MUSTERI_KARTLARI!$A27</f>
        <v>0</v>
      </c>
      <c r="B27" s="19" t="n">
        <f aca="false">MUSTERI_KARTLARI!$B27</f>
        <v>0</v>
      </c>
      <c r="C27" s="19" t="n">
        <f aca="false">SUMIFS(tblYaslandirma[Açık Tutar],tblYaslandirma[Müşteri Kodu],$A27)</f>
        <v>0</v>
      </c>
      <c r="D27" s="19" t="n">
        <f aca="false">MUSTERI_KARTLARI!$I27+MUSTERI_KARTLARI!$J27</f>
        <v>0</v>
      </c>
      <c r="E27" s="19" t="n">
        <f aca="false">$D27-$C27</f>
        <v>0</v>
      </c>
      <c r="F27" s="19" t="n">
        <f aca="false">IFERROR($C27/$D27,1)</f>
        <v>1</v>
      </c>
      <c r="G27" s="19" t="n">
        <f aca="false">SUMIFS(tblYaslandirma[Açık Tutar],tblYaslandirma[Müşteri Kodu],$A27,tblYaslandirma[Gecikme Günü],"&gt;0")</f>
        <v>0</v>
      </c>
      <c r="H27" s="19" t="n">
        <f aca="false">IF($C27=0,0,$G27/$C27)</f>
        <v>0</v>
      </c>
      <c r="I27" s="19" t="n">
        <f aca="false">_xlfn.MAXIFS(tblYaslandirma[Gecikme Günü],tblYaslandirma[Müşteri Kodu],$A27)</f>
        <v>0</v>
      </c>
      <c r="J27" s="19" t="n">
        <f aca="false">SUMIFS(tblTeminatlar[Kabul Edilen Değer],tblTeminatlar[Müşteri Kodu],$A27)</f>
        <v>0</v>
      </c>
      <c r="K27" s="19" t="n">
        <f aca="false">MAX(0,$C27-$J27)</f>
        <v>0</v>
      </c>
      <c r="L27" s="19" t="n">
        <f aca="false">IF(SUM(tblRisk[Açık Bakiye])=0,0,$C27/SUM(tblRisk[Açık Bakiye]))</f>
        <v>0</v>
      </c>
      <c r="M27" s="19" t="n">
        <f aca="false">SUMIFS(tblYaslandirma[İtirazlı Tutar],tblYaslandirma[Müşteri Kodu],$A27)</f>
        <v>0</v>
      </c>
      <c r="N27" s="19" t="n">
        <f aca="false">MIN(GecikmeMaxPuan,$I27/YaslamaDilim3*GecikmeMaxPuan)</f>
        <v>0</v>
      </c>
      <c r="O27" s="19" t="n">
        <f aca="false">MIN(VadeMaxPuan,$H27*VadeMaxPuan)</f>
        <v>0</v>
      </c>
      <c r="P27" s="19" t="n">
        <f aca="false">MIN(LimitMaxPuan,$F27*LimitMaxPuan)</f>
        <v>20</v>
      </c>
      <c r="Q27" s="19" t="n">
        <f aca="false">IF($C27=0,0,MIN(TeminatMaxPuan,$K27/$C27*TeminatMaxPuan))</f>
        <v>0</v>
      </c>
      <c r="R27" s="19" t="n">
        <f aca="false">IF($C27=0,0,MIN(ItirazMaxPuan,$M27/$C27*ItirazMaxPuan))</f>
        <v>0</v>
      </c>
      <c r="S27" s="19" t="n">
        <f aca="false">IF(MUSTERI_KARTLARI!$Q27="Askıda",StatufAskida,IF(MUSTERI_KARTLARI!$Q27="İzlemede",StatufIzleme,0))</f>
        <v>0</v>
      </c>
      <c r="T27" s="19" t="n">
        <f aca="false">IF(MUSTERI_KARTLARI!$R27="OK",100,IF(MUSTERI_KARTLARI!$R27="EKSİK",VeriKalitesiEksik,0))</f>
        <v>100</v>
      </c>
      <c r="U27" s="19" t="str">
        <f aca="false">IF($T27&gt;=GuvenYuksek,"YÜKSEK",IF($T27&gt;=GuvenOrta,"ORTA","DÜŞÜK"))</f>
        <v>YÜKSEK</v>
      </c>
      <c r="V27" s="19" t="str">
        <f aca="false">IF($X27&lt;=EsikDevam,"DEVAM",IF($X27&lt;=EsikIzle,"İZLE",IF($X27&lt;=EsikLimitAzalt,"LİMİTİ AZALT",IF($X27&lt;=EsikPesin,"PEŞİN / TEMİNATLI","VADELİ SATIŞI DURDUR"))))</f>
        <v>DEVAM</v>
      </c>
      <c r="W27" s="19" t="str">
        <f aca="false">IF($X27&gt;EsikKritik,"Yönetim onayı ve acil tahsilat planı",IF($X27&gt;EsikYuksek,"Yeni satışı teminata bağla",IF($X27&gt;EsikIzle,"Limit revizyonu ve tahsilatı hızlandır","Planlı izleme")))</f>
        <v>Planlı izleme</v>
      </c>
      <c r="X27" s="19" t="n">
        <f aca="false">ROUND(MIN(100,SUM($N27+$O27+$P27+$Q27+$R27+$S27)),0)</f>
        <v>20</v>
      </c>
    </row>
    <row r="28" customFormat="false" ht="16.4" hidden="false" customHeight="false" outlineLevel="0" collapsed="false">
      <c r="A28" s="19" t="n">
        <f aca="false">MUSTERI_KARTLARI!$A28</f>
        <v>0</v>
      </c>
      <c r="B28" s="19" t="n">
        <f aca="false">MUSTERI_KARTLARI!$B28</f>
        <v>0</v>
      </c>
      <c r="C28" s="19" t="n">
        <f aca="false">SUMIFS(tblYaslandirma[Açık Tutar],tblYaslandirma[Müşteri Kodu],$A28)</f>
        <v>0</v>
      </c>
      <c r="D28" s="19" t="n">
        <f aca="false">MUSTERI_KARTLARI!$I28+MUSTERI_KARTLARI!$J28</f>
        <v>0</v>
      </c>
      <c r="E28" s="19" t="n">
        <f aca="false">$D28-$C28</f>
        <v>0</v>
      </c>
      <c r="F28" s="19" t="n">
        <f aca="false">IFERROR($C28/$D28,1)</f>
        <v>1</v>
      </c>
      <c r="G28" s="19" t="n">
        <f aca="false">SUMIFS(tblYaslandirma[Açık Tutar],tblYaslandirma[Müşteri Kodu],$A28,tblYaslandirma[Gecikme Günü],"&gt;0")</f>
        <v>0</v>
      </c>
      <c r="H28" s="19" t="n">
        <f aca="false">IF($C28=0,0,$G28/$C28)</f>
        <v>0</v>
      </c>
      <c r="I28" s="19" t="n">
        <f aca="false">_xlfn.MAXIFS(tblYaslandirma[Gecikme Günü],tblYaslandirma[Müşteri Kodu],$A28)</f>
        <v>0</v>
      </c>
      <c r="J28" s="19" t="n">
        <f aca="false">SUMIFS(tblTeminatlar[Kabul Edilen Değer],tblTeminatlar[Müşteri Kodu],$A28)</f>
        <v>0</v>
      </c>
      <c r="K28" s="19" t="n">
        <f aca="false">MAX(0,$C28-$J28)</f>
        <v>0</v>
      </c>
      <c r="L28" s="19" t="n">
        <f aca="false">IF(SUM(tblRisk[Açık Bakiye])=0,0,$C28/SUM(tblRisk[Açık Bakiye]))</f>
        <v>0</v>
      </c>
      <c r="M28" s="19" t="n">
        <f aca="false">SUMIFS(tblYaslandirma[İtirazlı Tutar],tblYaslandirma[Müşteri Kodu],$A28)</f>
        <v>0</v>
      </c>
      <c r="N28" s="19" t="n">
        <f aca="false">MIN(GecikmeMaxPuan,$I28/YaslamaDilim3*GecikmeMaxPuan)</f>
        <v>0</v>
      </c>
      <c r="O28" s="19" t="n">
        <f aca="false">MIN(VadeMaxPuan,$H28*VadeMaxPuan)</f>
        <v>0</v>
      </c>
      <c r="P28" s="19" t="n">
        <f aca="false">MIN(LimitMaxPuan,$F28*LimitMaxPuan)</f>
        <v>20</v>
      </c>
      <c r="Q28" s="19" t="n">
        <f aca="false">IF($C28=0,0,MIN(TeminatMaxPuan,$K28/$C28*TeminatMaxPuan))</f>
        <v>0</v>
      </c>
      <c r="R28" s="19" t="n">
        <f aca="false">IF($C28=0,0,MIN(ItirazMaxPuan,$M28/$C28*ItirazMaxPuan))</f>
        <v>0</v>
      </c>
      <c r="S28" s="19" t="n">
        <f aca="false">IF(MUSTERI_KARTLARI!$Q28="Askıda",StatufAskida,IF(MUSTERI_KARTLARI!$Q28="İzlemede",StatufIzleme,0))</f>
        <v>0</v>
      </c>
      <c r="T28" s="19" t="n">
        <f aca="false">IF(MUSTERI_KARTLARI!$R28="OK",100,IF(MUSTERI_KARTLARI!$R28="EKSİK",VeriKalitesiEksik,0))</f>
        <v>100</v>
      </c>
      <c r="U28" s="19" t="str">
        <f aca="false">IF($T28&gt;=GuvenYuksek,"YÜKSEK",IF($T28&gt;=GuvenOrta,"ORTA","DÜŞÜK"))</f>
        <v>YÜKSEK</v>
      </c>
      <c r="V28" s="19" t="str">
        <f aca="false">IF($X28&lt;=EsikDevam,"DEVAM",IF($X28&lt;=EsikIzle,"İZLE",IF($X28&lt;=EsikLimitAzalt,"LİMİTİ AZALT",IF($X28&lt;=EsikPesin,"PEŞİN / TEMİNATLI","VADELİ SATIŞI DURDUR"))))</f>
        <v>DEVAM</v>
      </c>
      <c r="W28" s="19" t="str">
        <f aca="false">IF($X28&gt;EsikKritik,"Yönetim onayı ve acil tahsilat planı",IF($X28&gt;EsikYuksek,"Yeni satışı teminata bağla",IF($X28&gt;EsikIzle,"Limit revizyonu ve tahsilatı hızlandır","Planlı izleme")))</f>
        <v>Planlı izleme</v>
      </c>
      <c r="X28" s="19" t="n">
        <f aca="false">ROUND(MIN(100,SUM($N28+$O28+$P28+$Q28+$R28+$S28)),0)</f>
        <v>20</v>
      </c>
    </row>
    <row r="29" customFormat="false" ht="16.4" hidden="false" customHeight="false" outlineLevel="0" collapsed="false">
      <c r="A29" s="19" t="n">
        <f aca="false">MUSTERI_KARTLARI!$A29</f>
        <v>0</v>
      </c>
      <c r="B29" s="19" t="n">
        <f aca="false">MUSTERI_KARTLARI!$B29</f>
        <v>0</v>
      </c>
      <c r="C29" s="19" t="n">
        <f aca="false">SUMIFS(tblYaslandirma[Açık Tutar],tblYaslandirma[Müşteri Kodu],$A29)</f>
        <v>0</v>
      </c>
      <c r="D29" s="19" t="n">
        <f aca="false">MUSTERI_KARTLARI!$I29+MUSTERI_KARTLARI!$J29</f>
        <v>0</v>
      </c>
      <c r="E29" s="19" t="n">
        <f aca="false">$D29-$C29</f>
        <v>0</v>
      </c>
      <c r="F29" s="19" t="n">
        <f aca="false">IFERROR($C29/$D29,1)</f>
        <v>1</v>
      </c>
      <c r="G29" s="19" t="n">
        <f aca="false">SUMIFS(tblYaslandirma[Açık Tutar],tblYaslandirma[Müşteri Kodu],$A29,tblYaslandirma[Gecikme Günü],"&gt;0")</f>
        <v>0</v>
      </c>
      <c r="H29" s="19" t="n">
        <f aca="false">IF($C29=0,0,$G29/$C29)</f>
        <v>0</v>
      </c>
      <c r="I29" s="19" t="n">
        <f aca="false">_xlfn.MAXIFS(tblYaslandirma[Gecikme Günü],tblYaslandirma[Müşteri Kodu],$A29)</f>
        <v>0</v>
      </c>
      <c r="J29" s="19" t="n">
        <f aca="false">SUMIFS(tblTeminatlar[Kabul Edilen Değer],tblTeminatlar[Müşteri Kodu],$A29)</f>
        <v>0</v>
      </c>
      <c r="K29" s="19" t="n">
        <f aca="false">MAX(0,$C29-$J29)</f>
        <v>0</v>
      </c>
      <c r="L29" s="19" t="n">
        <f aca="false">IF(SUM(tblRisk[Açık Bakiye])=0,0,$C29/SUM(tblRisk[Açık Bakiye]))</f>
        <v>0</v>
      </c>
      <c r="M29" s="19" t="n">
        <f aca="false">SUMIFS(tblYaslandirma[İtirazlı Tutar],tblYaslandirma[Müşteri Kodu],$A29)</f>
        <v>0</v>
      </c>
      <c r="N29" s="19" t="n">
        <f aca="false">MIN(GecikmeMaxPuan,$I29/YaslamaDilim3*GecikmeMaxPuan)</f>
        <v>0</v>
      </c>
      <c r="O29" s="19" t="n">
        <f aca="false">MIN(VadeMaxPuan,$H29*VadeMaxPuan)</f>
        <v>0</v>
      </c>
      <c r="P29" s="19" t="n">
        <f aca="false">MIN(LimitMaxPuan,$F29*LimitMaxPuan)</f>
        <v>20</v>
      </c>
      <c r="Q29" s="19" t="n">
        <f aca="false">IF($C29=0,0,MIN(TeminatMaxPuan,$K29/$C29*TeminatMaxPuan))</f>
        <v>0</v>
      </c>
      <c r="R29" s="19" t="n">
        <f aca="false">IF($C29=0,0,MIN(ItirazMaxPuan,$M29/$C29*ItirazMaxPuan))</f>
        <v>0</v>
      </c>
      <c r="S29" s="19" t="n">
        <f aca="false">IF(MUSTERI_KARTLARI!$Q29="Askıda",StatufAskida,IF(MUSTERI_KARTLARI!$Q29="İzlemede",StatufIzleme,0))</f>
        <v>0</v>
      </c>
      <c r="T29" s="19" t="n">
        <f aca="false">IF(MUSTERI_KARTLARI!$R29="OK",100,IF(MUSTERI_KARTLARI!$R29="EKSİK",VeriKalitesiEksik,0))</f>
        <v>100</v>
      </c>
      <c r="U29" s="19" t="str">
        <f aca="false">IF($T29&gt;=GuvenYuksek,"YÜKSEK",IF($T29&gt;=GuvenOrta,"ORTA","DÜŞÜK"))</f>
        <v>YÜKSEK</v>
      </c>
      <c r="V29" s="19" t="str">
        <f aca="false">IF($X29&lt;=EsikDevam,"DEVAM",IF($X29&lt;=EsikIzle,"İZLE",IF($X29&lt;=EsikLimitAzalt,"LİMİTİ AZALT",IF($X29&lt;=EsikPesin,"PEŞİN / TEMİNATLI","VADELİ SATIŞI DURDUR"))))</f>
        <v>DEVAM</v>
      </c>
      <c r="W29" s="19" t="str">
        <f aca="false">IF($X29&gt;EsikKritik,"Yönetim onayı ve acil tahsilat planı",IF($X29&gt;EsikYuksek,"Yeni satışı teminata bağla",IF($X29&gt;EsikIzle,"Limit revizyonu ve tahsilatı hızlandır","Planlı izleme")))</f>
        <v>Planlı izleme</v>
      </c>
      <c r="X29" s="19" t="n">
        <f aca="false">ROUND(MIN(100,SUM($N29+$O29+$P29+$Q29+$R29+$S29)),0)</f>
        <v>20</v>
      </c>
    </row>
    <row r="30" customFormat="false" ht="16.4" hidden="false" customHeight="false" outlineLevel="0" collapsed="false">
      <c r="A30" s="19" t="n">
        <f aca="false">MUSTERI_KARTLARI!$A30</f>
        <v>0</v>
      </c>
      <c r="B30" s="19" t="n">
        <f aca="false">MUSTERI_KARTLARI!$B30</f>
        <v>0</v>
      </c>
      <c r="C30" s="19" t="n">
        <f aca="false">SUMIFS(tblYaslandirma[Açık Tutar],tblYaslandirma[Müşteri Kodu],$A30)</f>
        <v>0</v>
      </c>
      <c r="D30" s="19" t="n">
        <f aca="false">MUSTERI_KARTLARI!$I30+MUSTERI_KARTLARI!$J30</f>
        <v>0</v>
      </c>
      <c r="E30" s="19" t="n">
        <f aca="false">$D30-$C30</f>
        <v>0</v>
      </c>
      <c r="F30" s="19" t="n">
        <f aca="false">IFERROR($C30/$D30,1)</f>
        <v>1</v>
      </c>
      <c r="G30" s="19" t="n">
        <f aca="false">SUMIFS(tblYaslandirma[Açık Tutar],tblYaslandirma[Müşteri Kodu],$A30,tblYaslandirma[Gecikme Günü],"&gt;0")</f>
        <v>0</v>
      </c>
      <c r="H30" s="19" t="n">
        <f aca="false">IF($C30=0,0,$G30/$C30)</f>
        <v>0</v>
      </c>
      <c r="I30" s="19" t="n">
        <f aca="false">_xlfn.MAXIFS(tblYaslandirma[Gecikme Günü],tblYaslandirma[Müşteri Kodu],$A30)</f>
        <v>0</v>
      </c>
      <c r="J30" s="19" t="n">
        <f aca="false">SUMIFS(tblTeminatlar[Kabul Edilen Değer],tblTeminatlar[Müşteri Kodu],$A30)</f>
        <v>0</v>
      </c>
      <c r="K30" s="19" t="n">
        <f aca="false">MAX(0,$C30-$J30)</f>
        <v>0</v>
      </c>
      <c r="L30" s="19" t="n">
        <f aca="false">IF(SUM(tblRisk[Açık Bakiye])=0,0,$C30/SUM(tblRisk[Açık Bakiye]))</f>
        <v>0</v>
      </c>
      <c r="M30" s="19" t="n">
        <f aca="false">SUMIFS(tblYaslandirma[İtirazlı Tutar],tblYaslandirma[Müşteri Kodu],$A30)</f>
        <v>0</v>
      </c>
      <c r="N30" s="19" t="n">
        <f aca="false">MIN(GecikmeMaxPuan,$I30/YaslamaDilim3*GecikmeMaxPuan)</f>
        <v>0</v>
      </c>
      <c r="O30" s="19" t="n">
        <f aca="false">MIN(VadeMaxPuan,$H30*VadeMaxPuan)</f>
        <v>0</v>
      </c>
      <c r="P30" s="19" t="n">
        <f aca="false">MIN(LimitMaxPuan,$F30*LimitMaxPuan)</f>
        <v>20</v>
      </c>
      <c r="Q30" s="19" t="n">
        <f aca="false">IF($C30=0,0,MIN(TeminatMaxPuan,$K30/$C30*TeminatMaxPuan))</f>
        <v>0</v>
      </c>
      <c r="R30" s="19" t="n">
        <f aca="false">IF($C30=0,0,MIN(ItirazMaxPuan,$M30/$C30*ItirazMaxPuan))</f>
        <v>0</v>
      </c>
      <c r="S30" s="19" t="n">
        <f aca="false">IF(MUSTERI_KARTLARI!$Q30="Askıda",StatufAskida,IF(MUSTERI_KARTLARI!$Q30="İzlemede",StatufIzleme,0))</f>
        <v>0</v>
      </c>
      <c r="T30" s="19" t="n">
        <f aca="false">IF(MUSTERI_KARTLARI!$R30="OK",100,IF(MUSTERI_KARTLARI!$R30="EKSİK",VeriKalitesiEksik,0))</f>
        <v>100</v>
      </c>
      <c r="U30" s="19" t="str">
        <f aca="false">IF($T30&gt;=GuvenYuksek,"YÜKSEK",IF($T30&gt;=GuvenOrta,"ORTA","DÜŞÜK"))</f>
        <v>YÜKSEK</v>
      </c>
      <c r="V30" s="19" t="str">
        <f aca="false">IF($X30&lt;=EsikDevam,"DEVAM",IF($X30&lt;=EsikIzle,"İZLE",IF($X30&lt;=EsikLimitAzalt,"LİMİTİ AZALT",IF($X30&lt;=EsikPesin,"PEŞİN / TEMİNATLI","VADELİ SATIŞI DURDUR"))))</f>
        <v>DEVAM</v>
      </c>
      <c r="W30" s="19" t="str">
        <f aca="false">IF($X30&gt;EsikKritik,"Yönetim onayı ve acil tahsilat planı",IF($X30&gt;EsikYuksek,"Yeni satışı teminata bağla",IF($X30&gt;EsikIzle,"Limit revizyonu ve tahsilatı hızlandır","Planlı izleme")))</f>
        <v>Planlı izleme</v>
      </c>
      <c r="X30" s="19" t="n">
        <f aca="false">ROUND(MIN(100,SUM($N30+$O30+$P30+$Q30+$R30+$S30)),0)</f>
        <v>20</v>
      </c>
    </row>
    <row r="31" customFormat="false" ht="16.4" hidden="false" customHeight="false" outlineLevel="0" collapsed="false">
      <c r="A31" s="19" t="n">
        <f aca="false">MUSTERI_KARTLARI!$A31</f>
        <v>0</v>
      </c>
      <c r="B31" s="19" t="n">
        <f aca="false">MUSTERI_KARTLARI!$B31</f>
        <v>0</v>
      </c>
      <c r="C31" s="19" t="n">
        <f aca="false">SUMIFS(tblYaslandirma[Açık Tutar],tblYaslandirma[Müşteri Kodu],$A31)</f>
        <v>0</v>
      </c>
      <c r="D31" s="19" t="n">
        <f aca="false">MUSTERI_KARTLARI!$I31+MUSTERI_KARTLARI!$J31</f>
        <v>0</v>
      </c>
      <c r="E31" s="19" t="n">
        <f aca="false">$D31-$C31</f>
        <v>0</v>
      </c>
      <c r="F31" s="19" t="n">
        <f aca="false">IFERROR($C31/$D31,1)</f>
        <v>1</v>
      </c>
      <c r="G31" s="19" t="n">
        <f aca="false">SUMIFS(tblYaslandirma[Açık Tutar],tblYaslandirma[Müşteri Kodu],$A31,tblYaslandirma[Gecikme Günü],"&gt;0")</f>
        <v>0</v>
      </c>
      <c r="H31" s="19" t="n">
        <f aca="false">IF($C31=0,0,$G31/$C31)</f>
        <v>0</v>
      </c>
      <c r="I31" s="19" t="n">
        <f aca="false">_xlfn.MAXIFS(tblYaslandirma[Gecikme Günü],tblYaslandirma[Müşteri Kodu],$A31)</f>
        <v>0</v>
      </c>
      <c r="J31" s="19" t="n">
        <f aca="false">SUMIFS(tblTeminatlar[Kabul Edilen Değer],tblTeminatlar[Müşteri Kodu],$A31)</f>
        <v>0</v>
      </c>
      <c r="K31" s="19" t="n">
        <f aca="false">MAX(0,$C31-$J31)</f>
        <v>0</v>
      </c>
      <c r="L31" s="19" t="n">
        <f aca="false">IF(SUM(tblRisk[Açık Bakiye])=0,0,$C31/SUM(tblRisk[Açık Bakiye]))</f>
        <v>0</v>
      </c>
      <c r="M31" s="19" t="n">
        <f aca="false">SUMIFS(tblYaslandirma[İtirazlı Tutar],tblYaslandirma[Müşteri Kodu],$A31)</f>
        <v>0</v>
      </c>
      <c r="N31" s="19" t="n">
        <f aca="false">MIN(GecikmeMaxPuan,$I31/YaslamaDilim3*GecikmeMaxPuan)</f>
        <v>0</v>
      </c>
      <c r="O31" s="19" t="n">
        <f aca="false">MIN(VadeMaxPuan,$H31*VadeMaxPuan)</f>
        <v>0</v>
      </c>
      <c r="P31" s="19" t="n">
        <f aca="false">MIN(LimitMaxPuan,$F31*LimitMaxPuan)</f>
        <v>20</v>
      </c>
      <c r="Q31" s="19" t="n">
        <f aca="false">IF($C31=0,0,MIN(TeminatMaxPuan,$K31/$C31*TeminatMaxPuan))</f>
        <v>0</v>
      </c>
      <c r="R31" s="19" t="n">
        <f aca="false">IF($C31=0,0,MIN(ItirazMaxPuan,$M31/$C31*ItirazMaxPuan))</f>
        <v>0</v>
      </c>
      <c r="S31" s="19" t="n">
        <f aca="false">IF(MUSTERI_KARTLARI!$Q31="Askıda",StatufAskida,IF(MUSTERI_KARTLARI!$Q31="İzlemede",StatufIzleme,0))</f>
        <v>0</v>
      </c>
      <c r="T31" s="19" t="n">
        <f aca="false">IF(MUSTERI_KARTLARI!$R31="OK",100,IF(MUSTERI_KARTLARI!$R31="EKSİK",VeriKalitesiEksik,0))</f>
        <v>100</v>
      </c>
      <c r="U31" s="19" t="str">
        <f aca="false">IF($T31&gt;=GuvenYuksek,"YÜKSEK",IF($T31&gt;=GuvenOrta,"ORTA","DÜŞÜK"))</f>
        <v>YÜKSEK</v>
      </c>
      <c r="V31" s="19" t="str">
        <f aca="false">IF($X31&lt;=EsikDevam,"DEVAM",IF($X31&lt;=EsikIzle,"İZLE",IF($X31&lt;=EsikLimitAzalt,"LİMİTİ AZALT",IF($X31&lt;=EsikPesin,"PEŞİN / TEMİNATLI","VADELİ SATIŞI DURDUR"))))</f>
        <v>DEVAM</v>
      </c>
      <c r="W31" s="19" t="str">
        <f aca="false">IF($X31&gt;EsikKritik,"Yönetim onayı ve acil tahsilat planı",IF($X31&gt;EsikYuksek,"Yeni satışı teminata bağla",IF($X31&gt;EsikIzle,"Limit revizyonu ve tahsilatı hızlandır","Planlı izleme")))</f>
        <v>Planlı izleme</v>
      </c>
      <c r="X31" s="19" t="n">
        <f aca="false">ROUND(MIN(100,SUM($N31+$O31+$P31+$Q31+$R31+$S31)),0)</f>
        <v>20</v>
      </c>
    </row>
    <row r="32" customFormat="false" ht="16.4" hidden="false" customHeight="false" outlineLevel="0" collapsed="false">
      <c r="A32" s="19" t="n">
        <f aca="false">MUSTERI_KARTLARI!$A32</f>
        <v>0</v>
      </c>
      <c r="B32" s="19" t="n">
        <f aca="false">MUSTERI_KARTLARI!$B32</f>
        <v>0</v>
      </c>
      <c r="C32" s="19" t="n">
        <f aca="false">SUMIFS(tblYaslandirma[Açık Tutar],tblYaslandirma[Müşteri Kodu],$A32)</f>
        <v>0</v>
      </c>
      <c r="D32" s="19" t="n">
        <f aca="false">MUSTERI_KARTLARI!$I32+MUSTERI_KARTLARI!$J32</f>
        <v>0</v>
      </c>
      <c r="E32" s="19" t="n">
        <f aca="false">$D32-$C32</f>
        <v>0</v>
      </c>
      <c r="F32" s="19" t="n">
        <f aca="false">IFERROR($C32/$D32,1)</f>
        <v>1</v>
      </c>
      <c r="G32" s="19" t="n">
        <f aca="false">SUMIFS(tblYaslandirma[Açık Tutar],tblYaslandirma[Müşteri Kodu],$A32,tblYaslandirma[Gecikme Günü],"&gt;0")</f>
        <v>0</v>
      </c>
      <c r="H32" s="19" t="n">
        <f aca="false">IF($C32=0,0,$G32/$C32)</f>
        <v>0</v>
      </c>
      <c r="I32" s="19" t="n">
        <f aca="false">_xlfn.MAXIFS(tblYaslandirma[Gecikme Günü],tblYaslandirma[Müşteri Kodu],$A32)</f>
        <v>0</v>
      </c>
      <c r="J32" s="19" t="n">
        <f aca="false">SUMIFS(tblTeminatlar[Kabul Edilen Değer],tblTeminatlar[Müşteri Kodu],$A32)</f>
        <v>0</v>
      </c>
      <c r="K32" s="19" t="n">
        <f aca="false">MAX(0,$C32-$J32)</f>
        <v>0</v>
      </c>
      <c r="L32" s="19" t="n">
        <f aca="false">IF(SUM(tblRisk[Açık Bakiye])=0,0,$C32/SUM(tblRisk[Açık Bakiye]))</f>
        <v>0</v>
      </c>
      <c r="M32" s="19" t="n">
        <f aca="false">SUMIFS(tblYaslandirma[İtirazlı Tutar],tblYaslandirma[Müşteri Kodu],$A32)</f>
        <v>0</v>
      </c>
      <c r="N32" s="19" t="n">
        <f aca="false">MIN(GecikmeMaxPuan,$I32/YaslamaDilim3*GecikmeMaxPuan)</f>
        <v>0</v>
      </c>
      <c r="O32" s="19" t="n">
        <f aca="false">MIN(VadeMaxPuan,$H32*VadeMaxPuan)</f>
        <v>0</v>
      </c>
      <c r="P32" s="19" t="n">
        <f aca="false">MIN(LimitMaxPuan,$F32*LimitMaxPuan)</f>
        <v>20</v>
      </c>
      <c r="Q32" s="19" t="n">
        <f aca="false">IF($C32=0,0,MIN(TeminatMaxPuan,$K32/$C32*TeminatMaxPuan))</f>
        <v>0</v>
      </c>
      <c r="R32" s="19" t="n">
        <f aca="false">IF($C32=0,0,MIN(ItirazMaxPuan,$M32/$C32*ItirazMaxPuan))</f>
        <v>0</v>
      </c>
      <c r="S32" s="19" t="n">
        <f aca="false">IF(MUSTERI_KARTLARI!$Q32="Askıda",StatufAskida,IF(MUSTERI_KARTLARI!$Q32="İzlemede",StatufIzleme,0))</f>
        <v>0</v>
      </c>
      <c r="T32" s="19" t="n">
        <f aca="false">IF(MUSTERI_KARTLARI!$R32="OK",100,IF(MUSTERI_KARTLARI!$R32="EKSİK",VeriKalitesiEksik,0))</f>
        <v>100</v>
      </c>
      <c r="U32" s="19" t="str">
        <f aca="false">IF($T32&gt;=GuvenYuksek,"YÜKSEK",IF($T32&gt;=GuvenOrta,"ORTA","DÜŞÜK"))</f>
        <v>YÜKSEK</v>
      </c>
      <c r="V32" s="19" t="str">
        <f aca="false">IF($X32&lt;=EsikDevam,"DEVAM",IF($X32&lt;=EsikIzle,"İZLE",IF($X32&lt;=EsikLimitAzalt,"LİMİTİ AZALT",IF($X32&lt;=EsikPesin,"PEŞİN / TEMİNATLI","VADELİ SATIŞI DURDUR"))))</f>
        <v>DEVAM</v>
      </c>
      <c r="W32" s="19" t="str">
        <f aca="false">IF($X32&gt;EsikKritik,"Yönetim onayı ve acil tahsilat planı",IF($X32&gt;EsikYuksek,"Yeni satışı teminata bağla",IF($X32&gt;EsikIzle,"Limit revizyonu ve tahsilatı hızlandır","Planlı izleme")))</f>
        <v>Planlı izleme</v>
      </c>
      <c r="X32" s="19" t="n">
        <f aca="false">ROUND(MIN(100,SUM($N32+$O32+$P32+$Q32+$R32+$S32)),0)</f>
        <v>20</v>
      </c>
    </row>
    <row r="33" customFormat="false" ht="16.4" hidden="false" customHeight="false" outlineLevel="0" collapsed="false">
      <c r="A33" s="19" t="n">
        <f aca="false">MUSTERI_KARTLARI!$A33</f>
        <v>0</v>
      </c>
      <c r="B33" s="19" t="n">
        <f aca="false">MUSTERI_KARTLARI!$B33</f>
        <v>0</v>
      </c>
      <c r="C33" s="19" t="n">
        <f aca="false">SUMIFS(tblYaslandirma[Açık Tutar],tblYaslandirma[Müşteri Kodu],$A33)</f>
        <v>0</v>
      </c>
      <c r="D33" s="19" t="n">
        <f aca="false">MUSTERI_KARTLARI!$I33+MUSTERI_KARTLARI!$J33</f>
        <v>0</v>
      </c>
      <c r="E33" s="19" t="n">
        <f aca="false">$D33-$C33</f>
        <v>0</v>
      </c>
      <c r="F33" s="19" t="n">
        <f aca="false">IFERROR($C33/$D33,1)</f>
        <v>1</v>
      </c>
      <c r="G33" s="19" t="n">
        <f aca="false">SUMIFS(tblYaslandirma[Açık Tutar],tblYaslandirma[Müşteri Kodu],$A33,tblYaslandirma[Gecikme Günü],"&gt;0")</f>
        <v>0</v>
      </c>
      <c r="H33" s="19" t="n">
        <f aca="false">IF($C33=0,0,$G33/$C33)</f>
        <v>0</v>
      </c>
      <c r="I33" s="19" t="n">
        <f aca="false">_xlfn.MAXIFS(tblYaslandirma[Gecikme Günü],tblYaslandirma[Müşteri Kodu],$A33)</f>
        <v>0</v>
      </c>
      <c r="J33" s="19" t="n">
        <f aca="false">SUMIFS(tblTeminatlar[Kabul Edilen Değer],tblTeminatlar[Müşteri Kodu],$A33)</f>
        <v>0</v>
      </c>
      <c r="K33" s="19" t="n">
        <f aca="false">MAX(0,$C33-$J33)</f>
        <v>0</v>
      </c>
      <c r="L33" s="19" t="n">
        <f aca="false">IF(SUM(tblRisk[Açık Bakiye])=0,0,$C33/SUM(tblRisk[Açık Bakiye]))</f>
        <v>0</v>
      </c>
      <c r="M33" s="19" t="n">
        <f aca="false">SUMIFS(tblYaslandirma[İtirazlı Tutar],tblYaslandirma[Müşteri Kodu],$A33)</f>
        <v>0</v>
      </c>
      <c r="N33" s="19" t="n">
        <f aca="false">MIN(GecikmeMaxPuan,$I33/YaslamaDilim3*GecikmeMaxPuan)</f>
        <v>0</v>
      </c>
      <c r="O33" s="19" t="n">
        <f aca="false">MIN(VadeMaxPuan,$H33*VadeMaxPuan)</f>
        <v>0</v>
      </c>
      <c r="P33" s="19" t="n">
        <f aca="false">MIN(LimitMaxPuan,$F33*LimitMaxPuan)</f>
        <v>20</v>
      </c>
      <c r="Q33" s="19" t="n">
        <f aca="false">IF($C33=0,0,MIN(TeminatMaxPuan,$K33/$C33*TeminatMaxPuan))</f>
        <v>0</v>
      </c>
      <c r="R33" s="19" t="n">
        <f aca="false">IF($C33=0,0,MIN(ItirazMaxPuan,$M33/$C33*ItirazMaxPuan))</f>
        <v>0</v>
      </c>
      <c r="S33" s="19" t="n">
        <f aca="false">IF(MUSTERI_KARTLARI!$Q33="Askıda",StatufAskida,IF(MUSTERI_KARTLARI!$Q33="İzlemede",StatufIzleme,0))</f>
        <v>0</v>
      </c>
      <c r="T33" s="19" t="n">
        <f aca="false">IF(MUSTERI_KARTLARI!$R33="OK",100,IF(MUSTERI_KARTLARI!$R33="EKSİK",VeriKalitesiEksik,0))</f>
        <v>100</v>
      </c>
      <c r="U33" s="19" t="str">
        <f aca="false">IF($T33&gt;=GuvenYuksek,"YÜKSEK",IF($T33&gt;=GuvenOrta,"ORTA","DÜŞÜK"))</f>
        <v>YÜKSEK</v>
      </c>
      <c r="V33" s="19" t="str">
        <f aca="false">IF($X33&lt;=EsikDevam,"DEVAM",IF($X33&lt;=EsikIzle,"İZLE",IF($X33&lt;=EsikLimitAzalt,"LİMİTİ AZALT",IF($X33&lt;=EsikPesin,"PEŞİN / TEMİNATLI","VADELİ SATIŞI DURDUR"))))</f>
        <v>DEVAM</v>
      </c>
      <c r="W33" s="19" t="str">
        <f aca="false">IF($X33&gt;EsikKritik,"Yönetim onayı ve acil tahsilat planı",IF($X33&gt;EsikYuksek,"Yeni satışı teminata bağla",IF($X33&gt;EsikIzle,"Limit revizyonu ve tahsilatı hızlandır","Planlı izleme")))</f>
        <v>Planlı izleme</v>
      </c>
      <c r="X33" s="19" t="n">
        <f aca="false">ROUND(MIN(100,SUM($N33+$O33+$P33+$Q33+$R33+$S33)),0)</f>
        <v>20</v>
      </c>
    </row>
    <row r="34" customFormat="false" ht="16.4" hidden="false" customHeight="false" outlineLevel="0" collapsed="false">
      <c r="A34" s="19" t="n">
        <f aca="false">MUSTERI_KARTLARI!$A34</f>
        <v>0</v>
      </c>
      <c r="B34" s="19" t="n">
        <f aca="false">MUSTERI_KARTLARI!$B34</f>
        <v>0</v>
      </c>
      <c r="C34" s="19" t="n">
        <f aca="false">SUMIFS(tblYaslandirma[Açık Tutar],tblYaslandirma[Müşteri Kodu],$A34)</f>
        <v>0</v>
      </c>
      <c r="D34" s="19" t="n">
        <f aca="false">MUSTERI_KARTLARI!$I34+MUSTERI_KARTLARI!$J34</f>
        <v>0</v>
      </c>
      <c r="E34" s="19" t="n">
        <f aca="false">$D34-$C34</f>
        <v>0</v>
      </c>
      <c r="F34" s="19" t="n">
        <f aca="false">IFERROR($C34/$D34,1)</f>
        <v>1</v>
      </c>
      <c r="G34" s="19" t="n">
        <f aca="false">SUMIFS(tblYaslandirma[Açık Tutar],tblYaslandirma[Müşteri Kodu],$A34,tblYaslandirma[Gecikme Günü],"&gt;0")</f>
        <v>0</v>
      </c>
      <c r="H34" s="19" t="n">
        <f aca="false">IF($C34=0,0,$G34/$C34)</f>
        <v>0</v>
      </c>
      <c r="I34" s="19" t="n">
        <f aca="false">_xlfn.MAXIFS(tblYaslandirma[Gecikme Günü],tblYaslandirma[Müşteri Kodu],$A34)</f>
        <v>0</v>
      </c>
      <c r="J34" s="19" t="n">
        <f aca="false">SUMIFS(tblTeminatlar[Kabul Edilen Değer],tblTeminatlar[Müşteri Kodu],$A34)</f>
        <v>0</v>
      </c>
      <c r="K34" s="19" t="n">
        <f aca="false">MAX(0,$C34-$J34)</f>
        <v>0</v>
      </c>
      <c r="L34" s="19" t="n">
        <f aca="false">IF(SUM(tblRisk[Açık Bakiye])=0,0,$C34/SUM(tblRisk[Açık Bakiye]))</f>
        <v>0</v>
      </c>
      <c r="M34" s="19" t="n">
        <f aca="false">SUMIFS(tblYaslandirma[İtirazlı Tutar],tblYaslandirma[Müşteri Kodu],$A34)</f>
        <v>0</v>
      </c>
      <c r="N34" s="19" t="n">
        <f aca="false">MIN(GecikmeMaxPuan,$I34/YaslamaDilim3*GecikmeMaxPuan)</f>
        <v>0</v>
      </c>
      <c r="O34" s="19" t="n">
        <f aca="false">MIN(VadeMaxPuan,$H34*VadeMaxPuan)</f>
        <v>0</v>
      </c>
      <c r="P34" s="19" t="n">
        <f aca="false">MIN(LimitMaxPuan,$F34*LimitMaxPuan)</f>
        <v>20</v>
      </c>
      <c r="Q34" s="19" t="n">
        <f aca="false">IF($C34=0,0,MIN(TeminatMaxPuan,$K34/$C34*TeminatMaxPuan))</f>
        <v>0</v>
      </c>
      <c r="R34" s="19" t="n">
        <f aca="false">IF($C34=0,0,MIN(ItirazMaxPuan,$M34/$C34*ItirazMaxPuan))</f>
        <v>0</v>
      </c>
      <c r="S34" s="19" t="n">
        <f aca="false">IF(MUSTERI_KARTLARI!$Q34="Askıda",StatufAskida,IF(MUSTERI_KARTLARI!$Q34="İzlemede",StatufIzleme,0))</f>
        <v>0</v>
      </c>
      <c r="T34" s="19" t="n">
        <f aca="false">IF(MUSTERI_KARTLARI!$R34="OK",100,IF(MUSTERI_KARTLARI!$R34="EKSİK",VeriKalitesiEksik,0))</f>
        <v>100</v>
      </c>
      <c r="U34" s="19" t="str">
        <f aca="false">IF($T34&gt;=GuvenYuksek,"YÜKSEK",IF($T34&gt;=GuvenOrta,"ORTA","DÜŞÜK"))</f>
        <v>YÜKSEK</v>
      </c>
      <c r="V34" s="19" t="str">
        <f aca="false">IF($X34&lt;=EsikDevam,"DEVAM",IF($X34&lt;=EsikIzle,"İZLE",IF($X34&lt;=EsikLimitAzalt,"LİMİTİ AZALT",IF($X34&lt;=EsikPesin,"PEŞİN / TEMİNATLI","VADELİ SATIŞI DURDUR"))))</f>
        <v>DEVAM</v>
      </c>
      <c r="W34" s="19" t="str">
        <f aca="false">IF($X34&gt;EsikKritik,"Yönetim onayı ve acil tahsilat planı",IF($X34&gt;EsikYuksek,"Yeni satışı teminata bağla",IF($X34&gt;EsikIzle,"Limit revizyonu ve tahsilatı hızlandır","Planlı izleme")))</f>
        <v>Planlı izleme</v>
      </c>
      <c r="X34" s="19" t="n">
        <f aca="false">ROUND(MIN(100,SUM($N34+$O34+$P34+$Q34+$R34+$S34)),0)</f>
        <v>20</v>
      </c>
    </row>
    <row r="35" customFormat="false" ht="16.4" hidden="false" customHeight="false" outlineLevel="0" collapsed="false">
      <c r="A35" s="19" t="n">
        <f aca="false">MUSTERI_KARTLARI!$A35</f>
        <v>0</v>
      </c>
      <c r="B35" s="19" t="n">
        <f aca="false">MUSTERI_KARTLARI!$B35</f>
        <v>0</v>
      </c>
      <c r="C35" s="19" t="n">
        <f aca="false">SUMIFS(tblYaslandirma[Açık Tutar],tblYaslandirma[Müşteri Kodu],$A35)</f>
        <v>0</v>
      </c>
      <c r="D35" s="19" t="n">
        <f aca="false">MUSTERI_KARTLARI!$I35+MUSTERI_KARTLARI!$J35</f>
        <v>0</v>
      </c>
      <c r="E35" s="19" t="n">
        <f aca="false">$D35-$C35</f>
        <v>0</v>
      </c>
      <c r="F35" s="19" t="n">
        <f aca="false">IFERROR($C35/$D35,1)</f>
        <v>1</v>
      </c>
      <c r="G35" s="19" t="n">
        <f aca="false">SUMIFS(tblYaslandirma[Açık Tutar],tblYaslandirma[Müşteri Kodu],$A35,tblYaslandirma[Gecikme Günü],"&gt;0")</f>
        <v>0</v>
      </c>
      <c r="H35" s="19" t="n">
        <f aca="false">IF($C35=0,0,$G35/$C35)</f>
        <v>0</v>
      </c>
      <c r="I35" s="19" t="n">
        <f aca="false">_xlfn.MAXIFS(tblYaslandirma[Gecikme Günü],tblYaslandirma[Müşteri Kodu],$A35)</f>
        <v>0</v>
      </c>
      <c r="J35" s="19" t="n">
        <f aca="false">SUMIFS(tblTeminatlar[Kabul Edilen Değer],tblTeminatlar[Müşteri Kodu],$A35)</f>
        <v>0</v>
      </c>
      <c r="K35" s="19" t="n">
        <f aca="false">MAX(0,$C35-$J35)</f>
        <v>0</v>
      </c>
      <c r="L35" s="19" t="n">
        <f aca="false">IF(SUM(tblRisk[Açık Bakiye])=0,0,$C35/SUM(tblRisk[Açık Bakiye]))</f>
        <v>0</v>
      </c>
      <c r="M35" s="19" t="n">
        <f aca="false">SUMIFS(tblYaslandirma[İtirazlı Tutar],tblYaslandirma[Müşteri Kodu],$A35)</f>
        <v>0</v>
      </c>
      <c r="N35" s="19" t="n">
        <f aca="false">MIN(GecikmeMaxPuan,$I35/YaslamaDilim3*GecikmeMaxPuan)</f>
        <v>0</v>
      </c>
      <c r="O35" s="19" t="n">
        <f aca="false">MIN(VadeMaxPuan,$H35*VadeMaxPuan)</f>
        <v>0</v>
      </c>
      <c r="P35" s="19" t="n">
        <f aca="false">MIN(LimitMaxPuan,$F35*LimitMaxPuan)</f>
        <v>20</v>
      </c>
      <c r="Q35" s="19" t="n">
        <f aca="false">IF($C35=0,0,MIN(TeminatMaxPuan,$K35/$C35*TeminatMaxPuan))</f>
        <v>0</v>
      </c>
      <c r="R35" s="19" t="n">
        <f aca="false">IF($C35=0,0,MIN(ItirazMaxPuan,$M35/$C35*ItirazMaxPuan))</f>
        <v>0</v>
      </c>
      <c r="S35" s="19" t="n">
        <f aca="false">IF(MUSTERI_KARTLARI!$Q35="Askıda",StatufAskida,IF(MUSTERI_KARTLARI!$Q35="İzlemede",StatufIzleme,0))</f>
        <v>0</v>
      </c>
      <c r="T35" s="19" t="n">
        <f aca="false">IF(MUSTERI_KARTLARI!$R35="OK",100,IF(MUSTERI_KARTLARI!$R35="EKSİK",VeriKalitesiEksik,0))</f>
        <v>100</v>
      </c>
      <c r="U35" s="19" t="str">
        <f aca="false">IF($T35&gt;=GuvenYuksek,"YÜKSEK",IF($T35&gt;=GuvenOrta,"ORTA","DÜŞÜK"))</f>
        <v>YÜKSEK</v>
      </c>
      <c r="V35" s="19" t="str">
        <f aca="false">IF($X35&lt;=EsikDevam,"DEVAM",IF($X35&lt;=EsikIzle,"İZLE",IF($X35&lt;=EsikLimitAzalt,"LİMİTİ AZALT",IF($X35&lt;=EsikPesin,"PEŞİN / TEMİNATLI","VADELİ SATIŞI DURDUR"))))</f>
        <v>DEVAM</v>
      </c>
      <c r="W35" s="19" t="str">
        <f aca="false">IF($X35&gt;EsikKritik,"Yönetim onayı ve acil tahsilat planı",IF($X35&gt;EsikYuksek,"Yeni satışı teminata bağla",IF($X35&gt;EsikIzle,"Limit revizyonu ve tahsilatı hızlandır","Planlı izleme")))</f>
        <v>Planlı izleme</v>
      </c>
      <c r="X35" s="19" t="n">
        <f aca="false">ROUND(MIN(100,SUM($N35+$O35+$P35+$Q35+$R35+$S35)),0)</f>
        <v>20</v>
      </c>
    </row>
    <row r="36" customFormat="false" ht="16.4" hidden="false" customHeight="false" outlineLevel="0" collapsed="false">
      <c r="A36" s="19" t="n">
        <f aca="false">MUSTERI_KARTLARI!$A36</f>
        <v>0</v>
      </c>
      <c r="B36" s="19" t="n">
        <f aca="false">MUSTERI_KARTLARI!$B36</f>
        <v>0</v>
      </c>
      <c r="C36" s="19" t="n">
        <f aca="false">SUMIFS(tblYaslandirma[Açık Tutar],tblYaslandirma[Müşteri Kodu],$A36)</f>
        <v>0</v>
      </c>
      <c r="D36" s="19" t="n">
        <f aca="false">MUSTERI_KARTLARI!$I36+MUSTERI_KARTLARI!$J36</f>
        <v>0</v>
      </c>
      <c r="E36" s="19" t="n">
        <f aca="false">$D36-$C36</f>
        <v>0</v>
      </c>
      <c r="F36" s="19" t="n">
        <f aca="false">IFERROR($C36/$D36,1)</f>
        <v>1</v>
      </c>
      <c r="G36" s="19" t="n">
        <f aca="false">SUMIFS(tblYaslandirma[Açık Tutar],tblYaslandirma[Müşteri Kodu],$A36,tblYaslandirma[Gecikme Günü],"&gt;0")</f>
        <v>0</v>
      </c>
      <c r="H36" s="19" t="n">
        <f aca="false">IF($C36=0,0,$G36/$C36)</f>
        <v>0</v>
      </c>
      <c r="I36" s="19" t="n">
        <f aca="false">_xlfn.MAXIFS(tblYaslandirma[Gecikme Günü],tblYaslandirma[Müşteri Kodu],$A36)</f>
        <v>0</v>
      </c>
      <c r="J36" s="19" t="n">
        <f aca="false">SUMIFS(tblTeminatlar[Kabul Edilen Değer],tblTeminatlar[Müşteri Kodu],$A36)</f>
        <v>0</v>
      </c>
      <c r="K36" s="19" t="n">
        <f aca="false">MAX(0,$C36-$J36)</f>
        <v>0</v>
      </c>
      <c r="L36" s="19" t="n">
        <f aca="false">IF(SUM(tblRisk[Açık Bakiye])=0,0,$C36/SUM(tblRisk[Açık Bakiye]))</f>
        <v>0</v>
      </c>
      <c r="M36" s="19" t="n">
        <f aca="false">SUMIFS(tblYaslandirma[İtirazlı Tutar],tblYaslandirma[Müşteri Kodu],$A36)</f>
        <v>0</v>
      </c>
      <c r="N36" s="19" t="n">
        <f aca="false">MIN(GecikmeMaxPuan,$I36/YaslamaDilim3*GecikmeMaxPuan)</f>
        <v>0</v>
      </c>
      <c r="O36" s="19" t="n">
        <f aca="false">MIN(VadeMaxPuan,$H36*VadeMaxPuan)</f>
        <v>0</v>
      </c>
      <c r="P36" s="19" t="n">
        <f aca="false">MIN(LimitMaxPuan,$F36*LimitMaxPuan)</f>
        <v>20</v>
      </c>
      <c r="Q36" s="19" t="n">
        <f aca="false">IF($C36=0,0,MIN(TeminatMaxPuan,$K36/$C36*TeminatMaxPuan))</f>
        <v>0</v>
      </c>
      <c r="R36" s="19" t="n">
        <f aca="false">IF($C36=0,0,MIN(ItirazMaxPuan,$M36/$C36*ItirazMaxPuan))</f>
        <v>0</v>
      </c>
      <c r="S36" s="19" t="n">
        <f aca="false">IF(MUSTERI_KARTLARI!$Q36="Askıda",StatufAskida,IF(MUSTERI_KARTLARI!$Q36="İzlemede",StatufIzleme,0))</f>
        <v>0</v>
      </c>
      <c r="T36" s="19" t="n">
        <f aca="false">IF(MUSTERI_KARTLARI!$R36="OK",100,IF(MUSTERI_KARTLARI!$R36="EKSİK",VeriKalitesiEksik,0))</f>
        <v>100</v>
      </c>
      <c r="U36" s="19" t="str">
        <f aca="false">IF($T36&gt;=GuvenYuksek,"YÜKSEK",IF($T36&gt;=GuvenOrta,"ORTA","DÜŞÜK"))</f>
        <v>YÜKSEK</v>
      </c>
      <c r="V36" s="19" t="str">
        <f aca="false">IF($X36&lt;=EsikDevam,"DEVAM",IF($X36&lt;=EsikIzle,"İZLE",IF($X36&lt;=EsikLimitAzalt,"LİMİTİ AZALT",IF($X36&lt;=EsikPesin,"PEŞİN / TEMİNATLI","VADELİ SATIŞI DURDUR"))))</f>
        <v>DEVAM</v>
      </c>
      <c r="W36" s="19" t="str">
        <f aca="false">IF($X36&gt;EsikKritik,"Yönetim onayı ve acil tahsilat planı",IF($X36&gt;EsikYuksek,"Yeni satışı teminata bağla",IF($X36&gt;EsikIzle,"Limit revizyonu ve tahsilatı hızlandır","Planlı izleme")))</f>
        <v>Planlı izleme</v>
      </c>
      <c r="X36" s="19" t="n">
        <f aca="false">ROUND(MIN(100,SUM($N36+$O36+$P36+$Q36+$R36+$S36)),0)</f>
        <v>20</v>
      </c>
    </row>
    <row r="37" customFormat="false" ht="16.4" hidden="false" customHeight="false" outlineLevel="0" collapsed="false">
      <c r="A37" s="19" t="n">
        <f aca="false">MUSTERI_KARTLARI!$A37</f>
        <v>0</v>
      </c>
      <c r="B37" s="19" t="n">
        <f aca="false">MUSTERI_KARTLARI!$B37</f>
        <v>0</v>
      </c>
      <c r="C37" s="19" t="n">
        <f aca="false">SUMIFS(tblYaslandirma[Açık Tutar],tblYaslandirma[Müşteri Kodu],$A37)</f>
        <v>0</v>
      </c>
      <c r="D37" s="19" t="n">
        <f aca="false">MUSTERI_KARTLARI!$I37+MUSTERI_KARTLARI!$J37</f>
        <v>0</v>
      </c>
      <c r="E37" s="19" t="n">
        <f aca="false">$D37-$C37</f>
        <v>0</v>
      </c>
      <c r="F37" s="19" t="n">
        <f aca="false">IFERROR($C37/$D37,1)</f>
        <v>1</v>
      </c>
      <c r="G37" s="19" t="n">
        <f aca="false">SUMIFS(tblYaslandirma[Açık Tutar],tblYaslandirma[Müşteri Kodu],$A37,tblYaslandirma[Gecikme Günü],"&gt;0")</f>
        <v>0</v>
      </c>
      <c r="H37" s="19" t="n">
        <f aca="false">IF($C37=0,0,$G37/$C37)</f>
        <v>0</v>
      </c>
      <c r="I37" s="19" t="n">
        <f aca="false">_xlfn.MAXIFS(tblYaslandirma[Gecikme Günü],tblYaslandirma[Müşteri Kodu],$A37)</f>
        <v>0</v>
      </c>
      <c r="J37" s="19" t="n">
        <f aca="false">SUMIFS(tblTeminatlar[Kabul Edilen Değer],tblTeminatlar[Müşteri Kodu],$A37)</f>
        <v>0</v>
      </c>
      <c r="K37" s="19" t="n">
        <f aca="false">MAX(0,$C37-$J37)</f>
        <v>0</v>
      </c>
      <c r="L37" s="19" t="n">
        <f aca="false">IF(SUM(tblRisk[Açık Bakiye])=0,0,$C37/SUM(tblRisk[Açık Bakiye]))</f>
        <v>0</v>
      </c>
      <c r="M37" s="19" t="n">
        <f aca="false">SUMIFS(tblYaslandirma[İtirazlı Tutar],tblYaslandirma[Müşteri Kodu],$A37)</f>
        <v>0</v>
      </c>
      <c r="N37" s="19" t="n">
        <f aca="false">MIN(GecikmeMaxPuan,$I37/YaslamaDilim3*GecikmeMaxPuan)</f>
        <v>0</v>
      </c>
      <c r="O37" s="19" t="n">
        <f aca="false">MIN(VadeMaxPuan,$H37*VadeMaxPuan)</f>
        <v>0</v>
      </c>
      <c r="P37" s="19" t="n">
        <f aca="false">MIN(LimitMaxPuan,$F37*LimitMaxPuan)</f>
        <v>20</v>
      </c>
      <c r="Q37" s="19" t="n">
        <f aca="false">IF($C37=0,0,MIN(TeminatMaxPuan,$K37/$C37*TeminatMaxPuan))</f>
        <v>0</v>
      </c>
      <c r="R37" s="19" t="n">
        <f aca="false">IF($C37=0,0,MIN(ItirazMaxPuan,$M37/$C37*ItirazMaxPuan))</f>
        <v>0</v>
      </c>
      <c r="S37" s="19" t="n">
        <f aca="false">IF(MUSTERI_KARTLARI!$Q37="Askıda",StatufAskida,IF(MUSTERI_KARTLARI!$Q37="İzlemede",StatufIzleme,0))</f>
        <v>0</v>
      </c>
      <c r="T37" s="19" t="n">
        <f aca="false">IF(MUSTERI_KARTLARI!$R37="OK",100,IF(MUSTERI_KARTLARI!$R37="EKSİK",VeriKalitesiEksik,0))</f>
        <v>100</v>
      </c>
      <c r="U37" s="19" t="str">
        <f aca="false">IF($T37&gt;=GuvenYuksek,"YÜKSEK",IF($T37&gt;=GuvenOrta,"ORTA","DÜŞÜK"))</f>
        <v>YÜKSEK</v>
      </c>
      <c r="V37" s="19" t="str">
        <f aca="false">IF($X37&lt;=EsikDevam,"DEVAM",IF($X37&lt;=EsikIzle,"İZLE",IF($X37&lt;=EsikLimitAzalt,"LİMİTİ AZALT",IF($X37&lt;=EsikPesin,"PEŞİN / TEMİNATLI","VADELİ SATIŞI DURDUR"))))</f>
        <v>DEVAM</v>
      </c>
      <c r="W37" s="19" t="str">
        <f aca="false">IF($X37&gt;EsikKritik,"Yönetim onayı ve acil tahsilat planı",IF($X37&gt;EsikYuksek,"Yeni satışı teminata bağla",IF($X37&gt;EsikIzle,"Limit revizyonu ve tahsilatı hızlandır","Planlı izleme")))</f>
        <v>Planlı izleme</v>
      </c>
      <c r="X37" s="19" t="n">
        <f aca="false">ROUND(MIN(100,SUM($N37+$O37+$P37+$Q37+$R37+$S37)),0)</f>
        <v>20</v>
      </c>
    </row>
    <row r="38" customFormat="false" ht="16.4" hidden="false" customHeight="false" outlineLevel="0" collapsed="false">
      <c r="A38" s="19" t="n">
        <f aca="false">MUSTERI_KARTLARI!$A38</f>
        <v>0</v>
      </c>
      <c r="B38" s="19" t="n">
        <f aca="false">MUSTERI_KARTLARI!$B38</f>
        <v>0</v>
      </c>
      <c r="C38" s="19" t="n">
        <f aca="false">SUMIFS(tblYaslandirma[Açık Tutar],tblYaslandirma[Müşteri Kodu],$A38)</f>
        <v>0</v>
      </c>
      <c r="D38" s="19" t="n">
        <f aca="false">MUSTERI_KARTLARI!$I38+MUSTERI_KARTLARI!$J38</f>
        <v>0</v>
      </c>
      <c r="E38" s="19" t="n">
        <f aca="false">$D38-$C38</f>
        <v>0</v>
      </c>
      <c r="F38" s="19" t="n">
        <f aca="false">IFERROR($C38/$D38,1)</f>
        <v>1</v>
      </c>
      <c r="G38" s="19" t="n">
        <f aca="false">SUMIFS(tblYaslandirma[Açık Tutar],tblYaslandirma[Müşteri Kodu],$A38,tblYaslandirma[Gecikme Günü],"&gt;0")</f>
        <v>0</v>
      </c>
      <c r="H38" s="19" t="n">
        <f aca="false">IF($C38=0,0,$G38/$C38)</f>
        <v>0</v>
      </c>
      <c r="I38" s="19" t="n">
        <f aca="false">_xlfn.MAXIFS(tblYaslandirma[Gecikme Günü],tblYaslandirma[Müşteri Kodu],$A38)</f>
        <v>0</v>
      </c>
      <c r="J38" s="19" t="n">
        <f aca="false">SUMIFS(tblTeminatlar[Kabul Edilen Değer],tblTeminatlar[Müşteri Kodu],$A38)</f>
        <v>0</v>
      </c>
      <c r="K38" s="19" t="n">
        <f aca="false">MAX(0,$C38-$J38)</f>
        <v>0</v>
      </c>
      <c r="L38" s="19" t="n">
        <f aca="false">IF(SUM(tblRisk[Açık Bakiye])=0,0,$C38/SUM(tblRisk[Açık Bakiye]))</f>
        <v>0</v>
      </c>
      <c r="M38" s="19" t="n">
        <f aca="false">SUMIFS(tblYaslandirma[İtirazlı Tutar],tblYaslandirma[Müşteri Kodu],$A38)</f>
        <v>0</v>
      </c>
      <c r="N38" s="19" t="n">
        <f aca="false">MIN(GecikmeMaxPuan,$I38/YaslamaDilim3*GecikmeMaxPuan)</f>
        <v>0</v>
      </c>
      <c r="O38" s="19" t="n">
        <f aca="false">MIN(VadeMaxPuan,$H38*VadeMaxPuan)</f>
        <v>0</v>
      </c>
      <c r="P38" s="19" t="n">
        <f aca="false">MIN(LimitMaxPuan,$F38*LimitMaxPuan)</f>
        <v>20</v>
      </c>
      <c r="Q38" s="19" t="n">
        <f aca="false">IF($C38=0,0,MIN(TeminatMaxPuan,$K38/$C38*TeminatMaxPuan))</f>
        <v>0</v>
      </c>
      <c r="R38" s="19" t="n">
        <f aca="false">IF($C38=0,0,MIN(ItirazMaxPuan,$M38/$C38*ItirazMaxPuan))</f>
        <v>0</v>
      </c>
      <c r="S38" s="19" t="n">
        <f aca="false">IF(MUSTERI_KARTLARI!$Q38="Askıda",StatufAskida,IF(MUSTERI_KARTLARI!$Q38="İzlemede",StatufIzleme,0))</f>
        <v>0</v>
      </c>
      <c r="T38" s="19" t="n">
        <f aca="false">IF(MUSTERI_KARTLARI!$R38="OK",100,IF(MUSTERI_KARTLARI!$R38="EKSİK",VeriKalitesiEksik,0))</f>
        <v>100</v>
      </c>
      <c r="U38" s="19" t="str">
        <f aca="false">IF($T38&gt;=GuvenYuksek,"YÜKSEK",IF($T38&gt;=GuvenOrta,"ORTA","DÜŞÜK"))</f>
        <v>YÜKSEK</v>
      </c>
      <c r="V38" s="19" t="str">
        <f aca="false">IF($X38&lt;=EsikDevam,"DEVAM",IF($X38&lt;=EsikIzle,"İZLE",IF($X38&lt;=EsikLimitAzalt,"LİMİTİ AZALT",IF($X38&lt;=EsikPesin,"PEŞİN / TEMİNATLI","VADELİ SATIŞI DURDUR"))))</f>
        <v>DEVAM</v>
      </c>
      <c r="W38" s="19" t="str">
        <f aca="false">IF($X38&gt;EsikKritik,"Yönetim onayı ve acil tahsilat planı",IF($X38&gt;EsikYuksek,"Yeni satışı teminata bağla",IF($X38&gt;EsikIzle,"Limit revizyonu ve tahsilatı hızlandır","Planlı izleme")))</f>
        <v>Planlı izleme</v>
      </c>
      <c r="X38" s="19" t="n">
        <f aca="false">ROUND(MIN(100,SUM($N38+$O38+$P38+$Q38+$R38+$S38)),0)</f>
        <v>20</v>
      </c>
    </row>
    <row r="39" customFormat="false" ht="16.4" hidden="false" customHeight="false" outlineLevel="0" collapsed="false">
      <c r="A39" s="19" t="n">
        <f aca="false">MUSTERI_KARTLARI!$A39</f>
        <v>0</v>
      </c>
      <c r="B39" s="19" t="n">
        <f aca="false">MUSTERI_KARTLARI!$B39</f>
        <v>0</v>
      </c>
      <c r="C39" s="19" t="n">
        <f aca="false">SUMIFS(tblYaslandirma[Açık Tutar],tblYaslandirma[Müşteri Kodu],$A39)</f>
        <v>0</v>
      </c>
      <c r="D39" s="19" t="n">
        <f aca="false">MUSTERI_KARTLARI!$I39+MUSTERI_KARTLARI!$J39</f>
        <v>0</v>
      </c>
      <c r="E39" s="19" t="n">
        <f aca="false">$D39-$C39</f>
        <v>0</v>
      </c>
      <c r="F39" s="19" t="n">
        <f aca="false">IFERROR($C39/$D39,1)</f>
        <v>1</v>
      </c>
      <c r="G39" s="19" t="n">
        <f aca="false">SUMIFS(tblYaslandirma[Açık Tutar],tblYaslandirma[Müşteri Kodu],$A39,tblYaslandirma[Gecikme Günü],"&gt;0")</f>
        <v>0</v>
      </c>
      <c r="H39" s="19" t="n">
        <f aca="false">IF($C39=0,0,$G39/$C39)</f>
        <v>0</v>
      </c>
      <c r="I39" s="19" t="n">
        <f aca="false">_xlfn.MAXIFS(tblYaslandirma[Gecikme Günü],tblYaslandirma[Müşteri Kodu],$A39)</f>
        <v>0</v>
      </c>
      <c r="J39" s="19" t="n">
        <f aca="false">SUMIFS(tblTeminatlar[Kabul Edilen Değer],tblTeminatlar[Müşteri Kodu],$A39)</f>
        <v>0</v>
      </c>
      <c r="K39" s="19" t="n">
        <f aca="false">MAX(0,$C39-$J39)</f>
        <v>0</v>
      </c>
      <c r="L39" s="19" t="n">
        <f aca="false">IF(SUM(tblRisk[Açık Bakiye])=0,0,$C39/SUM(tblRisk[Açık Bakiye]))</f>
        <v>0</v>
      </c>
      <c r="M39" s="19" t="n">
        <f aca="false">SUMIFS(tblYaslandirma[İtirazlı Tutar],tblYaslandirma[Müşteri Kodu],$A39)</f>
        <v>0</v>
      </c>
      <c r="N39" s="19" t="n">
        <f aca="false">MIN(GecikmeMaxPuan,$I39/YaslamaDilim3*GecikmeMaxPuan)</f>
        <v>0</v>
      </c>
      <c r="O39" s="19" t="n">
        <f aca="false">MIN(VadeMaxPuan,$H39*VadeMaxPuan)</f>
        <v>0</v>
      </c>
      <c r="P39" s="19" t="n">
        <f aca="false">MIN(LimitMaxPuan,$F39*LimitMaxPuan)</f>
        <v>20</v>
      </c>
      <c r="Q39" s="19" t="n">
        <f aca="false">IF($C39=0,0,MIN(TeminatMaxPuan,$K39/$C39*TeminatMaxPuan))</f>
        <v>0</v>
      </c>
      <c r="R39" s="19" t="n">
        <f aca="false">IF($C39=0,0,MIN(ItirazMaxPuan,$M39/$C39*ItirazMaxPuan))</f>
        <v>0</v>
      </c>
      <c r="S39" s="19" t="n">
        <f aca="false">IF(MUSTERI_KARTLARI!$Q39="Askıda",StatufAskida,IF(MUSTERI_KARTLARI!$Q39="İzlemede",StatufIzleme,0))</f>
        <v>0</v>
      </c>
      <c r="T39" s="19" t="n">
        <f aca="false">IF(MUSTERI_KARTLARI!$R39="OK",100,IF(MUSTERI_KARTLARI!$R39="EKSİK",VeriKalitesiEksik,0))</f>
        <v>100</v>
      </c>
      <c r="U39" s="19" t="str">
        <f aca="false">IF($T39&gt;=GuvenYuksek,"YÜKSEK",IF($T39&gt;=GuvenOrta,"ORTA","DÜŞÜK"))</f>
        <v>YÜKSEK</v>
      </c>
      <c r="V39" s="19" t="str">
        <f aca="false">IF($X39&lt;=EsikDevam,"DEVAM",IF($X39&lt;=EsikIzle,"İZLE",IF($X39&lt;=EsikLimitAzalt,"LİMİTİ AZALT",IF($X39&lt;=EsikPesin,"PEŞİN / TEMİNATLI","VADELİ SATIŞI DURDUR"))))</f>
        <v>DEVAM</v>
      </c>
      <c r="W39" s="19" t="str">
        <f aca="false">IF($X39&gt;EsikKritik,"Yönetim onayı ve acil tahsilat planı",IF($X39&gt;EsikYuksek,"Yeni satışı teminata bağla",IF($X39&gt;EsikIzle,"Limit revizyonu ve tahsilatı hızlandır","Planlı izleme")))</f>
        <v>Planlı izleme</v>
      </c>
      <c r="X39" s="19" t="n">
        <f aca="false">ROUND(MIN(100,SUM($N39+$O39+$P39+$Q39+$R39+$S39)),0)</f>
        <v>20</v>
      </c>
    </row>
    <row r="40" customFormat="false" ht="16.4" hidden="false" customHeight="false" outlineLevel="0" collapsed="false">
      <c r="A40" s="19" t="n">
        <f aca="false">MUSTERI_KARTLARI!$A40</f>
        <v>0</v>
      </c>
      <c r="B40" s="19" t="n">
        <f aca="false">MUSTERI_KARTLARI!$B40</f>
        <v>0</v>
      </c>
      <c r="C40" s="19" t="n">
        <f aca="false">SUMIFS(tblYaslandirma[Açık Tutar],tblYaslandirma[Müşteri Kodu],$A40)</f>
        <v>0</v>
      </c>
      <c r="D40" s="19" t="n">
        <f aca="false">MUSTERI_KARTLARI!$I40+MUSTERI_KARTLARI!$J40</f>
        <v>0</v>
      </c>
      <c r="E40" s="19" t="n">
        <f aca="false">$D40-$C40</f>
        <v>0</v>
      </c>
      <c r="F40" s="19" t="n">
        <f aca="false">IFERROR($C40/$D40,1)</f>
        <v>1</v>
      </c>
      <c r="G40" s="19" t="n">
        <f aca="false">SUMIFS(tblYaslandirma[Açık Tutar],tblYaslandirma[Müşteri Kodu],$A40,tblYaslandirma[Gecikme Günü],"&gt;0")</f>
        <v>0</v>
      </c>
      <c r="H40" s="19" t="n">
        <f aca="false">IF($C40=0,0,$G40/$C40)</f>
        <v>0</v>
      </c>
      <c r="I40" s="19" t="n">
        <f aca="false">_xlfn.MAXIFS(tblYaslandirma[Gecikme Günü],tblYaslandirma[Müşteri Kodu],$A40)</f>
        <v>0</v>
      </c>
      <c r="J40" s="19" t="n">
        <f aca="false">SUMIFS(tblTeminatlar[Kabul Edilen Değer],tblTeminatlar[Müşteri Kodu],$A40)</f>
        <v>0</v>
      </c>
      <c r="K40" s="19" t="n">
        <f aca="false">MAX(0,$C40-$J40)</f>
        <v>0</v>
      </c>
      <c r="L40" s="19" t="n">
        <f aca="false">IF(SUM(tblRisk[Açık Bakiye])=0,0,$C40/SUM(tblRisk[Açık Bakiye]))</f>
        <v>0</v>
      </c>
      <c r="M40" s="19" t="n">
        <f aca="false">SUMIFS(tblYaslandirma[İtirazlı Tutar],tblYaslandirma[Müşteri Kodu],$A40)</f>
        <v>0</v>
      </c>
      <c r="N40" s="19" t="n">
        <f aca="false">MIN(GecikmeMaxPuan,$I40/YaslamaDilim3*GecikmeMaxPuan)</f>
        <v>0</v>
      </c>
      <c r="O40" s="19" t="n">
        <f aca="false">MIN(VadeMaxPuan,$H40*VadeMaxPuan)</f>
        <v>0</v>
      </c>
      <c r="P40" s="19" t="n">
        <f aca="false">MIN(LimitMaxPuan,$F40*LimitMaxPuan)</f>
        <v>20</v>
      </c>
      <c r="Q40" s="19" t="n">
        <f aca="false">IF($C40=0,0,MIN(TeminatMaxPuan,$K40/$C40*TeminatMaxPuan))</f>
        <v>0</v>
      </c>
      <c r="R40" s="19" t="n">
        <f aca="false">IF($C40=0,0,MIN(ItirazMaxPuan,$M40/$C40*ItirazMaxPuan))</f>
        <v>0</v>
      </c>
      <c r="S40" s="19" t="n">
        <f aca="false">IF(MUSTERI_KARTLARI!$Q40="Askıda",StatufAskida,IF(MUSTERI_KARTLARI!$Q40="İzlemede",StatufIzleme,0))</f>
        <v>0</v>
      </c>
      <c r="T40" s="19" t="n">
        <f aca="false">IF(MUSTERI_KARTLARI!$R40="OK",100,IF(MUSTERI_KARTLARI!$R40="EKSİK",VeriKalitesiEksik,0))</f>
        <v>100</v>
      </c>
      <c r="U40" s="19" t="str">
        <f aca="false">IF($T40&gt;=GuvenYuksek,"YÜKSEK",IF($T40&gt;=GuvenOrta,"ORTA","DÜŞÜK"))</f>
        <v>YÜKSEK</v>
      </c>
      <c r="V40" s="19" t="str">
        <f aca="false">IF($X40&lt;=EsikDevam,"DEVAM",IF($X40&lt;=EsikIzle,"İZLE",IF($X40&lt;=EsikLimitAzalt,"LİMİTİ AZALT",IF($X40&lt;=EsikPesin,"PEŞİN / TEMİNATLI","VADELİ SATIŞI DURDUR"))))</f>
        <v>DEVAM</v>
      </c>
      <c r="W40" s="19" t="str">
        <f aca="false">IF($X40&gt;EsikKritik,"Yönetim onayı ve acil tahsilat planı",IF($X40&gt;EsikYuksek,"Yeni satışı teminata bağla",IF($X40&gt;EsikIzle,"Limit revizyonu ve tahsilatı hızlandır","Planlı izleme")))</f>
        <v>Planlı izleme</v>
      </c>
      <c r="X40" s="19" t="n">
        <f aca="false">ROUND(MIN(100,SUM($N40+$O40+$P40+$Q40+$R40+$S40)),0)</f>
        <v>20</v>
      </c>
    </row>
    <row r="41" customFormat="false" ht="16.4" hidden="false" customHeight="false" outlineLevel="0" collapsed="false">
      <c r="A41" s="19" t="n">
        <f aca="false">MUSTERI_KARTLARI!$A41</f>
        <v>0</v>
      </c>
      <c r="B41" s="19" t="n">
        <f aca="false">MUSTERI_KARTLARI!$B41</f>
        <v>0</v>
      </c>
      <c r="C41" s="19" t="n">
        <f aca="false">SUMIFS(tblYaslandirma[Açık Tutar],tblYaslandirma[Müşteri Kodu],$A41)</f>
        <v>0</v>
      </c>
      <c r="D41" s="19" t="n">
        <f aca="false">MUSTERI_KARTLARI!$I41+MUSTERI_KARTLARI!$J41</f>
        <v>0</v>
      </c>
      <c r="E41" s="19" t="n">
        <f aca="false">$D41-$C41</f>
        <v>0</v>
      </c>
      <c r="F41" s="19" t="n">
        <f aca="false">IFERROR($C41/$D41,1)</f>
        <v>1</v>
      </c>
      <c r="G41" s="19" t="n">
        <f aca="false">SUMIFS(tblYaslandirma[Açık Tutar],tblYaslandirma[Müşteri Kodu],$A41,tblYaslandirma[Gecikme Günü],"&gt;0")</f>
        <v>0</v>
      </c>
      <c r="H41" s="19" t="n">
        <f aca="false">IF($C41=0,0,$G41/$C41)</f>
        <v>0</v>
      </c>
      <c r="I41" s="19" t="n">
        <f aca="false">_xlfn.MAXIFS(tblYaslandirma[Gecikme Günü],tblYaslandirma[Müşteri Kodu],$A41)</f>
        <v>0</v>
      </c>
      <c r="J41" s="19" t="n">
        <f aca="false">SUMIFS(tblTeminatlar[Kabul Edilen Değer],tblTeminatlar[Müşteri Kodu],$A41)</f>
        <v>0</v>
      </c>
      <c r="K41" s="19" t="n">
        <f aca="false">MAX(0,$C41-$J41)</f>
        <v>0</v>
      </c>
      <c r="L41" s="19" t="n">
        <f aca="false">IF(SUM(tblRisk[Açık Bakiye])=0,0,$C41/SUM(tblRisk[Açık Bakiye]))</f>
        <v>0</v>
      </c>
      <c r="M41" s="19" t="n">
        <f aca="false">SUMIFS(tblYaslandirma[İtirazlı Tutar],tblYaslandirma[Müşteri Kodu],$A41)</f>
        <v>0</v>
      </c>
      <c r="N41" s="19" t="n">
        <f aca="false">MIN(GecikmeMaxPuan,$I41/YaslamaDilim3*GecikmeMaxPuan)</f>
        <v>0</v>
      </c>
      <c r="O41" s="19" t="n">
        <f aca="false">MIN(VadeMaxPuan,$H41*VadeMaxPuan)</f>
        <v>0</v>
      </c>
      <c r="P41" s="19" t="n">
        <f aca="false">MIN(LimitMaxPuan,$F41*LimitMaxPuan)</f>
        <v>20</v>
      </c>
      <c r="Q41" s="19" t="n">
        <f aca="false">IF($C41=0,0,MIN(TeminatMaxPuan,$K41/$C41*TeminatMaxPuan))</f>
        <v>0</v>
      </c>
      <c r="R41" s="19" t="n">
        <f aca="false">IF($C41=0,0,MIN(ItirazMaxPuan,$M41/$C41*ItirazMaxPuan))</f>
        <v>0</v>
      </c>
      <c r="S41" s="19" t="n">
        <f aca="false">IF(MUSTERI_KARTLARI!$Q41="Askıda",StatufAskida,IF(MUSTERI_KARTLARI!$Q41="İzlemede",StatufIzleme,0))</f>
        <v>0</v>
      </c>
      <c r="T41" s="19" t="n">
        <f aca="false">IF(MUSTERI_KARTLARI!$R41="OK",100,IF(MUSTERI_KARTLARI!$R41="EKSİK",VeriKalitesiEksik,0))</f>
        <v>100</v>
      </c>
      <c r="U41" s="19" t="str">
        <f aca="false">IF($T41&gt;=GuvenYuksek,"YÜKSEK",IF($T41&gt;=GuvenOrta,"ORTA","DÜŞÜK"))</f>
        <v>YÜKSEK</v>
      </c>
      <c r="V41" s="19" t="str">
        <f aca="false">IF($X41&lt;=EsikDevam,"DEVAM",IF($X41&lt;=EsikIzle,"İZLE",IF($X41&lt;=EsikLimitAzalt,"LİMİTİ AZALT",IF($X41&lt;=EsikPesin,"PEŞİN / TEMİNATLI","VADELİ SATIŞI DURDUR"))))</f>
        <v>DEVAM</v>
      </c>
      <c r="W41" s="19" t="str">
        <f aca="false">IF($X41&gt;EsikKritik,"Yönetim onayı ve acil tahsilat planı",IF($X41&gt;EsikYuksek,"Yeni satışı teminata bağla",IF($X41&gt;EsikIzle,"Limit revizyonu ve tahsilatı hızlandır","Planlı izleme")))</f>
        <v>Planlı izleme</v>
      </c>
      <c r="X41" s="19" t="n">
        <f aca="false">ROUND(MIN(100,SUM($N41+$O41+$P41+$Q41+$R41+$S41)),0)</f>
        <v>20</v>
      </c>
    </row>
    <row r="42" customFormat="false" ht="16.4" hidden="false" customHeight="false" outlineLevel="0" collapsed="false">
      <c r="A42" s="19" t="n">
        <f aca="false">MUSTERI_KARTLARI!$A42</f>
        <v>0</v>
      </c>
      <c r="B42" s="19" t="n">
        <f aca="false">MUSTERI_KARTLARI!$B42</f>
        <v>0</v>
      </c>
      <c r="C42" s="19" t="n">
        <f aca="false">SUMIFS(tblYaslandirma[Açık Tutar],tblYaslandirma[Müşteri Kodu],$A42)</f>
        <v>0</v>
      </c>
      <c r="D42" s="19" t="n">
        <f aca="false">MUSTERI_KARTLARI!$I42+MUSTERI_KARTLARI!$J42</f>
        <v>0</v>
      </c>
      <c r="E42" s="19" t="n">
        <f aca="false">$D42-$C42</f>
        <v>0</v>
      </c>
      <c r="F42" s="19" t="n">
        <f aca="false">IFERROR($C42/$D42,1)</f>
        <v>1</v>
      </c>
      <c r="G42" s="19" t="n">
        <f aca="false">SUMIFS(tblYaslandirma[Açık Tutar],tblYaslandirma[Müşteri Kodu],$A42,tblYaslandirma[Gecikme Günü],"&gt;0")</f>
        <v>0</v>
      </c>
      <c r="H42" s="19" t="n">
        <f aca="false">IF($C42=0,0,$G42/$C42)</f>
        <v>0</v>
      </c>
      <c r="I42" s="19" t="n">
        <f aca="false">_xlfn.MAXIFS(tblYaslandirma[Gecikme Günü],tblYaslandirma[Müşteri Kodu],$A42)</f>
        <v>0</v>
      </c>
      <c r="J42" s="19" t="n">
        <f aca="false">SUMIFS(tblTeminatlar[Kabul Edilen Değer],tblTeminatlar[Müşteri Kodu],$A42)</f>
        <v>0</v>
      </c>
      <c r="K42" s="19" t="n">
        <f aca="false">MAX(0,$C42-$J42)</f>
        <v>0</v>
      </c>
      <c r="L42" s="19" t="n">
        <f aca="false">IF(SUM(tblRisk[Açık Bakiye])=0,0,$C42/SUM(tblRisk[Açık Bakiye]))</f>
        <v>0</v>
      </c>
      <c r="M42" s="19" t="n">
        <f aca="false">SUMIFS(tblYaslandirma[İtirazlı Tutar],tblYaslandirma[Müşteri Kodu],$A42)</f>
        <v>0</v>
      </c>
      <c r="N42" s="19" t="n">
        <f aca="false">MIN(GecikmeMaxPuan,$I42/YaslamaDilim3*GecikmeMaxPuan)</f>
        <v>0</v>
      </c>
      <c r="O42" s="19" t="n">
        <f aca="false">MIN(VadeMaxPuan,$H42*VadeMaxPuan)</f>
        <v>0</v>
      </c>
      <c r="P42" s="19" t="n">
        <f aca="false">MIN(LimitMaxPuan,$F42*LimitMaxPuan)</f>
        <v>20</v>
      </c>
      <c r="Q42" s="19" t="n">
        <f aca="false">IF($C42=0,0,MIN(TeminatMaxPuan,$K42/$C42*TeminatMaxPuan))</f>
        <v>0</v>
      </c>
      <c r="R42" s="19" t="n">
        <f aca="false">IF($C42=0,0,MIN(ItirazMaxPuan,$M42/$C42*ItirazMaxPuan))</f>
        <v>0</v>
      </c>
      <c r="S42" s="19" t="n">
        <f aca="false">IF(MUSTERI_KARTLARI!$Q42="Askıda",StatufAskida,IF(MUSTERI_KARTLARI!$Q42="İzlemede",StatufIzleme,0))</f>
        <v>0</v>
      </c>
      <c r="T42" s="19" t="n">
        <f aca="false">IF(MUSTERI_KARTLARI!$R42="OK",100,IF(MUSTERI_KARTLARI!$R42="EKSİK",VeriKalitesiEksik,0))</f>
        <v>100</v>
      </c>
      <c r="U42" s="19" t="str">
        <f aca="false">IF($T42&gt;=GuvenYuksek,"YÜKSEK",IF($T42&gt;=GuvenOrta,"ORTA","DÜŞÜK"))</f>
        <v>YÜKSEK</v>
      </c>
      <c r="V42" s="19" t="str">
        <f aca="false">IF($X42&lt;=EsikDevam,"DEVAM",IF($X42&lt;=EsikIzle,"İZLE",IF($X42&lt;=EsikLimitAzalt,"LİMİTİ AZALT",IF($X42&lt;=EsikPesin,"PEŞİN / TEMİNATLI","VADELİ SATIŞI DURDUR"))))</f>
        <v>DEVAM</v>
      </c>
      <c r="W42" s="19" t="str">
        <f aca="false">IF($X42&gt;EsikKritik,"Yönetim onayı ve acil tahsilat planı",IF($X42&gt;EsikYuksek,"Yeni satışı teminata bağla",IF($X42&gt;EsikIzle,"Limit revizyonu ve tahsilatı hızlandır","Planlı izleme")))</f>
        <v>Planlı izleme</v>
      </c>
      <c r="X42" s="19" t="n">
        <f aca="false">ROUND(MIN(100,SUM($N42+$O42+$P42+$Q42+$R42+$S42)),0)</f>
        <v>20</v>
      </c>
    </row>
    <row r="43" customFormat="false" ht="16.4" hidden="false" customHeight="false" outlineLevel="0" collapsed="false">
      <c r="A43" s="19" t="n">
        <f aca="false">MUSTERI_KARTLARI!$A43</f>
        <v>0</v>
      </c>
      <c r="B43" s="19" t="n">
        <f aca="false">MUSTERI_KARTLARI!$B43</f>
        <v>0</v>
      </c>
      <c r="C43" s="19" t="n">
        <f aca="false">SUMIFS(tblYaslandirma[Açık Tutar],tblYaslandirma[Müşteri Kodu],$A43)</f>
        <v>0</v>
      </c>
      <c r="D43" s="19" t="n">
        <f aca="false">MUSTERI_KARTLARI!$I43+MUSTERI_KARTLARI!$J43</f>
        <v>0</v>
      </c>
      <c r="E43" s="19" t="n">
        <f aca="false">$D43-$C43</f>
        <v>0</v>
      </c>
      <c r="F43" s="19" t="n">
        <f aca="false">IFERROR($C43/$D43,1)</f>
        <v>1</v>
      </c>
      <c r="G43" s="19" t="n">
        <f aca="false">SUMIFS(tblYaslandirma[Açık Tutar],tblYaslandirma[Müşteri Kodu],$A43,tblYaslandirma[Gecikme Günü],"&gt;0")</f>
        <v>0</v>
      </c>
      <c r="H43" s="19" t="n">
        <f aca="false">IF($C43=0,0,$G43/$C43)</f>
        <v>0</v>
      </c>
      <c r="I43" s="19" t="n">
        <f aca="false">_xlfn.MAXIFS(tblYaslandirma[Gecikme Günü],tblYaslandirma[Müşteri Kodu],$A43)</f>
        <v>0</v>
      </c>
      <c r="J43" s="19" t="n">
        <f aca="false">SUMIFS(tblTeminatlar[Kabul Edilen Değer],tblTeminatlar[Müşteri Kodu],$A43)</f>
        <v>0</v>
      </c>
      <c r="K43" s="19" t="n">
        <f aca="false">MAX(0,$C43-$J43)</f>
        <v>0</v>
      </c>
      <c r="L43" s="19" t="n">
        <f aca="false">IF(SUM(tblRisk[Açık Bakiye])=0,0,$C43/SUM(tblRisk[Açık Bakiye]))</f>
        <v>0</v>
      </c>
      <c r="M43" s="19" t="n">
        <f aca="false">SUMIFS(tblYaslandirma[İtirazlı Tutar],tblYaslandirma[Müşteri Kodu],$A43)</f>
        <v>0</v>
      </c>
      <c r="N43" s="19" t="n">
        <f aca="false">MIN(GecikmeMaxPuan,$I43/YaslamaDilim3*GecikmeMaxPuan)</f>
        <v>0</v>
      </c>
      <c r="O43" s="19" t="n">
        <f aca="false">MIN(VadeMaxPuan,$H43*VadeMaxPuan)</f>
        <v>0</v>
      </c>
      <c r="P43" s="19" t="n">
        <f aca="false">MIN(LimitMaxPuan,$F43*LimitMaxPuan)</f>
        <v>20</v>
      </c>
      <c r="Q43" s="19" t="n">
        <f aca="false">IF($C43=0,0,MIN(TeminatMaxPuan,$K43/$C43*TeminatMaxPuan))</f>
        <v>0</v>
      </c>
      <c r="R43" s="19" t="n">
        <f aca="false">IF($C43=0,0,MIN(ItirazMaxPuan,$M43/$C43*ItirazMaxPuan))</f>
        <v>0</v>
      </c>
      <c r="S43" s="19" t="n">
        <f aca="false">IF(MUSTERI_KARTLARI!$Q43="Askıda",StatufAskida,IF(MUSTERI_KARTLARI!$Q43="İzlemede",StatufIzleme,0))</f>
        <v>0</v>
      </c>
      <c r="T43" s="19" t="n">
        <f aca="false">IF(MUSTERI_KARTLARI!$R43="OK",100,IF(MUSTERI_KARTLARI!$R43="EKSİK",VeriKalitesiEksik,0))</f>
        <v>100</v>
      </c>
      <c r="U43" s="19" t="str">
        <f aca="false">IF($T43&gt;=GuvenYuksek,"YÜKSEK",IF($T43&gt;=GuvenOrta,"ORTA","DÜŞÜK"))</f>
        <v>YÜKSEK</v>
      </c>
      <c r="V43" s="19" t="str">
        <f aca="false">IF($X43&lt;=EsikDevam,"DEVAM",IF($X43&lt;=EsikIzle,"İZLE",IF($X43&lt;=EsikLimitAzalt,"LİMİTİ AZALT",IF($X43&lt;=EsikPesin,"PEŞİN / TEMİNATLI","VADELİ SATIŞI DURDUR"))))</f>
        <v>DEVAM</v>
      </c>
      <c r="W43" s="19" t="str">
        <f aca="false">IF($X43&gt;EsikKritik,"Yönetim onayı ve acil tahsilat planı",IF($X43&gt;EsikYuksek,"Yeni satışı teminata bağla",IF($X43&gt;EsikIzle,"Limit revizyonu ve tahsilatı hızlandır","Planlı izleme")))</f>
        <v>Planlı izleme</v>
      </c>
      <c r="X43" s="19" t="n">
        <f aca="false">ROUND(MIN(100,SUM($N43+$O43+$P43+$Q43+$R43+$S43)),0)</f>
        <v>20</v>
      </c>
    </row>
    <row r="44" customFormat="false" ht="16.4" hidden="false" customHeight="false" outlineLevel="0" collapsed="false">
      <c r="A44" s="19" t="n">
        <f aca="false">MUSTERI_KARTLARI!$A44</f>
        <v>0</v>
      </c>
      <c r="B44" s="19" t="n">
        <f aca="false">MUSTERI_KARTLARI!$B44</f>
        <v>0</v>
      </c>
      <c r="C44" s="19" t="n">
        <f aca="false">SUMIFS(tblYaslandirma[Açık Tutar],tblYaslandirma[Müşteri Kodu],$A44)</f>
        <v>0</v>
      </c>
      <c r="D44" s="19" t="n">
        <f aca="false">MUSTERI_KARTLARI!$I44+MUSTERI_KARTLARI!$J44</f>
        <v>0</v>
      </c>
      <c r="E44" s="19" t="n">
        <f aca="false">$D44-$C44</f>
        <v>0</v>
      </c>
      <c r="F44" s="19" t="n">
        <f aca="false">IFERROR($C44/$D44,1)</f>
        <v>1</v>
      </c>
      <c r="G44" s="19" t="n">
        <f aca="false">SUMIFS(tblYaslandirma[Açık Tutar],tblYaslandirma[Müşteri Kodu],$A44,tblYaslandirma[Gecikme Günü],"&gt;0")</f>
        <v>0</v>
      </c>
      <c r="H44" s="19" t="n">
        <f aca="false">IF($C44=0,0,$G44/$C44)</f>
        <v>0</v>
      </c>
      <c r="I44" s="19" t="n">
        <f aca="false">_xlfn.MAXIFS(tblYaslandirma[Gecikme Günü],tblYaslandirma[Müşteri Kodu],$A44)</f>
        <v>0</v>
      </c>
      <c r="J44" s="19" t="n">
        <f aca="false">SUMIFS(tblTeminatlar[Kabul Edilen Değer],tblTeminatlar[Müşteri Kodu],$A44)</f>
        <v>0</v>
      </c>
      <c r="K44" s="19" t="n">
        <f aca="false">MAX(0,$C44-$J44)</f>
        <v>0</v>
      </c>
      <c r="L44" s="19" t="n">
        <f aca="false">IF(SUM(tblRisk[Açık Bakiye])=0,0,$C44/SUM(tblRisk[Açık Bakiye]))</f>
        <v>0</v>
      </c>
      <c r="M44" s="19" t="n">
        <f aca="false">SUMIFS(tblYaslandirma[İtirazlı Tutar],tblYaslandirma[Müşteri Kodu],$A44)</f>
        <v>0</v>
      </c>
      <c r="N44" s="19" t="n">
        <f aca="false">MIN(GecikmeMaxPuan,$I44/YaslamaDilim3*GecikmeMaxPuan)</f>
        <v>0</v>
      </c>
      <c r="O44" s="19" t="n">
        <f aca="false">MIN(VadeMaxPuan,$H44*VadeMaxPuan)</f>
        <v>0</v>
      </c>
      <c r="P44" s="19" t="n">
        <f aca="false">MIN(LimitMaxPuan,$F44*LimitMaxPuan)</f>
        <v>20</v>
      </c>
      <c r="Q44" s="19" t="n">
        <f aca="false">IF($C44=0,0,MIN(TeminatMaxPuan,$K44/$C44*TeminatMaxPuan))</f>
        <v>0</v>
      </c>
      <c r="R44" s="19" t="n">
        <f aca="false">IF($C44=0,0,MIN(ItirazMaxPuan,$M44/$C44*ItirazMaxPuan))</f>
        <v>0</v>
      </c>
      <c r="S44" s="19" t="n">
        <f aca="false">IF(MUSTERI_KARTLARI!$Q44="Askıda",StatufAskida,IF(MUSTERI_KARTLARI!$Q44="İzlemede",StatufIzleme,0))</f>
        <v>0</v>
      </c>
      <c r="T44" s="19" t="n">
        <f aca="false">IF(MUSTERI_KARTLARI!$R44="OK",100,IF(MUSTERI_KARTLARI!$R44="EKSİK",VeriKalitesiEksik,0))</f>
        <v>100</v>
      </c>
      <c r="U44" s="19" t="str">
        <f aca="false">IF($T44&gt;=GuvenYuksek,"YÜKSEK",IF($T44&gt;=GuvenOrta,"ORTA","DÜŞÜK"))</f>
        <v>YÜKSEK</v>
      </c>
      <c r="V44" s="19" t="str">
        <f aca="false">IF($X44&lt;=EsikDevam,"DEVAM",IF($X44&lt;=EsikIzle,"İZLE",IF($X44&lt;=EsikLimitAzalt,"LİMİTİ AZALT",IF($X44&lt;=EsikPesin,"PEŞİN / TEMİNATLI","VADELİ SATIŞI DURDUR"))))</f>
        <v>DEVAM</v>
      </c>
      <c r="W44" s="19" t="str">
        <f aca="false">IF($X44&gt;EsikKritik,"Yönetim onayı ve acil tahsilat planı",IF($X44&gt;EsikYuksek,"Yeni satışı teminata bağla",IF($X44&gt;EsikIzle,"Limit revizyonu ve tahsilatı hızlandır","Planlı izleme")))</f>
        <v>Planlı izleme</v>
      </c>
      <c r="X44" s="19" t="n">
        <f aca="false">ROUND(MIN(100,SUM($N44+$O44+$P44+$Q44+$R44+$S44)),0)</f>
        <v>20</v>
      </c>
    </row>
    <row r="45" customFormat="false" ht="16.4" hidden="false" customHeight="false" outlineLevel="0" collapsed="false">
      <c r="A45" s="19" t="n">
        <f aca="false">MUSTERI_KARTLARI!$A45</f>
        <v>0</v>
      </c>
      <c r="B45" s="19" t="n">
        <f aca="false">MUSTERI_KARTLARI!$B45</f>
        <v>0</v>
      </c>
      <c r="C45" s="19" t="n">
        <f aca="false">SUMIFS(tblYaslandirma[Açık Tutar],tblYaslandirma[Müşteri Kodu],$A45)</f>
        <v>0</v>
      </c>
      <c r="D45" s="19" t="n">
        <f aca="false">MUSTERI_KARTLARI!$I45+MUSTERI_KARTLARI!$J45</f>
        <v>0</v>
      </c>
      <c r="E45" s="19" t="n">
        <f aca="false">$D45-$C45</f>
        <v>0</v>
      </c>
      <c r="F45" s="19" t="n">
        <f aca="false">IFERROR($C45/$D45,1)</f>
        <v>1</v>
      </c>
      <c r="G45" s="19" t="n">
        <f aca="false">SUMIFS(tblYaslandirma[Açık Tutar],tblYaslandirma[Müşteri Kodu],$A45,tblYaslandirma[Gecikme Günü],"&gt;0")</f>
        <v>0</v>
      </c>
      <c r="H45" s="19" t="n">
        <f aca="false">IF($C45=0,0,$G45/$C45)</f>
        <v>0</v>
      </c>
      <c r="I45" s="19" t="n">
        <f aca="false">_xlfn.MAXIFS(tblYaslandirma[Gecikme Günü],tblYaslandirma[Müşteri Kodu],$A45)</f>
        <v>0</v>
      </c>
      <c r="J45" s="19" t="n">
        <f aca="false">SUMIFS(tblTeminatlar[Kabul Edilen Değer],tblTeminatlar[Müşteri Kodu],$A45)</f>
        <v>0</v>
      </c>
      <c r="K45" s="19" t="n">
        <f aca="false">MAX(0,$C45-$J45)</f>
        <v>0</v>
      </c>
      <c r="L45" s="19" t="n">
        <f aca="false">IF(SUM(tblRisk[Açık Bakiye])=0,0,$C45/SUM(tblRisk[Açık Bakiye]))</f>
        <v>0</v>
      </c>
      <c r="M45" s="19" t="n">
        <f aca="false">SUMIFS(tblYaslandirma[İtirazlı Tutar],tblYaslandirma[Müşteri Kodu],$A45)</f>
        <v>0</v>
      </c>
      <c r="N45" s="19" t="n">
        <f aca="false">MIN(GecikmeMaxPuan,$I45/YaslamaDilim3*GecikmeMaxPuan)</f>
        <v>0</v>
      </c>
      <c r="O45" s="19" t="n">
        <f aca="false">MIN(VadeMaxPuan,$H45*VadeMaxPuan)</f>
        <v>0</v>
      </c>
      <c r="P45" s="19" t="n">
        <f aca="false">MIN(LimitMaxPuan,$F45*LimitMaxPuan)</f>
        <v>20</v>
      </c>
      <c r="Q45" s="19" t="n">
        <f aca="false">IF($C45=0,0,MIN(TeminatMaxPuan,$K45/$C45*TeminatMaxPuan))</f>
        <v>0</v>
      </c>
      <c r="R45" s="19" t="n">
        <f aca="false">IF($C45=0,0,MIN(ItirazMaxPuan,$M45/$C45*ItirazMaxPuan))</f>
        <v>0</v>
      </c>
      <c r="S45" s="19" t="n">
        <f aca="false">IF(MUSTERI_KARTLARI!$Q45="Askıda",StatufAskida,IF(MUSTERI_KARTLARI!$Q45="İzlemede",StatufIzleme,0))</f>
        <v>0</v>
      </c>
      <c r="T45" s="19" t="n">
        <f aca="false">IF(MUSTERI_KARTLARI!$R45="OK",100,IF(MUSTERI_KARTLARI!$R45="EKSİK",VeriKalitesiEksik,0))</f>
        <v>100</v>
      </c>
      <c r="U45" s="19" t="str">
        <f aca="false">IF($T45&gt;=GuvenYuksek,"YÜKSEK",IF($T45&gt;=GuvenOrta,"ORTA","DÜŞÜK"))</f>
        <v>YÜKSEK</v>
      </c>
      <c r="V45" s="19" t="str">
        <f aca="false">IF($X45&lt;=EsikDevam,"DEVAM",IF($X45&lt;=EsikIzle,"İZLE",IF($X45&lt;=EsikLimitAzalt,"LİMİTİ AZALT",IF($X45&lt;=EsikPesin,"PEŞİN / TEMİNATLI","VADELİ SATIŞI DURDUR"))))</f>
        <v>DEVAM</v>
      </c>
      <c r="W45" s="19" t="str">
        <f aca="false">IF($X45&gt;EsikKritik,"Yönetim onayı ve acil tahsilat planı",IF($X45&gt;EsikYuksek,"Yeni satışı teminata bağla",IF($X45&gt;EsikIzle,"Limit revizyonu ve tahsilatı hızlandır","Planlı izleme")))</f>
        <v>Planlı izleme</v>
      </c>
      <c r="X45" s="19" t="n">
        <f aca="false">ROUND(MIN(100,SUM($N45+$O45+$P45+$Q45+$R45+$S45)),0)</f>
        <v>20</v>
      </c>
    </row>
  </sheetData>
  <sheetProtection sheet="true" password="cc3d" objects="true" scenarios="true" deleteColumns="false" deleteRows="false"/>
  <mergeCells count="1">
    <mergeCell ref="A1:AN1"/>
  </mergeCells>
  <conditionalFormatting sqref="F6:F204">
    <cfRule type="cellIs" priority="2" operator="greaterThan" aboveAverage="0" equalAverage="0" bottom="0" percent="0" rank="0" text="" dxfId="11">
      <formula>1</formula>
    </cfRule>
  </conditionalFormatting>
  <conditionalFormatting sqref="H6:H204">
    <cfRule type="cellIs" priority="3" operator="greaterThan" aboveAverage="0" equalAverage="0" bottom="0" percent="0" rank="0" text="" dxfId="11">
      <formula>0.25</formula>
    </cfRule>
  </conditionalFormatting>
  <conditionalFormatting sqref="U6:U204">
    <cfRule type="cellIs" priority="4" operator="equal" aboveAverage="0" equalAverage="0" bottom="0" percent="0" rank="0" text="" dxfId="9">
      <formula>"YÜKSEK"</formula>
    </cfRule>
    <cfRule type="cellIs" priority="5" operator="equal" aboveAverage="0" equalAverage="0" bottom="0" percent="0" rank="0" text="" dxfId="10">
      <formula>"ORTA"</formula>
    </cfRule>
    <cfRule type="cellIs" priority="6" operator="equal" aboveAverage="0" equalAverage="0" bottom="0" percent="0" rank="0" text="" dxfId="11">
      <formula>"DÜŞÜK"</formula>
    </cfRule>
  </conditionalFormatting>
  <conditionalFormatting sqref="V6:V204">
    <cfRule type="cellIs" priority="7" operator="equal" aboveAverage="0" equalAverage="0" bottom="0" percent="0" rank="0" text="" dxfId="9">
      <formula>"DEVAM"</formula>
    </cfRule>
    <cfRule type="cellIs" priority="8" operator="equal" aboveAverage="0" equalAverage="0" bottom="0" percent="0" rank="0" text="" dxfId="10">
      <formula>"İZLE"</formula>
    </cfRule>
    <cfRule type="cellIs" priority="9" operator="equal" aboveAverage="0" equalAverage="0" bottom="0" percent="0" rank="0" text="" dxfId="15">
      <formula>"LİMİTİ AZALT"</formula>
    </cfRule>
    <cfRule type="cellIs" priority="10" operator="equal" aboveAverage="0" equalAverage="0" bottom="0" percent="0" rank="0" text="" dxfId="11">
      <formula>"PEŞİN / TEMİNATLI"</formula>
    </cfRule>
    <cfRule type="cellIs" priority="11" operator="equal" aboveAverage="0" equalAverage="0" bottom="0" percent="0" rank="0" text="" dxfId="13">
      <formula>"VADELİ SATIŞI DURDUR"</formula>
    </cfRule>
  </conditionalFormatting>
  <conditionalFormatting sqref="X6:X204">
    <cfRule type="cellIs" priority="12" operator="greaterThan" aboveAverage="0" equalAverage="0" bottom="0" percent="0" rank="0" text="" dxfId="13">
      <formula>84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243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customFormat="false" ht="30" hidden="false" customHeight="true" outlineLevel="0" collapsed="false">
      <c r="A5" s="14" t="s">
        <v>244</v>
      </c>
      <c r="B5" s="14" t="s">
        <v>29</v>
      </c>
      <c r="C5" s="14" t="s">
        <v>84</v>
      </c>
      <c r="D5" s="14" t="s">
        <v>179</v>
      </c>
      <c r="E5" s="14" t="s">
        <v>180</v>
      </c>
      <c r="F5" s="14" t="s">
        <v>241</v>
      </c>
      <c r="G5" s="14" t="s">
        <v>245</v>
      </c>
      <c r="H5" s="14" t="s">
        <v>246</v>
      </c>
      <c r="I5" s="14" t="s">
        <v>161</v>
      </c>
      <c r="J5" s="14" t="s">
        <v>247</v>
      </c>
      <c r="K5" s="14" t="s">
        <v>45</v>
      </c>
      <c r="L5" s="14" t="s">
        <v>248</v>
      </c>
    </row>
    <row r="6" customFormat="false" ht="15" hidden="false" customHeight="false" outlineLevel="0" collapsed="false">
      <c r="A6" s="19" t="n">
        <f aca="false">IF(YASLANDIRMA!$F6=0,"",IFERROR(_xlfn.RANK.EQ(MUSTERI_RISK_SKORU!$X6,tblRisk[Risk Skoru],0),""))</f>
        <v>3</v>
      </c>
      <c r="B6" s="19" t="str">
        <f aca="false">YASLANDIRMA!$B6</f>
        <v>M001</v>
      </c>
      <c r="C6" s="19" t="str">
        <f aca="false">YASLANDIRMA!$A6</f>
        <v>2026-001</v>
      </c>
      <c r="D6" s="19" t="n">
        <f aca="false">YASLANDIRMA!$F6</f>
        <v>200000</v>
      </c>
      <c r="E6" s="19" t="n">
        <f aca="false">YASLANDIRMA!$G6</f>
        <v>88</v>
      </c>
      <c r="F6" s="19" t="n">
        <f aca="false">IFERROR(INDEX(tblRisk[Risk Skoru],MATCH($B6,tblRisk[Müşteri Kodu],0)),0)</f>
        <v>40</v>
      </c>
      <c r="G6" s="19" t="str">
        <f aca="false">IF($F6&gt;=EsikYuksek,"Telefon + yönetici eskalasyonu",IF($E6&gt;YaslamaDilim2,"Telefon + yazılı teyit","Planlı e-posta/telefon"))</f>
        <v>Telefon + yazılı teyit</v>
      </c>
      <c r="H6" s="19" t="str">
        <f aca="false">IF($D6=0,"KAPALI",IF($F6&gt;EsikPesin,"Vadeli satışı durdur ve tahsilat planı al",IF($F6&gt;EsikLimitAzalt,"Peşin/teminatlı satışa geç",IF($F6&gt;EsikIzle,"Limit azalt ve tahsilatı hızlandır","Planlı izleme"))))</f>
        <v>Planlı izleme</v>
      </c>
      <c r="I6" s="19" t="str">
        <f aca="false">IFERROR(INDEX(tblMusteriler[Satış Sorumlusu],MATCH($B6,tblMusteriler[Müşteri Kodu],0)),"Tahsilat Ekibi")</f>
        <v>Ayşe Yılmaz</v>
      </c>
      <c r="J6" s="31" t="n">
        <f aca="false">RaporTarihi+IF($F6&gt;EsikPesin,1,IF($F6&gt;EsikLimitAzalt,AksiyonGunOrta,AksiyonGunUzun))</f>
        <v>46246</v>
      </c>
      <c r="K6" s="15" t="s">
        <v>249</v>
      </c>
      <c r="L6" s="15" t="s">
        <v>250</v>
      </c>
    </row>
    <row r="7" customFormat="false" ht="15" hidden="false" customHeight="false" outlineLevel="0" collapsed="false">
      <c r="A7" s="19" t="n">
        <f aca="false">IF(YASLANDIRMA!$F7=0,"",IFERROR(_xlfn.RANK.EQ(MUSTERI_RISK_SKORU!$X7,tblRisk[Risk Skoru],0),""))</f>
        <v>40</v>
      </c>
      <c r="B7" s="19" t="str">
        <f aca="false">YASLANDIRMA!$B7</f>
        <v>M001</v>
      </c>
      <c r="C7" s="19" t="str">
        <f aca="false">YASLANDIRMA!$A7</f>
        <v>2026-002</v>
      </c>
      <c r="D7" s="19" t="n">
        <f aca="false">YASLANDIRMA!$F7</f>
        <v>520000</v>
      </c>
      <c r="E7" s="19" t="n">
        <f aca="false">YASLANDIRMA!$G7</f>
        <v>0</v>
      </c>
      <c r="F7" s="19" t="n">
        <f aca="false">IFERROR(INDEX(tblRisk[Risk Skoru],MATCH($B7,tblRisk[Müşteri Kodu],0)),0)</f>
        <v>40</v>
      </c>
      <c r="G7" s="19" t="str">
        <f aca="false">IF($F7&gt;=EsikYuksek,"Telefon + yönetici eskalasyonu",IF($E7&gt;YaslamaDilim2,"Telefon + yazılı teyit","Planlı e-posta/telefon"))</f>
        <v>Planlı e-posta/telefon</v>
      </c>
      <c r="H7" s="19" t="str">
        <f aca="false">IF($D7=0,"KAPALI",IF($F7&gt;EsikPesin,"Vadeli satışı durdur ve tahsilat planı al",IF($F7&gt;EsikLimitAzalt,"Peşin/teminatlı satışa geç",IF($F7&gt;EsikIzle,"Limit azalt ve tahsilatı hızlandır","Planlı izleme"))))</f>
        <v>Planlı izleme</v>
      </c>
      <c r="I7" s="19" t="str">
        <f aca="false">IFERROR(INDEX(tblMusteriler[Satış Sorumlusu],MATCH($B7,tblMusteriler[Müşteri Kodu],0)),"Tahsilat Ekibi")</f>
        <v>Ayşe Yılmaz</v>
      </c>
      <c r="J7" s="31" t="n">
        <f aca="false">RaporTarihi+IF($F7&gt;EsikPesin,1,IF($F7&gt;EsikLimitAzalt,AksiyonGunOrta,AksiyonGunUzun))</f>
        <v>46246</v>
      </c>
      <c r="K7" s="15" t="s">
        <v>249</v>
      </c>
      <c r="L7" s="15" t="s">
        <v>251</v>
      </c>
    </row>
    <row r="8" customFormat="false" ht="15" hidden="false" customHeight="false" outlineLevel="0" collapsed="false">
      <c r="A8" s="19" t="n">
        <f aca="false">IF(YASLANDIRMA!$F8=0,"",IFERROR(_xlfn.RANK.EQ(MUSTERI_RISK_SKORU!$X8,tblRisk[Risk Skoru],0),""))</f>
        <v>2</v>
      </c>
      <c r="B8" s="19" t="str">
        <f aca="false">YASLANDIRMA!$B8</f>
        <v>M002</v>
      </c>
      <c r="C8" s="19" t="str">
        <f aca="false">YASLANDIRMA!$A8</f>
        <v>2026-003</v>
      </c>
      <c r="D8" s="19" t="n">
        <f aca="false">YASLANDIRMA!$F8</f>
        <v>220000</v>
      </c>
      <c r="E8" s="19" t="n">
        <f aca="false">YASLANDIRMA!$G8</f>
        <v>0</v>
      </c>
      <c r="F8" s="19" t="n">
        <f aca="false">IFERROR(INDEX(tblRisk[Risk Skoru],MATCH($B8,tblRisk[Müşteri Kodu],0)),0)</f>
        <v>6</v>
      </c>
      <c r="G8" s="19" t="str">
        <f aca="false">IF($F8&gt;=EsikYuksek,"Telefon + yönetici eskalasyonu",IF($E8&gt;YaslamaDilim2,"Telefon + yazılı teyit","Planlı e-posta/telefon"))</f>
        <v>Planlı e-posta/telefon</v>
      </c>
      <c r="H8" s="19" t="str">
        <f aca="false">IF($D8=0,"KAPALI",IF($F8&gt;EsikPesin,"Vadeli satışı durdur ve tahsilat planı al",IF($F8&gt;EsikLimitAzalt,"Peşin/teminatlı satışa geç",IF($F8&gt;EsikIzle,"Limit azalt ve tahsilatı hızlandır","Planlı izleme"))))</f>
        <v>Planlı izleme</v>
      </c>
      <c r="I8" s="19" t="str">
        <f aca="false">IFERROR(INDEX(tblMusteriler[Satış Sorumlusu],MATCH($B8,tblMusteriler[Müşteri Kodu],0)),"Tahsilat Ekibi")</f>
        <v>Mehmet Kaya</v>
      </c>
      <c r="J8" s="31" t="n">
        <f aca="false">RaporTarihi+IF($F8&gt;EsikPesin,1,IF($F8&gt;EsikLimitAzalt,AksiyonGunOrta,AksiyonGunUzun))</f>
        <v>46246</v>
      </c>
      <c r="K8" s="15" t="s">
        <v>249</v>
      </c>
      <c r="L8" s="15" t="s">
        <v>252</v>
      </c>
    </row>
    <row r="9" customFormat="false" ht="15" hidden="false" customHeight="false" outlineLevel="0" collapsed="false">
      <c r="A9" s="19" t="n">
        <f aca="false">IF(YASLANDIRMA!$F9=0,"",IFERROR(_xlfn.RANK.EQ(MUSTERI_RISK_SKORU!$X9,tblRisk[Risk Skoru],0),""))</f>
        <v>1</v>
      </c>
      <c r="B9" s="19" t="str">
        <f aca="false">YASLANDIRMA!$B9</f>
        <v>M003</v>
      </c>
      <c r="C9" s="19" t="str">
        <f aca="false">YASLANDIRMA!$A9</f>
        <v>2026-004</v>
      </c>
      <c r="D9" s="19" t="n">
        <f aca="false">YASLANDIRMA!$F9</f>
        <v>680000</v>
      </c>
      <c r="E9" s="19" t="n">
        <f aca="false">YASLANDIRMA!$G9</f>
        <v>47</v>
      </c>
      <c r="F9" s="19" t="n">
        <f aca="false">IFERROR(INDEX(tblRisk[Risk Skoru],MATCH($B9,tblRisk[Müşteri Kodu],0)),0)</f>
        <v>74</v>
      </c>
      <c r="G9" s="19" t="str">
        <f aca="false">IF($F9&gt;=EsikYuksek,"Telefon + yönetici eskalasyonu",IF($E9&gt;YaslamaDilim2,"Telefon + yazılı teyit","Planlı e-posta/telefon"))</f>
        <v>Telefon + yönetici eskalasyonu</v>
      </c>
      <c r="H9" s="19" t="str">
        <f aca="false">IF($D9=0,"KAPALI",IF($F9&gt;EsikPesin,"Vadeli satışı durdur ve tahsilat planı al",IF($F9&gt;EsikLimitAzalt,"Peşin/teminatlı satışa geç",IF($F9&gt;EsikIzle,"Limit azalt ve tahsilatı hızlandır","Planlı izleme"))))</f>
        <v>Peşin/teminatlı satışa geç</v>
      </c>
      <c r="I9" s="19" t="str">
        <f aca="false">IFERROR(INDEX(tblMusteriler[Satış Sorumlusu],MATCH($B9,tblMusteriler[Müşteri Kodu],0)),"Tahsilat Ekibi")</f>
        <v>Selin Demir</v>
      </c>
      <c r="J9" s="31" t="n">
        <f aca="false">RaporTarihi+IF($F9&gt;EsikPesin,1,IF($F9&gt;EsikLimitAzalt,AksiyonGunOrta,AksiyonGunUzun))</f>
        <v>46242</v>
      </c>
      <c r="K9" s="15" t="s">
        <v>249</v>
      </c>
      <c r="L9" s="15" t="s">
        <v>253</v>
      </c>
    </row>
    <row r="10" customFormat="false" ht="16.4" hidden="false" customHeight="false" outlineLevel="0" collapsed="false">
      <c r="A10" s="19" t="n">
        <f aca="false">IF(YASLANDIRMA!$F10=0,"",IFERROR(_xlfn.RANK.EQ(MUSTERI_RISK_SKORU!$X10,tblRisk[Risk Skoru],0),""))</f>
        <v>4</v>
      </c>
      <c r="B10" s="19" t="str">
        <f aca="false">YASLANDIRMA!$B10</f>
        <v>M004</v>
      </c>
      <c r="C10" s="19" t="str">
        <f aca="false">YASLANDIRMA!$A10</f>
        <v>2026-005</v>
      </c>
      <c r="D10" s="19" t="n">
        <f aca="false">YASLANDIRMA!$F10</f>
        <v>1500000</v>
      </c>
      <c r="E10" s="19" t="n">
        <f aca="false">YASLANDIRMA!$G10</f>
        <v>86</v>
      </c>
      <c r="F10" s="19" t="n">
        <f aca="false">IFERROR(INDEX(tblRisk[Risk Skoru],MATCH($B10,tblRisk[Müşteri Kodu],0)),0)</f>
        <v>85</v>
      </c>
      <c r="G10" s="19" t="str">
        <f aca="false">IF($F10&gt;=EsikYuksek,"Telefon + yönetici eskalasyonu",IF($E10&gt;YaslamaDilim2,"Telefon + yazılı teyit","Planlı e-posta/telefon"))</f>
        <v>Telefon + yönetici eskalasyonu</v>
      </c>
      <c r="H10" s="19" t="str">
        <f aca="false">IF($D10=0,"KAPALI",IF($F10&gt;EsikPesin,"Vadeli satışı durdur ve tahsilat planı al",IF($F10&gt;EsikLimitAzalt,"Peşin/teminatlı satışa geç",IF($F10&gt;EsikIzle,"Limit azalt ve tahsilatı hızlandır","Planlı izleme"))))</f>
        <v>Vadeli satışı durdur ve tahsilat planı al</v>
      </c>
      <c r="I10" s="19" t="str">
        <f aca="false">IFERROR(INDEX(tblMusteriler[Satış Sorumlusu],MATCH($B10,tblMusteriler[Müşteri Kodu],0)),"Tahsilat Ekibi")</f>
        <v>Can Arslan</v>
      </c>
      <c r="J10" s="24" t="n">
        <f aca="false">RaporTarihi+IF($F10&gt;EsikPesin,1,IF($F10&gt;EsikLimitAzalt,AksiyonGunOrta,AksiyonGunUzun))</f>
        <v>46240</v>
      </c>
      <c r="K10" s="15" t="s">
        <v>249</v>
      </c>
      <c r="L10" s="15" t="s">
        <v>254</v>
      </c>
    </row>
    <row r="11" customFormat="false" ht="15" hidden="false" customHeight="false" outlineLevel="0" collapsed="false">
      <c r="A11" s="19" t="n">
        <f aca="false">IF(YASLANDIRMA!$F11=0,"",IFERROR(_xlfn.RANK.EQ(MUSTERI_RISK_SKORU!$X11,tblRisk[Risk Skoru],0),""))</f>
        <v>4</v>
      </c>
      <c r="B11" s="19" t="str">
        <f aca="false">YASLANDIRMA!$B11</f>
        <v>M003</v>
      </c>
      <c r="C11" s="19" t="str">
        <f aca="false">YASLANDIRMA!$A11</f>
        <v>2026-006</v>
      </c>
      <c r="D11" s="19" t="n">
        <f aca="false">YASLANDIRMA!$F11</f>
        <v>260000</v>
      </c>
      <c r="E11" s="19" t="n">
        <f aca="false">YASLANDIRMA!$G11</f>
        <v>0</v>
      </c>
      <c r="F11" s="19" t="n">
        <f aca="false">IFERROR(INDEX(tblRisk[Risk Skoru],MATCH($B11,tblRisk[Müşteri Kodu],0)),0)</f>
        <v>74</v>
      </c>
      <c r="G11" s="19" t="str">
        <f aca="false">IF($F11&gt;=EsikYuksek,"Telefon + yönetici eskalasyonu",IF($E11&gt;YaslamaDilim2,"Telefon + yazılı teyit","Planlı e-posta/telefon"))</f>
        <v>Telefon + yönetici eskalasyonu</v>
      </c>
      <c r="H11" s="19" t="str">
        <f aca="false">IF($D11=0,"KAPALI",IF($F11&gt;EsikPesin,"Vadeli satışı durdur ve tahsilat planı al",IF($F11&gt;EsikLimitAzalt,"Peşin/teminatlı satışa geç",IF($F11&gt;EsikIzle,"Limit azalt ve tahsilatı hızlandır","Planlı izleme"))))</f>
        <v>Peşin/teminatlı satışa geç</v>
      </c>
      <c r="I11" s="19" t="str">
        <f aca="false">IFERROR(INDEX(tblMusteriler[Satış Sorumlusu],MATCH($B11,tblMusteriler[Müşteri Kodu],0)),"Tahsilat Ekibi")</f>
        <v>Selin Demir</v>
      </c>
      <c r="J11" s="31" t="n">
        <f aca="false">RaporTarihi+IF($F11&gt;EsikPesin,1,IF($F11&gt;EsikLimitAzalt,AksiyonGunOrta,AksiyonGunUzun))</f>
        <v>46242</v>
      </c>
      <c r="K11" s="15" t="s">
        <v>249</v>
      </c>
      <c r="L11" s="15" t="s">
        <v>255</v>
      </c>
    </row>
    <row r="12" customFormat="false" ht="15" hidden="false" customHeight="false" outlineLevel="0" collapsed="false">
      <c r="A12" s="19" t="n">
        <f aca="false">IF(YASLANDIRMA!$F12=0,"",IFERROR(_xlfn.RANK.EQ(MUSTERI_RISK_SKORU!$X12,tblRisk[Risk Skoru],0),""))</f>
        <v>4</v>
      </c>
      <c r="B12" s="19" t="n">
        <f aca="false">YASLANDIRMA!$B12</f>
        <v>0</v>
      </c>
      <c r="C12" s="19" t="n">
        <f aca="false">YASLANDIRMA!$A12</f>
        <v>0</v>
      </c>
      <c r="D12" s="19" t="str">
        <f aca="false">YASLANDIRMA!$F12</f>
        <v/>
      </c>
      <c r="E12" s="19" t="str">
        <f aca="false">YASLANDIRMA!$G12</f>
        <v/>
      </c>
      <c r="F12" s="19" t="n">
        <f aca="false">IFERROR(INDEX(tblRisk[Risk Skoru],MATCH($B12,tblRisk[Müşteri Kodu],0)),0)</f>
        <v>20</v>
      </c>
      <c r="G12" s="19" t="str">
        <f aca="false">IF($F12&gt;=EsikYuksek,"Telefon + yönetici eskalasyonu",IF($E12&gt;YaslamaDilim2,"Telefon + yazılı teyit","Planlı e-posta/telefon"))</f>
        <v>Telefon + yazılı teyit</v>
      </c>
      <c r="H12" s="19" t="str">
        <f aca="false">IF($D12=0,"KAPALI",IF($F12&gt;EsikPesin,"Vadeli satışı durdur ve tahsilat planı al",IF($F12&gt;EsikLimitAzalt,"Peşin/teminatlı satışa geç",IF($F12&gt;EsikIzle,"Limit azalt ve tahsilatı hızlandır","Planlı izleme"))))</f>
        <v>Planlı izleme</v>
      </c>
      <c r="I12" s="19" t="str">
        <f aca="false">IFERROR(INDEX(tblMusteriler[Satış Sorumlusu],MATCH($B12,tblMusteriler[Müşteri Kodu],0)),"Tahsilat Ekibi")</f>
        <v>Tahsilat Ekibi</v>
      </c>
      <c r="J12" s="31" t="n">
        <f aca="false">RaporTarihi+IF($F12&gt;EsikPesin,1,IF($F12&gt;EsikLimitAzalt,AksiyonGunOrta,AksiyonGunUzun))</f>
        <v>46246</v>
      </c>
      <c r="K12" s="20"/>
      <c r="L12" s="20"/>
    </row>
    <row r="13" customFormat="false" ht="15" hidden="false" customHeight="false" outlineLevel="0" collapsed="false">
      <c r="A13" s="19" t="n">
        <f aca="false">IF(YASLANDIRMA!$F13=0,"",IFERROR(_xlfn.RANK.EQ(MUSTERI_RISK_SKORU!$X13,tblRisk[Risk Skoru],0),""))</f>
        <v>4</v>
      </c>
      <c r="B13" s="19" t="n">
        <f aca="false">YASLANDIRMA!$B13</f>
        <v>0</v>
      </c>
      <c r="C13" s="19" t="n">
        <f aca="false">YASLANDIRMA!$A13</f>
        <v>0</v>
      </c>
      <c r="D13" s="19" t="str">
        <f aca="false">YASLANDIRMA!$F13</f>
        <v/>
      </c>
      <c r="E13" s="19" t="str">
        <f aca="false">YASLANDIRMA!$G13</f>
        <v/>
      </c>
      <c r="F13" s="19" t="n">
        <f aca="false">IFERROR(INDEX(tblRisk[Risk Skoru],MATCH($B13,tblRisk[Müşteri Kodu],0)),0)</f>
        <v>20</v>
      </c>
      <c r="G13" s="19" t="str">
        <f aca="false">IF($F13&gt;=EsikYuksek,"Telefon + yönetici eskalasyonu",IF($E13&gt;YaslamaDilim2,"Telefon + yazılı teyit","Planlı e-posta/telefon"))</f>
        <v>Telefon + yazılı teyit</v>
      </c>
      <c r="H13" s="19" t="str">
        <f aca="false">IF($D13=0,"KAPALI",IF($F13&gt;EsikPesin,"Vadeli satışı durdur ve tahsilat planı al",IF($F13&gt;EsikLimitAzalt,"Peşin/teminatlı satışa geç",IF($F13&gt;EsikIzle,"Limit azalt ve tahsilatı hızlandır","Planlı izleme"))))</f>
        <v>Planlı izleme</v>
      </c>
      <c r="I13" s="19" t="str">
        <f aca="false">IFERROR(INDEX(tblMusteriler[Satış Sorumlusu],MATCH($B13,tblMusteriler[Müşteri Kodu],0)),"Tahsilat Ekibi")</f>
        <v>Tahsilat Ekibi</v>
      </c>
      <c r="J13" s="31" t="n">
        <f aca="false">RaporTarihi+IF($F13&gt;EsikPesin,1,IF($F13&gt;EsikLimitAzalt,AksiyonGunOrta,AksiyonGunUzun))</f>
        <v>46246</v>
      </c>
      <c r="K13" s="20"/>
      <c r="L13" s="20"/>
    </row>
    <row r="14" customFormat="false" ht="15" hidden="false" customHeight="false" outlineLevel="0" collapsed="false">
      <c r="A14" s="19" t="n">
        <f aca="false">IF(YASLANDIRMA!$F14=0,"",IFERROR(_xlfn.RANK.EQ(MUSTERI_RISK_SKORU!$X14,tblRisk[Risk Skoru],0),""))</f>
        <v>4</v>
      </c>
      <c r="B14" s="19" t="n">
        <f aca="false">YASLANDIRMA!$B14</f>
        <v>0</v>
      </c>
      <c r="C14" s="19" t="n">
        <f aca="false">YASLANDIRMA!$A14</f>
        <v>0</v>
      </c>
      <c r="D14" s="19" t="str">
        <f aca="false">YASLANDIRMA!$F14</f>
        <v/>
      </c>
      <c r="E14" s="19" t="str">
        <f aca="false">YASLANDIRMA!$G14</f>
        <v/>
      </c>
      <c r="F14" s="19" t="n">
        <f aca="false">IFERROR(INDEX(tblRisk[Risk Skoru],MATCH($B14,tblRisk[Müşteri Kodu],0)),0)</f>
        <v>20</v>
      </c>
      <c r="G14" s="19" t="str">
        <f aca="false">IF($F14&gt;=EsikYuksek,"Telefon + yönetici eskalasyonu",IF($E14&gt;YaslamaDilim2,"Telefon + yazılı teyit","Planlı e-posta/telefon"))</f>
        <v>Telefon + yazılı teyit</v>
      </c>
      <c r="H14" s="19" t="str">
        <f aca="false">IF($D14=0,"KAPALI",IF($F14&gt;EsikPesin,"Vadeli satışı durdur ve tahsilat planı al",IF($F14&gt;EsikLimitAzalt,"Peşin/teminatlı satışa geç",IF($F14&gt;EsikIzle,"Limit azalt ve tahsilatı hızlandır","Planlı izleme"))))</f>
        <v>Planlı izleme</v>
      </c>
      <c r="I14" s="19" t="str">
        <f aca="false">IFERROR(INDEX(tblMusteriler[Satış Sorumlusu],MATCH($B14,tblMusteriler[Müşteri Kodu],0)),"Tahsilat Ekibi")</f>
        <v>Tahsilat Ekibi</v>
      </c>
      <c r="J14" s="31" t="n">
        <f aca="false">RaporTarihi+IF($F14&gt;EsikPesin,1,IF($F14&gt;EsikLimitAzalt,AksiyonGunOrta,AksiyonGunUzun))</f>
        <v>46246</v>
      </c>
      <c r="K14" s="20"/>
      <c r="L14" s="20"/>
    </row>
    <row r="15" customFormat="false" ht="15" hidden="false" customHeight="false" outlineLevel="0" collapsed="false">
      <c r="A15" s="19" t="n">
        <f aca="false">IF(YASLANDIRMA!$F15=0,"",IFERROR(_xlfn.RANK.EQ(MUSTERI_RISK_SKORU!$X15,tblRisk[Risk Skoru],0),""))</f>
        <v>4</v>
      </c>
      <c r="B15" s="19" t="n">
        <f aca="false">YASLANDIRMA!$B15</f>
        <v>0</v>
      </c>
      <c r="C15" s="19" t="n">
        <f aca="false">YASLANDIRMA!$A15</f>
        <v>0</v>
      </c>
      <c r="D15" s="19" t="str">
        <f aca="false">YASLANDIRMA!$F15</f>
        <v/>
      </c>
      <c r="E15" s="19" t="str">
        <f aca="false">YASLANDIRMA!$G15</f>
        <v/>
      </c>
      <c r="F15" s="19" t="n">
        <f aca="false">IFERROR(INDEX(tblRisk[Risk Skoru],MATCH($B15,tblRisk[Müşteri Kodu],0)),0)</f>
        <v>20</v>
      </c>
      <c r="G15" s="19" t="str">
        <f aca="false">IF($F15&gt;=EsikYuksek,"Telefon + yönetici eskalasyonu",IF($E15&gt;YaslamaDilim2,"Telefon + yazılı teyit","Planlı e-posta/telefon"))</f>
        <v>Telefon + yazılı teyit</v>
      </c>
      <c r="H15" s="19" t="str">
        <f aca="false">IF($D15=0,"KAPALI",IF($F15&gt;EsikPesin,"Vadeli satışı durdur ve tahsilat planı al",IF($F15&gt;EsikLimitAzalt,"Peşin/teminatlı satışa geç",IF($F15&gt;EsikIzle,"Limit azalt ve tahsilatı hızlandır","Planlı izleme"))))</f>
        <v>Planlı izleme</v>
      </c>
      <c r="I15" s="19" t="str">
        <f aca="false">IFERROR(INDEX(tblMusteriler[Satış Sorumlusu],MATCH($B15,tblMusteriler[Müşteri Kodu],0)),"Tahsilat Ekibi")</f>
        <v>Tahsilat Ekibi</v>
      </c>
      <c r="J15" s="31" t="n">
        <f aca="false">RaporTarihi+IF($F15&gt;EsikPesin,1,IF($F15&gt;EsikLimitAzalt,AksiyonGunOrta,AksiyonGunUzun))</f>
        <v>46246</v>
      </c>
      <c r="K15" s="20"/>
      <c r="L15" s="20"/>
    </row>
    <row r="16" customFormat="false" ht="15" hidden="false" customHeight="false" outlineLevel="0" collapsed="false">
      <c r="A16" s="19" t="n">
        <f aca="false">IF(YASLANDIRMA!$F16=0,"",IFERROR(_xlfn.RANK.EQ(MUSTERI_RISK_SKORU!$X16,tblRisk[Risk Skoru],0),""))</f>
        <v>4</v>
      </c>
      <c r="B16" s="19" t="n">
        <f aca="false">YASLANDIRMA!$B16</f>
        <v>0</v>
      </c>
      <c r="C16" s="19" t="n">
        <f aca="false">YASLANDIRMA!$A16</f>
        <v>0</v>
      </c>
      <c r="D16" s="19" t="str">
        <f aca="false">YASLANDIRMA!$F16</f>
        <v/>
      </c>
      <c r="E16" s="19" t="str">
        <f aca="false">YASLANDIRMA!$G16</f>
        <v/>
      </c>
      <c r="F16" s="19" t="n">
        <f aca="false">IFERROR(INDEX(tblRisk[Risk Skoru],MATCH($B16,tblRisk[Müşteri Kodu],0)),0)</f>
        <v>20</v>
      </c>
      <c r="G16" s="19" t="str">
        <f aca="false">IF($F16&gt;=EsikYuksek,"Telefon + yönetici eskalasyonu",IF($E16&gt;YaslamaDilim2,"Telefon + yazılı teyit","Planlı e-posta/telefon"))</f>
        <v>Telefon + yazılı teyit</v>
      </c>
      <c r="H16" s="19" t="str">
        <f aca="false">IF($D16=0,"KAPALI",IF($F16&gt;EsikPesin,"Vadeli satışı durdur ve tahsilat planı al",IF($F16&gt;EsikLimitAzalt,"Peşin/teminatlı satışa geç",IF($F16&gt;EsikIzle,"Limit azalt ve tahsilatı hızlandır","Planlı izleme"))))</f>
        <v>Planlı izleme</v>
      </c>
      <c r="I16" s="19" t="str">
        <f aca="false">IFERROR(INDEX(tblMusteriler[Satış Sorumlusu],MATCH($B16,tblMusteriler[Müşteri Kodu],0)),"Tahsilat Ekibi")</f>
        <v>Tahsilat Ekibi</v>
      </c>
      <c r="J16" s="31" t="n">
        <f aca="false">RaporTarihi+IF($F16&gt;EsikPesin,1,IF($F16&gt;EsikLimitAzalt,AksiyonGunOrta,AksiyonGunUzun))</f>
        <v>46246</v>
      </c>
      <c r="K16" s="20"/>
      <c r="L16" s="20"/>
    </row>
    <row r="17" customFormat="false" ht="15" hidden="false" customHeight="false" outlineLevel="0" collapsed="false">
      <c r="A17" s="19" t="n">
        <f aca="false">IF(YASLANDIRMA!$F17=0,"",IFERROR(_xlfn.RANK.EQ(MUSTERI_RISK_SKORU!$X17,tblRisk[Risk Skoru],0),""))</f>
        <v>4</v>
      </c>
      <c r="B17" s="19" t="n">
        <f aca="false">YASLANDIRMA!$B17</f>
        <v>0</v>
      </c>
      <c r="C17" s="19" t="n">
        <f aca="false">YASLANDIRMA!$A17</f>
        <v>0</v>
      </c>
      <c r="D17" s="19" t="str">
        <f aca="false">YASLANDIRMA!$F17</f>
        <v/>
      </c>
      <c r="E17" s="19" t="str">
        <f aca="false">YASLANDIRMA!$G17</f>
        <v/>
      </c>
      <c r="F17" s="19" t="n">
        <f aca="false">IFERROR(INDEX(tblRisk[Risk Skoru],MATCH($B17,tblRisk[Müşteri Kodu],0)),0)</f>
        <v>20</v>
      </c>
      <c r="G17" s="19" t="str">
        <f aca="false">IF($F17&gt;=EsikYuksek,"Telefon + yönetici eskalasyonu",IF($E17&gt;YaslamaDilim2,"Telefon + yazılı teyit","Planlı e-posta/telefon"))</f>
        <v>Telefon + yazılı teyit</v>
      </c>
      <c r="H17" s="19" t="str">
        <f aca="false">IF($D17=0,"KAPALI",IF($F17&gt;EsikPesin,"Vadeli satışı durdur ve tahsilat planı al",IF($F17&gt;EsikLimitAzalt,"Peşin/teminatlı satışa geç",IF($F17&gt;EsikIzle,"Limit azalt ve tahsilatı hızlandır","Planlı izleme"))))</f>
        <v>Planlı izleme</v>
      </c>
      <c r="I17" s="19" t="str">
        <f aca="false">IFERROR(INDEX(tblMusteriler[Satış Sorumlusu],MATCH($B17,tblMusteriler[Müşteri Kodu],0)),"Tahsilat Ekibi")</f>
        <v>Tahsilat Ekibi</v>
      </c>
      <c r="J17" s="31" t="n">
        <f aca="false">RaporTarihi+IF($F17&gt;EsikPesin,1,IF($F17&gt;EsikLimitAzalt,AksiyonGunOrta,AksiyonGunUzun))</f>
        <v>46246</v>
      </c>
      <c r="K17" s="20"/>
      <c r="L17" s="20"/>
    </row>
    <row r="18" customFormat="false" ht="15" hidden="false" customHeight="false" outlineLevel="0" collapsed="false">
      <c r="A18" s="19" t="n">
        <f aca="false">IF(YASLANDIRMA!$F18=0,"",IFERROR(_xlfn.RANK.EQ(MUSTERI_RISK_SKORU!$X18,tblRisk[Risk Skoru],0),""))</f>
        <v>4</v>
      </c>
      <c r="B18" s="19" t="n">
        <f aca="false">YASLANDIRMA!$B18</f>
        <v>0</v>
      </c>
      <c r="C18" s="19" t="n">
        <f aca="false">YASLANDIRMA!$A18</f>
        <v>0</v>
      </c>
      <c r="D18" s="19" t="str">
        <f aca="false">YASLANDIRMA!$F18</f>
        <v/>
      </c>
      <c r="E18" s="19" t="str">
        <f aca="false">YASLANDIRMA!$G18</f>
        <v/>
      </c>
      <c r="F18" s="19" t="n">
        <f aca="false">IFERROR(INDEX(tblRisk[Risk Skoru],MATCH($B18,tblRisk[Müşteri Kodu],0)),0)</f>
        <v>20</v>
      </c>
      <c r="G18" s="19" t="str">
        <f aca="false">IF($F18&gt;=EsikYuksek,"Telefon + yönetici eskalasyonu",IF($E18&gt;YaslamaDilim2,"Telefon + yazılı teyit","Planlı e-posta/telefon"))</f>
        <v>Telefon + yazılı teyit</v>
      </c>
      <c r="H18" s="19" t="str">
        <f aca="false">IF($D18=0,"KAPALI",IF($F18&gt;EsikPesin,"Vadeli satışı durdur ve tahsilat planı al",IF($F18&gt;EsikLimitAzalt,"Peşin/teminatlı satışa geç",IF($F18&gt;EsikIzle,"Limit azalt ve tahsilatı hızlandır","Planlı izleme"))))</f>
        <v>Planlı izleme</v>
      </c>
      <c r="I18" s="19" t="str">
        <f aca="false">IFERROR(INDEX(tblMusteriler[Satış Sorumlusu],MATCH($B18,tblMusteriler[Müşteri Kodu],0)),"Tahsilat Ekibi")</f>
        <v>Tahsilat Ekibi</v>
      </c>
      <c r="J18" s="31" t="n">
        <f aca="false">RaporTarihi+IF($F18&gt;EsikPesin,1,IF($F18&gt;EsikLimitAzalt,AksiyonGunOrta,AksiyonGunUzun))</f>
        <v>46246</v>
      </c>
      <c r="K18" s="20"/>
      <c r="L18" s="20"/>
    </row>
    <row r="19" customFormat="false" ht="15" hidden="false" customHeight="false" outlineLevel="0" collapsed="false">
      <c r="A19" s="19" t="n">
        <f aca="false">IF(YASLANDIRMA!$F19=0,"",IFERROR(_xlfn.RANK.EQ(MUSTERI_RISK_SKORU!$X19,tblRisk[Risk Skoru],0),""))</f>
        <v>4</v>
      </c>
      <c r="B19" s="19" t="n">
        <f aca="false">YASLANDIRMA!$B19</f>
        <v>0</v>
      </c>
      <c r="C19" s="19" t="n">
        <f aca="false">YASLANDIRMA!$A19</f>
        <v>0</v>
      </c>
      <c r="D19" s="19" t="str">
        <f aca="false">YASLANDIRMA!$F19</f>
        <v/>
      </c>
      <c r="E19" s="19" t="str">
        <f aca="false">YASLANDIRMA!$G19</f>
        <v/>
      </c>
      <c r="F19" s="19" t="n">
        <f aca="false">IFERROR(INDEX(tblRisk[Risk Skoru],MATCH($B19,tblRisk[Müşteri Kodu],0)),0)</f>
        <v>20</v>
      </c>
      <c r="G19" s="19" t="str">
        <f aca="false">IF($F19&gt;=EsikYuksek,"Telefon + yönetici eskalasyonu",IF($E19&gt;YaslamaDilim2,"Telefon + yazılı teyit","Planlı e-posta/telefon"))</f>
        <v>Telefon + yazılı teyit</v>
      </c>
      <c r="H19" s="19" t="str">
        <f aca="false">IF($D19=0,"KAPALI",IF($F19&gt;EsikPesin,"Vadeli satışı durdur ve tahsilat planı al",IF($F19&gt;EsikLimitAzalt,"Peşin/teminatlı satışa geç",IF($F19&gt;EsikIzle,"Limit azalt ve tahsilatı hızlandır","Planlı izleme"))))</f>
        <v>Planlı izleme</v>
      </c>
      <c r="I19" s="19" t="str">
        <f aca="false">IFERROR(INDEX(tblMusteriler[Satış Sorumlusu],MATCH($B19,tblMusteriler[Müşteri Kodu],0)),"Tahsilat Ekibi")</f>
        <v>Tahsilat Ekibi</v>
      </c>
      <c r="J19" s="31" t="n">
        <f aca="false">RaporTarihi+IF($F19&gt;EsikPesin,1,IF($F19&gt;EsikLimitAzalt,AksiyonGunOrta,AksiyonGunUzun))</f>
        <v>46246</v>
      </c>
      <c r="K19" s="20"/>
      <c r="L19" s="20"/>
    </row>
    <row r="20" customFormat="false" ht="15" hidden="false" customHeight="false" outlineLevel="0" collapsed="false">
      <c r="A20" s="19" t="n">
        <f aca="false">IF(YASLANDIRMA!$F20=0,"",IFERROR(_xlfn.RANK.EQ(MUSTERI_RISK_SKORU!$X20,tblRisk[Risk Skoru],0),""))</f>
        <v>4</v>
      </c>
      <c r="B20" s="19" t="n">
        <f aca="false">YASLANDIRMA!$B20</f>
        <v>0</v>
      </c>
      <c r="C20" s="19" t="n">
        <f aca="false">YASLANDIRMA!$A20</f>
        <v>0</v>
      </c>
      <c r="D20" s="19" t="str">
        <f aca="false">YASLANDIRMA!$F20</f>
        <v/>
      </c>
      <c r="E20" s="19" t="str">
        <f aca="false">YASLANDIRMA!$G20</f>
        <v/>
      </c>
      <c r="F20" s="19" t="n">
        <f aca="false">IFERROR(INDEX(tblRisk[Risk Skoru],MATCH($B20,tblRisk[Müşteri Kodu],0)),0)</f>
        <v>20</v>
      </c>
      <c r="G20" s="19" t="str">
        <f aca="false">IF($F20&gt;=EsikYuksek,"Telefon + yönetici eskalasyonu",IF($E20&gt;YaslamaDilim2,"Telefon + yazılı teyit","Planlı e-posta/telefon"))</f>
        <v>Telefon + yazılı teyit</v>
      </c>
      <c r="H20" s="19" t="str">
        <f aca="false">IF($D20=0,"KAPALI",IF($F20&gt;EsikPesin,"Vadeli satışı durdur ve tahsilat planı al",IF($F20&gt;EsikLimitAzalt,"Peşin/teminatlı satışa geç",IF($F20&gt;EsikIzle,"Limit azalt ve tahsilatı hızlandır","Planlı izleme"))))</f>
        <v>Planlı izleme</v>
      </c>
      <c r="I20" s="19" t="str">
        <f aca="false">IFERROR(INDEX(tblMusteriler[Satış Sorumlusu],MATCH($B20,tblMusteriler[Müşteri Kodu],0)),"Tahsilat Ekibi")</f>
        <v>Tahsilat Ekibi</v>
      </c>
      <c r="J20" s="31" t="n">
        <f aca="false">RaporTarihi+IF($F20&gt;EsikPesin,1,IF($F20&gt;EsikLimitAzalt,AksiyonGunOrta,AksiyonGunUzun))</f>
        <v>46246</v>
      </c>
      <c r="K20" s="20"/>
      <c r="L20" s="20"/>
    </row>
    <row r="21" customFormat="false" ht="15" hidden="false" customHeight="false" outlineLevel="0" collapsed="false">
      <c r="A21" s="19" t="n">
        <f aca="false">IF(YASLANDIRMA!$F21=0,"",IFERROR(_xlfn.RANK.EQ(MUSTERI_RISK_SKORU!$X21,tblRisk[Risk Skoru],0),""))</f>
        <v>4</v>
      </c>
      <c r="B21" s="19" t="n">
        <f aca="false">YASLANDIRMA!$B21</f>
        <v>0</v>
      </c>
      <c r="C21" s="19" t="n">
        <f aca="false">YASLANDIRMA!$A21</f>
        <v>0</v>
      </c>
      <c r="D21" s="19" t="str">
        <f aca="false">YASLANDIRMA!$F21</f>
        <v/>
      </c>
      <c r="E21" s="19" t="str">
        <f aca="false">YASLANDIRMA!$G21</f>
        <v/>
      </c>
      <c r="F21" s="19" t="n">
        <f aca="false">IFERROR(INDEX(tblRisk[Risk Skoru],MATCH($B21,tblRisk[Müşteri Kodu],0)),0)</f>
        <v>20</v>
      </c>
      <c r="G21" s="19" t="str">
        <f aca="false">IF($F21&gt;=EsikYuksek,"Telefon + yönetici eskalasyonu",IF($E21&gt;YaslamaDilim2,"Telefon + yazılı teyit","Planlı e-posta/telefon"))</f>
        <v>Telefon + yazılı teyit</v>
      </c>
      <c r="H21" s="19" t="str">
        <f aca="false">IF($D21=0,"KAPALI",IF($F21&gt;EsikPesin,"Vadeli satışı durdur ve tahsilat planı al",IF($F21&gt;EsikLimitAzalt,"Peşin/teminatlı satışa geç",IF($F21&gt;EsikIzle,"Limit azalt ve tahsilatı hızlandır","Planlı izleme"))))</f>
        <v>Planlı izleme</v>
      </c>
      <c r="I21" s="19" t="str">
        <f aca="false">IFERROR(INDEX(tblMusteriler[Satış Sorumlusu],MATCH($B21,tblMusteriler[Müşteri Kodu],0)),"Tahsilat Ekibi")</f>
        <v>Tahsilat Ekibi</v>
      </c>
      <c r="J21" s="31" t="n">
        <f aca="false">RaporTarihi+IF($F21&gt;EsikPesin,1,IF($F21&gt;EsikLimitAzalt,AksiyonGunOrta,AksiyonGunUzun))</f>
        <v>46246</v>
      </c>
      <c r="K21" s="20"/>
      <c r="L21" s="20"/>
    </row>
    <row r="22" customFormat="false" ht="15" hidden="false" customHeight="false" outlineLevel="0" collapsed="false">
      <c r="A22" s="19" t="n">
        <f aca="false">IF(YASLANDIRMA!$F22=0,"",IFERROR(_xlfn.RANK.EQ(MUSTERI_RISK_SKORU!$X22,tblRisk[Risk Skoru],0),""))</f>
        <v>4</v>
      </c>
      <c r="B22" s="19" t="n">
        <f aca="false">YASLANDIRMA!$B22</f>
        <v>0</v>
      </c>
      <c r="C22" s="19" t="n">
        <f aca="false">YASLANDIRMA!$A22</f>
        <v>0</v>
      </c>
      <c r="D22" s="19" t="str">
        <f aca="false">YASLANDIRMA!$F22</f>
        <v/>
      </c>
      <c r="E22" s="19" t="str">
        <f aca="false">YASLANDIRMA!$G22</f>
        <v/>
      </c>
      <c r="F22" s="19" t="n">
        <f aca="false">IFERROR(INDEX(tblRisk[Risk Skoru],MATCH($B22,tblRisk[Müşteri Kodu],0)),0)</f>
        <v>20</v>
      </c>
      <c r="G22" s="19" t="str">
        <f aca="false">IF($F22&gt;=EsikYuksek,"Telefon + yönetici eskalasyonu",IF($E22&gt;YaslamaDilim2,"Telefon + yazılı teyit","Planlı e-posta/telefon"))</f>
        <v>Telefon + yazılı teyit</v>
      </c>
      <c r="H22" s="19" t="str">
        <f aca="false">IF($D22=0,"KAPALI",IF($F22&gt;EsikPesin,"Vadeli satışı durdur ve tahsilat planı al",IF($F22&gt;EsikLimitAzalt,"Peşin/teminatlı satışa geç",IF($F22&gt;EsikIzle,"Limit azalt ve tahsilatı hızlandır","Planlı izleme"))))</f>
        <v>Planlı izleme</v>
      </c>
      <c r="I22" s="19" t="str">
        <f aca="false">IFERROR(INDEX(tblMusteriler[Satış Sorumlusu],MATCH($B22,tblMusteriler[Müşteri Kodu],0)),"Tahsilat Ekibi")</f>
        <v>Tahsilat Ekibi</v>
      </c>
      <c r="J22" s="31" t="n">
        <f aca="false">RaporTarihi+IF($F22&gt;EsikPesin,1,IF($F22&gt;EsikLimitAzalt,AksiyonGunOrta,AksiyonGunUzun))</f>
        <v>46246</v>
      </c>
      <c r="K22" s="20"/>
      <c r="L22" s="20"/>
    </row>
    <row r="23" customFormat="false" ht="15" hidden="false" customHeight="false" outlineLevel="0" collapsed="false">
      <c r="A23" s="19" t="n">
        <f aca="false">IF(YASLANDIRMA!$F23=0,"",IFERROR(_xlfn.RANK.EQ(MUSTERI_RISK_SKORU!$X23,tblRisk[Risk Skoru],0),""))</f>
        <v>4</v>
      </c>
      <c r="B23" s="19" t="n">
        <f aca="false">YASLANDIRMA!$B23</f>
        <v>0</v>
      </c>
      <c r="C23" s="19" t="n">
        <f aca="false">YASLANDIRMA!$A23</f>
        <v>0</v>
      </c>
      <c r="D23" s="19" t="str">
        <f aca="false">YASLANDIRMA!$F23</f>
        <v/>
      </c>
      <c r="E23" s="19" t="str">
        <f aca="false">YASLANDIRMA!$G23</f>
        <v/>
      </c>
      <c r="F23" s="19" t="n">
        <f aca="false">IFERROR(INDEX(tblRisk[Risk Skoru],MATCH($B23,tblRisk[Müşteri Kodu],0)),0)</f>
        <v>20</v>
      </c>
      <c r="G23" s="19" t="str">
        <f aca="false">IF($F23&gt;=EsikYuksek,"Telefon + yönetici eskalasyonu",IF($E23&gt;YaslamaDilim2,"Telefon + yazılı teyit","Planlı e-posta/telefon"))</f>
        <v>Telefon + yazılı teyit</v>
      </c>
      <c r="H23" s="19" t="str">
        <f aca="false">IF($D23=0,"KAPALI",IF($F23&gt;EsikPesin,"Vadeli satışı durdur ve tahsilat planı al",IF($F23&gt;EsikLimitAzalt,"Peşin/teminatlı satışa geç",IF($F23&gt;EsikIzle,"Limit azalt ve tahsilatı hızlandır","Planlı izleme"))))</f>
        <v>Planlı izleme</v>
      </c>
      <c r="I23" s="19" t="str">
        <f aca="false">IFERROR(INDEX(tblMusteriler[Satış Sorumlusu],MATCH($B23,tblMusteriler[Müşteri Kodu],0)),"Tahsilat Ekibi")</f>
        <v>Tahsilat Ekibi</v>
      </c>
      <c r="J23" s="31" t="n">
        <f aca="false">RaporTarihi+IF($F23&gt;EsikPesin,1,IF($F23&gt;EsikLimitAzalt,AksiyonGunOrta,AksiyonGunUzun))</f>
        <v>46246</v>
      </c>
      <c r="K23" s="20"/>
      <c r="L23" s="20"/>
    </row>
    <row r="24" customFormat="false" ht="15" hidden="false" customHeight="false" outlineLevel="0" collapsed="false">
      <c r="A24" s="19" t="n">
        <f aca="false">IF(YASLANDIRMA!$F24=0,"",IFERROR(_xlfn.RANK.EQ(MUSTERI_RISK_SKORU!$X24,tblRisk[Risk Skoru],0),""))</f>
        <v>4</v>
      </c>
      <c r="B24" s="19" t="n">
        <f aca="false">YASLANDIRMA!$B24</f>
        <v>0</v>
      </c>
      <c r="C24" s="19" t="n">
        <f aca="false">YASLANDIRMA!$A24</f>
        <v>0</v>
      </c>
      <c r="D24" s="19" t="str">
        <f aca="false">YASLANDIRMA!$F24</f>
        <v/>
      </c>
      <c r="E24" s="19" t="str">
        <f aca="false">YASLANDIRMA!$G24</f>
        <v/>
      </c>
      <c r="F24" s="19" t="n">
        <f aca="false">IFERROR(INDEX(tblRisk[Risk Skoru],MATCH($B24,tblRisk[Müşteri Kodu],0)),0)</f>
        <v>20</v>
      </c>
      <c r="G24" s="19" t="str">
        <f aca="false">IF($F24&gt;=EsikYuksek,"Telefon + yönetici eskalasyonu",IF($E24&gt;YaslamaDilim2,"Telefon + yazılı teyit","Planlı e-posta/telefon"))</f>
        <v>Telefon + yazılı teyit</v>
      </c>
      <c r="H24" s="19" t="str">
        <f aca="false">IF($D24=0,"KAPALI",IF($F24&gt;EsikPesin,"Vadeli satışı durdur ve tahsilat planı al",IF($F24&gt;EsikLimitAzalt,"Peşin/teminatlı satışa geç",IF($F24&gt;EsikIzle,"Limit azalt ve tahsilatı hızlandır","Planlı izleme"))))</f>
        <v>Planlı izleme</v>
      </c>
      <c r="I24" s="19" t="str">
        <f aca="false">IFERROR(INDEX(tblMusteriler[Satış Sorumlusu],MATCH($B24,tblMusteriler[Müşteri Kodu],0)),"Tahsilat Ekibi")</f>
        <v>Tahsilat Ekibi</v>
      </c>
      <c r="J24" s="31" t="n">
        <f aca="false">RaporTarihi+IF($F24&gt;EsikPesin,1,IF($F24&gt;EsikLimitAzalt,AksiyonGunOrta,AksiyonGunUzun))</f>
        <v>46246</v>
      </c>
      <c r="K24" s="20"/>
      <c r="L24" s="20"/>
    </row>
    <row r="25" customFormat="false" ht="15" hidden="false" customHeight="false" outlineLevel="0" collapsed="false">
      <c r="A25" s="19" t="n">
        <f aca="false">IF(YASLANDIRMA!$F25=0,"",IFERROR(_xlfn.RANK.EQ(MUSTERI_RISK_SKORU!$X25,tblRisk[Risk Skoru],0),""))</f>
        <v>4</v>
      </c>
      <c r="B25" s="19" t="n">
        <f aca="false">YASLANDIRMA!$B25</f>
        <v>0</v>
      </c>
      <c r="C25" s="19" t="n">
        <f aca="false">YASLANDIRMA!$A25</f>
        <v>0</v>
      </c>
      <c r="D25" s="19" t="str">
        <f aca="false">YASLANDIRMA!$F25</f>
        <v/>
      </c>
      <c r="E25" s="19" t="str">
        <f aca="false">YASLANDIRMA!$G25</f>
        <v/>
      </c>
      <c r="F25" s="19" t="n">
        <f aca="false">IFERROR(INDEX(tblRisk[Risk Skoru],MATCH($B25,tblRisk[Müşteri Kodu],0)),0)</f>
        <v>20</v>
      </c>
      <c r="G25" s="19" t="str">
        <f aca="false">IF($F25&gt;=EsikYuksek,"Telefon + yönetici eskalasyonu",IF($E25&gt;YaslamaDilim2,"Telefon + yazılı teyit","Planlı e-posta/telefon"))</f>
        <v>Telefon + yazılı teyit</v>
      </c>
      <c r="H25" s="19" t="str">
        <f aca="false">IF($D25=0,"KAPALI",IF($F25&gt;EsikPesin,"Vadeli satışı durdur ve tahsilat planı al",IF($F25&gt;EsikLimitAzalt,"Peşin/teminatlı satışa geç",IF($F25&gt;EsikIzle,"Limit azalt ve tahsilatı hızlandır","Planlı izleme"))))</f>
        <v>Planlı izleme</v>
      </c>
      <c r="I25" s="19" t="str">
        <f aca="false">IFERROR(INDEX(tblMusteriler[Satış Sorumlusu],MATCH($B25,tblMusteriler[Müşteri Kodu],0)),"Tahsilat Ekibi")</f>
        <v>Tahsilat Ekibi</v>
      </c>
      <c r="J25" s="31" t="n">
        <f aca="false">RaporTarihi+IF($F25&gt;EsikPesin,1,IF($F25&gt;EsikLimitAzalt,AksiyonGunOrta,AksiyonGunUzun))</f>
        <v>46246</v>
      </c>
      <c r="K25" s="20"/>
      <c r="L25" s="20"/>
    </row>
    <row r="26" customFormat="false" ht="15" hidden="false" customHeight="false" outlineLevel="0" collapsed="false">
      <c r="A26" s="19" t="n">
        <f aca="false">IF(YASLANDIRMA!$F26=0,"",IFERROR(_xlfn.RANK.EQ(MUSTERI_RISK_SKORU!$X26,tblRisk[Risk Skoru],0),""))</f>
        <v>4</v>
      </c>
      <c r="B26" s="19" t="n">
        <f aca="false">YASLANDIRMA!$B26</f>
        <v>0</v>
      </c>
      <c r="C26" s="19" t="n">
        <f aca="false">YASLANDIRMA!$A26</f>
        <v>0</v>
      </c>
      <c r="D26" s="19" t="str">
        <f aca="false">YASLANDIRMA!$F26</f>
        <v/>
      </c>
      <c r="E26" s="19" t="str">
        <f aca="false">YASLANDIRMA!$G26</f>
        <v/>
      </c>
      <c r="F26" s="19" t="n">
        <f aca="false">IFERROR(INDEX(tblRisk[Risk Skoru],MATCH($B26,tblRisk[Müşteri Kodu],0)),0)</f>
        <v>20</v>
      </c>
      <c r="G26" s="19" t="str">
        <f aca="false">IF($F26&gt;=EsikYuksek,"Telefon + yönetici eskalasyonu",IF($E26&gt;YaslamaDilim2,"Telefon + yazılı teyit","Planlı e-posta/telefon"))</f>
        <v>Telefon + yazılı teyit</v>
      </c>
      <c r="H26" s="19" t="str">
        <f aca="false">IF($D26=0,"KAPALI",IF($F26&gt;EsikPesin,"Vadeli satışı durdur ve tahsilat planı al",IF($F26&gt;EsikLimitAzalt,"Peşin/teminatlı satışa geç",IF($F26&gt;EsikIzle,"Limit azalt ve tahsilatı hızlandır","Planlı izleme"))))</f>
        <v>Planlı izleme</v>
      </c>
      <c r="I26" s="19" t="str">
        <f aca="false">IFERROR(INDEX(tblMusteriler[Satış Sorumlusu],MATCH($B26,tblMusteriler[Müşteri Kodu],0)),"Tahsilat Ekibi")</f>
        <v>Tahsilat Ekibi</v>
      </c>
      <c r="J26" s="31" t="n">
        <f aca="false">RaporTarihi+IF($F26&gt;EsikPesin,1,IF($F26&gt;EsikLimitAzalt,AksiyonGunOrta,AksiyonGunUzun))</f>
        <v>46246</v>
      </c>
      <c r="K26" s="20"/>
      <c r="L26" s="20"/>
    </row>
    <row r="27" customFormat="false" ht="15" hidden="false" customHeight="false" outlineLevel="0" collapsed="false">
      <c r="A27" s="19" t="n">
        <f aca="false">IF(YASLANDIRMA!$F27=0,"",IFERROR(_xlfn.RANK.EQ(MUSTERI_RISK_SKORU!$X27,tblRisk[Risk Skoru],0),""))</f>
        <v>4</v>
      </c>
      <c r="B27" s="19" t="n">
        <f aca="false">YASLANDIRMA!$B27</f>
        <v>0</v>
      </c>
      <c r="C27" s="19" t="n">
        <f aca="false">YASLANDIRMA!$A27</f>
        <v>0</v>
      </c>
      <c r="D27" s="19" t="str">
        <f aca="false">YASLANDIRMA!$F27</f>
        <v/>
      </c>
      <c r="E27" s="19" t="str">
        <f aca="false">YASLANDIRMA!$G27</f>
        <v/>
      </c>
      <c r="F27" s="19" t="n">
        <f aca="false">IFERROR(INDEX(tblRisk[Risk Skoru],MATCH($B27,tblRisk[Müşteri Kodu],0)),0)</f>
        <v>20</v>
      </c>
      <c r="G27" s="19" t="str">
        <f aca="false">IF($F27&gt;=EsikYuksek,"Telefon + yönetici eskalasyonu",IF($E27&gt;YaslamaDilim2,"Telefon + yazılı teyit","Planlı e-posta/telefon"))</f>
        <v>Telefon + yazılı teyit</v>
      </c>
      <c r="H27" s="19" t="str">
        <f aca="false">IF($D27=0,"KAPALI",IF($F27&gt;EsikPesin,"Vadeli satışı durdur ve tahsilat planı al",IF($F27&gt;EsikLimitAzalt,"Peşin/teminatlı satışa geç",IF($F27&gt;EsikIzle,"Limit azalt ve tahsilatı hızlandır","Planlı izleme"))))</f>
        <v>Planlı izleme</v>
      </c>
      <c r="I27" s="19" t="str">
        <f aca="false">IFERROR(INDEX(tblMusteriler[Satış Sorumlusu],MATCH($B27,tblMusteriler[Müşteri Kodu],0)),"Tahsilat Ekibi")</f>
        <v>Tahsilat Ekibi</v>
      </c>
      <c r="J27" s="31" t="n">
        <f aca="false">RaporTarihi+IF($F27&gt;EsikPesin,1,IF($F27&gt;EsikLimitAzalt,AksiyonGunOrta,AksiyonGunUzun))</f>
        <v>46246</v>
      </c>
      <c r="K27" s="20"/>
      <c r="L27" s="20"/>
    </row>
    <row r="28" customFormat="false" ht="15" hidden="false" customHeight="false" outlineLevel="0" collapsed="false">
      <c r="A28" s="19" t="n">
        <f aca="false">IF(YASLANDIRMA!$F28=0,"",IFERROR(_xlfn.RANK.EQ(MUSTERI_RISK_SKORU!$X28,tblRisk[Risk Skoru],0),""))</f>
        <v>4</v>
      </c>
      <c r="B28" s="19" t="n">
        <f aca="false">YASLANDIRMA!$B28</f>
        <v>0</v>
      </c>
      <c r="C28" s="19" t="n">
        <f aca="false">YASLANDIRMA!$A28</f>
        <v>0</v>
      </c>
      <c r="D28" s="19" t="str">
        <f aca="false">YASLANDIRMA!$F28</f>
        <v/>
      </c>
      <c r="E28" s="19" t="str">
        <f aca="false">YASLANDIRMA!$G28</f>
        <v/>
      </c>
      <c r="F28" s="19" t="n">
        <f aca="false">IFERROR(INDEX(tblRisk[Risk Skoru],MATCH($B28,tblRisk[Müşteri Kodu],0)),0)</f>
        <v>20</v>
      </c>
      <c r="G28" s="19" t="str">
        <f aca="false">IF($F28&gt;=EsikYuksek,"Telefon + yönetici eskalasyonu",IF($E28&gt;YaslamaDilim2,"Telefon + yazılı teyit","Planlı e-posta/telefon"))</f>
        <v>Telefon + yazılı teyit</v>
      </c>
      <c r="H28" s="19" t="str">
        <f aca="false">IF($D28=0,"KAPALI",IF($F28&gt;EsikPesin,"Vadeli satışı durdur ve tahsilat planı al",IF($F28&gt;EsikLimitAzalt,"Peşin/teminatlı satışa geç",IF($F28&gt;EsikIzle,"Limit azalt ve tahsilatı hızlandır","Planlı izleme"))))</f>
        <v>Planlı izleme</v>
      </c>
      <c r="I28" s="19" t="str">
        <f aca="false">IFERROR(INDEX(tblMusteriler[Satış Sorumlusu],MATCH($B28,tblMusteriler[Müşteri Kodu],0)),"Tahsilat Ekibi")</f>
        <v>Tahsilat Ekibi</v>
      </c>
      <c r="J28" s="31" t="n">
        <f aca="false">RaporTarihi+IF($F28&gt;EsikPesin,1,IF($F28&gt;EsikLimitAzalt,AksiyonGunOrta,AksiyonGunUzun))</f>
        <v>46246</v>
      </c>
      <c r="K28" s="20"/>
      <c r="L28" s="20"/>
    </row>
    <row r="29" customFormat="false" ht="15" hidden="false" customHeight="false" outlineLevel="0" collapsed="false">
      <c r="A29" s="19" t="n">
        <f aca="false">IF(YASLANDIRMA!$F29=0,"",IFERROR(_xlfn.RANK.EQ(MUSTERI_RISK_SKORU!$X29,tblRisk[Risk Skoru],0),""))</f>
        <v>4</v>
      </c>
      <c r="B29" s="19" t="n">
        <f aca="false">YASLANDIRMA!$B29</f>
        <v>0</v>
      </c>
      <c r="C29" s="19" t="n">
        <f aca="false">YASLANDIRMA!$A29</f>
        <v>0</v>
      </c>
      <c r="D29" s="19" t="str">
        <f aca="false">YASLANDIRMA!$F29</f>
        <v/>
      </c>
      <c r="E29" s="19" t="str">
        <f aca="false">YASLANDIRMA!$G29</f>
        <v/>
      </c>
      <c r="F29" s="19" t="n">
        <f aca="false">IFERROR(INDEX(tblRisk[Risk Skoru],MATCH($B29,tblRisk[Müşteri Kodu],0)),0)</f>
        <v>20</v>
      </c>
      <c r="G29" s="19" t="str">
        <f aca="false">IF($F29&gt;=EsikYuksek,"Telefon + yönetici eskalasyonu",IF($E29&gt;YaslamaDilim2,"Telefon + yazılı teyit","Planlı e-posta/telefon"))</f>
        <v>Telefon + yazılı teyit</v>
      </c>
      <c r="H29" s="19" t="str">
        <f aca="false">IF($D29=0,"KAPALI",IF($F29&gt;EsikPesin,"Vadeli satışı durdur ve tahsilat planı al",IF($F29&gt;EsikLimitAzalt,"Peşin/teminatlı satışa geç",IF($F29&gt;EsikIzle,"Limit azalt ve tahsilatı hızlandır","Planlı izleme"))))</f>
        <v>Planlı izleme</v>
      </c>
      <c r="I29" s="19" t="str">
        <f aca="false">IFERROR(INDEX(tblMusteriler[Satış Sorumlusu],MATCH($B29,tblMusteriler[Müşteri Kodu],0)),"Tahsilat Ekibi")</f>
        <v>Tahsilat Ekibi</v>
      </c>
      <c r="J29" s="31" t="n">
        <f aca="false">RaporTarihi+IF($F29&gt;EsikPesin,1,IF($F29&gt;EsikLimitAzalt,AksiyonGunOrta,AksiyonGunUzun))</f>
        <v>46246</v>
      </c>
      <c r="K29" s="20"/>
      <c r="L29" s="20"/>
    </row>
    <row r="30" customFormat="false" ht="15" hidden="false" customHeight="false" outlineLevel="0" collapsed="false">
      <c r="A30" s="19" t="n">
        <f aca="false">IF(YASLANDIRMA!$F30=0,"",IFERROR(_xlfn.RANK.EQ(MUSTERI_RISK_SKORU!$X30,tblRisk[Risk Skoru],0),""))</f>
        <v>4</v>
      </c>
      <c r="B30" s="19" t="n">
        <f aca="false">YASLANDIRMA!$B30</f>
        <v>0</v>
      </c>
      <c r="C30" s="19" t="n">
        <f aca="false">YASLANDIRMA!$A30</f>
        <v>0</v>
      </c>
      <c r="D30" s="19" t="str">
        <f aca="false">YASLANDIRMA!$F30</f>
        <v/>
      </c>
      <c r="E30" s="19" t="str">
        <f aca="false">YASLANDIRMA!$G30</f>
        <v/>
      </c>
      <c r="F30" s="19" t="n">
        <f aca="false">IFERROR(INDEX(tblRisk[Risk Skoru],MATCH($B30,tblRisk[Müşteri Kodu],0)),0)</f>
        <v>20</v>
      </c>
      <c r="G30" s="19" t="str">
        <f aca="false">IF($F30&gt;=EsikYuksek,"Telefon + yönetici eskalasyonu",IF($E30&gt;YaslamaDilim2,"Telefon + yazılı teyit","Planlı e-posta/telefon"))</f>
        <v>Telefon + yazılı teyit</v>
      </c>
      <c r="H30" s="19" t="str">
        <f aca="false">IF($D30=0,"KAPALI",IF($F30&gt;EsikPesin,"Vadeli satışı durdur ve tahsilat planı al",IF($F30&gt;EsikLimitAzalt,"Peşin/teminatlı satışa geç",IF($F30&gt;EsikIzle,"Limit azalt ve tahsilatı hızlandır","Planlı izleme"))))</f>
        <v>Planlı izleme</v>
      </c>
      <c r="I30" s="19" t="str">
        <f aca="false">IFERROR(INDEX(tblMusteriler[Satış Sorumlusu],MATCH($B30,tblMusteriler[Müşteri Kodu],0)),"Tahsilat Ekibi")</f>
        <v>Tahsilat Ekibi</v>
      </c>
      <c r="J30" s="31" t="n">
        <f aca="false">RaporTarihi+IF($F30&gt;EsikPesin,1,IF($F30&gt;EsikLimitAzalt,AksiyonGunOrta,AksiyonGunUzun))</f>
        <v>46246</v>
      </c>
      <c r="K30" s="20"/>
      <c r="L30" s="20"/>
    </row>
    <row r="31" customFormat="false" ht="15" hidden="false" customHeight="false" outlineLevel="0" collapsed="false">
      <c r="A31" s="19" t="n">
        <f aca="false">IF(YASLANDIRMA!$F31=0,"",IFERROR(_xlfn.RANK.EQ(MUSTERI_RISK_SKORU!$X31,tblRisk[Risk Skoru],0),""))</f>
        <v>4</v>
      </c>
      <c r="B31" s="19" t="n">
        <f aca="false">YASLANDIRMA!$B31</f>
        <v>0</v>
      </c>
      <c r="C31" s="19" t="n">
        <f aca="false">YASLANDIRMA!$A31</f>
        <v>0</v>
      </c>
      <c r="D31" s="19" t="str">
        <f aca="false">YASLANDIRMA!$F31</f>
        <v/>
      </c>
      <c r="E31" s="19" t="str">
        <f aca="false">YASLANDIRMA!$G31</f>
        <v/>
      </c>
      <c r="F31" s="19" t="n">
        <f aca="false">IFERROR(INDEX(tblRisk[Risk Skoru],MATCH($B31,tblRisk[Müşteri Kodu],0)),0)</f>
        <v>20</v>
      </c>
      <c r="G31" s="19" t="str">
        <f aca="false">IF($F31&gt;=EsikYuksek,"Telefon + yönetici eskalasyonu",IF($E31&gt;YaslamaDilim2,"Telefon + yazılı teyit","Planlı e-posta/telefon"))</f>
        <v>Telefon + yazılı teyit</v>
      </c>
      <c r="H31" s="19" t="str">
        <f aca="false">IF($D31=0,"KAPALI",IF($F31&gt;EsikPesin,"Vadeli satışı durdur ve tahsilat planı al",IF($F31&gt;EsikLimitAzalt,"Peşin/teminatlı satışa geç",IF($F31&gt;EsikIzle,"Limit azalt ve tahsilatı hızlandır","Planlı izleme"))))</f>
        <v>Planlı izleme</v>
      </c>
      <c r="I31" s="19" t="str">
        <f aca="false">IFERROR(INDEX(tblMusteriler[Satış Sorumlusu],MATCH($B31,tblMusteriler[Müşteri Kodu],0)),"Tahsilat Ekibi")</f>
        <v>Tahsilat Ekibi</v>
      </c>
      <c r="J31" s="31" t="n">
        <f aca="false">RaporTarihi+IF($F31&gt;EsikPesin,1,IF($F31&gt;EsikLimitAzalt,AksiyonGunOrta,AksiyonGunUzun))</f>
        <v>46246</v>
      </c>
      <c r="K31" s="20"/>
      <c r="L31" s="20"/>
    </row>
    <row r="32" customFormat="false" ht="15" hidden="false" customHeight="false" outlineLevel="0" collapsed="false">
      <c r="A32" s="19" t="n">
        <f aca="false">IF(YASLANDIRMA!$F32=0,"",IFERROR(_xlfn.RANK.EQ(MUSTERI_RISK_SKORU!$X32,tblRisk[Risk Skoru],0),""))</f>
        <v>4</v>
      </c>
      <c r="B32" s="19" t="n">
        <f aca="false">YASLANDIRMA!$B32</f>
        <v>0</v>
      </c>
      <c r="C32" s="19" t="n">
        <f aca="false">YASLANDIRMA!$A32</f>
        <v>0</v>
      </c>
      <c r="D32" s="19" t="str">
        <f aca="false">YASLANDIRMA!$F32</f>
        <v/>
      </c>
      <c r="E32" s="19" t="str">
        <f aca="false">YASLANDIRMA!$G32</f>
        <v/>
      </c>
      <c r="F32" s="19" t="n">
        <f aca="false">IFERROR(INDEX(tblRisk[Risk Skoru],MATCH($B32,tblRisk[Müşteri Kodu],0)),0)</f>
        <v>20</v>
      </c>
      <c r="G32" s="19" t="str">
        <f aca="false">IF($F32&gt;=EsikYuksek,"Telefon + yönetici eskalasyonu",IF($E32&gt;YaslamaDilim2,"Telefon + yazılı teyit","Planlı e-posta/telefon"))</f>
        <v>Telefon + yazılı teyit</v>
      </c>
      <c r="H32" s="19" t="str">
        <f aca="false">IF($D32=0,"KAPALI",IF($F32&gt;EsikPesin,"Vadeli satışı durdur ve tahsilat planı al",IF($F32&gt;EsikLimitAzalt,"Peşin/teminatlı satışa geç",IF($F32&gt;EsikIzle,"Limit azalt ve tahsilatı hızlandır","Planlı izleme"))))</f>
        <v>Planlı izleme</v>
      </c>
      <c r="I32" s="19" t="str">
        <f aca="false">IFERROR(INDEX(tblMusteriler[Satış Sorumlusu],MATCH($B32,tblMusteriler[Müşteri Kodu],0)),"Tahsilat Ekibi")</f>
        <v>Tahsilat Ekibi</v>
      </c>
      <c r="J32" s="31" t="n">
        <f aca="false">RaporTarihi+IF($F32&gt;EsikPesin,1,IF($F32&gt;EsikLimitAzalt,AksiyonGunOrta,AksiyonGunUzun))</f>
        <v>46246</v>
      </c>
      <c r="K32" s="20"/>
      <c r="L32" s="20"/>
    </row>
    <row r="33" customFormat="false" ht="15" hidden="false" customHeight="false" outlineLevel="0" collapsed="false">
      <c r="A33" s="19" t="n">
        <f aca="false">IF(YASLANDIRMA!$F33=0,"",IFERROR(_xlfn.RANK.EQ(MUSTERI_RISK_SKORU!$X33,tblRisk[Risk Skoru],0),""))</f>
        <v>4</v>
      </c>
      <c r="B33" s="19" t="n">
        <f aca="false">YASLANDIRMA!$B33</f>
        <v>0</v>
      </c>
      <c r="C33" s="19" t="n">
        <f aca="false">YASLANDIRMA!$A33</f>
        <v>0</v>
      </c>
      <c r="D33" s="19" t="str">
        <f aca="false">YASLANDIRMA!$F33</f>
        <v/>
      </c>
      <c r="E33" s="19" t="str">
        <f aca="false">YASLANDIRMA!$G33</f>
        <v/>
      </c>
      <c r="F33" s="19" t="n">
        <f aca="false">IFERROR(INDEX(tblRisk[Risk Skoru],MATCH($B33,tblRisk[Müşteri Kodu],0)),0)</f>
        <v>20</v>
      </c>
      <c r="G33" s="19" t="str">
        <f aca="false">IF($F33&gt;=EsikYuksek,"Telefon + yönetici eskalasyonu",IF($E33&gt;YaslamaDilim2,"Telefon + yazılı teyit","Planlı e-posta/telefon"))</f>
        <v>Telefon + yazılı teyit</v>
      </c>
      <c r="H33" s="19" t="str">
        <f aca="false">IF($D33=0,"KAPALI",IF($F33&gt;EsikPesin,"Vadeli satışı durdur ve tahsilat planı al",IF($F33&gt;EsikLimitAzalt,"Peşin/teminatlı satışa geç",IF($F33&gt;EsikIzle,"Limit azalt ve tahsilatı hızlandır","Planlı izleme"))))</f>
        <v>Planlı izleme</v>
      </c>
      <c r="I33" s="19" t="str">
        <f aca="false">IFERROR(INDEX(tblMusteriler[Satış Sorumlusu],MATCH($B33,tblMusteriler[Müşteri Kodu],0)),"Tahsilat Ekibi")</f>
        <v>Tahsilat Ekibi</v>
      </c>
      <c r="J33" s="31" t="n">
        <f aca="false">RaporTarihi+IF($F33&gt;EsikPesin,1,IF($F33&gt;EsikLimitAzalt,AksiyonGunOrta,AksiyonGunUzun))</f>
        <v>46246</v>
      </c>
      <c r="K33" s="20"/>
      <c r="L33" s="20"/>
    </row>
    <row r="34" customFormat="false" ht="15" hidden="false" customHeight="false" outlineLevel="0" collapsed="false">
      <c r="A34" s="19" t="n">
        <f aca="false">IF(YASLANDIRMA!$F34=0,"",IFERROR(_xlfn.RANK.EQ(MUSTERI_RISK_SKORU!$X34,tblRisk[Risk Skoru],0),""))</f>
        <v>4</v>
      </c>
      <c r="B34" s="19" t="n">
        <f aca="false">YASLANDIRMA!$B34</f>
        <v>0</v>
      </c>
      <c r="C34" s="19" t="n">
        <f aca="false">YASLANDIRMA!$A34</f>
        <v>0</v>
      </c>
      <c r="D34" s="19" t="str">
        <f aca="false">YASLANDIRMA!$F34</f>
        <v/>
      </c>
      <c r="E34" s="19" t="str">
        <f aca="false">YASLANDIRMA!$G34</f>
        <v/>
      </c>
      <c r="F34" s="19" t="n">
        <f aca="false">IFERROR(INDEX(tblRisk[Risk Skoru],MATCH($B34,tblRisk[Müşteri Kodu],0)),0)</f>
        <v>20</v>
      </c>
      <c r="G34" s="19" t="str">
        <f aca="false">IF($F34&gt;=EsikYuksek,"Telefon + yönetici eskalasyonu",IF($E34&gt;YaslamaDilim2,"Telefon + yazılı teyit","Planlı e-posta/telefon"))</f>
        <v>Telefon + yazılı teyit</v>
      </c>
      <c r="H34" s="19" t="str">
        <f aca="false">IF($D34=0,"KAPALI",IF($F34&gt;EsikPesin,"Vadeli satışı durdur ve tahsilat planı al",IF($F34&gt;EsikLimitAzalt,"Peşin/teminatlı satışa geç",IF($F34&gt;EsikIzle,"Limit azalt ve tahsilatı hızlandır","Planlı izleme"))))</f>
        <v>Planlı izleme</v>
      </c>
      <c r="I34" s="19" t="str">
        <f aca="false">IFERROR(INDEX(tblMusteriler[Satış Sorumlusu],MATCH($B34,tblMusteriler[Müşteri Kodu],0)),"Tahsilat Ekibi")</f>
        <v>Tahsilat Ekibi</v>
      </c>
      <c r="J34" s="31" t="n">
        <f aca="false">RaporTarihi+IF($F34&gt;EsikPesin,1,IF($F34&gt;EsikLimitAzalt,AksiyonGunOrta,AksiyonGunUzun))</f>
        <v>46246</v>
      </c>
      <c r="K34" s="20"/>
      <c r="L34" s="20"/>
    </row>
    <row r="35" customFormat="false" ht="15" hidden="false" customHeight="false" outlineLevel="0" collapsed="false">
      <c r="A35" s="19" t="n">
        <f aca="false">IF(YASLANDIRMA!$F35=0,"",IFERROR(_xlfn.RANK.EQ(MUSTERI_RISK_SKORU!$X35,tblRisk[Risk Skoru],0),""))</f>
        <v>4</v>
      </c>
      <c r="B35" s="19" t="n">
        <f aca="false">YASLANDIRMA!$B35</f>
        <v>0</v>
      </c>
      <c r="C35" s="19" t="n">
        <f aca="false">YASLANDIRMA!$A35</f>
        <v>0</v>
      </c>
      <c r="D35" s="19" t="str">
        <f aca="false">YASLANDIRMA!$F35</f>
        <v/>
      </c>
      <c r="E35" s="19" t="str">
        <f aca="false">YASLANDIRMA!$G35</f>
        <v/>
      </c>
      <c r="F35" s="19" t="n">
        <f aca="false">IFERROR(INDEX(tblRisk[Risk Skoru],MATCH($B35,tblRisk[Müşteri Kodu],0)),0)</f>
        <v>20</v>
      </c>
      <c r="G35" s="19" t="str">
        <f aca="false">IF($F35&gt;=EsikYuksek,"Telefon + yönetici eskalasyonu",IF($E35&gt;YaslamaDilim2,"Telefon + yazılı teyit","Planlı e-posta/telefon"))</f>
        <v>Telefon + yazılı teyit</v>
      </c>
      <c r="H35" s="19" t="str">
        <f aca="false">IF($D35=0,"KAPALI",IF($F35&gt;EsikPesin,"Vadeli satışı durdur ve tahsilat planı al",IF($F35&gt;EsikLimitAzalt,"Peşin/teminatlı satışa geç",IF($F35&gt;EsikIzle,"Limit azalt ve tahsilatı hızlandır","Planlı izleme"))))</f>
        <v>Planlı izleme</v>
      </c>
      <c r="I35" s="19" t="str">
        <f aca="false">IFERROR(INDEX(tblMusteriler[Satış Sorumlusu],MATCH($B35,tblMusteriler[Müşteri Kodu],0)),"Tahsilat Ekibi")</f>
        <v>Tahsilat Ekibi</v>
      </c>
      <c r="J35" s="31" t="n">
        <f aca="false">RaporTarihi+IF($F35&gt;EsikPesin,1,IF($F35&gt;EsikLimitAzalt,AksiyonGunOrta,AksiyonGunUzun))</f>
        <v>46246</v>
      </c>
      <c r="K35" s="20"/>
      <c r="L35" s="20"/>
    </row>
    <row r="36" customFormat="false" ht="15" hidden="false" customHeight="false" outlineLevel="0" collapsed="false">
      <c r="A36" s="19" t="n">
        <f aca="false">IF(YASLANDIRMA!$F36=0,"",IFERROR(_xlfn.RANK.EQ(MUSTERI_RISK_SKORU!$X36,tblRisk[Risk Skoru],0),""))</f>
        <v>4</v>
      </c>
      <c r="B36" s="19" t="n">
        <f aca="false">YASLANDIRMA!$B36</f>
        <v>0</v>
      </c>
      <c r="C36" s="19" t="n">
        <f aca="false">YASLANDIRMA!$A36</f>
        <v>0</v>
      </c>
      <c r="D36" s="19" t="str">
        <f aca="false">YASLANDIRMA!$F36</f>
        <v/>
      </c>
      <c r="E36" s="19" t="str">
        <f aca="false">YASLANDIRMA!$G36</f>
        <v/>
      </c>
      <c r="F36" s="19" t="n">
        <f aca="false">IFERROR(INDEX(tblRisk[Risk Skoru],MATCH($B36,tblRisk[Müşteri Kodu],0)),0)</f>
        <v>20</v>
      </c>
      <c r="G36" s="19" t="str">
        <f aca="false">IF($F36&gt;=EsikYuksek,"Telefon + yönetici eskalasyonu",IF($E36&gt;YaslamaDilim2,"Telefon + yazılı teyit","Planlı e-posta/telefon"))</f>
        <v>Telefon + yazılı teyit</v>
      </c>
      <c r="H36" s="19" t="str">
        <f aca="false">IF($D36=0,"KAPALI",IF($F36&gt;EsikPesin,"Vadeli satışı durdur ve tahsilat planı al",IF($F36&gt;EsikLimitAzalt,"Peşin/teminatlı satışa geç",IF($F36&gt;EsikIzle,"Limit azalt ve tahsilatı hızlandır","Planlı izleme"))))</f>
        <v>Planlı izleme</v>
      </c>
      <c r="I36" s="19" t="str">
        <f aca="false">IFERROR(INDEX(tblMusteriler[Satış Sorumlusu],MATCH($B36,tblMusteriler[Müşteri Kodu],0)),"Tahsilat Ekibi")</f>
        <v>Tahsilat Ekibi</v>
      </c>
      <c r="J36" s="31" t="n">
        <f aca="false">RaporTarihi+IF($F36&gt;EsikPesin,1,IF($F36&gt;EsikLimitAzalt,AksiyonGunOrta,AksiyonGunUzun))</f>
        <v>46246</v>
      </c>
      <c r="K36" s="20"/>
      <c r="L36" s="20"/>
    </row>
    <row r="37" customFormat="false" ht="15" hidden="false" customHeight="false" outlineLevel="0" collapsed="false">
      <c r="A37" s="19" t="n">
        <f aca="false">IF(YASLANDIRMA!$F37=0,"",IFERROR(_xlfn.RANK.EQ(MUSTERI_RISK_SKORU!$X37,tblRisk[Risk Skoru],0),""))</f>
        <v>4</v>
      </c>
      <c r="B37" s="19" t="n">
        <f aca="false">YASLANDIRMA!$B37</f>
        <v>0</v>
      </c>
      <c r="C37" s="19" t="n">
        <f aca="false">YASLANDIRMA!$A37</f>
        <v>0</v>
      </c>
      <c r="D37" s="19" t="str">
        <f aca="false">YASLANDIRMA!$F37</f>
        <v/>
      </c>
      <c r="E37" s="19" t="str">
        <f aca="false">YASLANDIRMA!$G37</f>
        <v/>
      </c>
      <c r="F37" s="19" t="n">
        <f aca="false">IFERROR(INDEX(tblRisk[Risk Skoru],MATCH($B37,tblRisk[Müşteri Kodu],0)),0)</f>
        <v>20</v>
      </c>
      <c r="G37" s="19" t="str">
        <f aca="false">IF($F37&gt;=EsikYuksek,"Telefon + yönetici eskalasyonu",IF($E37&gt;YaslamaDilim2,"Telefon + yazılı teyit","Planlı e-posta/telefon"))</f>
        <v>Telefon + yazılı teyit</v>
      </c>
      <c r="H37" s="19" t="str">
        <f aca="false">IF($D37=0,"KAPALI",IF($F37&gt;EsikPesin,"Vadeli satışı durdur ve tahsilat planı al",IF($F37&gt;EsikLimitAzalt,"Peşin/teminatlı satışa geç",IF($F37&gt;EsikIzle,"Limit azalt ve tahsilatı hızlandır","Planlı izleme"))))</f>
        <v>Planlı izleme</v>
      </c>
      <c r="I37" s="19" t="str">
        <f aca="false">IFERROR(INDEX(tblMusteriler[Satış Sorumlusu],MATCH($B37,tblMusteriler[Müşteri Kodu],0)),"Tahsilat Ekibi")</f>
        <v>Tahsilat Ekibi</v>
      </c>
      <c r="J37" s="31" t="n">
        <f aca="false">RaporTarihi+IF($F37&gt;EsikPesin,1,IF($F37&gt;EsikLimitAzalt,AksiyonGunOrta,AksiyonGunUzun))</f>
        <v>46246</v>
      </c>
      <c r="K37" s="20"/>
      <c r="L37" s="20"/>
    </row>
    <row r="38" customFormat="false" ht="15" hidden="false" customHeight="false" outlineLevel="0" collapsed="false">
      <c r="A38" s="19" t="n">
        <f aca="false">IF(YASLANDIRMA!$F38=0,"",IFERROR(_xlfn.RANK.EQ(MUSTERI_RISK_SKORU!$X38,tblRisk[Risk Skoru],0),""))</f>
        <v>4</v>
      </c>
      <c r="B38" s="19" t="n">
        <f aca="false">YASLANDIRMA!$B38</f>
        <v>0</v>
      </c>
      <c r="C38" s="19" t="n">
        <f aca="false">YASLANDIRMA!$A38</f>
        <v>0</v>
      </c>
      <c r="D38" s="19" t="str">
        <f aca="false">YASLANDIRMA!$F38</f>
        <v/>
      </c>
      <c r="E38" s="19" t="str">
        <f aca="false">YASLANDIRMA!$G38</f>
        <v/>
      </c>
      <c r="F38" s="19" t="n">
        <f aca="false">IFERROR(INDEX(tblRisk[Risk Skoru],MATCH($B38,tblRisk[Müşteri Kodu],0)),0)</f>
        <v>20</v>
      </c>
      <c r="G38" s="19" t="str">
        <f aca="false">IF($F38&gt;=EsikYuksek,"Telefon + yönetici eskalasyonu",IF($E38&gt;YaslamaDilim2,"Telefon + yazılı teyit","Planlı e-posta/telefon"))</f>
        <v>Telefon + yazılı teyit</v>
      </c>
      <c r="H38" s="19" t="str">
        <f aca="false">IF($D38=0,"KAPALI",IF($F38&gt;EsikPesin,"Vadeli satışı durdur ve tahsilat planı al",IF($F38&gt;EsikLimitAzalt,"Peşin/teminatlı satışa geç",IF($F38&gt;EsikIzle,"Limit azalt ve tahsilatı hızlandır","Planlı izleme"))))</f>
        <v>Planlı izleme</v>
      </c>
      <c r="I38" s="19" t="str">
        <f aca="false">IFERROR(INDEX(tblMusteriler[Satış Sorumlusu],MATCH($B38,tblMusteriler[Müşteri Kodu],0)),"Tahsilat Ekibi")</f>
        <v>Tahsilat Ekibi</v>
      </c>
      <c r="J38" s="31" t="n">
        <f aca="false">RaporTarihi+IF($F38&gt;EsikPesin,1,IF($F38&gt;EsikLimitAzalt,AksiyonGunOrta,AksiyonGunUzun))</f>
        <v>46246</v>
      </c>
      <c r="K38" s="20"/>
      <c r="L38" s="20"/>
    </row>
    <row r="39" customFormat="false" ht="15" hidden="false" customHeight="false" outlineLevel="0" collapsed="false">
      <c r="A39" s="19" t="n">
        <f aca="false">IF(YASLANDIRMA!$F39=0,"",IFERROR(_xlfn.RANK.EQ(MUSTERI_RISK_SKORU!$X39,tblRisk[Risk Skoru],0),""))</f>
        <v>4</v>
      </c>
      <c r="B39" s="19" t="n">
        <f aca="false">YASLANDIRMA!$B39</f>
        <v>0</v>
      </c>
      <c r="C39" s="19" t="n">
        <f aca="false">YASLANDIRMA!$A39</f>
        <v>0</v>
      </c>
      <c r="D39" s="19" t="str">
        <f aca="false">YASLANDIRMA!$F39</f>
        <v/>
      </c>
      <c r="E39" s="19" t="str">
        <f aca="false">YASLANDIRMA!$G39</f>
        <v/>
      </c>
      <c r="F39" s="19" t="n">
        <f aca="false">IFERROR(INDEX(tblRisk[Risk Skoru],MATCH($B39,tblRisk[Müşteri Kodu],0)),0)</f>
        <v>20</v>
      </c>
      <c r="G39" s="19" t="str">
        <f aca="false">IF($F39&gt;=EsikYuksek,"Telefon + yönetici eskalasyonu",IF($E39&gt;YaslamaDilim2,"Telefon + yazılı teyit","Planlı e-posta/telefon"))</f>
        <v>Telefon + yazılı teyit</v>
      </c>
      <c r="H39" s="19" t="str">
        <f aca="false">IF($D39=0,"KAPALI",IF($F39&gt;EsikPesin,"Vadeli satışı durdur ve tahsilat planı al",IF($F39&gt;EsikLimitAzalt,"Peşin/teminatlı satışa geç",IF($F39&gt;EsikIzle,"Limit azalt ve tahsilatı hızlandır","Planlı izleme"))))</f>
        <v>Planlı izleme</v>
      </c>
      <c r="I39" s="19" t="str">
        <f aca="false">IFERROR(INDEX(tblMusteriler[Satış Sorumlusu],MATCH($B39,tblMusteriler[Müşteri Kodu],0)),"Tahsilat Ekibi")</f>
        <v>Tahsilat Ekibi</v>
      </c>
      <c r="J39" s="31" t="n">
        <f aca="false">RaporTarihi+IF($F39&gt;EsikPesin,1,IF($F39&gt;EsikLimitAzalt,AksiyonGunOrta,AksiyonGunUzun))</f>
        <v>46246</v>
      </c>
      <c r="K39" s="20"/>
      <c r="L39" s="20"/>
    </row>
    <row r="40" customFormat="false" ht="15" hidden="false" customHeight="false" outlineLevel="0" collapsed="false">
      <c r="A40" s="19" t="n">
        <f aca="false">IF(YASLANDIRMA!$F40=0,"",IFERROR(_xlfn.RANK.EQ(MUSTERI_RISK_SKORU!$X40,tblRisk[Risk Skoru],0),""))</f>
        <v>4</v>
      </c>
      <c r="B40" s="19" t="n">
        <f aca="false">YASLANDIRMA!$B40</f>
        <v>0</v>
      </c>
      <c r="C40" s="19" t="n">
        <f aca="false">YASLANDIRMA!$A40</f>
        <v>0</v>
      </c>
      <c r="D40" s="19" t="str">
        <f aca="false">YASLANDIRMA!$F40</f>
        <v/>
      </c>
      <c r="E40" s="19" t="str">
        <f aca="false">YASLANDIRMA!$G40</f>
        <v/>
      </c>
      <c r="F40" s="19" t="n">
        <f aca="false">IFERROR(INDEX(tblRisk[Risk Skoru],MATCH($B40,tblRisk[Müşteri Kodu],0)),0)</f>
        <v>20</v>
      </c>
      <c r="G40" s="19" t="str">
        <f aca="false">IF($F40&gt;=EsikYuksek,"Telefon + yönetici eskalasyonu",IF($E40&gt;YaslamaDilim2,"Telefon + yazılı teyit","Planlı e-posta/telefon"))</f>
        <v>Telefon + yazılı teyit</v>
      </c>
      <c r="H40" s="19" t="str">
        <f aca="false">IF($D40=0,"KAPALI",IF($F40&gt;EsikPesin,"Vadeli satışı durdur ve tahsilat planı al",IF($F40&gt;EsikLimitAzalt,"Peşin/teminatlı satışa geç",IF($F40&gt;EsikIzle,"Limit azalt ve tahsilatı hızlandır","Planlı izleme"))))</f>
        <v>Planlı izleme</v>
      </c>
      <c r="I40" s="19" t="str">
        <f aca="false">IFERROR(INDEX(tblMusteriler[Satış Sorumlusu],MATCH($B40,tblMusteriler[Müşteri Kodu],0)),"Tahsilat Ekibi")</f>
        <v>Tahsilat Ekibi</v>
      </c>
      <c r="J40" s="31" t="n">
        <f aca="false">RaporTarihi+IF($F40&gt;EsikPesin,1,IF($F40&gt;EsikLimitAzalt,AksiyonGunOrta,AksiyonGunUzun))</f>
        <v>46246</v>
      </c>
      <c r="K40" s="20"/>
      <c r="L40" s="20"/>
    </row>
    <row r="41" customFormat="false" ht="15" hidden="false" customHeight="false" outlineLevel="0" collapsed="false">
      <c r="A41" s="19" t="n">
        <f aca="false">IF(YASLANDIRMA!$F41=0,"",IFERROR(_xlfn.RANK.EQ(MUSTERI_RISK_SKORU!$X41,tblRisk[Risk Skoru],0),""))</f>
        <v>4</v>
      </c>
      <c r="B41" s="19" t="n">
        <f aca="false">YASLANDIRMA!$B41</f>
        <v>0</v>
      </c>
      <c r="C41" s="19" t="n">
        <f aca="false">YASLANDIRMA!$A41</f>
        <v>0</v>
      </c>
      <c r="D41" s="19" t="str">
        <f aca="false">YASLANDIRMA!$F41</f>
        <v/>
      </c>
      <c r="E41" s="19" t="str">
        <f aca="false">YASLANDIRMA!$G41</f>
        <v/>
      </c>
      <c r="F41" s="19" t="n">
        <f aca="false">IFERROR(INDEX(tblRisk[Risk Skoru],MATCH($B41,tblRisk[Müşteri Kodu],0)),0)</f>
        <v>20</v>
      </c>
      <c r="G41" s="19" t="str">
        <f aca="false">IF($F41&gt;=EsikYuksek,"Telefon + yönetici eskalasyonu",IF($E41&gt;YaslamaDilim2,"Telefon + yazılı teyit","Planlı e-posta/telefon"))</f>
        <v>Telefon + yazılı teyit</v>
      </c>
      <c r="H41" s="19" t="str">
        <f aca="false">IF($D41=0,"KAPALI",IF($F41&gt;EsikPesin,"Vadeli satışı durdur ve tahsilat planı al",IF($F41&gt;EsikLimitAzalt,"Peşin/teminatlı satışa geç",IF($F41&gt;EsikIzle,"Limit azalt ve tahsilatı hızlandır","Planlı izleme"))))</f>
        <v>Planlı izleme</v>
      </c>
      <c r="I41" s="19" t="str">
        <f aca="false">IFERROR(INDEX(tblMusteriler[Satış Sorumlusu],MATCH($B41,tblMusteriler[Müşteri Kodu],0)),"Tahsilat Ekibi")</f>
        <v>Tahsilat Ekibi</v>
      </c>
      <c r="J41" s="31" t="n">
        <f aca="false">RaporTarihi+IF($F41&gt;EsikPesin,1,IF($F41&gt;EsikLimitAzalt,AksiyonGunOrta,AksiyonGunUzun))</f>
        <v>46246</v>
      </c>
      <c r="K41" s="20"/>
      <c r="L41" s="20"/>
    </row>
    <row r="42" customFormat="false" ht="15" hidden="false" customHeight="false" outlineLevel="0" collapsed="false">
      <c r="A42" s="19" t="n">
        <f aca="false">IF(YASLANDIRMA!$F42=0,"",IFERROR(_xlfn.RANK.EQ(MUSTERI_RISK_SKORU!$X42,tblRisk[Risk Skoru],0),""))</f>
        <v>4</v>
      </c>
      <c r="B42" s="19" t="n">
        <f aca="false">YASLANDIRMA!$B42</f>
        <v>0</v>
      </c>
      <c r="C42" s="19" t="n">
        <f aca="false">YASLANDIRMA!$A42</f>
        <v>0</v>
      </c>
      <c r="D42" s="19" t="str">
        <f aca="false">YASLANDIRMA!$F42</f>
        <v/>
      </c>
      <c r="E42" s="19" t="str">
        <f aca="false">YASLANDIRMA!$G42</f>
        <v/>
      </c>
      <c r="F42" s="19" t="n">
        <f aca="false">IFERROR(INDEX(tblRisk[Risk Skoru],MATCH($B42,tblRisk[Müşteri Kodu],0)),0)</f>
        <v>20</v>
      </c>
      <c r="G42" s="19" t="str">
        <f aca="false">IF($F42&gt;=EsikYuksek,"Telefon + yönetici eskalasyonu",IF($E42&gt;YaslamaDilim2,"Telefon + yazılı teyit","Planlı e-posta/telefon"))</f>
        <v>Telefon + yazılı teyit</v>
      </c>
      <c r="H42" s="19" t="str">
        <f aca="false">IF($D42=0,"KAPALI",IF($F42&gt;EsikPesin,"Vadeli satışı durdur ve tahsilat planı al",IF($F42&gt;EsikLimitAzalt,"Peşin/teminatlı satışa geç",IF($F42&gt;EsikIzle,"Limit azalt ve tahsilatı hızlandır","Planlı izleme"))))</f>
        <v>Planlı izleme</v>
      </c>
      <c r="I42" s="19" t="str">
        <f aca="false">IFERROR(INDEX(tblMusteriler[Satış Sorumlusu],MATCH($B42,tblMusteriler[Müşteri Kodu],0)),"Tahsilat Ekibi")</f>
        <v>Tahsilat Ekibi</v>
      </c>
      <c r="J42" s="31" t="n">
        <f aca="false">RaporTarihi+IF($F42&gt;EsikPesin,1,IF($F42&gt;EsikLimitAzalt,AksiyonGunOrta,AksiyonGunUzun))</f>
        <v>46246</v>
      </c>
      <c r="K42" s="20"/>
      <c r="L42" s="20"/>
    </row>
    <row r="43" customFormat="false" ht="15" hidden="false" customHeight="false" outlineLevel="0" collapsed="false">
      <c r="A43" s="19" t="n">
        <f aca="false">IF(YASLANDIRMA!$F43=0,"",IFERROR(_xlfn.RANK.EQ(MUSTERI_RISK_SKORU!$X43,tblRisk[Risk Skoru],0),""))</f>
        <v>4</v>
      </c>
      <c r="B43" s="19" t="n">
        <f aca="false">YASLANDIRMA!$B43</f>
        <v>0</v>
      </c>
      <c r="C43" s="19" t="n">
        <f aca="false">YASLANDIRMA!$A43</f>
        <v>0</v>
      </c>
      <c r="D43" s="19" t="str">
        <f aca="false">YASLANDIRMA!$F43</f>
        <v/>
      </c>
      <c r="E43" s="19" t="str">
        <f aca="false">YASLANDIRMA!$G43</f>
        <v/>
      </c>
      <c r="F43" s="19" t="n">
        <f aca="false">IFERROR(INDEX(tblRisk[Risk Skoru],MATCH($B43,tblRisk[Müşteri Kodu],0)),0)</f>
        <v>20</v>
      </c>
      <c r="G43" s="19" t="str">
        <f aca="false">IF($F43&gt;=EsikYuksek,"Telefon + yönetici eskalasyonu",IF($E43&gt;YaslamaDilim2,"Telefon + yazılı teyit","Planlı e-posta/telefon"))</f>
        <v>Telefon + yazılı teyit</v>
      </c>
      <c r="H43" s="19" t="str">
        <f aca="false">IF($D43=0,"KAPALI",IF($F43&gt;EsikPesin,"Vadeli satışı durdur ve tahsilat planı al",IF($F43&gt;EsikLimitAzalt,"Peşin/teminatlı satışa geç",IF($F43&gt;EsikIzle,"Limit azalt ve tahsilatı hızlandır","Planlı izleme"))))</f>
        <v>Planlı izleme</v>
      </c>
      <c r="I43" s="19" t="str">
        <f aca="false">IFERROR(INDEX(tblMusteriler[Satış Sorumlusu],MATCH($B43,tblMusteriler[Müşteri Kodu],0)),"Tahsilat Ekibi")</f>
        <v>Tahsilat Ekibi</v>
      </c>
      <c r="J43" s="31" t="n">
        <f aca="false">RaporTarihi+IF($F43&gt;EsikPesin,1,IF($F43&gt;EsikLimitAzalt,AksiyonGunOrta,AksiyonGunUzun))</f>
        <v>46246</v>
      </c>
      <c r="K43" s="20"/>
      <c r="L43" s="20"/>
    </row>
    <row r="44" customFormat="false" ht="15" hidden="false" customHeight="false" outlineLevel="0" collapsed="false">
      <c r="A44" s="19" t="n">
        <f aca="false">IF(YASLANDIRMA!$F44=0,"",IFERROR(_xlfn.RANK.EQ(MUSTERI_RISK_SKORU!$X44,tblRisk[Risk Skoru],0),""))</f>
        <v>4</v>
      </c>
      <c r="B44" s="19" t="n">
        <f aca="false">YASLANDIRMA!$B44</f>
        <v>0</v>
      </c>
      <c r="C44" s="19" t="n">
        <f aca="false">YASLANDIRMA!$A44</f>
        <v>0</v>
      </c>
      <c r="D44" s="19" t="str">
        <f aca="false">YASLANDIRMA!$F44</f>
        <v/>
      </c>
      <c r="E44" s="19" t="str">
        <f aca="false">YASLANDIRMA!$G44</f>
        <v/>
      </c>
      <c r="F44" s="19" t="n">
        <f aca="false">IFERROR(INDEX(tblRisk[Risk Skoru],MATCH($B44,tblRisk[Müşteri Kodu],0)),0)</f>
        <v>20</v>
      </c>
      <c r="G44" s="19" t="str">
        <f aca="false">IF($F44&gt;=EsikYuksek,"Telefon + yönetici eskalasyonu",IF($E44&gt;YaslamaDilim2,"Telefon + yazılı teyit","Planlı e-posta/telefon"))</f>
        <v>Telefon + yazılı teyit</v>
      </c>
      <c r="H44" s="19" t="str">
        <f aca="false">IF($D44=0,"KAPALI",IF($F44&gt;EsikPesin,"Vadeli satışı durdur ve tahsilat planı al",IF($F44&gt;EsikLimitAzalt,"Peşin/teminatlı satışa geç",IF($F44&gt;EsikIzle,"Limit azalt ve tahsilatı hızlandır","Planlı izleme"))))</f>
        <v>Planlı izleme</v>
      </c>
      <c r="I44" s="19" t="str">
        <f aca="false">IFERROR(INDEX(tblMusteriler[Satış Sorumlusu],MATCH($B44,tblMusteriler[Müşteri Kodu],0)),"Tahsilat Ekibi")</f>
        <v>Tahsilat Ekibi</v>
      </c>
      <c r="J44" s="31" t="n">
        <f aca="false">RaporTarihi+IF($F44&gt;EsikPesin,1,IF($F44&gt;EsikLimitAzalt,AksiyonGunOrta,AksiyonGunUzun))</f>
        <v>46246</v>
      </c>
      <c r="K44" s="20"/>
      <c r="L44" s="20"/>
    </row>
    <row r="45" customFormat="false" ht="15" hidden="false" customHeight="false" outlineLevel="0" collapsed="false">
      <c r="A45" s="19" t="n">
        <f aca="false">IF(YASLANDIRMA!$F45=0,"",IFERROR(_xlfn.RANK.EQ(MUSTERI_RISK_SKORU!$X45,tblRisk[Risk Skoru],0),""))</f>
        <v>4</v>
      </c>
      <c r="B45" s="19" t="n">
        <f aca="false">YASLANDIRMA!$B45</f>
        <v>0</v>
      </c>
      <c r="C45" s="19" t="n">
        <f aca="false">YASLANDIRMA!$A45</f>
        <v>0</v>
      </c>
      <c r="D45" s="19" t="str">
        <f aca="false">YASLANDIRMA!$F45</f>
        <v/>
      </c>
      <c r="E45" s="19" t="str">
        <f aca="false">YASLANDIRMA!$G45</f>
        <v/>
      </c>
      <c r="F45" s="19" t="n">
        <f aca="false">IFERROR(INDEX(tblRisk[Risk Skoru],MATCH($B45,tblRisk[Müşteri Kodu],0)),0)</f>
        <v>20</v>
      </c>
      <c r="G45" s="19" t="str">
        <f aca="false">IF($F45&gt;=EsikYuksek,"Telefon + yönetici eskalasyonu",IF($E45&gt;YaslamaDilim2,"Telefon + yazılı teyit","Planlı e-posta/telefon"))</f>
        <v>Telefon + yazılı teyit</v>
      </c>
      <c r="H45" s="19" t="str">
        <f aca="false">IF($D45=0,"KAPALI",IF($F45&gt;EsikPesin,"Vadeli satışı durdur ve tahsilat planı al",IF($F45&gt;EsikLimitAzalt,"Peşin/teminatlı satışa geç",IF($F45&gt;EsikIzle,"Limit azalt ve tahsilatı hızlandır","Planlı izleme"))))</f>
        <v>Planlı izleme</v>
      </c>
      <c r="I45" s="19" t="str">
        <f aca="false">IFERROR(INDEX(tblMusteriler[Satış Sorumlusu],MATCH($B45,tblMusteriler[Müşteri Kodu],0)),"Tahsilat Ekibi")</f>
        <v>Tahsilat Ekibi</v>
      </c>
      <c r="J45" s="31" t="n">
        <f aca="false">RaporTarihi+IF($F45&gt;EsikPesin,1,IF($F45&gt;EsikLimitAzalt,AksiyonGunOrta,AksiyonGunUzun))</f>
        <v>46246</v>
      </c>
      <c r="K45" s="20"/>
      <c r="L45" s="20"/>
    </row>
    <row r="46" customFormat="false" ht="15" hidden="false" customHeight="false" outlineLevel="0" collapsed="false">
      <c r="K46" s="20"/>
      <c r="L46" s="20"/>
    </row>
    <row r="47" customFormat="false" ht="15" hidden="false" customHeight="false" outlineLevel="0" collapsed="false">
      <c r="K47" s="20"/>
      <c r="L47" s="20"/>
    </row>
    <row r="48" customFormat="false" ht="15" hidden="false" customHeight="false" outlineLevel="0" collapsed="false">
      <c r="K48" s="20"/>
      <c r="L48" s="20"/>
    </row>
    <row r="49" customFormat="false" ht="15" hidden="false" customHeight="false" outlineLevel="0" collapsed="false">
      <c r="K49" s="20"/>
      <c r="L49" s="20"/>
    </row>
    <row r="50" customFormat="false" ht="15" hidden="false" customHeight="false" outlineLevel="0" collapsed="false">
      <c r="K50" s="20"/>
      <c r="L50" s="20"/>
    </row>
    <row r="51" customFormat="false" ht="15" hidden="false" customHeight="false" outlineLevel="0" collapsed="false">
      <c r="K51" s="20"/>
      <c r="L51" s="20"/>
    </row>
    <row r="52" customFormat="false" ht="15" hidden="false" customHeight="false" outlineLevel="0" collapsed="false">
      <c r="K52" s="20"/>
      <c r="L52" s="20"/>
    </row>
    <row r="53" customFormat="false" ht="15" hidden="false" customHeight="false" outlineLevel="0" collapsed="false">
      <c r="K53" s="20"/>
      <c r="L53" s="20"/>
    </row>
    <row r="54" customFormat="false" ht="15" hidden="false" customHeight="false" outlineLevel="0" collapsed="false">
      <c r="K54" s="20"/>
      <c r="L54" s="20"/>
    </row>
    <row r="55" customFormat="false" ht="15" hidden="false" customHeight="false" outlineLevel="0" collapsed="false">
      <c r="K55" s="20"/>
      <c r="L55" s="20"/>
    </row>
    <row r="56" customFormat="false" ht="15" hidden="false" customHeight="false" outlineLevel="0" collapsed="false">
      <c r="K56" s="20"/>
      <c r="L56" s="20"/>
    </row>
    <row r="57" customFormat="false" ht="15" hidden="false" customHeight="false" outlineLevel="0" collapsed="false">
      <c r="K57" s="20"/>
      <c r="L57" s="20"/>
    </row>
    <row r="58" customFormat="false" ht="15" hidden="false" customHeight="false" outlineLevel="0" collapsed="false">
      <c r="K58" s="20"/>
      <c r="L58" s="20"/>
    </row>
    <row r="59" customFormat="false" ht="15" hidden="false" customHeight="false" outlineLevel="0" collapsed="false">
      <c r="K59" s="20"/>
      <c r="L59" s="20"/>
    </row>
    <row r="60" customFormat="false" ht="15" hidden="false" customHeight="false" outlineLevel="0" collapsed="false">
      <c r="K60" s="20"/>
      <c r="L60" s="20"/>
    </row>
    <row r="61" customFormat="false" ht="15" hidden="false" customHeight="false" outlineLevel="0" collapsed="false">
      <c r="K61" s="20"/>
      <c r="L61" s="20"/>
    </row>
    <row r="62" customFormat="false" ht="15" hidden="false" customHeight="false" outlineLevel="0" collapsed="false">
      <c r="K62" s="20"/>
      <c r="L62" s="20"/>
    </row>
    <row r="63" customFormat="false" ht="15" hidden="false" customHeight="false" outlineLevel="0" collapsed="false">
      <c r="K63" s="20"/>
      <c r="L63" s="20"/>
    </row>
    <row r="64" customFormat="false" ht="15" hidden="false" customHeight="false" outlineLevel="0" collapsed="false">
      <c r="K64" s="20"/>
      <c r="L64" s="20"/>
    </row>
    <row r="65" customFormat="false" ht="15" hidden="false" customHeight="false" outlineLevel="0" collapsed="false">
      <c r="K65" s="20"/>
      <c r="L65" s="20"/>
    </row>
    <row r="66" customFormat="false" ht="15" hidden="false" customHeight="false" outlineLevel="0" collapsed="false">
      <c r="K66" s="20"/>
      <c r="L66" s="20"/>
    </row>
    <row r="67" customFormat="false" ht="15" hidden="false" customHeight="false" outlineLevel="0" collapsed="false">
      <c r="K67" s="20"/>
      <c r="L67" s="20"/>
    </row>
    <row r="68" customFormat="false" ht="15" hidden="false" customHeight="false" outlineLevel="0" collapsed="false">
      <c r="K68" s="20"/>
      <c r="L68" s="20"/>
    </row>
    <row r="69" customFormat="false" ht="15" hidden="false" customHeight="false" outlineLevel="0" collapsed="false">
      <c r="K69" s="20"/>
      <c r="L69" s="20"/>
    </row>
    <row r="70" customFormat="false" ht="15" hidden="false" customHeight="false" outlineLevel="0" collapsed="false">
      <c r="K70" s="20"/>
      <c r="L70" s="20"/>
    </row>
    <row r="71" customFormat="false" ht="15" hidden="false" customHeight="false" outlineLevel="0" collapsed="false">
      <c r="K71" s="20"/>
      <c r="L71" s="20"/>
    </row>
    <row r="72" customFormat="false" ht="15" hidden="false" customHeight="false" outlineLevel="0" collapsed="false">
      <c r="K72" s="20"/>
      <c r="L72" s="20"/>
    </row>
    <row r="73" customFormat="false" ht="15" hidden="false" customHeight="false" outlineLevel="0" collapsed="false">
      <c r="K73" s="20"/>
      <c r="L73" s="20"/>
    </row>
    <row r="74" customFormat="false" ht="15" hidden="false" customHeight="false" outlineLevel="0" collapsed="false">
      <c r="K74" s="20"/>
      <c r="L74" s="20"/>
    </row>
    <row r="75" customFormat="false" ht="15" hidden="false" customHeight="false" outlineLevel="0" collapsed="false">
      <c r="K75" s="20"/>
      <c r="L75" s="20"/>
    </row>
    <row r="76" customFormat="false" ht="15" hidden="false" customHeight="false" outlineLevel="0" collapsed="false">
      <c r="K76" s="20"/>
      <c r="L76" s="20"/>
    </row>
    <row r="77" customFormat="false" ht="15" hidden="false" customHeight="false" outlineLevel="0" collapsed="false">
      <c r="K77" s="20"/>
      <c r="L77" s="20"/>
    </row>
    <row r="78" customFormat="false" ht="15" hidden="false" customHeight="false" outlineLevel="0" collapsed="false">
      <c r="K78" s="20"/>
      <c r="L78" s="20"/>
    </row>
    <row r="79" customFormat="false" ht="15" hidden="false" customHeight="false" outlineLevel="0" collapsed="false">
      <c r="K79" s="20"/>
      <c r="L79" s="20"/>
    </row>
    <row r="80" customFormat="false" ht="15" hidden="false" customHeight="false" outlineLevel="0" collapsed="false">
      <c r="K80" s="20"/>
      <c r="L80" s="20"/>
    </row>
    <row r="81" customFormat="false" ht="15" hidden="false" customHeight="false" outlineLevel="0" collapsed="false">
      <c r="K81" s="20"/>
      <c r="L81" s="20"/>
    </row>
    <row r="82" customFormat="false" ht="15" hidden="false" customHeight="false" outlineLevel="0" collapsed="false">
      <c r="K82" s="20"/>
      <c r="L82" s="20"/>
    </row>
    <row r="83" customFormat="false" ht="15" hidden="false" customHeight="false" outlineLevel="0" collapsed="false">
      <c r="K83" s="20"/>
      <c r="L83" s="20"/>
    </row>
    <row r="84" customFormat="false" ht="15" hidden="false" customHeight="false" outlineLevel="0" collapsed="false">
      <c r="K84" s="20"/>
      <c r="L84" s="20"/>
    </row>
    <row r="85" customFormat="false" ht="15" hidden="false" customHeight="false" outlineLevel="0" collapsed="false">
      <c r="K85" s="20"/>
      <c r="L85" s="20"/>
    </row>
    <row r="86" customFormat="false" ht="15" hidden="false" customHeight="false" outlineLevel="0" collapsed="false">
      <c r="K86" s="20"/>
      <c r="L86" s="20"/>
    </row>
    <row r="87" customFormat="false" ht="15" hidden="false" customHeight="false" outlineLevel="0" collapsed="false">
      <c r="K87" s="20"/>
      <c r="L87" s="20"/>
    </row>
    <row r="88" customFormat="false" ht="15" hidden="false" customHeight="false" outlineLevel="0" collapsed="false">
      <c r="K88" s="20"/>
      <c r="L88" s="20"/>
    </row>
    <row r="89" customFormat="false" ht="15" hidden="false" customHeight="false" outlineLevel="0" collapsed="false">
      <c r="K89" s="20"/>
      <c r="L89" s="20"/>
    </row>
    <row r="90" customFormat="false" ht="15" hidden="false" customHeight="false" outlineLevel="0" collapsed="false">
      <c r="K90" s="20"/>
      <c r="L90" s="20"/>
    </row>
    <row r="91" customFormat="false" ht="15" hidden="false" customHeight="false" outlineLevel="0" collapsed="false">
      <c r="K91" s="20"/>
      <c r="L91" s="20"/>
    </row>
    <row r="92" customFormat="false" ht="15" hidden="false" customHeight="false" outlineLevel="0" collapsed="false">
      <c r="K92" s="20"/>
      <c r="L92" s="20"/>
    </row>
    <row r="93" customFormat="false" ht="15" hidden="false" customHeight="false" outlineLevel="0" collapsed="false">
      <c r="K93" s="20"/>
      <c r="L93" s="20"/>
    </row>
    <row r="94" customFormat="false" ht="15" hidden="false" customHeight="false" outlineLevel="0" collapsed="false">
      <c r="K94" s="20"/>
      <c r="L94" s="20"/>
    </row>
    <row r="95" customFormat="false" ht="15" hidden="false" customHeight="false" outlineLevel="0" collapsed="false">
      <c r="K95" s="20"/>
      <c r="L95" s="20"/>
    </row>
    <row r="96" customFormat="false" ht="15" hidden="false" customHeight="false" outlineLevel="0" collapsed="false">
      <c r="K96" s="20"/>
      <c r="L96" s="20"/>
    </row>
    <row r="97" customFormat="false" ht="15" hidden="false" customHeight="false" outlineLevel="0" collapsed="false">
      <c r="K97" s="20"/>
      <c r="L97" s="20"/>
    </row>
    <row r="98" customFormat="false" ht="15" hidden="false" customHeight="false" outlineLevel="0" collapsed="false">
      <c r="K98" s="20"/>
      <c r="L98" s="20"/>
    </row>
    <row r="99" customFormat="false" ht="15" hidden="false" customHeight="false" outlineLevel="0" collapsed="false">
      <c r="K99" s="20"/>
      <c r="L99" s="20"/>
    </row>
    <row r="100" customFormat="false" ht="15" hidden="false" customHeight="false" outlineLevel="0" collapsed="false">
      <c r="K100" s="20"/>
      <c r="L100" s="20"/>
    </row>
    <row r="101" customFormat="false" ht="15" hidden="false" customHeight="false" outlineLevel="0" collapsed="false">
      <c r="K101" s="20"/>
      <c r="L101" s="20"/>
    </row>
    <row r="102" customFormat="false" ht="15" hidden="false" customHeight="false" outlineLevel="0" collapsed="false">
      <c r="K102" s="20"/>
      <c r="L102" s="20"/>
    </row>
    <row r="103" customFormat="false" ht="15" hidden="false" customHeight="false" outlineLevel="0" collapsed="false">
      <c r="K103" s="20"/>
      <c r="L103" s="20"/>
    </row>
    <row r="104" customFormat="false" ht="15" hidden="false" customHeight="false" outlineLevel="0" collapsed="false">
      <c r="K104" s="20"/>
      <c r="L104" s="20"/>
    </row>
    <row r="105" customFormat="false" ht="15" hidden="false" customHeight="false" outlineLevel="0" collapsed="false">
      <c r="K105" s="20"/>
      <c r="L105" s="20"/>
    </row>
    <row r="106" customFormat="false" ht="15" hidden="false" customHeight="false" outlineLevel="0" collapsed="false">
      <c r="K106" s="20"/>
      <c r="L106" s="20"/>
    </row>
    <row r="107" customFormat="false" ht="15" hidden="false" customHeight="false" outlineLevel="0" collapsed="false">
      <c r="K107" s="20"/>
      <c r="L107" s="20"/>
    </row>
    <row r="108" customFormat="false" ht="15" hidden="false" customHeight="false" outlineLevel="0" collapsed="false">
      <c r="K108" s="20"/>
      <c r="L108" s="20"/>
    </row>
    <row r="109" customFormat="false" ht="15" hidden="false" customHeight="false" outlineLevel="0" collapsed="false">
      <c r="K109" s="20"/>
      <c r="L109" s="20"/>
    </row>
    <row r="110" customFormat="false" ht="15" hidden="false" customHeight="false" outlineLevel="0" collapsed="false">
      <c r="K110" s="20"/>
      <c r="L110" s="20"/>
    </row>
    <row r="111" customFormat="false" ht="15" hidden="false" customHeight="false" outlineLevel="0" collapsed="false">
      <c r="K111" s="20"/>
      <c r="L111" s="20"/>
    </row>
    <row r="112" customFormat="false" ht="15" hidden="false" customHeight="false" outlineLevel="0" collapsed="false">
      <c r="K112" s="20"/>
      <c r="L112" s="20"/>
    </row>
    <row r="113" customFormat="false" ht="15" hidden="false" customHeight="false" outlineLevel="0" collapsed="false">
      <c r="K113" s="20"/>
      <c r="L113" s="20"/>
    </row>
    <row r="114" customFormat="false" ht="15" hidden="false" customHeight="false" outlineLevel="0" collapsed="false">
      <c r="K114" s="20"/>
      <c r="L114" s="20"/>
    </row>
    <row r="115" customFormat="false" ht="15" hidden="false" customHeight="false" outlineLevel="0" collapsed="false">
      <c r="K115" s="20"/>
      <c r="L115" s="20"/>
    </row>
    <row r="116" customFormat="false" ht="15" hidden="false" customHeight="false" outlineLevel="0" collapsed="false">
      <c r="K116" s="20"/>
      <c r="L116" s="20"/>
    </row>
    <row r="117" customFormat="false" ht="15" hidden="false" customHeight="false" outlineLevel="0" collapsed="false">
      <c r="K117" s="20"/>
      <c r="L117" s="20"/>
    </row>
    <row r="118" customFormat="false" ht="15" hidden="false" customHeight="false" outlineLevel="0" collapsed="false">
      <c r="K118" s="20"/>
      <c r="L118" s="20"/>
    </row>
    <row r="119" customFormat="false" ht="15" hidden="false" customHeight="false" outlineLevel="0" collapsed="false">
      <c r="K119" s="20"/>
      <c r="L119" s="20"/>
    </row>
    <row r="120" customFormat="false" ht="15" hidden="false" customHeight="false" outlineLevel="0" collapsed="false">
      <c r="K120" s="20"/>
      <c r="L120" s="20"/>
    </row>
    <row r="121" customFormat="false" ht="15" hidden="false" customHeight="false" outlineLevel="0" collapsed="false">
      <c r="K121" s="20"/>
      <c r="L121" s="20"/>
    </row>
    <row r="122" customFormat="false" ht="15" hidden="false" customHeight="false" outlineLevel="0" collapsed="false">
      <c r="K122" s="20"/>
      <c r="L122" s="20"/>
    </row>
    <row r="123" customFormat="false" ht="15" hidden="false" customHeight="false" outlineLevel="0" collapsed="false">
      <c r="K123" s="20"/>
      <c r="L123" s="20"/>
    </row>
    <row r="124" customFormat="false" ht="15" hidden="false" customHeight="false" outlineLevel="0" collapsed="false">
      <c r="K124" s="20"/>
      <c r="L124" s="20"/>
    </row>
    <row r="125" customFormat="false" ht="15" hidden="false" customHeight="false" outlineLevel="0" collapsed="false">
      <c r="K125" s="20"/>
      <c r="L125" s="20"/>
    </row>
    <row r="126" customFormat="false" ht="15" hidden="false" customHeight="false" outlineLevel="0" collapsed="false">
      <c r="K126" s="20"/>
      <c r="L126" s="20"/>
    </row>
    <row r="127" customFormat="false" ht="15" hidden="false" customHeight="false" outlineLevel="0" collapsed="false">
      <c r="K127" s="20"/>
      <c r="L127" s="20"/>
    </row>
    <row r="128" customFormat="false" ht="15" hidden="false" customHeight="false" outlineLevel="0" collapsed="false">
      <c r="K128" s="20"/>
      <c r="L128" s="20"/>
    </row>
    <row r="129" customFormat="false" ht="15" hidden="false" customHeight="false" outlineLevel="0" collapsed="false">
      <c r="K129" s="20"/>
      <c r="L129" s="20"/>
    </row>
    <row r="130" customFormat="false" ht="15" hidden="false" customHeight="false" outlineLevel="0" collapsed="false">
      <c r="K130" s="20"/>
      <c r="L130" s="20"/>
    </row>
    <row r="131" customFormat="false" ht="15" hidden="false" customHeight="false" outlineLevel="0" collapsed="false">
      <c r="K131" s="20"/>
      <c r="L131" s="20"/>
    </row>
    <row r="132" customFormat="false" ht="15" hidden="false" customHeight="false" outlineLevel="0" collapsed="false">
      <c r="K132" s="20"/>
      <c r="L132" s="20"/>
    </row>
    <row r="133" customFormat="false" ht="15" hidden="false" customHeight="false" outlineLevel="0" collapsed="false">
      <c r="K133" s="20"/>
      <c r="L133" s="20"/>
    </row>
    <row r="134" customFormat="false" ht="15" hidden="false" customHeight="false" outlineLevel="0" collapsed="false">
      <c r="K134" s="20"/>
      <c r="L134" s="20"/>
    </row>
    <row r="135" customFormat="false" ht="15" hidden="false" customHeight="false" outlineLevel="0" collapsed="false">
      <c r="K135" s="20"/>
      <c r="L135" s="20"/>
    </row>
    <row r="136" customFormat="false" ht="15" hidden="false" customHeight="false" outlineLevel="0" collapsed="false">
      <c r="K136" s="20"/>
      <c r="L136" s="20"/>
    </row>
    <row r="137" customFormat="false" ht="15" hidden="false" customHeight="false" outlineLevel="0" collapsed="false">
      <c r="K137" s="20"/>
      <c r="L137" s="20"/>
    </row>
    <row r="138" customFormat="false" ht="15" hidden="false" customHeight="false" outlineLevel="0" collapsed="false">
      <c r="K138" s="20"/>
      <c r="L138" s="20"/>
    </row>
    <row r="139" customFormat="false" ht="15" hidden="false" customHeight="false" outlineLevel="0" collapsed="false">
      <c r="K139" s="20"/>
      <c r="L139" s="20"/>
    </row>
    <row r="140" customFormat="false" ht="15" hidden="false" customHeight="false" outlineLevel="0" collapsed="false">
      <c r="K140" s="20"/>
      <c r="L140" s="20"/>
    </row>
    <row r="141" customFormat="false" ht="15" hidden="false" customHeight="false" outlineLevel="0" collapsed="false">
      <c r="K141" s="20"/>
      <c r="L141" s="20"/>
    </row>
    <row r="142" customFormat="false" ht="15" hidden="false" customHeight="false" outlineLevel="0" collapsed="false">
      <c r="K142" s="20"/>
      <c r="L142" s="20"/>
    </row>
    <row r="143" customFormat="false" ht="15" hidden="false" customHeight="false" outlineLevel="0" collapsed="false">
      <c r="K143" s="20"/>
      <c r="L143" s="20"/>
    </row>
    <row r="144" customFormat="false" ht="15" hidden="false" customHeight="false" outlineLevel="0" collapsed="false">
      <c r="K144" s="20"/>
      <c r="L144" s="20"/>
    </row>
    <row r="145" customFormat="false" ht="15" hidden="false" customHeight="false" outlineLevel="0" collapsed="false">
      <c r="K145" s="20"/>
      <c r="L145" s="20"/>
    </row>
    <row r="146" customFormat="false" ht="15" hidden="false" customHeight="false" outlineLevel="0" collapsed="false">
      <c r="K146" s="20"/>
      <c r="L146" s="20"/>
    </row>
    <row r="147" customFormat="false" ht="15" hidden="false" customHeight="false" outlineLevel="0" collapsed="false">
      <c r="K147" s="20"/>
      <c r="L147" s="20"/>
    </row>
    <row r="148" customFormat="false" ht="15" hidden="false" customHeight="false" outlineLevel="0" collapsed="false">
      <c r="K148" s="20"/>
      <c r="L148" s="20"/>
    </row>
    <row r="149" customFormat="false" ht="15" hidden="false" customHeight="false" outlineLevel="0" collapsed="false">
      <c r="K149" s="20"/>
      <c r="L149" s="20"/>
    </row>
    <row r="150" customFormat="false" ht="15" hidden="false" customHeight="false" outlineLevel="0" collapsed="false">
      <c r="K150" s="20"/>
      <c r="L150" s="20"/>
    </row>
    <row r="151" customFormat="false" ht="15" hidden="false" customHeight="false" outlineLevel="0" collapsed="false">
      <c r="K151" s="20"/>
      <c r="L151" s="20"/>
    </row>
    <row r="152" customFormat="false" ht="15" hidden="false" customHeight="false" outlineLevel="0" collapsed="false">
      <c r="K152" s="20"/>
      <c r="L152" s="20"/>
    </row>
    <row r="153" customFormat="false" ht="15" hidden="false" customHeight="false" outlineLevel="0" collapsed="false">
      <c r="K153" s="20"/>
      <c r="L153" s="20"/>
    </row>
    <row r="154" customFormat="false" ht="15" hidden="false" customHeight="false" outlineLevel="0" collapsed="false">
      <c r="K154" s="20"/>
      <c r="L154" s="20"/>
    </row>
    <row r="155" customFormat="false" ht="15" hidden="false" customHeight="false" outlineLevel="0" collapsed="false">
      <c r="K155" s="20"/>
      <c r="L155" s="20"/>
    </row>
    <row r="156" customFormat="false" ht="15" hidden="false" customHeight="false" outlineLevel="0" collapsed="false">
      <c r="K156" s="20"/>
      <c r="L156" s="20"/>
    </row>
    <row r="157" customFormat="false" ht="15" hidden="false" customHeight="false" outlineLevel="0" collapsed="false">
      <c r="K157" s="20"/>
      <c r="L157" s="20"/>
    </row>
    <row r="158" customFormat="false" ht="15" hidden="false" customHeight="false" outlineLevel="0" collapsed="false">
      <c r="K158" s="20"/>
      <c r="L158" s="20"/>
    </row>
    <row r="159" customFormat="false" ht="15" hidden="false" customHeight="false" outlineLevel="0" collapsed="false">
      <c r="K159" s="20"/>
      <c r="L159" s="20"/>
    </row>
    <row r="160" customFormat="false" ht="15" hidden="false" customHeight="false" outlineLevel="0" collapsed="false">
      <c r="K160" s="20"/>
      <c r="L160" s="20"/>
    </row>
    <row r="161" customFormat="false" ht="15" hidden="false" customHeight="false" outlineLevel="0" collapsed="false">
      <c r="K161" s="20"/>
      <c r="L161" s="20"/>
    </row>
    <row r="162" customFormat="false" ht="15" hidden="false" customHeight="false" outlineLevel="0" collapsed="false">
      <c r="K162" s="20"/>
      <c r="L162" s="20"/>
    </row>
    <row r="163" customFormat="false" ht="15" hidden="false" customHeight="false" outlineLevel="0" collapsed="false">
      <c r="K163" s="20"/>
      <c r="L163" s="20"/>
    </row>
    <row r="164" customFormat="false" ht="15" hidden="false" customHeight="false" outlineLevel="0" collapsed="false">
      <c r="K164" s="20"/>
      <c r="L164" s="20"/>
    </row>
    <row r="165" customFormat="false" ht="15" hidden="false" customHeight="false" outlineLevel="0" collapsed="false">
      <c r="K165" s="20"/>
      <c r="L165" s="20"/>
    </row>
    <row r="166" customFormat="false" ht="15" hidden="false" customHeight="false" outlineLevel="0" collapsed="false">
      <c r="K166" s="20"/>
      <c r="L166" s="20"/>
    </row>
    <row r="167" customFormat="false" ht="15" hidden="false" customHeight="false" outlineLevel="0" collapsed="false">
      <c r="K167" s="20"/>
      <c r="L167" s="20"/>
    </row>
    <row r="168" customFormat="false" ht="15" hidden="false" customHeight="false" outlineLevel="0" collapsed="false">
      <c r="K168" s="20"/>
      <c r="L168" s="20"/>
    </row>
    <row r="169" customFormat="false" ht="15" hidden="false" customHeight="false" outlineLevel="0" collapsed="false">
      <c r="K169" s="20"/>
      <c r="L169" s="20"/>
    </row>
    <row r="170" customFormat="false" ht="15" hidden="false" customHeight="false" outlineLevel="0" collapsed="false">
      <c r="K170" s="20"/>
      <c r="L170" s="20"/>
    </row>
    <row r="171" customFormat="false" ht="15" hidden="false" customHeight="false" outlineLevel="0" collapsed="false">
      <c r="K171" s="20"/>
      <c r="L171" s="20"/>
    </row>
    <row r="172" customFormat="false" ht="15" hidden="false" customHeight="false" outlineLevel="0" collapsed="false">
      <c r="K172" s="20"/>
      <c r="L172" s="20"/>
    </row>
    <row r="173" customFormat="false" ht="15" hidden="false" customHeight="false" outlineLevel="0" collapsed="false">
      <c r="K173" s="20"/>
      <c r="L173" s="20"/>
    </row>
    <row r="174" customFormat="false" ht="15" hidden="false" customHeight="false" outlineLevel="0" collapsed="false">
      <c r="K174" s="20"/>
      <c r="L174" s="20"/>
    </row>
    <row r="175" customFormat="false" ht="15" hidden="false" customHeight="false" outlineLevel="0" collapsed="false">
      <c r="K175" s="20"/>
      <c r="L175" s="20"/>
    </row>
    <row r="176" customFormat="false" ht="15" hidden="false" customHeight="false" outlineLevel="0" collapsed="false">
      <c r="K176" s="20"/>
      <c r="L176" s="20"/>
    </row>
    <row r="177" customFormat="false" ht="15" hidden="false" customHeight="false" outlineLevel="0" collapsed="false">
      <c r="K177" s="20"/>
      <c r="L177" s="20"/>
    </row>
    <row r="178" customFormat="false" ht="15" hidden="false" customHeight="false" outlineLevel="0" collapsed="false">
      <c r="K178" s="20"/>
      <c r="L178" s="20"/>
    </row>
    <row r="179" customFormat="false" ht="15" hidden="false" customHeight="false" outlineLevel="0" collapsed="false">
      <c r="K179" s="20"/>
      <c r="L179" s="20"/>
    </row>
    <row r="180" customFormat="false" ht="15" hidden="false" customHeight="false" outlineLevel="0" collapsed="false">
      <c r="K180" s="20"/>
      <c r="L180" s="20"/>
    </row>
    <row r="181" customFormat="false" ht="15" hidden="false" customHeight="false" outlineLevel="0" collapsed="false">
      <c r="K181" s="20"/>
      <c r="L181" s="20"/>
    </row>
    <row r="182" customFormat="false" ht="15" hidden="false" customHeight="false" outlineLevel="0" collapsed="false">
      <c r="K182" s="20"/>
      <c r="L182" s="20"/>
    </row>
    <row r="183" customFormat="false" ht="15" hidden="false" customHeight="false" outlineLevel="0" collapsed="false">
      <c r="K183" s="20"/>
      <c r="L183" s="20"/>
    </row>
    <row r="184" customFormat="false" ht="15" hidden="false" customHeight="false" outlineLevel="0" collapsed="false">
      <c r="K184" s="20"/>
      <c r="L184" s="20"/>
    </row>
    <row r="185" customFormat="false" ht="15" hidden="false" customHeight="false" outlineLevel="0" collapsed="false">
      <c r="K185" s="20"/>
      <c r="L185" s="20"/>
    </row>
    <row r="186" customFormat="false" ht="15" hidden="false" customHeight="false" outlineLevel="0" collapsed="false">
      <c r="K186" s="20"/>
      <c r="L186" s="20"/>
    </row>
    <row r="187" customFormat="false" ht="15" hidden="false" customHeight="false" outlineLevel="0" collapsed="false">
      <c r="K187" s="20"/>
      <c r="L187" s="20"/>
    </row>
    <row r="188" customFormat="false" ht="15" hidden="false" customHeight="false" outlineLevel="0" collapsed="false">
      <c r="K188" s="20"/>
      <c r="L188" s="20"/>
    </row>
    <row r="189" customFormat="false" ht="15" hidden="false" customHeight="false" outlineLevel="0" collapsed="false">
      <c r="K189" s="20"/>
      <c r="L189" s="20"/>
    </row>
    <row r="190" customFormat="false" ht="15" hidden="false" customHeight="false" outlineLevel="0" collapsed="false">
      <c r="K190" s="20"/>
      <c r="L190" s="20"/>
    </row>
    <row r="191" customFormat="false" ht="15" hidden="false" customHeight="false" outlineLevel="0" collapsed="false">
      <c r="K191" s="20"/>
      <c r="L191" s="20"/>
    </row>
    <row r="192" customFormat="false" ht="15" hidden="false" customHeight="false" outlineLevel="0" collapsed="false">
      <c r="K192" s="20"/>
      <c r="L192" s="20"/>
    </row>
    <row r="193" customFormat="false" ht="15" hidden="false" customHeight="false" outlineLevel="0" collapsed="false">
      <c r="K193" s="20"/>
      <c r="L193" s="20"/>
    </row>
    <row r="194" customFormat="false" ht="15" hidden="false" customHeight="false" outlineLevel="0" collapsed="false">
      <c r="K194" s="20"/>
      <c r="L194" s="20"/>
    </row>
    <row r="195" customFormat="false" ht="15" hidden="false" customHeight="false" outlineLevel="0" collapsed="false">
      <c r="K195" s="20"/>
      <c r="L195" s="20"/>
    </row>
    <row r="196" customFormat="false" ht="15" hidden="false" customHeight="false" outlineLevel="0" collapsed="false">
      <c r="K196" s="20"/>
      <c r="L196" s="20"/>
    </row>
    <row r="197" customFormat="false" ht="15" hidden="false" customHeight="false" outlineLevel="0" collapsed="false">
      <c r="K197" s="20"/>
      <c r="L197" s="20"/>
    </row>
    <row r="198" customFormat="false" ht="15" hidden="false" customHeight="false" outlineLevel="0" collapsed="false">
      <c r="K198" s="20"/>
      <c r="L198" s="20"/>
    </row>
    <row r="199" customFormat="false" ht="15" hidden="false" customHeight="false" outlineLevel="0" collapsed="false">
      <c r="K199" s="20"/>
      <c r="L199" s="20"/>
    </row>
    <row r="200" customFormat="false" ht="15" hidden="false" customHeight="false" outlineLevel="0" collapsed="false">
      <c r="K200" s="20"/>
      <c r="L200" s="20"/>
    </row>
    <row r="201" customFormat="false" ht="15" hidden="false" customHeight="false" outlineLevel="0" collapsed="false">
      <c r="K201" s="20"/>
      <c r="L201" s="20"/>
    </row>
    <row r="202" customFormat="false" ht="15" hidden="false" customHeight="false" outlineLevel="0" collapsed="false">
      <c r="K202" s="20"/>
      <c r="L202" s="20"/>
    </row>
    <row r="203" customFormat="false" ht="15" hidden="false" customHeight="false" outlineLevel="0" collapsed="false">
      <c r="K203" s="20"/>
      <c r="L203" s="20"/>
    </row>
    <row r="204" customFormat="false" ht="15" hidden="false" customHeight="false" outlineLevel="0" collapsed="false">
      <c r="K204" s="20"/>
      <c r="L204" s="20"/>
    </row>
  </sheetData>
  <sheetProtection sheet="true" password="cc3d" objects="true" scenarios="true" deleteColumns="false" deleteRows="false"/>
  <mergeCells count="2">
    <mergeCell ref="A1:AN1"/>
    <mergeCell ref="A3:L3"/>
  </mergeCells>
  <conditionalFormatting sqref="D6:D204">
    <cfRule type="cellIs" priority="2" operator="lessThan" aboveAverage="0" equalAverage="0" bottom="0" percent="0" rank="0" text="" dxfId="11">
      <formula>0</formula>
    </cfRule>
  </conditionalFormatting>
  <conditionalFormatting sqref="F6:F204">
    <cfRule type="cellIs" priority="3" operator="greaterThan" aboveAverage="0" equalAverage="0" bottom="0" percent="0" rank="0" text="" dxfId="11">
      <formula>84</formula>
    </cfRule>
  </conditionalFormatting>
  <conditionalFormatting sqref="K6:K204">
    <cfRule type="cellIs" priority="4" operator="equal" aboveAverage="0" equalAverage="0" bottom="0" percent="0" rank="0" text="" dxfId="9">
      <formula>"TAMAMLANDI"</formula>
    </cfRule>
    <cfRule type="cellIs" priority="5" operator="equal" aboveAverage="0" equalAverage="0" bottom="0" percent="0" rank="0" text="" dxfId="10">
      <formula>"DEVAM EDİYOR"</formula>
    </cfRule>
  </conditionalFormatting>
  <conditionalFormatting sqref="J6:J204">
    <cfRule type="cellIs" priority="6" operator="lessThan" aboveAverage="0" equalAverage="0" bottom="0" percent="0" rank="0" text="" dxfId="11">
      <formula>0</formula>
    </cfRule>
  </conditionalFormatting>
  <dataValidations count="1">
    <dataValidation allowBlank="true" error="Lütfen listeden geçerli bir durum seçin." errorStyle="stop" errorTitle="Geçersiz Durum" operator="between" prompt="TAMAMLANDI veya DEVAM EDİYOR seçin." promptTitle="Durum" showDropDown="false" showErrorMessage="true" showInputMessage="true" sqref="K6:K204" type="list">
      <formula1>ListeAksiyonDurum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28"/>
    <col collapsed="false" customWidth="true" hidden="false" outlineLevel="0" max="13" min="13" style="0" width="8"/>
    <col collapsed="false" customWidth="true" hidden="false" outlineLevel="0" max="14" min="14" style="0" width="24"/>
  </cols>
  <sheetData>
    <row r="1" customFormat="false" ht="25.5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0" t="s">
        <v>257</v>
      </c>
      <c r="B3" s="32" t="str">
        <f aca="false">IF(COUNTIF(tblFaturalar[Müşteri Kodu],"?*")=0,"VERİ YOK",IF(COUNTIF(tblRisk[Risk Skoru],"&gt;84")&gt;0,"VADELİ SATIŞI DURDUR",IF(COUNTIF(tblRisk[Risk Skoru],"&gt;69")&gt;0,"LİMİTİ AZALT","KONTROLLÜ")))</f>
        <v>VADELİ SATIŞI DURDUR</v>
      </c>
      <c r="C3" s="32"/>
      <c r="D3" s="32"/>
    </row>
    <row r="4" customFormat="false" ht="15" hidden="false" customHeight="false" outlineLevel="0" collapsed="false">
      <c r="A4" s="33" t="s">
        <v>258</v>
      </c>
      <c r="B4" s="33"/>
      <c r="C4" s="33"/>
      <c r="D4" s="33"/>
    </row>
    <row r="5" customFormat="false" ht="30" hidden="false" customHeight="true" outlineLevel="0" collapsed="false">
      <c r="A5" s="14" t="s">
        <v>259</v>
      </c>
      <c r="B5" s="14" t="s">
        <v>260</v>
      </c>
      <c r="C5" s="14" t="s">
        <v>261</v>
      </c>
      <c r="D5" s="14" t="s">
        <v>262</v>
      </c>
      <c r="E5" s="14" t="s">
        <v>263</v>
      </c>
      <c r="F5" s="14" t="s">
        <v>264</v>
      </c>
      <c r="G5" s="14" t="s">
        <v>265</v>
      </c>
      <c r="H5" s="14" t="s">
        <v>246</v>
      </c>
      <c r="I5" s="14" t="s">
        <v>161</v>
      </c>
      <c r="J5" s="14" t="s">
        <v>247</v>
      </c>
      <c r="K5" s="14" t="s">
        <v>266</v>
      </c>
      <c r="L5" s="14" t="s">
        <v>267</v>
      </c>
      <c r="M5" s="14" t="s">
        <v>238</v>
      </c>
      <c r="N5" s="14" t="s">
        <v>268</v>
      </c>
    </row>
    <row r="6" customFormat="false" ht="16.4" hidden="false" customHeight="false" outlineLevel="0" collapsed="false">
      <c r="A6" s="19" t="str">
        <f aca="false">MUSTERI_RISK_SKORU!$A6&amp;" - "&amp;MUSTERI_RISK_SKORU!$B6</f>
        <v>M001 - Atlas Yapı A.Ş.</v>
      </c>
      <c r="B6" s="19" t="str">
        <f aca="false">IF(MUSTERI_RISK_SKORU!$X6&gt;EsikKritik,"KRİTİK",IF(MUSTERI_RISK_SKORU!$X6&gt;EsikYuksek,"RİSKLİ",IF(MUSTERI_RISK_SKORU!$X6&gt;EsikIzle,"İZLE","NORMAL")))</f>
        <v>NORMAL</v>
      </c>
      <c r="C6" s="19" t="str">
        <f aca="false">IF(MUSTERI_RISK_SKORU!$I6&gt;YaslamaDilim3,"90+ gün gecikme",IF(MUSTERI_RISK_SKORU!$F6&gt;1,"Limit aşımı",IF(MUSTERI_RISK_SKORU!$M6&gt;0,"İtirazlı alacak","Planlı izleme")))</f>
        <v>90+ gün gecikme</v>
      </c>
      <c r="D6" s="19" t="str">
        <f aca="false">"Skor "&amp;MUSTERI_RISK_SKORU!$X6&amp;" | Açık "&amp;TEXT(MUSTERI_RISK_SKORU!$C6,"₺ #,##0")</f>
        <v>Skor 40 | Açık ₺ 720000,000</v>
      </c>
      <c r="E6" s="19" t="str">
        <f aca="false">IF(MUSTERI_RISK_SKORU!$K6&gt;0,"Teminat açığı","Kontrollü risk")</f>
        <v>Kontrollü risk</v>
      </c>
      <c r="F6" s="19" t="str">
        <f aca="false">"Net risk "&amp;TEXT(MUSTERI_RISK_SKORU!$K6,"₺ #,##0")</f>
        <v>Net risk ₺ ,000</v>
      </c>
      <c r="G6" s="19" t="str">
        <f aca="false">MUSTERI_RISK_SKORU!$V6</f>
        <v>İZLE</v>
      </c>
      <c r="H6" s="19" t="str">
        <f aca="false">MUSTERI_RISK_SKORU!$W6</f>
        <v>Planlı izleme</v>
      </c>
      <c r="I6" s="19" t="str">
        <f aca="false">IF(MUSTERI_RISK_SKORU!$X6&gt;EsikYuksek,"CFO / Finans Müdürü","Tahsilat Yöneticisi")</f>
        <v>Tahsilat Yöneticisi</v>
      </c>
      <c r="J6" s="31" t="n">
        <f aca="false">RaporTarihi+IF(MUSTERI_RISK_SKORU!$X6&gt;EsikPesin,1,KararGunu)</f>
        <v>46242</v>
      </c>
      <c r="K6" s="19" t="str">
        <f aca="false">"Korunan nakit: "&amp;TEXT(MIN(MUSTERI_RISK_SKORU!$G6,MUSTERI_RISK_SKORU!$K6),"₺ #,##0")</f>
        <v>Korunan nakit: ₺ ,000</v>
      </c>
      <c r="L6" s="19" t="str">
        <f aca="false">IF(MUSTERI_RISK_SKORU!$X6&gt;EsikYuksek,"Tahsil edilememe ve nakit kaybı büyür","İşletme sermayesi baskısı artar")</f>
        <v>İşletme sermayesi baskısı artar</v>
      </c>
      <c r="M6" s="19" t="str">
        <f aca="false">MUSTERI_RISK_SKORU!$U6</f>
        <v>YÜKSEK</v>
      </c>
      <c r="N6" s="15" t="s">
        <v>269</v>
      </c>
    </row>
    <row r="7" customFormat="false" ht="16.4" hidden="false" customHeight="false" outlineLevel="0" collapsed="false">
      <c r="A7" s="19" t="str">
        <f aca="false">MUSTERI_RISK_SKORU!$A7&amp;" - "&amp;MUSTERI_RISK_SKORU!$B7</f>
        <v>M002 - Bora Perakende Ltd.</v>
      </c>
      <c r="B7" s="19" t="str">
        <f aca="false">IF(MUSTERI_RISK_SKORU!$X7&gt;EsikKritik,"KRİTİK",IF(MUSTERI_RISK_SKORU!$X7&gt;EsikYuksek,"RİSKLİ",IF(MUSTERI_RISK_SKORU!$X7&gt;EsikIzle,"İZLE","NORMAL")))</f>
        <v>NORMAL</v>
      </c>
      <c r="C7" s="19" t="str">
        <f aca="false">IF(MUSTERI_RISK_SKORU!$I7&gt;YaslamaDilim3,"90+ gün gecikme",IF(MUSTERI_RISK_SKORU!$F7&gt;1,"Limit aşımı",IF(MUSTERI_RISK_SKORU!$M7&gt;0,"İtirazlı alacak","Planlı izleme")))</f>
        <v>Planlı izleme</v>
      </c>
      <c r="D7" s="19" t="str">
        <f aca="false">"Skor "&amp;MUSTERI_RISK_SKORU!$X7&amp;" | Açık "&amp;TEXT(MUSTERI_RISK_SKORU!$C7,"₺ #,##0")</f>
        <v>Skor 6 | Açık ₺ 220000,000</v>
      </c>
      <c r="E7" s="19" t="str">
        <f aca="false">IF(MUSTERI_RISK_SKORU!$K7&gt;0,"Teminat açığı","Kontrollü risk")</f>
        <v>Kontrollü risk</v>
      </c>
      <c r="F7" s="19" t="str">
        <f aca="false">"Net risk "&amp;TEXT(MUSTERI_RISK_SKORU!$K7,"₺ #,##0")</f>
        <v>Net risk ₺ ,000</v>
      </c>
      <c r="G7" s="19" t="str">
        <f aca="false">MUSTERI_RISK_SKORU!$V7</f>
        <v>DEVAM</v>
      </c>
      <c r="H7" s="19" t="str">
        <f aca="false">MUSTERI_RISK_SKORU!$W7</f>
        <v>Planlı izleme</v>
      </c>
      <c r="I7" s="19" t="str">
        <f aca="false">IF(MUSTERI_RISK_SKORU!$X7&gt;EsikYuksek,"CFO / Finans Müdürü","Tahsilat Yöneticisi")</f>
        <v>Tahsilat Yöneticisi</v>
      </c>
      <c r="J7" s="31" t="n">
        <f aca="false">RaporTarihi+IF(MUSTERI_RISK_SKORU!$X7&gt;EsikPesin,1,KararGunu)</f>
        <v>46242</v>
      </c>
      <c r="K7" s="19" t="str">
        <f aca="false">"Korunan nakit: "&amp;TEXT(MIN(MUSTERI_RISK_SKORU!$G7,MUSTERI_RISK_SKORU!$K7),"₺ #,##0")</f>
        <v>Korunan nakit: ₺ ,000</v>
      </c>
      <c r="L7" s="19" t="str">
        <f aca="false">IF(MUSTERI_RISK_SKORU!$X7&gt;EsikYuksek,"Tahsil edilememe ve nakit kaybı büyür","İşletme sermayesi baskısı artar")</f>
        <v>İşletme sermayesi baskısı artar</v>
      </c>
      <c r="M7" s="19" t="str">
        <f aca="false">MUSTERI_RISK_SKORU!$U7</f>
        <v>YÜKSEK</v>
      </c>
      <c r="N7" s="15" t="s">
        <v>269</v>
      </c>
    </row>
    <row r="8" customFormat="false" ht="16.4" hidden="false" customHeight="false" outlineLevel="0" collapsed="false">
      <c r="A8" s="19" t="str">
        <f aca="false">MUSTERI_RISK_SKORU!$A8&amp;" - "&amp;MUSTERI_RISK_SKORU!$B8</f>
        <v>M003 - Cemre Gıda A.Ş.</v>
      </c>
      <c r="B8" s="19" t="str">
        <f aca="false">IF(MUSTERI_RISK_SKORU!$X8&gt;EsikKritik,"KRİTİK",IF(MUSTERI_RISK_SKORU!$X8&gt;EsikYuksek,"RİSKLİ",IF(MUSTERI_RISK_SKORU!$X8&gt;EsikIzle,"İZLE","NORMAL")))</f>
        <v>RİSKLİ</v>
      </c>
      <c r="C8" s="19" t="str">
        <f aca="false">IF(MUSTERI_RISK_SKORU!$I8&gt;YaslamaDilim3,"90+ gün gecikme",IF(MUSTERI_RISK_SKORU!$F8&gt;1,"Limit aşımı",IF(MUSTERI_RISK_SKORU!$M8&gt;0,"İtirazlı alacak","Planlı izleme")))</f>
        <v>Limit aşımı</v>
      </c>
      <c r="D8" s="19" t="str">
        <f aca="false">"Skor "&amp;MUSTERI_RISK_SKORU!$X8&amp;" | Açık "&amp;TEXT(MUSTERI_RISK_SKORU!$C8,"₺ #,##0")</f>
        <v>Skor 74 | Açık ₺ 940000,000</v>
      </c>
      <c r="E8" s="19" t="str">
        <f aca="false">IF(MUSTERI_RISK_SKORU!$K8&gt;0,"Teminat açığı","Kontrollü risk")</f>
        <v>Teminat açığı</v>
      </c>
      <c r="F8" s="19" t="str">
        <f aca="false">"Net risk "&amp;TEXT(MUSTERI_RISK_SKORU!$K8,"₺ #,##0")</f>
        <v>Net risk ₺ 700000,000</v>
      </c>
      <c r="G8" s="19" t="str">
        <f aca="false">MUSTERI_RISK_SKORU!$V8</f>
        <v>PEŞİN / TEMİNATLI</v>
      </c>
      <c r="H8" s="19" t="str">
        <f aca="false">MUSTERI_RISK_SKORU!$W8</f>
        <v>Yeni satışı teminata bağla</v>
      </c>
      <c r="I8" s="19" t="str">
        <f aca="false">IF(MUSTERI_RISK_SKORU!$X8&gt;EsikYuksek,"CFO / Finans Müdürü","Tahsilat Yöneticisi")</f>
        <v>CFO / Finans Müdürü</v>
      </c>
      <c r="J8" s="31" t="n">
        <f aca="false">RaporTarihi+IF(MUSTERI_RISK_SKORU!$X8&gt;EsikPesin,1,KararGunu)</f>
        <v>46242</v>
      </c>
      <c r="K8" s="19" t="str">
        <f aca="false">"Korunan nakit: "&amp;TEXT(MIN(MUSTERI_RISK_SKORU!$G8,MUSTERI_RISK_SKORU!$K8),"₺ #,##0")</f>
        <v>Korunan nakit: ₺ 680000,000</v>
      </c>
      <c r="L8" s="19" t="str">
        <f aca="false">IF(MUSTERI_RISK_SKORU!$X8&gt;EsikYuksek,"Tahsil edilememe ve nakit kaybı büyür","İşletme sermayesi baskısı artar")</f>
        <v>Tahsil edilememe ve nakit kaybı büyür</v>
      </c>
      <c r="M8" s="19" t="str">
        <f aca="false">MUSTERI_RISK_SKORU!$U8</f>
        <v>YÜKSEK</v>
      </c>
      <c r="N8" s="15" t="s">
        <v>269</v>
      </c>
    </row>
    <row r="9" customFormat="false" ht="16.4" hidden="false" customHeight="false" outlineLevel="0" collapsed="false">
      <c r="A9" s="19" t="str">
        <f aca="false">MUSTERI_RISK_SKORU!$A9&amp;" - "&amp;MUSTERI_RISK_SKORU!$B9</f>
        <v>M004 - Delta Tekstil Ltd.</v>
      </c>
      <c r="B9" s="19" t="str">
        <f aca="false">IF(MUSTERI_RISK_SKORU!$X9&gt;EsikKritik,"KRİTİK",IF(MUSTERI_RISK_SKORU!$X9&gt;EsikYuksek,"RİSKLİ",IF(MUSTERI_RISK_SKORU!$X9&gt;EsikIzle,"İZLE","NORMAL")))</f>
        <v>RİSKLİ</v>
      </c>
      <c r="C9" s="19" t="str">
        <f aca="false">IF(MUSTERI_RISK_SKORU!$I9&gt;YaslamaDilim3,"90+ gün gecikme",IF(MUSTERI_RISK_SKORU!$F9&gt;1,"Limit aşımı",IF(MUSTERI_RISK_SKORU!$M9&gt;0,"İtirazlı alacak","Planlı izleme")))</f>
        <v>90+ gün gecikme</v>
      </c>
      <c r="D9" s="19" t="str">
        <f aca="false">"Skor "&amp;MUSTERI_RISK_SKORU!$X9&amp;" | Açık "&amp;TEXT(MUSTERI_RISK_SKORU!$C9,"₺ #,##0")</f>
        <v>Skor 85 | Açık ₺ 1500000,000</v>
      </c>
      <c r="E9" s="19" t="str">
        <f aca="false">IF(MUSTERI_RISK_SKORU!$K9&gt;0,"Teminat açığı","Kontrollü risk")</f>
        <v>Teminat açığı</v>
      </c>
      <c r="F9" s="19" t="str">
        <f aca="false">"Net risk "&amp;TEXT(MUSTERI_RISK_SKORU!$K9,"₺ #,##0")</f>
        <v>Net risk ₺ 1500000,000</v>
      </c>
      <c r="G9" s="19" t="str">
        <f aca="false">MUSTERI_RISK_SKORU!$V9</f>
        <v>VADELİ SATIŞI DURDUR</v>
      </c>
      <c r="H9" s="19" t="str">
        <f aca="false">MUSTERI_RISK_SKORU!$W9</f>
        <v>Yeni satışı teminata bağla</v>
      </c>
      <c r="I9" s="19" t="str">
        <f aca="false">IF(MUSTERI_RISK_SKORU!$X9&gt;EsikYuksek,"CFO / Finans Müdürü","Tahsilat Yöneticisi")</f>
        <v>CFO / Finans Müdürü</v>
      </c>
      <c r="J9" s="24" t="n">
        <f aca="false">RaporTarihi+IF(MUSTERI_RISK_SKORU!$X9&gt;EsikPesin,1,KararGunu)</f>
        <v>46240</v>
      </c>
      <c r="K9" s="19" t="str">
        <f aca="false">"Korunan nakit: "&amp;TEXT(MIN(MUSTERI_RISK_SKORU!$G9,MUSTERI_RISK_SKORU!$K9),"₺ #,##0")</f>
        <v>Korunan nakit: ₺ 1500000,000</v>
      </c>
      <c r="L9" s="19" t="str">
        <f aca="false">IF(MUSTERI_RISK_SKORU!$X9&gt;EsikYuksek,"Tahsil edilememe ve nakit kaybı büyür","İşletme sermayesi baskısı artar")</f>
        <v>Tahsil edilememe ve nakit kaybı büyür</v>
      </c>
      <c r="M9" s="19" t="str">
        <f aca="false">MUSTERI_RISK_SKORU!$U9</f>
        <v>YÜKSEK</v>
      </c>
      <c r="N9" s="15" t="s">
        <v>269</v>
      </c>
    </row>
    <row r="10" customFormat="false" ht="16.4" hidden="false" customHeight="false" outlineLevel="0" collapsed="false">
      <c r="A10" s="19" t="str">
        <f aca="false">MUSTERI_RISK_SKORU!$A10&amp;" - "&amp;MUSTERI_RISK_SKORU!$B10</f>
        <v>0 - 0</v>
      </c>
      <c r="B10" s="19" t="str">
        <f aca="false">IF(MUSTERI_RISK_SKORU!$X10&gt;EsikKritik,"KRİTİK",IF(MUSTERI_RISK_SKORU!$X10&gt;EsikYuksek,"RİSKLİ",IF(MUSTERI_RISK_SKORU!$X10&gt;EsikIzle,"İZLE","NORMAL")))</f>
        <v>NORMAL</v>
      </c>
      <c r="C10" s="19" t="str">
        <f aca="false">IF(MUSTERI_RISK_SKORU!$I10&gt;YaslamaDilim3,"90+ gün gecikme",IF(MUSTERI_RISK_SKORU!$F10&gt;1,"Limit aşımı",IF(MUSTERI_RISK_SKORU!$M10&gt;0,"İtirazlı alacak","Planlı izleme")))</f>
        <v>Planlı izleme</v>
      </c>
      <c r="D10" s="19" t="str">
        <f aca="false">"Skor "&amp;MUSTERI_RISK_SKORU!$X10&amp;" | Açık "&amp;TEXT(MUSTERI_RISK_SKORU!$C10,"₺ #,##0")</f>
        <v>Skor 20 | Açık ₺ ,000</v>
      </c>
      <c r="E10" s="19" t="str">
        <f aca="false">IF(MUSTERI_RISK_SKORU!$K10&gt;0,"Teminat açığı","Kontrollü risk")</f>
        <v>Kontrollü risk</v>
      </c>
      <c r="F10" s="19" t="str">
        <f aca="false">"Net risk "&amp;TEXT(MUSTERI_RISK_SKORU!$K10,"₺ #,##0")</f>
        <v>Net risk ₺ ,000</v>
      </c>
      <c r="G10" s="19" t="str">
        <f aca="false">MUSTERI_RISK_SKORU!$V10</f>
        <v>DEVAM</v>
      </c>
      <c r="H10" s="19" t="str">
        <f aca="false">MUSTERI_RISK_SKORU!$W10</f>
        <v>Planlı izleme</v>
      </c>
      <c r="I10" s="19" t="str">
        <f aca="false">IF(MUSTERI_RISK_SKORU!$X10&gt;EsikYuksek,"CFO / Finans Müdürü","Tahsilat Yöneticisi")</f>
        <v>Tahsilat Yöneticisi</v>
      </c>
      <c r="J10" s="31" t="n">
        <f aca="false">RaporTarihi+IF(MUSTERI_RISK_SKORU!$X10&gt;EsikPesin,1,KararGunu)</f>
        <v>46242</v>
      </c>
      <c r="K10" s="19" t="str">
        <f aca="false">"Korunan nakit: "&amp;TEXT(MIN(MUSTERI_RISK_SKORU!$G10,MUSTERI_RISK_SKORU!$K10),"₺ #,##0")</f>
        <v>Korunan nakit: ₺ ,000</v>
      </c>
      <c r="L10" s="19" t="str">
        <f aca="false">IF(MUSTERI_RISK_SKORU!$X10&gt;EsikYuksek,"Tahsil edilememe ve nakit kaybı büyür","İşletme sermayesi baskısı artar")</f>
        <v>İşletme sermayesi baskısı artar</v>
      </c>
      <c r="M10" s="19" t="str">
        <f aca="false">MUSTERI_RISK_SKORU!$U10</f>
        <v>YÜKSEK</v>
      </c>
      <c r="N10" s="20"/>
    </row>
    <row r="11" customFormat="false" ht="16.4" hidden="false" customHeight="false" outlineLevel="0" collapsed="false">
      <c r="A11" s="19" t="str">
        <f aca="false">MUSTERI_RISK_SKORU!$A11&amp;" - "&amp;MUSTERI_RISK_SKORU!$B11</f>
        <v>0 - 0</v>
      </c>
      <c r="B11" s="19" t="str">
        <f aca="false">IF(MUSTERI_RISK_SKORU!$X11&gt;EsikKritik,"KRİTİK",IF(MUSTERI_RISK_SKORU!$X11&gt;EsikYuksek,"RİSKLİ",IF(MUSTERI_RISK_SKORU!$X11&gt;EsikIzle,"İZLE","NORMAL")))</f>
        <v>NORMAL</v>
      </c>
      <c r="C11" s="19" t="str">
        <f aca="false">IF(MUSTERI_RISK_SKORU!$I11&gt;YaslamaDilim3,"90+ gün gecikme",IF(MUSTERI_RISK_SKORU!$F11&gt;1,"Limit aşımı",IF(MUSTERI_RISK_SKORU!$M11&gt;0,"İtirazlı alacak","Planlı izleme")))</f>
        <v>Planlı izleme</v>
      </c>
      <c r="D11" s="19" t="str">
        <f aca="false">"Skor "&amp;MUSTERI_RISK_SKORU!$X11&amp;" | Açık "&amp;TEXT(MUSTERI_RISK_SKORU!$C11,"₺ #,##0")</f>
        <v>Skor 20 | Açık ₺ ,000</v>
      </c>
      <c r="E11" s="19" t="str">
        <f aca="false">IF(MUSTERI_RISK_SKORU!$K11&gt;0,"Teminat açığı","Kontrollü risk")</f>
        <v>Kontrollü risk</v>
      </c>
      <c r="F11" s="19" t="str">
        <f aca="false">"Net risk "&amp;TEXT(MUSTERI_RISK_SKORU!$K11,"₺ #,##0")</f>
        <v>Net risk ₺ ,000</v>
      </c>
      <c r="G11" s="19" t="str">
        <f aca="false">MUSTERI_RISK_SKORU!$V11</f>
        <v>DEVAM</v>
      </c>
      <c r="H11" s="19" t="str">
        <f aca="false">MUSTERI_RISK_SKORU!$W11</f>
        <v>Planlı izleme</v>
      </c>
      <c r="I11" s="19" t="str">
        <f aca="false">IF(MUSTERI_RISK_SKORU!$X11&gt;EsikYuksek,"CFO / Finans Müdürü","Tahsilat Yöneticisi")</f>
        <v>Tahsilat Yöneticisi</v>
      </c>
      <c r="J11" s="31" t="n">
        <f aca="false">RaporTarihi+IF(MUSTERI_RISK_SKORU!$X11&gt;EsikPesin,1,KararGunu)</f>
        <v>46242</v>
      </c>
      <c r="K11" s="19" t="str">
        <f aca="false">"Korunan nakit: "&amp;TEXT(MIN(MUSTERI_RISK_SKORU!$G11,MUSTERI_RISK_SKORU!$K11),"₺ #,##0")</f>
        <v>Korunan nakit: ₺ ,000</v>
      </c>
      <c r="L11" s="19" t="str">
        <f aca="false">IF(MUSTERI_RISK_SKORU!$X11&gt;EsikYuksek,"Tahsil edilememe ve nakit kaybı büyür","İşletme sermayesi baskısı artar")</f>
        <v>İşletme sermayesi baskısı artar</v>
      </c>
      <c r="M11" s="19" t="str">
        <f aca="false">MUSTERI_RISK_SKORU!$U11</f>
        <v>YÜKSEK</v>
      </c>
      <c r="N11" s="20"/>
    </row>
    <row r="12" customFormat="false" ht="16.4" hidden="false" customHeight="false" outlineLevel="0" collapsed="false">
      <c r="A12" s="19" t="str">
        <f aca="false">MUSTERI_RISK_SKORU!$A12&amp;" - "&amp;MUSTERI_RISK_SKORU!$B12</f>
        <v>0 - 0</v>
      </c>
      <c r="B12" s="19" t="str">
        <f aca="false">IF(MUSTERI_RISK_SKORU!$X12&gt;EsikKritik,"KRİTİK",IF(MUSTERI_RISK_SKORU!$X12&gt;EsikYuksek,"RİSKLİ",IF(MUSTERI_RISK_SKORU!$X12&gt;EsikIzle,"İZLE","NORMAL")))</f>
        <v>NORMAL</v>
      </c>
      <c r="C12" s="19" t="str">
        <f aca="false">IF(MUSTERI_RISK_SKORU!$I12&gt;YaslamaDilim3,"90+ gün gecikme",IF(MUSTERI_RISK_SKORU!$F12&gt;1,"Limit aşımı",IF(MUSTERI_RISK_SKORU!$M12&gt;0,"İtirazlı alacak","Planlı izleme")))</f>
        <v>Planlı izleme</v>
      </c>
      <c r="D12" s="19" t="str">
        <f aca="false">"Skor "&amp;MUSTERI_RISK_SKORU!$X12&amp;" | Açık "&amp;TEXT(MUSTERI_RISK_SKORU!$C12,"₺ #,##0")</f>
        <v>Skor 20 | Açık ₺ ,000</v>
      </c>
      <c r="E12" s="19" t="str">
        <f aca="false">IF(MUSTERI_RISK_SKORU!$K12&gt;0,"Teminat açığı","Kontrollü risk")</f>
        <v>Kontrollü risk</v>
      </c>
      <c r="F12" s="19" t="str">
        <f aca="false">"Net risk "&amp;TEXT(MUSTERI_RISK_SKORU!$K12,"₺ #,##0")</f>
        <v>Net risk ₺ ,000</v>
      </c>
      <c r="G12" s="19" t="str">
        <f aca="false">MUSTERI_RISK_SKORU!$V12</f>
        <v>DEVAM</v>
      </c>
      <c r="H12" s="19" t="str">
        <f aca="false">MUSTERI_RISK_SKORU!$W12</f>
        <v>Planlı izleme</v>
      </c>
      <c r="I12" s="19" t="str">
        <f aca="false">IF(MUSTERI_RISK_SKORU!$X12&gt;EsikYuksek,"CFO / Finans Müdürü","Tahsilat Yöneticisi")</f>
        <v>Tahsilat Yöneticisi</v>
      </c>
      <c r="J12" s="31" t="n">
        <f aca="false">RaporTarihi+IF(MUSTERI_RISK_SKORU!$X12&gt;EsikPesin,1,KararGunu)</f>
        <v>46242</v>
      </c>
      <c r="K12" s="19" t="str">
        <f aca="false">"Korunan nakit: "&amp;TEXT(MIN(MUSTERI_RISK_SKORU!$G12,MUSTERI_RISK_SKORU!$K12),"₺ #,##0")</f>
        <v>Korunan nakit: ₺ ,000</v>
      </c>
      <c r="L12" s="19" t="str">
        <f aca="false">IF(MUSTERI_RISK_SKORU!$X12&gt;EsikYuksek,"Tahsil edilememe ve nakit kaybı büyür","İşletme sermayesi baskısı artar")</f>
        <v>İşletme sermayesi baskısı artar</v>
      </c>
      <c r="M12" s="19" t="str">
        <f aca="false">MUSTERI_RISK_SKORU!$U12</f>
        <v>YÜKSEK</v>
      </c>
      <c r="N12" s="20"/>
    </row>
    <row r="13" customFormat="false" ht="16.4" hidden="false" customHeight="false" outlineLevel="0" collapsed="false">
      <c r="A13" s="19" t="str">
        <f aca="false">MUSTERI_RISK_SKORU!$A13&amp;" - "&amp;MUSTERI_RISK_SKORU!$B13</f>
        <v>0 - 0</v>
      </c>
      <c r="B13" s="19" t="str">
        <f aca="false">IF(MUSTERI_RISK_SKORU!$X13&gt;EsikKritik,"KRİTİK",IF(MUSTERI_RISK_SKORU!$X13&gt;EsikYuksek,"RİSKLİ",IF(MUSTERI_RISK_SKORU!$X13&gt;EsikIzle,"İZLE","NORMAL")))</f>
        <v>NORMAL</v>
      </c>
      <c r="C13" s="19" t="str">
        <f aca="false">IF(MUSTERI_RISK_SKORU!$I13&gt;YaslamaDilim3,"90+ gün gecikme",IF(MUSTERI_RISK_SKORU!$F13&gt;1,"Limit aşımı",IF(MUSTERI_RISK_SKORU!$M13&gt;0,"İtirazlı alacak","Planlı izleme")))</f>
        <v>Planlı izleme</v>
      </c>
      <c r="D13" s="19" t="str">
        <f aca="false">"Skor "&amp;MUSTERI_RISK_SKORU!$X13&amp;" | Açık "&amp;TEXT(MUSTERI_RISK_SKORU!$C13,"₺ #,##0")</f>
        <v>Skor 20 | Açık ₺ ,000</v>
      </c>
      <c r="E13" s="19" t="str">
        <f aca="false">IF(MUSTERI_RISK_SKORU!$K13&gt;0,"Teminat açığı","Kontrollü risk")</f>
        <v>Kontrollü risk</v>
      </c>
      <c r="F13" s="19" t="str">
        <f aca="false">"Net risk "&amp;TEXT(MUSTERI_RISK_SKORU!$K13,"₺ #,##0")</f>
        <v>Net risk ₺ ,000</v>
      </c>
      <c r="G13" s="19" t="str">
        <f aca="false">MUSTERI_RISK_SKORU!$V13</f>
        <v>DEVAM</v>
      </c>
      <c r="H13" s="19" t="str">
        <f aca="false">MUSTERI_RISK_SKORU!$W13</f>
        <v>Planlı izleme</v>
      </c>
      <c r="I13" s="19" t="str">
        <f aca="false">IF(MUSTERI_RISK_SKORU!$X13&gt;EsikYuksek,"CFO / Finans Müdürü","Tahsilat Yöneticisi")</f>
        <v>Tahsilat Yöneticisi</v>
      </c>
      <c r="J13" s="31" t="n">
        <f aca="false">RaporTarihi+IF(MUSTERI_RISK_SKORU!$X13&gt;EsikPesin,1,KararGunu)</f>
        <v>46242</v>
      </c>
      <c r="K13" s="19" t="str">
        <f aca="false">"Korunan nakit: "&amp;TEXT(MIN(MUSTERI_RISK_SKORU!$G13,MUSTERI_RISK_SKORU!$K13),"₺ #,##0")</f>
        <v>Korunan nakit: ₺ ,000</v>
      </c>
      <c r="L13" s="19" t="str">
        <f aca="false">IF(MUSTERI_RISK_SKORU!$X13&gt;EsikYuksek,"Tahsil edilememe ve nakit kaybı büyür","İşletme sermayesi baskısı artar")</f>
        <v>İşletme sermayesi baskısı artar</v>
      </c>
      <c r="M13" s="19" t="str">
        <f aca="false">MUSTERI_RISK_SKORU!$U13</f>
        <v>YÜKSEK</v>
      </c>
      <c r="N13" s="20"/>
    </row>
    <row r="14" customFormat="false" ht="16.4" hidden="false" customHeight="false" outlineLevel="0" collapsed="false">
      <c r="A14" s="19" t="str">
        <f aca="false">MUSTERI_RISK_SKORU!$A14&amp;" - "&amp;MUSTERI_RISK_SKORU!$B14</f>
        <v>0 - 0</v>
      </c>
      <c r="B14" s="19" t="str">
        <f aca="false">IF(MUSTERI_RISK_SKORU!$X14&gt;EsikKritik,"KRİTİK",IF(MUSTERI_RISK_SKORU!$X14&gt;EsikYuksek,"RİSKLİ",IF(MUSTERI_RISK_SKORU!$X14&gt;EsikIzle,"İZLE","NORMAL")))</f>
        <v>NORMAL</v>
      </c>
      <c r="C14" s="19" t="str">
        <f aca="false">IF(MUSTERI_RISK_SKORU!$I14&gt;YaslamaDilim3,"90+ gün gecikme",IF(MUSTERI_RISK_SKORU!$F14&gt;1,"Limit aşımı",IF(MUSTERI_RISK_SKORU!$M14&gt;0,"İtirazlı alacak","Planlı izleme")))</f>
        <v>Planlı izleme</v>
      </c>
      <c r="D14" s="19" t="str">
        <f aca="false">"Skor "&amp;MUSTERI_RISK_SKORU!$X14&amp;" | Açık "&amp;TEXT(MUSTERI_RISK_SKORU!$C14,"₺ #,##0")</f>
        <v>Skor 20 | Açık ₺ ,000</v>
      </c>
      <c r="E14" s="19" t="str">
        <f aca="false">IF(MUSTERI_RISK_SKORU!$K14&gt;0,"Teminat açığı","Kontrollü risk")</f>
        <v>Kontrollü risk</v>
      </c>
      <c r="F14" s="19" t="str">
        <f aca="false">"Net risk "&amp;TEXT(MUSTERI_RISK_SKORU!$K14,"₺ #,##0")</f>
        <v>Net risk ₺ ,000</v>
      </c>
      <c r="G14" s="19" t="str">
        <f aca="false">MUSTERI_RISK_SKORU!$V14</f>
        <v>DEVAM</v>
      </c>
      <c r="H14" s="19" t="str">
        <f aca="false">MUSTERI_RISK_SKORU!$W14</f>
        <v>Planlı izleme</v>
      </c>
      <c r="I14" s="19" t="str">
        <f aca="false">IF(MUSTERI_RISK_SKORU!$X14&gt;EsikYuksek,"CFO / Finans Müdürü","Tahsilat Yöneticisi")</f>
        <v>Tahsilat Yöneticisi</v>
      </c>
      <c r="J14" s="31" t="n">
        <f aca="false">RaporTarihi+IF(MUSTERI_RISK_SKORU!$X14&gt;EsikPesin,1,KararGunu)</f>
        <v>46242</v>
      </c>
      <c r="K14" s="19" t="str">
        <f aca="false">"Korunan nakit: "&amp;TEXT(MIN(MUSTERI_RISK_SKORU!$G14,MUSTERI_RISK_SKORU!$K14),"₺ #,##0")</f>
        <v>Korunan nakit: ₺ ,000</v>
      </c>
      <c r="L14" s="19" t="str">
        <f aca="false">IF(MUSTERI_RISK_SKORU!$X14&gt;EsikYuksek,"Tahsil edilememe ve nakit kaybı büyür","İşletme sermayesi baskısı artar")</f>
        <v>İşletme sermayesi baskısı artar</v>
      </c>
      <c r="M14" s="19" t="str">
        <f aca="false">MUSTERI_RISK_SKORU!$U14</f>
        <v>YÜKSEK</v>
      </c>
      <c r="N14" s="20"/>
    </row>
    <row r="15" customFormat="false" ht="16.4" hidden="false" customHeight="false" outlineLevel="0" collapsed="false">
      <c r="A15" s="19" t="str">
        <f aca="false">MUSTERI_RISK_SKORU!$A15&amp;" - "&amp;MUSTERI_RISK_SKORU!$B15</f>
        <v>0 - 0</v>
      </c>
      <c r="B15" s="19" t="str">
        <f aca="false">IF(MUSTERI_RISK_SKORU!$X15&gt;EsikKritik,"KRİTİK",IF(MUSTERI_RISK_SKORU!$X15&gt;EsikYuksek,"RİSKLİ",IF(MUSTERI_RISK_SKORU!$X15&gt;EsikIzle,"İZLE","NORMAL")))</f>
        <v>NORMAL</v>
      </c>
      <c r="C15" s="19" t="str">
        <f aca="false">IF(MUSTERI_RISK_SKORU!$I15&gt;YaslamaDilim3,"90+ gün gecikme",IF(MUSTERI_RISK_SKORU!$F15&gt;1,"Limit aşımı",IF(MUSTERI_RISK_SKORU!$M15&gt;0,"İtirazlı alacak","Planlı izleme")))</f>
        <v>Planlı izleme</v>
      </c>
      <c r="D15" s="19" t="str">
        <f aca="false">"Skor "&amp;MUSTERI_RISK_SKORU!$X15&amp;" | Açık "&amp;TEXT(MUSTERI_RISK_SKORU!$C15,"₺ #,##0")</f>
        <v>Skor 20 | Açık ₺ ,000</v>
      </c>
      <c r="E15" s="19" t="str">
        <f aca="false">IF(MUSTERI_RISK_SKORU!$K15&gt;0,"Teminat açığı","Kontrollü risk")</f>
        <v>Kontrollü risk</v>
      </c>
      <c r="F15" s="19" t="str">
        <f aca="false">"Net risk "&amp;TEXT(MUSTERI_RISK_SKORU!$K15,"₺ #,##0")</f>
        <v>Net risk ₺ ,000</v>
      </c>
      <c r="G15" s="19" t="str">
        <f aca="false">MUSTERI_RISK_SKORU!$V15</f>
        <v>DEVAM</v>
      </c>
      <c r="H15" s="19" t="str">
        <f aca="false">MUSTERI_RISK_SKORU!$W15</f>
        <v>Planlı izleme</v>
      </c>
      <c r="I15" s="19" t="str">
        <f aca="false">IF(MUSTERI_RISK_SKORU!$X15&gt;EsikYuksek,"CFO / Finans Müdürü","Tahsilat Yöneticisi")</f>
        <v>Tahsilat Yöneticisi</v>
      </c>
      <c r="J15" s="31" t="n">
        <f aca="false">RaporTarihi+IF(MUSTERI_RISK_SKORU!$X15&gt;EsikPesin,1,KararGunu)</f>
        <v>46242</v>
      </c>
      <c r="K15" s="19" t="str">
        <f aca="false">"Korunan nakit: "&amp;TEXT(MIN(MUSTERI_RISK_SKORU!$G15,MUSTERI_RISK_SKORU!$K15),"₺ #,##0")</f>
        <v>Korunan nakit: ₺ ,000</v>
      </c>
      <c r="L15" s="19" t="str">
        <f aca="false">IF(MUSTERI_RISK_SKORU!$X15&gt;EsikYuksek,"Tahsil edilememe ve nakit kaybı büyür","İşletme sermayesi baskısı artar")</f>
        <v>İşletme sermayesi baskısı artar</v>
      </c>
      <c r="M15" s="19" t="str">
        <f aca="false">MUSTERI_RISK_SKORU!$U15</f>
        <v>YÜKSEK</v>
      </c>
      <c r="N15" s="20"/>
    </row>
    <row r="16" customFormat="false" ht="16.4" hidden="false" customHeight="false" outlineLevel="0" collapsed="false">
      <c r="A16" s="19" t="str">
        <f aca="false">MUSTERI_RISK_SKORU!$A16&amp;" - "&amp;MUSTERI_RISK_SKORU!$B16</f>
        <v>0 - 0</v>
      </c>
      <c r="B16" s="19" t="str">
        <f aca="false">IF(MUSTERI_RISK_SKORU!$X16&gt;EsikKritik,"KRİTİK",IF(MUSTERI_RISK_SKORU!$X16&gt;EsikYuksek,"RİSKLİ",IF(MUSTERI_RISK_SKORU!$X16&gt;EsikIzle,"İZLE","NORMAL")))</f>
        <v>NORMAL</v>
      </c>
      <c r="C16" s="19" t="str">
        <f aca="false">IF(MUSTERI_RISK_SKORU!$I16&gt;YaslamaDilim3,"90+ gün gecikme",IF(MUSTERI_RISK_SKORU!$F16&gt;1,"Limit aşımı",IF(MUSTERI_RISK_SKORU!$M16&gt;0,"İtirazlı alacak","Planlı izleme")))</f>
        <v>Planlı izleme</v>
      </c>
      <c r="D16" s="19" t="str">
        <f aca="false">"Skor "&amp;MUSTERI_RISK_SKORU!$X16&amp;" | Açık "&amp;TEXT(MUSTERI_RISK_SKORU!$C16,"₺ #,##0")</f>
        <v>Skor 20 | Açık ₺ ,000</v>
      </c>
      <c r="E16" s="19" t="str">
        <f aca="false">IF(MUSTERI_RISK_SKORU!$K16&gt;0,"Teminat açığı","Kontrollü risk")</f>
        <v>Kontrollü risk</v>
      </c>
      <c r="F16" s="19" t="str">
        <f aca="false">"Net risk "&amp;TEXT(MUSTERI_RISK_SKORU!$K16,"₺ #,##0")</f>
        <v>Net risk ₺ ,000</v>
      </c>
      <c r="G16" s="19" t="str">
        <f aca="false">MUSTERI_RISK_SKORU!$V16</f>
        <v>DEVAM</v>
      </c>
      <c r="H16" s="19" t="str">
        <f aca="false">MUSTERI_RISK_SKORU!$W16</f>
        <v>Planlı izleme</v>
      </c>
      <c r="I16" s="19" t="str">
        <f aca="false">IF(MUSTERI_RISK_SKORU!$X16&gt;EsikYuksek,"CFO / Finans Müdürü","Tahsilat Yöneticisi")</f>
        <v>Tahsilat Yöneticisi</v>
      </c>
      <c r="J16" s="31" t="n">
        <f aca="false">RaporTarihi+IF(MUSTERI_RISK_SKORU!$X16&gt;EsikPesin,1,KararGunu)</f>
        <v>46242</v>
      </c>
      <c r="K16" s="19" t="str">
        <f aca="false">"Korunan nakit: "&amp;TEXT(MIN(MUSTERI_RISK_SKORU!$G16,MUSTERI_RISK_SKORU!$K16),"₺ #,##0")</f>
        <v>Korunan nakit: ₺ ,000</v>
      </c>
      <c r="L16" s="19" t="str">
        <f aca="false">IF(MUSTERI_RISK_SKORU!$X16&gt;EsikYuksek,"Tahsil edilememe ve nakit kaybı büyür","İşletme sermayesi baskısı artar")</f>
        <v>İşletme sermayesi baskısı artar</v>
      </c>
      <c r="M16" s="19" t="str">
        <f aca="false">MUSTERI_RISK_SKORU!$U16</f>
        <v>YÜKSEK</v>
      </c>
      <c r="N16" s="20"/>
    </row>
    <row r="17" customFormat="false" ht="16.4" hidden="false" customHeight="false" outlineLevel="0" collapsed="false">
      <c r="A17" s="19" t="str">
        <f aca="false">MUSTERI_RISK_SKORU!$A17&amp;" - "&amp;MUSTERI_RISK_SKORU!$B17</f>
        <v>0 - 0</v>
      </c>
      <c r="B17" s="19" t="str">
        <f aca="false">IF(MUSTERI_RISK_SKORU!$X17&gt;EsikKritik,"KRİTİK",IF(MUSTERI_RISK_SKORU!$X17&gt;EsikYuksek,"RİSKLİ",IF(MUSTERI_RISK_SKORU!$X17&gt;EsikIzle,"İZLE","NORMAL")))</f>
        <v>NORMAL</v>
      </c>
      <c r="C17" s="19" t="str">
        <f aca="false">IF(MUSTERI_RISK_SKORU!$I17&gt;YaslamaDilim3,"90+ gün gecikme",IF(MUSTERI_RISK_SKORU!$F17&gt;1,"Limit aşımı",IF(MUSTERI_RISK_SKORU!$M17&gt;0,"İtirazlı alacak","Planlı izleme")))</f>
        <v>Planlı izleme</v>
      </c>
      <c r="D17" s="19" t="str">
        <f aca="false">"Skor "&amp;MUSTERI_RISK_SKORU!$X17&amp;" | Açık "&amp;TEXT(MUSTERI_RISK_SKORU!$C17,"₺ #,##0")</f>
        <v>Skor 20 | Açık ₺ ,000</v>
      </c>
      <c r="E17" s="19" t="str">
        <f aca="false">IF(MUSTERI_RISK_SKORU!$K17&gt;0,"Teminat açığı","Kontrollü risk")</f>
        <v>Kontrollü risk</v>
      </c>
      <c r="F17" s="19" t="str">
        <f aca="false">"Net risk "&amp;TEXT(MUSTERI_RISK_SKORU!$K17,"₺ #,##0")</f>
        <v>Net risk ₺ ,000</v>
      </c>
      <c r="G17" s="19" t="str">
        <f aca="false">MUSTERI_RISK_SKORU!$V17</f>
        <v>DEVAM</v>
      </c>
      <c r="H17" s="19" t="str">
        <f aca="false">MUSTERI_RISK_SKORU!$W17</f>
        <v>Planlı izleme</v>
      </c>
      <c r="I17" s="19" t="str">
        <f aca="false">IF(MUSTERI_RISK_SKORU!$X17&gt;EsikYuksek,"CFO / Finans Müdürü","Tahsilat Yöneticisi")</f>
        <v>Tahsilat Yöneticisi</v>
      </c>
      <c r="J17" s="31" t="n">
        <f aca="false">RaporTarihi+IF(MUSTERI_RISK_SKORU!$X17&gt;EsikPesin,1,KararGunu)</f>
        <v>46242</v>
      </c>
      <c r="K17" s="19" t="str">
        <f aca="false">"Korunan nakit: "&amp;TEXT(MIN(MUSTERI_RISK_SKORU!$G17,MUSTERI_RISK_SKORU!$K17),"₺ #,##0")</f>
        <v>Korunan nakit: ₺ ,000</v>
      </c>
      <c r="L17" s="19" t="str">
        <f aca="false">IF(MUSTERI_RISK_SKORU!$X17&gt;EsikYuksek,"Tahsil edilememe ve nakit kaybı büyür","İşletme sermayesi baskısı artar")</f>
        <v>İşletme sermayesi baskısı artar</v>
      </c>
      <c r="M17" s="19" t="str">
        <f aca="false">MUSTERI_RISK_SKORU!$U17</f>
        <v>YÜKSEK</v>
      </c>
      <c r="N17" s="20"/>
    </row>
    <row r="18" customFormat="false" ht="16.4" hidden="false" customHeight="false" outlineLevel="0" collapsed="false">
      <c r="A18" s="19" t="str">
        <f aca="false">MUSTERI_RISK_SKORU!$A18&amp;" - "&amp;MUSTERI_RISK_SKORU!$B18</f>
        <v>0 - 0</v>
      </c>
      <c r="B18" s="19" t="str">
        <f aca="false">IF(MUSTERI_RISK_SKORU!$X18&gt;EsikKritik,"KRİTİK",IF(MUSTERI_RISK_SKORU!$X18&gt;EsikYuksek,"RİSKLİ",IF(MUSTERI_RISK_SKORU!$X18&gt;EsikIzle,"İZLE","NORMAL")))</f>
        <v>NORMAL</v>
      </c>
      <c r="C18" s="19" t="str">
        <f aca="false">IF(MUSTERI_RISK_SKORU!$I18&gt;YaslamaDilim3,"90+ gün gecikme",IF(MUSTERI_RISK_SKORU!$F18&gt;1,"Limit aşımı",IF(MUSTERI_RISK_SKORU!$M18&gt;0,"İtirazlı alacak","Planlı izleme")))</f>
        <v>Planlı izleme</v>
      </c>
      <c r="D18" s="19" t="str">
        <f aca="false">"Skor "&amp;MUSTERI_RISK_SKORU!$X18&amp;" | Açık "&amp;TEXT(MUSTERI_RISK_SKORU!$C18,"₺ #,##0")</f>
        <v>Skor 20 | Açık ₺ ,000</v>
      </c>
      <c r="E18" s="19" t="str">
        <f aca="false">IF(MUSTERI_RISK_SKORU!$K18&gt;0,"Teminat açığı","Kontrollü risk")</f>
        <v>Kontrollü risk</v>
      </c>
      <c r="F18" s="19" t="str">
        <f aca="false">"Net risk "&amp;TEXT(MUSTERI_RISK_SKORU!$K18,"₺ #,##0")</f>
        <v>Net risk ₺ ,000</v>
      </c>
      <c r="G18" s="19" t="str">
        <f aca="false">MUSTERI_RISK_SKORU!$V18</f>
        <v>DEVAM</v>
      </c>
      <c r="H18" s="19" t="str">
        <f aca="false">MUSTERI_RISK_SKORU!$W18</f>
        <v>Planlı izleme</v>
      </c>
      <c r="I18" s="19" t="str">
        <f aca="false">IF(MUSTERI_RISK_SKORU!$X18&gt;EsikYuksek,"CFO / Finans Müdürü","Tahsilat Yöneticisi")</f>
        <v>Tahsilat Yöneticisi</v>
      </c>
      <c r="J18" s="31" t="n">
        <f aca="false">RaporTarihi+IF(MUSTERI_RISK_SKORU!$X18&gt;EsikPesin,1,KararGunu)</f>
        <v>46242</v>
      </c>
      <c r="K18" s="19" t="str">
        <f aca="false">"Korunan nakit: "&amp;TEXT(MIN(MUSTERI_RISK_SKORU!$G18,MUSTERI_RISK_SKORU!$K18),"₺ #,##0")</f>
        <v>Korunan nakit: ₺ ,000</v>
      </c>
      <c r="L18" s="19" t="str">
        <f aca="false">IF(MUSTERI_RISK_SKORU!$X18&gt;EsikYuksek,"Tahsil edilememe ve nakit kaybı büyür","İşletme sermayesi baskısı artar")</f>
        <v>İşletme sermayesi baskısı artar</v>
      </c>
      <c r="M18" s="19" t="str">
        <f aca="false">MUSTERI_RISK_SKORU!$U18</f>
        <v>YÜKSEK</v>
      </c>
      <c r="N18" s="20"/>
    </row>
    <row r="19" customFormat="false" ht="16.4" hidden="false" customHeight="false" outlineLevel="0" collapsed="false">
      <c r="A19" s="19" t="str">
        <f aca="false">MUSTERI_RISK_SKORU!$A19&amp;" - "&amp;MUSTERI_RISK_SKORU!$B19</f>
        <v>0 - 0</v>
      </c>
      <c r="B19" s="19" t="str">
        <f aca="false">IF(MUSTERI_RISK_SKORU!$X19&gt;EsikKritik,"KRİTİK",IF(MUSTERI_RISK_SKORU!$X19&gt;EsikYuksek,"RİSKLİ",IF(MUSTERI_RISK_SKORU!$X19&gt;EsikIzle,"İZLE","NORMAL")))</f>
        <v>NORMAL</v>
      </c>
      <c r="C19" s="19" t="str">
        <f aca="false">IF(MUSTERI_RISK_SKORU!$I19&gt;YaslamaDilim3,"90+ gün gecikme",IF(MUSTERI_RISK_SKORU!$F19&gt;1,"Limit aşımı",IF(MUSTERI_RISK_SKORU!$M19&gt;0,"İtirazlı alacak","Planlı izleme")))</f>
        <v>Planlı izleme</v>
      </c>
      <c r="D19" s="19" t="str">
        <f aca="false">"Skor "&amp;MUSTERI_RISK_SKORU!$X19&amp;" | Açık "&amp;TEXT(MUSTERI_RISK_SKORU!$C19,"₺ #,##0")</f>
        <v>Skor 20 | Açık ₺ ,000</v>
      </c>
      <c r="E19" s="19" t="str">
        <f aca="false">IF(MUSTERI_RISK_SKORU!$K19&gt;0,"Teminat açığı","Kontrollü risk")</f>
        <v>Kontrollü risk</v>
      </c>
      <c r="F19" s="19" t="str">
        <f aca="false">"Net risk "&amp;TEXT(MUSTERI_RISK_SKORU!$K19,"₺ #,##0")</f>
        <v>Net risk ₺ ,000</v>
      </c>
      <c r="G19" s="19" t="str">
        <f aca="false">MUSTERI_RISK_SKORU!$V19</f>
        <v>DEVAM</v>
      </c>
      <c r="H19" s="19" t="str">
        <f aca="false">MUSTERI_RISK_SKORU!$W19</f>
        <v>Planlı izleme</v>
      </c>
      <c r="I19" s="19" t="str">
        <f aca="false">IF(MUSTERI_RISK_SKORU!$X19&gt;EsikYuksek,"CFO / Finans Müdürü","Tahsilat Yöneticisi")</f>
        <v>Tahsilat Yöneticisi</v>
      </c>
      <c r="J19" s="31" t="n">
        <f aca="false">RaporTarihi+IF(MUSTERI_RISK_SKORU!$X19&gt;EsikPesin,1,KararGunu)</f>
        <v>46242</v>
      </c>
      <c r="K19" s="19" t="str">
        <f aca="false">"Korunan nakit: "&amp;TEXT(MIN(MUSTERI_RISK_SKORU!$G19,MUSTERI_RISK_SKORU!$K19),"₺ #,##0")</f>
        <v>Korunan nakit: ₺ ,000</v>
      </c>
      <c r="L19" s="19" t="str">
        <f aca="false">IF(MUSTERI_RISK_SKORU!$X19&gt;EsikYuksek,"Tahsil edilememe ve nakit kaybı büyür","İşletme sermayesi baskısı artar")</f>
        <v>İşletme sermayesi baskısı artar</v>
      </c>
      <c r="M19" s="19" t="str">
        <f aca="false">MUSTERI_RISK_SKORU!$U19</f>
        <v>YÜKSEK</v>
      </c>
      <c r="N19" s="20"/>
    </row>
    <row r="20" customFormat="false" ht="16.4" hidden="false" customHeight="false" outlineLevel="0" collapsed="false">
      <c r="A20" s="19" t="str">
        <f aca="false">MUSTERI_RISK_SKORU!$A20&amp;" - "&amp;MUSTERI_RISK_SKORU!$B20</f>
        <v>0 - 0</v>
      </c>
      <c r="B20" s="19" t="str">
        <f aca="false">IF(MUSTERI_RISK_SKORU!$X20&gt;EsikKritik,"KRİTİK",IF(MUSTERI_RISK_SKORU!$X20&gt;EsikYuksek,"RİSKLİ",IF(MUSTERI_RISK_SKORU!$X20&gt;EsikIzle,"İZLE","NORMAL")))</f>
        <v>NORMAL</v>
      </c>
      <c r="C20" s="19" t="str">
        <f aca="false">IF(MUSTERI_RISK_SKORU!$I20&gt;YaslamaDilim3,"90+ gün gecikme",IF(MUSTERI_RISK_SKORU!$F20&gt;1,"Limit aşımı",IF(MUSTERI_RISK_SKORU!$M20&gt;0,"İtirazlı alacak","Planlı izleme")))</f>
        <v>Planlı izleme</v>
      </c>
      <c r="D20" s="19" t="str">
        <f aca="false">"Skor "&amp;MUSTERI_RISK_SKORU!$X20&amp;" | Açık "&amp;TEXT(MUSTERI_RISK_SKORU!$C20,"₺ #,##0")</f>
        <v>Skor 20 | Açık ₺ ,000</v>
      </c>
      <c r="E20" s="19" t="str">
        <f aca="false">IF(MUSTERI_RISK_SKORU!$K20&gt;0,"Teminat açığı","Kontrollü risk")</f>
        <v>Kontrollü risk</v>
      </c>
      <c r="F20" s="19" t="str">
        <f aca="false">"Net risk "&amp;TEXT(MUSTERI_RISK_SKORU!$K20,"₺ #,##0")</f>
        <v>Net risk ₺ ,000</v>
      </c>
      <c r="G20" s="19" t="str">
        <f aca="false">MUSTERI_RISK_SKORU!$V20</f>
        <v>DEVAM</v>
      </c>
      <c r="H20" s="19" t="str">
        <f aca="false">MUSTERI_RISK_SKORU!$W20</f>
        <v>Planlı izleme</v>
      </c>
      <c r="I20" s="19" t="str">
        <f aca="false">IF(MUSTERI_RISK_SKORU!$X20&gt;EsikYuksek,"CFO / Finans Müdürü","Tahsilat Yöneticisi")</f>
        <v>Tahsilat Yöneticisi</v>
      </c>
      <c r="J20" s="31" t="n">
        <f aca="false">RaporTarihi+IF(MUSTERI_RISK_SKORU!$X20&gt;EsikPesin,1,KararGunu)</f>
        <v>46242</v>
      </c>
      <c r="K20" s="19" t="str">
        <f aca="false">"Korunan nakit: "&amp;TEXT(MIN(MUSTERI_RISK_SKORU!$G20,MUSTERI_RISK_SKORU!$K20),"₺ #,##0")</f>
        <v>Korunan nakit: ₺ ,000</v>
      </c>
      <c r="L20" s="19" t="str">
        <f aca="false">IF(MUSTERI_RISK_SKORU!$X20&gt;EsikYuksek,"Tahsil edilememe ve nakit kaybı büyür","İşletme sermayesi baskısı artar")</f>
        <v>İşletme sermayesi baskısı artar</v>
      </c>
      <c r="M20" s="19" t="str">
        <f aca="false">MUSTERI_RISK_SKORU!$U20</f>
        <v>YÜKSEK</v>
      </c>
      <c r="N20" s="20"/>
    </row>
    <row r="21" customFormat="false" ht="16.4" hidden="false" customHeight="false" outlineLevel="0" collapsed="false">
      <c r="A21" s="19" t="str">
        <f aca="false">MUSTERI_RISK_SKORU!$A21&amp;" - "&amp;MUSTERI_RISK_SKORU!$B21</f>
        <v>0 - 0</v>
      </c>
      <c r="B21" s="19" t="str">
        <f aca="false">IF(MUSTERI_RISK_SKORU!$X21&gt;EsikKritik,"KRİTİK",IF(MUSTERI_RISK_SKORU!$X21&gt;EsikYuksek,"RİSKLİ",IF(MUSTERI_RISK_SKORU!$X21&gt;EsikIzle,"İZLE","NORMAL")))</f>
        <v>NORMAL</v>
      </c>
      <c r="C21" s="19" t="str">
        <f aca="false">IF(MUSTERI_RISK_SKORU!$I21&gt;YaslamaDilim3,"90+ gün gecikme",IF(MUSTERI_RISK_SKORU!$F21&gt;1,"Limit aşımı",IF(MUSTERI_RISK_SKORU!$M21&gt;0,"İtirazlı alacak","Planlı izleme")))</f>
        <v>Planlı izleme</v>
      </c>
      <c r="D21" s="19" t="str">
        <f aca="false">"Skor "&amp;MUSTERI_RISK_SKORU!$X21&amp;" | Açık "&amp;TEXT(MUSTERI_RISK_SKORU!$C21,"₺ #,##0")</f>
        <v>Skor 20 | Açık ₺ ,000</v>
      </c>
      <c r="E21" s="19" t="str">
        <f aca="false">IF(MUSTERI_RISK_SKORU!$K21&gt;0,"Teminat açığı","Kontrollü risk")</f>
        <v>Kontrollü risk</v>
      </c>
      <c r="F21" s="19" t="str">
        <f aca="false">"Net risk "&amp;TEXT(MUSTERI_RISK_SKORU!$K21,"₺ #,##0")</f>
        <v>Net risk ₺ ,000</v>
      </c>
      <c r="G21" s="19" t="str">
        <f aca="false">MUSTERI_RISK_SKORU!$V21</f>
        <v>DEVAM</v>
      </c>
      <c r="H21" s="19" t="str">
        <f aca="false">MUSTERI_RISK_SKORU!$W21</f>
        <v>Planlı izleme</v>
      </c>
      <c r="I21" s="19" t="str">
        <f aca="false">IF(MUSTERI_RISK_SKORU!$X21&gt;EsikYuksek,"CFO / Finans Müdürü","Tahsilat Yöneticisi")</f>
        <v>Tahsilat Yöneticisi</v>
      </c>
      <c r="J21" s="31" t="n">
        <f aca="false">RaporTarihi+IF(MUSTERI_RISK_SKORU!$X21&gt;EsikPesin,1,KararGunu)</f>
        <v>46242</v>
      </c>
      <c r="K21" s="19" t="str">
        <f aca="false">"Korunan nakit: "&amp;TEXT(MIN(MUSTERI_RISK_SKORU!$G21,MUSTERI_RISK_SKORU!$K21),"₺ #,##0")</f>
        <v>Korunan nakit: ₺ ,000</v>
      </c>
      <c r="L21" s="19" t="str">
        <f aca="false">IF(MUSTERI_RISK_SKORU!$X21&gt;EsikYuksek,"Tahsil edilememe ve nakit kaybı büyür","İşletme sermayesi baskısı artar")</f>
        <v>İşletme sermayesi baskısı artar</v>
      </c>
      <c r="M21" s="19" t="str">
        <f aca="false">MUSTERI_RISK_SKORU!$U21</f>
        <v>YÜKSEK</v>
      </c>
      <c r="N21" s="20"/>
    </row>
    <row r="22" customFormat="false" ht="16.4" hidden="false" customHeight="false" outlineLevel="0" collapsed="false">
      <c r="A22" s="19" t="str">
        <f aca="false">MUSTERI_RISK_SKORU!$A22&amp;" - "&amp;MUSTERI_RISK_SKORU!$B22</f>
        <v>0 - 0</v>
      </c>
      <c r="B22" s="19" t="str">
        <f aca="false">IF(MUSTERI_RISK_SKORU!$X22&gt;EsikKritik,"KRİTİK",IF(MUSTERI_RISK_SKORU!$X22&gt;EsikYuksek,"RİSKLİ",IF(MUSTERI_RISK_SKORU!$X22&gt;EsikIzle,"İZLE","NORMAL")))</f>
        <v>NORMAL</v>
      </c>
      <c r="C22" s="19" t="str">
        <f aca="false">IF(MUSTERI_RISK_SKORU!$I22&gt;YaslamaDilim3,"90+ gün gecikme",IF(MUSTERI_RISK_SKORU!$F22&gt;1,"Limit aşımı",IF(MUSTERI_RISK_SKORU!$M22&gt;0,"İtirazlı alacak","Planlı izleme")))</f>
        <v>Planlı izleme</v>
      </c>
      <c r="D22" s="19" t="str">
        <f aca="false">"Skor "&amp;MUSTERI_RISK_SKORU!$X22&amp;" | Açık "&amp;TEXT(MUSTERI_RISK_SKORU!$C22,"₺ #,##0")</f>
        <v>Skor 20 | Açık ₺ ,000</v>
      </c>
      <c r="E22" s="19" t="str">
        <f aca="false">IF(MUSTERI_RISK_SKORU!$K22&gt;0,"Teminat açığı","Kontrollü risk")</f>
        <v>Kontrollü risk</v>
      </c>
      <c r="F22" s="19" t="str">
        <f aca="false">"Net risk "&amp;TEXT(MUSTERI_RISK_SKORU!$K22,"₺ #,##0")</f>
        <v>Net risk ₺ ,000</v>
      </c>
      <c r="G22" s="19" t="str">
        <f aca="false">MUSTERI_RISK_SKORU!$V22</f>
        <v>DEVAM</v>
      </c>
      <c r="H22" s="19" t="str">
        <f aca="false">MUSTERI_RISK_SKORU!$W22</f>
        <v>Planlı izleme</v>
      </c>
      <c r="I22" s="19" t="str">
        <f aca="false">IF(MUSTERI_RISK_SKORU!$X22&gt;EsikYuksek,"CFO / Finans Müdürü","Tahsilat Yöneticisi")</f>
        <v>Tahsilat Yöneticisi</v>
      </c>
      <c r="J22" s="31" t="n">
        <f aca="false">RaporTarihi+IF(MUSTERI_RISK_SKORU!$X22&gt;EsikPesin,1,KararGunu)</f>
        <v>46242</v>
      </c>
      <c r="K22" s="19" t="str">
        <f aca="false">"Korunan nakit: "&amp;TEXT(MIN(MUSTERI_RISK_SKORU!$G22,MUSTERI_RISK_SKORU!$K22),"₺ #,##0")</f>
        <v>Korunan nakit: ₺ ,000</v>
      </c>
      <c r="L22" s="19" t="str">
        <f aca="false">IF(MUSTERI_RISK_SKORU!$X22&gt;EsikYuksek,"Tahsil edilememe ve nakit kaybı büyür","İşletme sermayesi baskısı artar")</f>
        <v>İşletme sermayesi baskısı artar</v>
      </c>
      <c r="M22" s="19" t="str">
        <f aca="false">MUSTERI_RISK_SKORU!$U22</f>
        <v>YÜKSEK</v>
      </c>
      <c r="N22" s="20"/>
    </row>
    <row r="23" customFormat="false" ht="16.4" hidden="false" customHeight="false" outlineLevel="0" collapsed="false">
      <c r="A23" s="19" t="str">
        <f aca="false">MUSTERI_RISK_SKORU!$A23&amp;" - "&amp;MUSTERI_RISK_SKORU!$B23</f>
        <v>0 - 0</v>
      </c>
      <c r="B23" s="19" t="str">
        <f aca="false">IF(MUSTERI_RISK_SKORU!$X23&gt;EsikKritik,"KRİTİK",IF(MUSTERI_RISK_SKORU!$X23&gt;EsikYuksek,"RİSKLİ",IF(MUSTERI_RISK_SKORU!$X23&gt;EsikIzle,"İZLE","NORMAL")))</f>
        <v>NORMAL</v>
      </c>
      <c r="C23" s="19" t="str">
        <f aca="false">IF(MUSTERI_RISK_SKORU!$I23&gt;YaslamaDilim3,"90+ gün gecikme",IF(MUSTERI_RISK_SKORU!$F23&gt;1,"Limit aşımı",IF(MUSTERI_RISK_SKORU!$M23&gt;0,"İtirazlı alacak","Planlı izleme")))</f>
        <v>Planlı izleme</v>
      </c>
      <c r="D23" s="19" t="str">
        <f aca="false">"Skor "&amp;MUSTERI_RISK_SKORU!$X23&amp;" | Açık "&amp;TEXT(MUSTERI_RISK_SKORU!$C23,"₺ #,##0")</f>
        <v>Skor 20 | Açık ₺ ,000</v>
      </c>
      <c r="E23" s="19" t="str">
        <f aca="false">IF(MUSTERI_RISK_SKORU!$K23&gt;0,"Teminat açığı","Kontrollü risk")</f>
        <v>Kontrollü risk</v>
      </c>
      <c r="F23" s="19" t="str">
        <f aca="false">"Net risk "&amp;TEXT(MUSTERI_RISK_SKORU!$K23,"₺ #,##0")</f>
        <v>Net risk ₺ ,000</v>
      </c>
      <c r="G23" s="19" t="str">
        <f aca="false">MUSTERI_RISK_SKORU!$V23</f>
        <v>DEVAM</v>
      </c>
      <c r="H23" s="19" t="str">
        <f aca="false">MUSTERI_RISK_SKORU!$W23</f>
        <v>Planlı izleme</v>
      </c>
      <c r="I23" s="19" t="str">
        <f aca="false">IF(MUSTERI_RISK_SKORU!$X23&gt;EsikYuksek,"CFO / Finans Müdürü","Tahsilat Yöneticisi")</f>
        <v>Tahsilat Yöneticisi</v>
      </c>
      <c r="J23" s="31" t="n">
        <f aca="false">RaporTarihi+IF(MUSTERI_RISK_SKORU!$X23&gt;EsikPesin,1,KararGunu)</f>
        <v>46242</v>
      </c>
      <c r="K23" s="19" t="str">
        <f aca="false">"Korunan nakit: "&amp;TEXT(MIN(MUSTERI_RISK_SKORU!$G23,MUSTERI_RISK_SKORU!$K23),"₺ #,##0")</f>
        <v>Korunan nakit: ₺ ,000</v>
      </c>
      <c r="L23" s="19" t="str">
        <f aca="false">IF(MUSTERI_RISK_SKORU!$X23&gt;EsikYuksek,"Tahsil edilememe ve nakit kaybı büyür","İşletme sermayesi baskısı artar")</f>
        <v>İşletme sermayesi baskısı artar</v>
      </c>
      <c r="M23" s="19" t="str">
        <f aca="false">MUSTERI_RISK_SKORU!$U23</f>
        <v>YÜKSEK</v>
      </c>
      <c r="N23" s="20"/>
    </row>
    <row r="24" customFormat="false" ht="16.4" hidden="false" customHeight="false" outlineLevel="0" collapsed="false">
      <c r="A24" s="19" t="str">
        <f aca="false">MUSTERI_RISK_SKORU!$A24&amp;" - "&amp;MUSTERI_RISK_SKORU!$B24</f>
        <v>0 - 0</v>
      </c>
      <c r="B24" s="19" t="str">
        <f aca="false">IF(MUSTERI_RISK_SKORU!$X24&gt;EsikKritik,"KRİTİK",IF(MUSTERI_RISK_SKORU!$X24&gt;EsikYuksek,"RİSKLİ",IF(MUSTERI_RISK_SKORU!$X24&gt;EsikIzle,"İZLE","NORMAL")))</f>
        <v>NORMAL</v>
      </c>
      <c r="C24" s="19" t="str">
        <f aca="false">IF(MUSTERI_RISK_SKORU!$I24&gt;YaslamaDilim3,"90+ gün gecikme",IF(MUSTERI_RISK_SKORU!$F24&gt;1,"Limit aşımı",IF(MUSTERI_RISK_SKORU!$M24&gt;0,"İtirazlı alacak","Planlı izleme")))</f>
        <v>Planlı izleme</v>
      </c>
      <c r="D24" s="19" t="str">
        <f aca="false">"Skor "&amp;MUSTERI_RISK_SKORU!$X24&amp;" | Açık "&amp;TEXT(MUSTERI_RISK_SKORU!$C24,"₺ #,##0")</f>
        <v>Skor 20 | Açık ₺ ,000</v>
      </c>
      <c r="E24" s="19" t="str">
        <f aca="false">IF(MUSTERI_RISK_SKORU!$K24&gt;0,"Teminat açığı","Kontrollü risk")</f>
        <v>Kontrollü risk</v>
      </c>
      <c r="F24" s="19" t="str">
        <f aca="false">"Net risk "&amp;TEXT(MUSTERI_RISK_SKORU!$K24,"₺ #,##0")</f>
        <v>Net risk ₺ ,000</v>
      </c>
      <c r="G24" s="19" t="str">
        <f aca="false">MUSTERI_RISK_SKORU!$V24</f>
        <v>DEVAM</v>
      </c>
      <c r="H24" s="19" t="str">
        <f aca="false">MUSTERI_RISK_SKORU!$W24</f>
        <v>Planlı izleme</v>
      </c>
      <c r="I24" s="19" t="str">
        <f aca="false">IF(MUSTERI_RISK_SKORU!$X24&gt;EsikYuksek,"CFO / Finans Müdürü","Tahsilat Yöneticisi")</f>
        <v>Tahsilat Yöneticisi</v>
      </c>
      <c r="J24" s="31" t="n">
        <f aca="false">RaporTarihi+IF(MUSTERI_RISK_SKORU!$X24&gt;EsikPesin,1,KararGunu)</f>
        <v>46242</v>
      </c>
      <c r="K24" s="19" t="str">
        <f aca="false">"Korunan nakit: "&amp;TEXT(MIN(MUSTERI_RISK_SKORU!$G24,MUSTERI_RISK_SKORU!$K24),"₺ #,##0")</f>
        <v>Korunan nakit: ₺ ,000</v>
      </c>
      <c r="L24" s="19" t="str">
        <f aca="false">IF(MUSTERI_RISK_SKORU!$X24&gt;EsikYuksek,"Tahsil edilememe ve nakit kaybı büyür","İşletme sermayesi baskısı artar")</f>
        <v>İşletme sermayesi baskısı artar</v>
      </c>
      <c r="M24" s="19" t="str">
        <f aca="false">MUSTERI_RISK_SKORU!$U24</f>
        <v>YÜKSEK</v>
      </c>
      <c r="N24" s="20"/>
    </row>
    <row r="25" customFormat="false" ht="16.4" hidden="false" customHeight="false" outlineLevel="0" collapsed="false">
      <c r="A25" s="19" t="str">
        <f aca="false">MUSTERI_RISK_SKORU!$A25&amp;" - "&amp;MUSTERI_RISK_SKORU!$B25</f>
        <v>0 - 0</v>
      </c>
      <c r="B25" s="19" t="str">
        <f aca="false">IF(MUSTERI_RISK_SKORU!$X25&gt;EsikKritik,"KRİTİK",IF(MUSTERI_RISK_SKORU!$X25&gt;EsikYuksek,"RİSKLİ",IF(MUSTERI_RISK_SKORU!$X25&gt;EsikIzle,"İZLE","NORMAL")))</f>
        <v>NORMAL</v>
      </c>
      <c r="C25" s="19" t="str">
        <f aca="false">IF(MUSTERI_RISK_SKORU!$I25&gt;YaslamaDilim3,"90+ gün gecikme",IF(MUSTERI_RISK_SKORU!$F25&gt;1,"Limit aşımı",IF(MUSTERI_RISK_SKORU!$M25&gt;0,"İtirazlı alacak","Planlı izleme")))</f>
        <v>Planlı izleme</v>
      </c>
      <c r="D25" s="19" t="str">
        <f aca="false">"Skor "&amp;MUSTERI_RISK_SKORU!$X25&amp;" | Açık "&amp;TEXT(MUSTERI_RISK_SKORU!$C25,"₺ #,##0")</f>
        <v>Skor 20 | Açık ₺ ,000</v>
      </c>
      <c r="E25" s="19" t="str">
        <f aca="false">IF(MUSTERI_RISK_SKORU!$K25&gt;0,"Teminat açığı","Kontrollü risk")</f>
        <v>Kontrollü risk</v>
      </c>
      <c r="F25" s="19" t="str">
        <f aca="false">"Net risk "&amp;TEXT(MUSTERI_RISK_SKORU!$K25,"₺ #,##0")</f>
        <v>Net risk ₺ ,000</v>
      </c>
      <c r="G25" s="19" t="str">
        <f aca="false">MUSTERI_RISK_SKORU!$V25</f>
        <v>DEVAM</v>
      </c>
      <c r="H25" s="19" t="str">
        <f aca="false">MUSTERI_RISK_SKORU!$W25</f>
        <v>Planlı izleme</v>
      </c>
      <c r="I25" s="19" t="str">
        <f aca="false">IF(MUSTERI_RISK_SKORU!$X25&gt;EsikYuksek,"CFO / Finans Müdürü","Tahsilat Yöneticisi")</f>
        <v>Tahsilat Yöneticisi</v>
      </c>
      <c r="J25" s="31" t="n">
        <f aca="false">RaporTarihi+IF(MUSTERI_RISK_SKORU!$X25&gt;EsikPesin,1,KararGunu)</f>
        <v>46242</v>
      </c>
      <c r="K25" s="19" t="str">
        <f aca="false">"Korunan nakit: "&amp;TEXT(MIN(MUSTERI_RISK_SKORU!$G25,MUSTERI_RISK_SKORU!$K25),"₺ #,##0")</f>
        <v>Korunan nakit: ₺ ,000</v>
      </c>
      <c r="L25" s="19" t="str">
        <f aca="false">IF(MUSTERI_RISK_SKORU!$X25&gt;EsikYuksek,"Tahsil edilememe ve nakit kaybı büyür","İşletme sermayesi baskısı artar")</f>
        <v>İşletme sermayesi baskısı artar</v>
      </c>
      <c r="M25" s="19" t="str">
        <f aca="false">MUSTERI_RISK_SKORU!$U25</f>
        <v>YÜKSEK</v>
      </c>
      <c r="N25" s="20"/>
    </row>
    <row r="26" customFormat="false" ht="16.4" hidden="false" customHeight="false" outlineLevel="0" collapsed="false">
      <c r="A26" s="19" t="str">
        <f aca="false">MUSTERI_RISK_SKORU!$A26&amp;" - "&amp;MUSTERI_RISK_SKORU!$B26</f>
        <v>0 - 0</v>
      </c>
      <c r="B26" s="19" t="str">
        <f aca="false">IF(MUSTERI_RISK_SKORU!$X26&gt;EsikKritik,"KRİTİK",IF(MUSTERI_RISK_SKORU!$X26&gt;EsikYuksek,"RİSKLİ",IF(MUSTERI_RISK_SKORU!$X26&gt;EsikIzle,"İZLE","NORMAL")))</f>
        <v>NORMAL</v>
      </c>
      <c r="C26" s="19" t="str">
        <f aca="false">IF(MUSTERI_RISK_SKORU!$I26&gt;YaslamaDilim3,"90+ gün gecikme",IF(MUSTERI_RISK_SKORU!$F26&gt;1,"Limit aşımı",IF(MUSTERI_RISK_SKORU!$M26&gt;0,"İtirazlı alacak","Planlı izleme")))</f>
        <v>Planlı izleme</v>
      </c>
      <c r="D26" s="19" t="str">
        <f aca="false">"Skor "&amp;MUSTERI_RISK_SKORU!$X26&amp;" | Açık "&amp;TEXT(MUSTERI_RISK_SKORU!$C26,"₺ #,##0")</f>
        <v>Skor 20 | Açık ₺ ,000</v>
      </c>
      <c r="E26" s="19" t="str">
        <f aca="false">IF(MUSTERI_RISK_SKORU!$K26&gt;0,"Teminat açığı","Kontrollü risk")</f>
        <v>Kontrollü risk</v>
      </c>
      <c r="F26" s="19" t="str">
        <f aca="false">"Net risk "&amp;TEXT(MUSTERI_RISK_SKORU!$K26,"₺ #,##0")</f>
        <v>Net risk ₺ ,000</v>
      </c>
      <c r="G26" s="19" t="str">
        <f aca="false">MUSTERI_RISK_SKORU!$V26</f>
        <v>DEVAM</v>
      </c>
      <c r="H26" s="19" t="str">
        <f aca="false">MUSTERI_RISK_SKORU!$W26</f>
        <v>Planlı izleme</v>
      </c>
      <c r="I26" s="19" t="str">
        <f aca="false">IF(MUSTERI_RISK_SKORU!$X26&gt;EsikYuksek,"CFO / Finans Müdürü","Tahsilat Yöneticisi")</f>
        <v>Tahsilat Yöneticisi</v>
      </c>
      <c r="J26" s="31" t="n">
        <f aca="false">RaporTarihi+IF(MUSTERI_RISK_SKORU!$X26&gt;EsikPesin,1,KararGunu)</f>
        <v>46242</v>
      </c>
      <c r="K26" s="19" t="str">
        <f aca="false">"Korunan nakit: "&amp;TEXT(MIN(MUSTERI_RISK_SKORU!$G26,MUSTERI_RISK_SKORU!$K26),"₺ #,##0")</f>
        <v>Korunan nakit: ₺ ,000</v>
      </c>
      <c r="L26" s="19" t="str">
        <f aca="false">IF(MUSTERI_RISK_SKORU!$X26&gt;EsikYuksek,"Tahsil edilememe ve nakit kaybı büyür","İşletme sermayesi baskısı artar")</f>
        <v>İşletme sermayesi baskısı artar</v>
      </c>
      <c r="M26" s="19" t="str">
        <f aca="false">MUSTERI_RISK_SKORU!$U26</f>
        <v>YÜKSEK</v>
      </c>
      <c r="N26" s="20"/>
    </row>
    <row r="27" customFormat="false" ht="16.4" hidden="false" customHeight="false" outlineLevel="0" collapsed="false">
      <c r="A27" s="19" t="str">
        <f aca="false">MUSTERI_RISK_SKORU!$A27&amp;" - "&amp;MUSTERI_RISK_SKORU!$B27</f>
        <v>0 - 0</v>
      </c>
      <c r="B27" s="19" t="str">
        <f aca="false">IF(MUSTERI_RISK_SKORU!$X27&gt;EsikKritik,"KRİTİK",IF(MUSTERI_RISK_SKORU!$X27&gt;EsikYuksek,"RİSKLİ",IF(MUSTERI_RISK_SKORU!$X27&gt;EsikIzle,"İZLE","NORMAL")))</f>
        <v>NORMAL</v>
      </c>
      <c r="C27" s="19" t="str">
        <f aca="false">IF(MUSTERI_RISK_SKORU!$I27&gt;YaslamaDilim3,"90+ gün gecikme",IF(MUSTERI_RISK_SKORU!$F27&gt;1,"Limit aşımı",IF(MUSTERI_RISK_SKORU!$M27&gt;0,"İtirazlı alacak","Planlı izleme")))</f>
        <v>Planlı izleme</v>
      </c>
      <c r="D27" s="19" t="str">
        <f aca="false">"Skor "&amp;MUSTERI_RISK_SKORU!$X27&amp;" | Açık "&amp;TEXT(MUSTERI_RISK_SKORU!$C27,"₺ #,##0")</f>
        <v>Skor 20 | Açık ₺ ,000</v>
      </c>
      <c r="E27" s="19" t="str">
        <f aca="false">IF(MUSTERI_RISK_SKORU!$K27&gt;0,"Teminat açığı","Kontrollü risk")</f>
        <v>Kontrollü risk</v>
      </c>
      <c r="F27" s="19" t="str">
        <f aca="false">"Net risk "&amp;TEXT(MUSTERI_RISK_SKORU!$K27,"₺ #,##0")</f>
        <v>Net risk ₺ ,000</v>
      </c>
      <c r="G27" s="19" t="str">
        <f aca="false">MUSTERI_RISK_SKORU!$V27</f>
        <v>DEVAM</v>
      </c>
      <c r="H27" s="19" t="str">
        <f aca="false">MUSTERI_RISK_SKORU!$W27</f>
        <v>Planlı izleme</v>
      </c>
      <c r="I27" s="19" t="str">
        <f aca="false">IF(MUSTERI_RISK_SKORU!$X27&gt;EsikYuksek,"CFO / Finans Müdürü","Tahsilat Yöneticisi")</f>
        <v>Tahsilat Yöneticisi</v>
      </c>
      <c r="J27" s="31" t="n">
        <f aca="false">RaporTarihi+IF(MUSTERI_RISK_SKORU!$X27&gt;EsikPesin,1,KararGunu)</f>
        <v>46242</v>
      </c>
      <c r="K27" s="19" t="str">
        <f aca="false">"Korunan nakit: "&amp;TEXT(MIN(MUSTERI_RISK_SKORU!$G27,MUSTERI_RISK_SKORU!$K27),"₺ #,##0")</f>
        <v>Korunan nakit: ₺ ,000</v>
      </c>
      <c r="L27" s="19" t="str">
        <f aca="false">IF(MUSTERI_RISK_SKORU!$X27&gt;EsikYuksek,"Tahsil edilememe ve nakit kaybı büyür","İşletme sermayesi baskısı artar")</f>
        <v>İşletme sermayesi baskısı artar</v>
      </c>
      <c r="M27" s="19" t="str">
        <f aca="false">MUSTERI_RISK_SKORU!$U27</f>
        <v>YÜKSEK</v>
      </c>
      <c r="N27" s="20"/>
    </row>
    <row r="28" customFormat="false" ht="16.4" hidden="false" customHeight="false" outlineLevel="0" collapsed="false">
      <c r="A28" s="19" t="str">
        <f aca="false">MUSTERI_RISK_SKORU!$A28&amp;" - "&amp;MUSTERI_RISK_SKORU!$B28</f>
        <v>0 - 0</v>
      </c>
      <c r="B28" s="19" t="str">
        <f aca="false">IF(MUSTERI_RISK_SKORU!$X28&gt;EsikKritik,"KRİTİK",IF(MUSTERI_RISK_SKORU!$X28&gt;EsikYuksek,"RİSKLİ",IF(MUSTERI_RISK_SKORU!$X28&gt;EsikIzle,"İZLE","NORMAL")))</f>
        <v>NORMAL</v>
      </c>
      <c r="C28" s="19" t="str">
        <f aca="false">IF(MUSTERI_RISK_SKORU!$I28&gt;YaslamaDilim3,"90+ gün gecikme",IF(MUSTERI_RISK_SKORU!$F28&gt;1,"Limit aşımı",IF(MUSTERI_RISK_SKORU!$M28&gt;0,"İtirazlı alacak","Planlı izleme")))</f>
        <v>Planlı izleme</v>
      </c>
      <c r="D28" s="19" t="str">
        <f aca="false">"Skor "&amp;MUSTERI_RISK_SKORU!$X28&amp;" | Açık "&amp;TEXT(MUSTERI_RISK_SKORU!$C28,"₺ #,##0")</f>
        <v>Skor 20 | Açık ₺ ,000</v>
      </c>
      <c r="E28" s="19" t="str">
        <f aca="false">IF(MUSTERI_RISK_SKORU!$K28&gt;0,"Teminat açığı","Kontrollü risk")</f>
        <v>Kontrollü risk</v>
      </c>
      <c r="F28" s="19" t="str">
        <f aca="false">"Net risk "&amp;TEXT(MUSTERI_RISK_SKORU!$K28,"₺ #,##0")</f>
        <v>Net risk ₺ ,000</v>
      </c>
      <c r="G28" s="19" t="str">
        <f aca="false">MUSTERI_RISK_SKORU!$V28</f>
        <v>DEVAM</v>
      </c>
      <c r="H28" s="19" t="str">
        <f aca="false">MUSTERI_RISK_SKORU!$W28</f>
        <v>Planlı izleme</v>
      </c>
      <c r="I28" s="19" t="str">
        <f aca="false">IF(MUSTERI_RISK_SKORU!$X28&gt;EsikYuksek,"CFO / Finans Müdürü","Tahsilat Yöneticisi")</f>
        <v>Tahsilat Yöneticisi</v>
      </c>
      <c r="J28" s="31" t="n">
        <f aca="false">RaporTarihi+IF(MUSTERI_RISK_SKORU!$X28&gt;EsikPesin,1,KararGunu)</f>
        <v>46242</v>
      </c>
      <c r="K28" s="19" t="str">
        <f aca="false">"Korunan nakit: "&amp;TEXT(MIN(MUSTERI_RISK_SKORU!$G28,MUSTERI_RISK_SKORU!$K28),"₺ #,##0")</f>
        <v>Korunan nakit: ₺ ,000</v>
      </c>
      <c r="L28" s="19" t="str">
        <f aca="false">IF(MUSTERI_RISK_SKORU!$X28&gt;EsikYuksek,"Tahsil edilememe ve nakit kaybı büyür","İşletme sermayesi baskısı artar")</f>
        <v>İşletme sermayesi baskısı artar</v>
      </c>
      <c r="M28" s="19" t="str">
        <f aca="false">MUSTERI_RISK_SKORU!$U28</f>
        <v>YÜKSEK</v>
      </c>
      <c r="N28" s="20"/>
    </row>
    <row r="29" customFormat="false" ht="16.4" hidden="false" customHeight="false" outlineLevel="0" collapsed="false">
      <c r="A29" s="19" t="str">
        <f aca="false">MUSTERI_RISK_SKORU!$A29&amp;" - "&amp;MUSTERI_RISK_SKORU!$B29</f>
        <v>0 - 0</v>
      </c>
      <c r="B29" s="19" t="str">
        <f aca="false">IF(MUSTERI_RISK_SKORU!$X29&gt;EsikKritik,"KRİTİK",IF(MUSTERI_RISK_SKORU!$X29&gt;EsikYuksek,"RİSKLİ",IF(MUSTERI_RISK_SKORU!$X29&gt;EsikIzle,"İZLE","NORMAL")))</f>
        <v>NORMAL</v>
      </c>
      <c r="C29" s="19" t="str">
        <f aca="false">IF(MUSTERI_RISK_SKORU!$I29&gt;YaslamaDilim3,"90+ gün gecikme",IF(MUSTERI_RISK_SKORU!$F29&gt;1,"Limit aşımı",IF(MUSTERI_RISK_SKORU!$M29&gt;0,"İtirazlı alacak","Planlı izleme")))</f>
        <v>Planlı izleme</v>
      </c>
      <c r="D29" s="19" t="str">
        <f aca="false">"Skor "&amp;MUSTERI_RISK_SKORU!$X29&amp;" | Açık "&amp;TEXT(MUSTERI_RISK_SKORU!$C29,"₺ #,##0")</f>
        <v>Skor 20 | Açık ₺ ,000</v>
      </c>
      <c r="E29" s="19" t="str">
        <f aca="false">IF(MUSTERI_RISK_SKORU!$K29&gt;0,"Teminat açığı","Kontrollü risk")</f>
        <v>Kontrollü risk</v>
      </c>
      <c r="F29" s="19" t="str">
        <f aca="false">"Net risk "&amp;TEXT(MUSTERI_RISK_SKORU!$K29,"₺ #,##0")</f>
        <v>Net risk ₺ ,000</v>
      </c>
      <c r="G29" s="19" t="str">
        <f aca="false">MUSTERI_RISK_SKORU!$V29</f>
        <v>DEVAM</v>
      </c>
      <c r="H29" s="19" t="str">
        <f aca="false">MUSTERI_RISK_SKORU!$W29</f>
        <v>Planlı izleme</v>
      </c>
      <c r="I29" s="19" t="str">
        <f aca="false">IF(MUSTERI_RISK_SKORU!$X29&gt;EsikYuksek,"CFO / Finans Müdürü","Tahsilat Yöneticisi")</f>
        <v>Tahsilat Yöneticisi</v>
      </c>
      <c r="J29" s="31" t="n">
        <f aca="false">RaporTarihi+IF(MUSTERI_RISK_SKORU!$X29&gt;EsikPesin,1,KararGunu)</f>
        <v>46242</v>
      </c>
      <c r="K29" s="19" t="str">
        <f aca="false">"Korunan nakit: "&amp;TEXT(MIN(MUSTERI_RISK_SKORU!$G29,MUSTERI_RISK_SKORU!$K29),"₺ #,##0")</f>
        <v>Korunan nakit: ₺ ,000</v>
      </c>
      <c r="L29" s="19" t="str">
        <f aca="false">IF(MUSTERI_RISK_SKORU!$X29&gt;EsikYuksek,"Tahsil edilememe ve nakit kaybı büyür","İşletme sermayesi baskısı artar")</f>
        <v>İşletme sermayesi baskısı artar</v>
      </c>
      <c r="M29" s="19" t="str">
        <f aca="false">MUSTERI_RISK_SKORU!$U29</f>
        <v>YÜKSEK</v>
      </c>
      <c r="N29" s="20"/>
    </row>
    <row r="30" customFormat="false" ht="16.4" hidden="false" customHeight="false" outlineLevel="0" collapsed="false">
      <c r="A30" s="19" t="str">
        <f aca="false">MUSTERI_RISK_SKORU!$A30&amp;" - "&amp;MUSTERI_RISK_SKORU!$B30</f>
        <v>0 - 0</v>
      </c>
      <c r="B30" s="19" t="str">
        <f aca="false">IF(MUSTERI_RISK_SKORU!$X30&gt;EsikKritik,"KRİTİK",IF(MUSTERI_RISK_SKORU!$X30&gt;EsikYuksek,"RİSKLİ",IF(MUSTERI_RISK_SKORU!$X30&gt;EsikIzle,"İZLE","NORMAL")))</f>
        <v>NORMAL</v>
      </c>
      <c r="C30" s="19" t="str">
        <f aca="false">IF(MUSTERI_RISK_SKORU!$I30&gt;YaslamaDilim3,"90+ gün gecikme",IF(MUSTERI_RISK_SKORU!$F30&gt;1,"Limit aşımı",IF(MUSTERI_RISK_SKORU!$M30&gt;0,"İtirazlı alacak","Planlı izleme")))</f>
        <v>Planlı izleme</v>
      </c>
      <c r="D30" s="19" t="str">
        <f aca="false">"Skor "&amp;MUSTERI_RISK_SKORU!$X30&amp;" | Açık "&amp;TEXT(MUSTERI_RISK_SKORU!$C30,"₺ #,##0")</f>
        <v>Skor 20 | Açık ₺ ,000</v>
      </c>
      <c r="E30" s="19" t="str">
        <f aca="false">IF(MUSTERI_RISK_SKORU!$K30&gt;0,"Teminat açığı","Kontrollü risk")</f>
        <v>Kontrollü risk</v>
      </c>
      <c r="F30" s="19" t="str">
        <f aca="false">"Net risk "&amp;TEXT(MUSTERI_RISK_SKORU!$K30,"₺ #,##0")</f>
        <v>Net risk ₺ ,000</v>
      </c>
      <c r="G30" s="19" t="str">
        <f aca="false">MUSTERI_RISK_SKORU!$V30</f>
        <v>DEVAM</v>
      </c>
      <c r="H30" s="19" t="str">
        <f aca="false">MUSTERI_RISK_SKORU!$W30</f>
        <v>Planlı izleme</v>
      </c>
      <c r="I30" s="19" t="str">
        <f aca="false">IF(MUSTERI_RISK_SKORU!$X30&gt;EsikYuksek,"CFO / Finans Müdürü","Tahsilat Yöneticisi")</f>
        <v>Tahsilat Yöneticisi</v>
      </c>
      <c r="J30" s="31" t="n">
        <f aca="false">RaporTarihi+IF(MUSTERI_RISK_SKORU!$X30&gt;EsikPesin,1,KararGunu)</f>
        <v>46242</v>
      </c>
      <c r="K30" s="19" t="str">
        <f aca="false">"Korunan nakit: "&amp;TEXT(MIN(MUSTERI_RISK_SKORU!$G30,MUSTERI_RISK_SKORU!$K30),"₺ #,##0")</f>
        <v>Korunan nakit: ₺ ,000</v>
      </c>
      <c r="L30" s="19" t="str">
        <f aca="false">IF(MUSTERI_RISK_SKORU!$X30&gt;EsikYuksek,"Tahsil edilememe ve nakit kaybı büyür","İşletme sermayesi baskısı artar")</f>
        <v>İşletme sermayesi baskısı artar</v>
      </c>
      <c r="M30" s="19" t="str">
        <f aca="false">MUSTERI_RISK_SKORU!$U30</f>
        <v>YÜKSEK</v>
      </c>
      <c r="N30" s="20"/>
    </row>
    <row r="31" customFormat="false" ht="16.4" hidden="false" customHeight="false" outlineLevel="0" collapsed="false">
      <c r="A31" s="19" t="str">
        <f aca="false">MUSTERI_RISK_SKORU!$A31&amp;" - "&amp;MUSTERI_RISK_SKORU!$B31</f>
        <v>0 - 0</v>
      </c>
      <c r="B31" s="19" t="str">
        <f aca="false">IF(MUSTERI_RISK_SKORU!$X31&gt;EsikKritik,"KRİTİK",IF(MUSTERI_RISK_SKORU!$X31&gt;EsikYuksek,"RİSKLİ",IF(MUSTERI_RISK_SKORU!$X31&gt;EsikIzle,"İZLE","NORMAL")))</f>
        <v>NORMAL</v>
      </c>
      <c r="C31" s="19" t="str">
        <f aca="false">IF(MUSTERI_RISK_SKORU!$I31&gt;YaslamaDilim3,"90+ gün gecikme",IF(MUSTERI_RISK_SKORU!$F31&gt;1,"Limit aşımı",IF(MUSTERI_RISK_SKORU!$M31&gt;0,"İtirazlı alacak","Planlı izleme")))</f>
        <v>Planlı izleme</v>
      </c>
      <c r="D31" s="19" t="str">
        <f aca="false">"Skor "&amp;MUSTERI_RISK_SKORU!$X31&amp;" | Açık "&amp;TEXT(MUSTERI_RISK_SKORU!$C31,"₺ #,##0")</f>
        <v>Skor 20 | Açık ₺ ,000</v>
      </c>
      <c r="E31" s="19" t="str">
        <f aca="false">IF(MUSTERI_RISK_SKORU!$K31&gt;0,"Teminat açığı","Kontrollü risk")</f>
        <v>Kontrollü risk</v>
      </c>
      <c r="F31" s="19" t="str">
        <f aca="false">"Net risk "&amp;TEXT(MUSTERI_RISK_SKORU!$K31,"₺ #,##0")</f>
        <v>Net risk ₺ ,000</v>
      </c>
      <c r="G31" s="19" t="str">
        <f aca="false">MUSTERI_RISK_SKORU!$V31</f>
        <v>DEVAM</v>
      </c>
      <c r="H31" s="19" t="str">
        <f aca="false">MUSTERI_RISK_SKORU!$W31</f>
        <v>Planlı izleme</v>
      </c>
      <c r="I31" s="19" t="str">
        <f aca="false">IF(MUSTERI_RISK_SKORU!$X31&gt;EsikYuksek,"CFO / Finans Müdürü","Tahsilat Yöneticisi")</f>
        <v>Tahsilat Yöneticisi</v>
      </c>
      <c r="J31" s="31" t="n">
        <f aca="false">RaporTarihi+IF(MUSTERI_RISK_SKORU!$X31&gt;EsikPesin,1,KararGunu)</f>
        <v>46242</v>
      </c>
      <c r="K31" s="19" t="str">
        <f aca="false">"Korunan nakit: "&amp;TEXT(MIN(MUSTERI_RISK_SKORU!$G31,MUSTERI_RISK_SKORU!$K31),"₺ #,##0")</f>
        <v>Korunan nakit: ₺ ,000</v>
      </c>
      <c r="L31" s="19" t="str">
        <f aca="false">IF(MUSTERI_RISK_SKORU!$X31&gt;EsikYuksek,"Tahsil edilememe ve nakit kaybı büyür","İşletme sermayesi baskısı artar")</f>
        <v>İşletme sermayesi baskısı artar</v>
      </c>
      <c r="M31" s="19" t="str">
        <f aca="false">MUSTERI_RISK_SKORU!$U31</f>
        <v>YÜKSEK</v>
      </c>
      <c r="N31" s="20"/>
    </row>
    <row r="32" customFormat="false" ht="16.4" hidden="false" customHeight="false" outlineLevel="0" collapsed="false">
      <c r="A32" s="19" t="str">
        <f aca="false">MUSTERI_RISK_SKORU!$A32&amp;" - "&amp;MUSTERI_RISK_SKORU!$B32</f>
        <v>0 - 0</v>
      </c>
      <c r="B32" s="19" t="str">
        <f aca="false">IF(MUSTERI_RISK_SKORU!$X32&gt;EsikKritik,"KRİTİK",IF(MUSTERI_RISK_SKORU!$X32&gt;EsikYuksek,"RİSKLİ",IF(MUSTERI_RISK_SKORU!$X32&gt;EsikIzle,"İZLE","NORMAL")))</f>
        <v>NORMAL</v>
      </c>
      <c r="C32" s="19" t="str">
        <f aca="false">IF(MUSTERI_RISK_SKORU!$I32&gt;YaslamaDilim3,"90+ gün gecikme",IF(MUSTERI_RISK_SKORU!$F32&gt;1,"Limit aşımı",IF(MUSTERI_RISK_SKORU!$M32&gt;0,"İtirazlı alacak","Planlı izleme")))</f>
        <v>Planlı izleme</v>
      </c>
      <c r="D32" s="19" t="str">
        <f aca="false">"Skor "&amp;MUSTERI_RISK_SKORU!$X32&amp;" | Açık "&amp;TEXT(MUSTERI_RISK_SKORU!$C32,"₺ #,##0")</f>
        <v>Skor 20 | Açık ₺ ,000</v>
      </c>
      <c r="E32" s="19" t="str">
        <f aca="false">IF(MUSTERI_RISK_SKORU!$K32&gt;0,"Teminat açığı","Kontrollü risk")</f>
        <v>Kontrollü risk</v>
      </c>
      <c r="F32" s="19" t="str">
        <f aca="false">"Net risk "&amp;TEXT(MUSTERI_RISK_SKORU!$K32,"₺ #,##0")</f>
        <v>Net risk ₺ ,000</v>
      </c>
      <c r="G32" s="19" t="str">
        <f aca="false">MUSTERI_RISK_SKORU!$V32</f>
        <v>DEVAM</v>
      </c>
      <c r="H32" s="19" t="str">
        <f aca="false">MUSTERI_RISK_SKORU!$W32</f>
        <v>Planlı izleme</v>
      </c>
      <c r="I32" s="19" t="str">
        <f aca="false">IF(MUSTERI_RISK_SKORU!$X32&gt;EsikYuksek,"CFO / Finans Müdürü","Tahsilat Yöneticisi")</f>
        <v>Tahsilat Yöneticisi</v>
      </c>
      <c r="J32" s="31" t="n">
        <f aca="false">RaporTarihi+IF(MUSTERI_RISK_SKORU!$X32&gt;EsikPesin,1,KararGunu)</f>
        <v>46242</v>
      </c>
      <c r="K32" s="19" t="str">
        <f aca="false">"Korunan nakit: "&amp;TEXT(MIN(MUSTERI_RISK_SKORU!$G32,MUSTERI_RISK_SKORU!$K32),"₺ #,##0")</f>
        <v>Korunan nakit: ₺ ,000</v>
      </c>
      <c r="L32" s="19" t="str">
        <f aca="false">IF(MUSTERI_RISK_SKORU!$X32&gt;EsikYuksek,"Tahsil edilememe ve nakit kaybı büyür","İşletme sermayesi baskısı artar")</f>
        <v>İşletme sermayesi baskısı artar</v>
      </c>
      <c r="M32" s="19" t="str">
        <f aca="false">MUSTERI_RISK_SKORU!$U32</f>
        <v>YÜKSEK</v>
      </c>
      <c r="N32" s="20"/>
    </row>
    <row r="33" customFormat="false" ht="16.4" hidden="false" customHeight="false" outlineLevel="0" collapsed="false">
      <c r="A33" s="19" t="str">
        <f aca="false">MUSTERI_RISK_SKORU!$A33&amp;" - "&amp;MUSTERI_RISK_SKORU!$B33</f>
        <v>0 - 0</v>
      </c>
      <c r="B33" s="19" t="str">
        <f aca="false">IF(MUSTERI_RISK_SKORU!$X33&gt;EsikKritik,"KRİTİK",IF(MUSTERI_RISK_SKORU!$X33&gt;EsikYuksek,"RİSKLİ",IF(MUSTERI_RISK_SKORU!$X33&gt;EsikIzle,"İZLE","NORMAL")))</f>
        <v>NORMAL</v>
      </c>
      <c r="C33" s="19" t="str">
        <f aca="false">IF(MUSTERI_RISK_SKORU!$I33&gt;YaslamaDilim3,"90+ gün gecikme",IF(MUSTERI_RISK_SKORU!$F33&gt;1,"Limit aşımı",IF(MUSTERI_RISK_SKORU!$M33&gt;0,"İtirazlı alacak","Planlı izleme")))</f>
        <v>Planlı izleme</v>
      </c>
      <c r="D33" s="19" t="str">
        <f aca="false">"Skor "&amp;MUSTERI_RISK_SKORU!$X33&amp;" | Açık "&amp;TEXT(MUSTERI_RISK_SKORU!$C33,"₺ #,##0")</f>
        <v>Skor 20 | Açık ₺ ,000</v>
      </c>
      <c r="E33" s="19" t="str">
        <f aca="false">IF(MUSTERI_RISK_SKORU!$K33&gt;0,"Teminat açığı","Kontrollü risk")</f>
        <v>Kontrollü risk</v>
      </c>
      <c r="F33" s="19" t="str">
        <f aca="false">"Net risk "&amp;TEXT(MUSTERI_RISK_SKORU!$K33,"₺ #,##0")</f>
        <v>Net risk ₺ ,000</v>
      </c>
      <c r="G33" s="19" t="str">
        <f aca="false">MUSTERI_RISK_SKORU!$V33</f>
        <v>DEVAM</v>
      </c>
      <c r="H33" s="19" t="str">
        <f aca="false">MUSTERI_RISK_SKORU!$W33</f>
        <v>Planlı izleme</v>
      </c>
      <c r="I33" s="19" t="str">
        <f aca="false">IF(MUSTERI_RISK_SKORU!$X33&gt;EsikYuksek,"CFO / Finans Müdürü","Tahsilat Yöneticisi")</f>
        <v>Tahsilat Yöneticisi</v>
      </c>
      <c r="J33" s="31" t="n">
        <f aca="false">RaporTarihi+IF(MUSTERI_RISK_SKORU!$X33&gt;EsikPesin,1,KararGunu)</f>
        <v>46242</v>
      </c>
      <c r="K33" s="19" t="str">
        <f aca="false">"Korunan nakit: "&amp;TEXT(MIN(MUSTERI_RISK_SKORU!$G33,MUSTERI_RISK_SKORU!$K33),"₺ #,##0")</f>
        <v>Korunan nakit: ₺ ,000</v>
      </c>
      <c r="L33" s="19" t="str">
        <f aca="false">IF(MUSTERI_RISK_SKORU!$X33&gt;EsikYuksek,"Tahsil edilememe ve nakit kaybı büyür","İşletme sermayesi baskısı artar")</f>
        <v>İşletme sermayesi baskısı artar</v>
      </c>
      <c r="M33" s="19" t="str">
        <f aca="false">MUSTERI_RISK_SKORU!$U33</f>
        <v>YÜKSEK</v>
      </c>
      <c r="N33" s="20"/>
    </row>
    <row r="34" customFormat="false" ht="16.4" hidden="false" customHeight="false" outlineLevel="0" collapsed="false">
      <c r="A34" s="19" t="str">
        <f aca="false">MUSTERI_RISK_SKORU!$A34&amp;" - "&amp;MUSTERI_RISK_SKORU!$B34</f>
        <v>0 - 0</v>
      </c>
      <c r="B34" s="19" t="str">
        <f aca="false">IF(MUSTERI_RISK_SKORU!$X34&gt;EsikKritik,"KRİTİK",IF(MUSTERI_RISK_SKORU!$X34&gt;EsikYuksek,"RİSKLİ",IF(MUSTERI_RISK_SKORU!$X34&gt;EsikIzle,"İZLE","NORMAL")))</f>
        <v>NORMAL</v>
      </c>
      <c r="C34" s="19" t="str">
        <f aca="false">IF(MUSTERI_RISK_SKORU!$I34&gt;YaslamaDilim3,"90+ gün gecikme",IF(MUSTERI_RISK_SKORU!$F34&gt;1,"Limit aşımı",IF(MUSTERI_RISK_SKORU!$M34&gt;0,"İtirazlı alacak","Planlı izleme")))</f>
        <v>Planlı izleme</v>
      </c>
      <c r="D34" s="19" t="str">
        <f aca="false">"Skor "&amp;MUSTERI_RISK_SKORU!$X34&amp;" | Açık "&amp;TEXT(MUSTERI_RISK_SKORU!$C34,"₺ #,##0")</f>
        <v>Skor 20 | Açık ₺ ,000</v>
      </c>
      <c r="E34" s="19" t="str">
        <f aca="false">IF(MUSTERI_RISK_SKORU!$K34&gt;0,"Teminat açığı","Kontrollü risk")</f>
        <v>Kontrollü risk</v>
      </c>
      <c r="F34" s="19" t="str">
        <f aca="false">"Net risk "&amp;TEXT(MUSTERI_RISK_SKORU!$K34,"₺ #,##0")</f>
        <v>Net risk ₺ ,000</v>
      </c>
      <c r="G34" s="19" t="str">
        <f aca="false">MUSTERI_RISK_SKORU!$V34</f>
        <v>DEVAM</v>
      </c>
      <c r="H34" s="19" t="str">
        <f aca="false">MUSTERI_RISK_SKORU!$W34</f>
        <v>Planlı izleme</v>
      </c>
      <c r="I34" s="19" t="str">
        <f aca="false">IF(MUSTERI_RISK_SKORU!$X34&gt;EsikYuksek,"CFO / Finans Müdürü","Tahsilat Yöneticisi")</f>
        <v>Tahsilat Yöneticisi</v>
      </c>
      <c r="J34" s="31" t="n">
        <f aca="false">RaporTarihi+IF(MUSTERI_RISK_SKORU!$X34&gt;EsikPesin,1,KararGunu)</f>
        <v>46242</v>
      </c>
      <c r="K34" s="19" t="str">
        <f aca="false">"Korunan nakit: "&amp;TEXT(MIN(MUSTERI_RISK_SKORU!$G34,MUSTERI_RISK_SKORU!$K34),"₺ #,##0")</f>
        <v>Korunan nakit: ₺ ,000</v>
      </c>
      <c r="L34" s="19" t="str">
        <f aca="false">IF(MUSTERI_RISK_SKORU!$X34&gt;EsikYuksek,"Tahsil edilememe ve nakit kaybı büyür","İşletme sermayesi baskısı artar")</f>
        <v>İşletme sermayesi baskısı artar</v>
      </c>
      <c r="M34" s="19" t="str">
        <f aca="false">MUSTERI_RISK_SKORU!$U34</f>
        <v>YÜKSEK</v>
      </c>
      <c r="N34" s="20"/>
    </row>
    <row r="35" customFormat="false" ht="16.4" hidden="false" customHeight="false" outlineLevel="0" collapsed="false">
      <c r="A35" s="19" t="str">
        <f aca="false">MUSTERI_RISK_SKORU!$A35&amp;" - "&amp;MUSTERI_RISK_SKORU!$B35</f>
        <v>0 - 0</v>
      </c>
      <c r="B35" s="19" t="str">
        <f aca="false">IF(MUSTERI_RISK_SKORU!$X35&gt;EsikKritik,"KRİTİK",IF(MUSTERI_RISK_SKORU!$X35&gt;EsikYuksek,"RİSKLİ",IF(MUSTERI_RISK_SKORU!$X35&gt;EsikIzle,"İZLE","NORMAL")))</f>
        <v>NORMAL</v>
      </c>
      <c r="C35" s="19" t="str">
        <f aca="false">IF(MUSTERI_RISK_SKORU!$I35&gt;YaslamaDilim3,"90+ gün gecikme",IF(MUSTERI_RISK_SKORU!$F35&gt;1,"Limit aşımı",IF(MUSTERI_RISK_SKORU!$M35&gt;0,"İtirazlı alacak","Planlı izleme")))</f>
        <v>Planlı izleme</v>
      </c>
      <c r="D35" s="19" t="str">
        <f aca="false">"Skor "&amp;MUSTERI_RISK_SKORU!$X35&amp;" | Açık "&amp;TEXT(MUSTERI_RISK_SKORU!$C35,"₺ #,##0")</f>
        <v>Skor 20 | Açık ₺ ,000</v>
      </c>
      <c r="E35" s="19" t="str">
        <f aca="false">IF(MUSTERI_RISK_SKORU!$K35&gt;0,"Teminat açığı","Kontrollü risk")</f>
        <v>Kontrollü risk</v>
      </c>
      <c r="F35" s="19" t="str">
        <f aca="false">"Net risk "&amp;TEXT(MUSTERI_RISK_SKORU!$K35,"₺ #,##0")</f>
        <v>Net risk ₺ ,000</v>
      </c>
      <c r="G35" s="19" t="str">
        <f aca="false">MUSTERI_RISK_SKORU!$V35</f>
        <v>DEVAM</v>
      </c>
      <c r="H35" s="19" t="str">
        <f aca="false">MUSTERI_RISK_SKORU!$W35</f>
        <v>Planlı izleme</v>
      </c>
      <c r="I35" s="19" t="str">
        <f aca="false">IF(MUSTERI_RISK_SKORU!$X35&gt;EsikYuksek,"CFO / Finans Müdürü","Tahsilat Yöneticisi")</f>
        <v>Tahsilat Yöneticisi</v>
      </c>
      <c r="J35" s="31" t="n">
        <f aca="false">RaporTarihi+IF(MUSTERI_RISK_SKORU!$X35&gt;EsikPesin,1,KararGunu)</f>
        <v>46242</v>
      </c>
      <c r="K35" s="19" t="str">
        <f aca="false">"Korunan nakit: "&amp;TEXT(MIN(MUSTERI_RISK_SKORU!$G35,MUSTERI_RISK_SKORU!$K35),"₺ #,##0")</f>
        <v>Korunan nakit: ₺ ,000</v>
      </c>
      <c r="L35" s="19" t="str">
        <f aca="false">IF(MUSTERI_RISK_SKORU!$X35&gt;EsikYuksek,"Tahsil edilememe ve nakit kaybı büyür","İşletme sermayesi baskısı artar")</f>
        <v>İşletme sermayesi baskısı artar</v>
      </c>
      <c r="M35" s="19" t="str">
        <f aca="false">MUSTERI_RISK_SKORU!$U35</f>
        <v>YÜKSEK</v>
      </c>
      <c r="N35" s="20"/>
    </row>
    <row r="36" customFormat="false" ht="16.4" hidden="false" customHeight="false" outlineLevel="0" collapsed="false">
      <c r="A36" s="19" t="str">
        <f aca="false">MUSTERI_RISK_SKORU!$A36&amp;" - "&amp;MUSTERI_RISK_SKORU!$B36</f>
        <v>0 - 0</v>
      </c>
      <c r="B36" s="19" t="str">
        <f aca="false">IF(MUSTERI_RISK_SKORU!$X36&gt;EsikKritik,"KRİTİK",IF(MUSTERI_RISK_SKORU!$X36&gt;EsikYuksek,"RİSKLİ",IF(MUSTERI_RISK_SKORU!$X36&gt;EsikIzle,"İZLE","NORMAL")))</f>
        <v>NORMAL</v>
      </c>
      <c r="C36" s="19" t="str">
        <f aca="false">IF(MUSTERI_RISK_SKORU!$I36&gt;YaslamaDilim3,"90+ gün gecikme",IF(MUSTERI_RISK_SKORU!$F36&gt;1,"Limit aşımı",IF(MUSTERI_RISK_SKORU!$M36&gt;0,"İtirazlı alacak","Planlı izleme")))</f>
        <v>Planlı izleme</v>
      </c>
      <c r="D36" s="19" t="str">
        <f aca="false">"Skor "&amp;MUSTERI_RISK_SKORU!$X36&amp;" | Açık "&amp;TEXT(MUSTERI_RISK_SKORU!$C36,"₺ #,##0")</f>
        <v>Skor 20 | Açık ₺ ,000</v>
      </c>
      <c r="E36" s="19" t="str">
        <f aca="false">IF(MUSTERI_RISK_SKORU!$K36&gt;0,"Teminat açığı","Kontrollü risk")</f>
        <v>Kontrollü risk</v>
      </c>
      <c r="F36" s="19" t="str">
        <f aca="false">"Net risk "&amp;TEXT(MUSTERI_RISK_SKORU!$K36,"₺ #,##0")</f>
        <v>Net risk ₺ ,000</v>
      </c>
      <c r="G36" s="19" t="str">
        <f aca="false">MUSTERI_RISK_SKORU!$V36</f>
        <v>DEVAM</v>
      </c>
      <c r="H36" s="19" t="str">
        <f aca="false">MUSTERI_RISK_SKORU!$W36</f>
        <v>Planlı izleme</v>
      </c>
      <c r="I36" s="19" t="str">
        <f aca="false">IF(MUSTERI_RISK_SKORU!$X36&gt;EsikYuksek,"CFO / Finans Müdürü","Tahsilat Yöneticisi")</f>
        <v>Tahsilat Yöneticisi</v>
      </c>
      <c r="J36" s="31" t="n">
        <f aca="false">RaporTarihi+IF(MUSTERI_RISK_SKORU!$X36&gt;EsikPesin,1,KararGunu)</f>
        <v>46242</v>
      </c>
      <c r="K36" s="19" t="str">
        <f aca="false">"Korunan nakit: "&amp;TEXT(MIN(MUSTERI_RISK_SKORU!$G36,MUSTERI_RISK_SKORU!$K36),"₺ #,##0")</f>
        <v>Korunan nakit: ₺ ,000</v>
      </c>
      <c r="L36" s="19" t="str">
        <f aca="false">IF(MUSTERI_RISK_SKORU!$X36&gt;EsikYuksek,"Tahsil edilememe ve nakit kaybı büyür","İşletme sermayesi baskısı artar")</f>
        <v>İşletme sermayesi baskısı artar</v>
      </c>
      <c r="M36" s="19" t="str">
        <f aca="false">MUSTERI_RISK_SKORU!$U36</f>
        <v>YÜKSEK</v>
      </c>
      <c r="N36" s="20"/>
    </row>
    <row r="37" customFormat="false" ht="16.4" hidden="false" customHeight="false" outlineLevel="0" collapsed="false">
      <c r="A37" s="19" t="str">
        <f aca="false">MUSTERI_RISK_SKORU!$A37&amp;" - "&amp;MUSTERI_RISK_SKORU!$B37</f>
        <v>0 - 0</v>
      </c>
      <c r="B37" s="19" t="str">
        <f aca="false">IF(MUSTERI_RISK_SKORU!$X37&gt;EsikKritik,"KRİTİK",IF(MUSTERI_RISK_SKORU!$X37&gt;EsikYuksek,"RİSKLİ",IF(MUSTERI_RISK_SKORU!$X37&gt;EsikIzle,"İZLE","NORMAL")))</f>
        <v>NORMAL</v>
      </c>
      <c r="C37" s="19" t="str">
        <f aca="false">IF(MUSTERI_RISK_SKORU!$I37&gt;YaslamaDilim3,"90+ gün gecikme",IF(MUSTERI_RISK_SKORU!$F37&gt;1,"Limit aşımı",IF(MUSTERI_RISK_SKORU!$M37&gt;0,"İtirazlı alacak","Planlı izleme")))</f>
        <v>Planlı izleme</v>
      </c>
      <c r="D37" s="19" t="str">
        <f aca="false">"Skor "&amp;MUSTERI_RISK_SKORU!$X37&amp;" | Açık "&amp;TEXT(MUSTERI_RISK_SKORU!$C37,"₺ #,##0")</f>
        <v>Skor 20 | Açık ₺ ,000</v>
      </c>
      <c r="E37" s="19" t="str">
        <f aca="false">IF(MUSTERI_RISK_SKORU!$K37&gt;0,"Teminat açığı","Kontrollü risk")</f>
        <v>Kontrollü risk</v>
      </c>
      <c r="F37" s="19" t="str">
        <f aca="false">"Net risk "&amp;TEXT(MUSTERI_RISK_SKORU!$K37,"₺ #,##0")</f>
        <v>Net risk ₺ ,000</v>
      </c>
      <c r="G37" s="19" t="str">
        <f aca="false">MUSTERI_RISK_SKORU!$V37</f>
        <v>DEVAM</v>
      </c>
      <c r="H37" s="19" t="str">
        <f aca="false">MUSTERI_RISK_SKORU!$W37</f>
        <v>Planlı izleme</v>
      </c>
      <c r="I37" s="19" t="str">
        <f aca="false">IF(MUSTERI_RISK_SKORU!$X37&gt;EsikYuksek,"CFO / Finans Müdürü","Tahsilat Yöneticisi")</f>
        <v>Tahsilat Yöneticisi</v>
      </c>
      <c r="J37" s="31" t="n">
        <f aca="false">RaporTarihi+IF(MUSTERI_RISK_SKORU!$X37&gt;EsikPesin,1,KararGunu)</f>
        <v>46242</v>
      </c>
      <c r="K37" s="19" t="str">
        <f aca="false">"Korunan nakit: "&amp;TEXT(MIN(MUSTERI_RISK_SKORU!$G37,MUSTERI_RISK_SKORU!$K37),"₺ #,##0")</f>
        <v>Korunan nakit: ₺ ,000</v>
      </c>
      <c r="L37" s="19" t="str">
        <f aca="false">IF(MUSTERI_RISK_SKORU!$X37&gt;EsikYuksek,"Tahsil edilememe ve nakit kaybı büyür","İşletme sermayesi baskısı artar")</f>
        <v>İşletme sermayesi baskısı artar</v>
      </c>
      <c r="M37" s="19" t="str">
        <f aca="false">MUSTERI_RISK_SKORU!$U37</f>
        <v>YÜKSEK</v>
      </c>
      <c r="N37" s="20"/>
    </row>
    <row r="38" customFormat="false" ht="16.4" hidden="false" customHeight="false" outlineLevel="0" collapsed="false">
      <c r="A38" s="19" t="str">
        <f aca="false">MUSTERI_RISK_SKORU!$A38&amp;" - "&amp;MUSTERI_RISK_SKORU!$B38</f>
        <v>0 - 0</v>
      </c>
      <c r="B38" s="19" t="str">
        <f aca="false">IF(MUSTERI_RISK_SKORU!$X38&gt;EsikKritik,"KRİTİK",IF(MUSTERI_RISK_SKORU!$X38&gt;EsikYuksek,"RİSKLİ",IF(MUSTERI_RISK_SKORU!$X38&gt;EsikIzle,"İZLE","NORMAL")))</f>
        <v>NORMAL</v>
      </c>
      <c r="C38" s="19" t="str">
        <f aca="false">IF(MUSTERI_RISK_SKORU!$I38&gt;YaslamaDilim3,"90+ gün gecikme",IF(MUSTERI_RISK_SKORU!$F38&gt;1,"Limit aşımı",IF(MUSTERI_RISK_SKORU!$M38&gt;0,"İtirazlı alacak","Planlı izleme")))</f>
        <v>Planlı izleme</v>
      </c>
      <c r="D38" s="19" t="str">
        <f aca="false">"Skor "&amp;MUSTERI_RISK_SKORU!$X38&amp;" | Açık "&amp;TEXT(MUSTERI_RISK_SKORU!$C38,"₺ #,##0")</f>
        <v>Skor 20 | Açık ₺ ,000</v>
      </c>
      <c r="E38" s="19" t="str">
        <f aca="false">IF(MUSTERI_RISK_SKORU!$K38&gt;0,"Teminat açığı","Kontrollü risk")</f>
        <v>Kontrollü risk</v>
      </c>
      <c r="F38" s="19" t="str">
        <f aca="false">"Net risk "&amp;TEXT(MUSTERI_RISK_SKORU!$K38,"₺ #,##0")</f>
        <v>Net risk ₺ ,000</v>
      </c>
      <c r="G38" s="19" t="str">
        <f aca="false">MUSTERI_RISK_SKORU!$V38</f>
        <v>DEVAM</v>
      </c>
      <c r="H38" s="19" t="str">
        <f aca="false">MUSTERI_RISK_SKORU!$W38</f>
        <v>Planlı izleme</v>
      </c>
      <c r="I38" s="19" t="str">
        <f aca="false">IF(MUSTERI_RISK_SKORU!$X38&gt;EsikYuksek,"CFO / Finans Müdürü","Tahsilat Yöneticisi")</f>
        <v>Tahsilat Yöneticisi</v>
      </c>
      <c r="J38" s="31" t="n">
        <f aca="false">RaporTarihi+IF(MUSTERI_RISK_SKORU!$X38&gt;EsikPesin,1,KararGunu)</f>
        <v>46242</v>
      </c>
      <c r="K38" s="19" t="str">
        <f aca="false">"Korunan nakit: "&amp;TEXT(MIN(MUSTERI_RISK_SKORU!$G38,MUSTERI_RISK_SKORU!$K38),"₺ #,##0")</f>
        <v>Korunan nakit: ₺ ,000</v>
      </c>
      <c r="L38" s="19" t="str">
        <f aca="false">IF(MUSTERI_RISK_SKORU!$X38&gt;EsikYuksek,"Tahsil edilememe ve nakit kaybı büyür","İşletme sermayesi baskısı artar")</f>
        <v>İşletme sermayesi baskısı artar</v>
      </c>
      <c r="M38" s="19" t="str">
        <f aca="false">MUSTERI_RISK_SKORU!$U38</f>
        <v>YÜKSEK</v>
      </c>
      <c r="N38" s="20"/>
    </row>
    <row r="39" customFormat="false" ht="16.4" hidden="false" customHeight="false" outlineLevel="0" collapsed="false">
      <c r="A39" s="19" t="str">
        <f aca="false">MUSTERI_RISK_SKORU!$A39&amp;" - "&amp;MUSTERI_RISK_SKORU!$B39</f>
        <v>0 - 0</v>
      </c>
      <c r="B39" s="19" t="str">
        <f aca="false">IF(MUSTERI_RISK_SKORU!$X39&gt;EsikKritik,"KRİTİK",IF(MUSTERI_RISK_SKORU!$X39&gt;EsikYuksek,"RİSKLİ",IF(MUSTERI_RISK_SKORU!$X39&gt;EsikIzle,"İZLE","NORMAL")))</f>
        <v>NORMAL</v>
      </c>
      <c r="C39" s="19" t="str">
        <f aca="false">IF(MUSTERI_RISK_SKORU!$I39&gt;YaslamaDilim3,"90+ gün gecikme",IF(MUSTERI_RISK_SKORU!$F39&gt;1,"Limit aşımı",IF(MUSTERI_RISK_SKORU!$M39&gt;0,"İtirazlı alacak","Planlı izleme")))</f>
        <v>Planlı izleme</v>
      </c>
      <c r="D39" s="19" t="str">
        <f aca="false">"Skor "&amp;MUSTERI_RISK_SKORU!$X39&amp;" | Açık "&amp;TEXT(MUSTERI_RISK_SKORU!$C39,"₺ #,##0")</f>
        <v>Skor 20 | Açık ₺ ,000</v>
      </c>
      <c r="E39" s="19" t="str">
        <f aca="false">IF(MUSTERI_RISK_SKORU!$K39&gt;0,"Teminat açığı","Kontrollü risk")</f>
        <v>Kontrollü risk</v>
      </c>
      <c r="F39" s="19" t="str">
        <f aca="false">"Net risk "&amp;TEXT(MUSTERI_RISK_SKORU!$K39,"₺ #,##0")</f>
        <v>Net risk ₺ ,000</v>
      </c>
      <c r="G39" s="19" t="str">
        <f aca="false">MUSTERI_RISK_SKORU!$V39</f>
        <v>DEVAM</v>
      </c>
      <c r="H39" s="19" t="str">
        <f aca="false">MUSTERI_RISK_SKORU!$W39</f>
        <v>Planlı izleme</v>
      </c>
      <c r="I39" s="19" t="str">
        <f aca="false">IF(MUSTERI_RISK_SKORU!$X39&gt;EsikYuksek,"CFO / Finans Müdürü","Tahsilat Yöneticisi")</f>
        <v>Tahsilat Yöneticisi</v>
      </c>
      <c r="J39" s="31" t="n">
        <f aca="false">RaporTarihi+IF(MUSTERI_RISK_SKORU!$X39&gt;EsikPesin,1,KararGunu)</f>
        <v>46242</v>
      </c>
      <c r="K39" s="19" t="str">
        <f aca="false">"Korunan nakit: "&amp;TEXT(MIN(MUSTERI_RISK_SKORU!$G39,MUSTERI_RISK_SKORU!$K39),"₺ #,##0")</f>
        <v>Korunan nakit: ₺ ,000</v>
      </c>
      <c r="L39" s="19" t="str">
        <f aca="false">IF(MUSTERI_RISK_SKORU!$X39&gt;EsikYuksek,"Tahsil edilememe ve nakit kaybı büyür","İşletme sermayesi baskısı artar")</f>
        <v>İşletme sermayesi baskısı artar</v>
      </c>
      <c r="M39" s="19" t="str">
        <f aca="false">MUSTERI_RISK_SKORU!$U39</f>
        <v>YÜKSEK</v>
      </c>
      <c r="N39" s="20"/>
    </row>
    <row r="40" customFormat="false" ht="16.4" hidden="false" customHeight="false" outlineLevel="0" collapsed="false">
      <c r="A40" s="19" t="str">
        <f aca="false">MUSTERI_RISK_SKORU!$A40&amp;" - "&amp;MUSTERI_RISK_SKORU!$B40</f>
        <v>0 - 0</v>
      </c>
      <c r="B40" s="19" t="str">
        <f aca="false">IF(MUSTERI_RISK_SKORU!$X40&gt;EsikKritik,"KRİTİK",IF(MUSTERI_RISK_SKORU!$X40&gt;EsikYuksek,"RİSKLİ",IF(MUSTERI_RISK_SKORU!$X40&gt;EsikIzle,"İZLE","NORMAL")))</f>
        <v>NORMAL</v>
      </c>
      <c r="C40" s="19" t="str">
        <f aca="false">IF(MUSTERI_RISK_SKORU!$I40&gt;YaslamaDilim3,"90+ gün gecikme",IF(MUSTERI_RISK_SKORU!$F40&gt;1,"Limit aşımı",IF(MUSTERI_RISK_SKORU!$M40&gt;0,"İtirazlı alacak","Planlı izleme")))</f>
        <v>Planlı izleme</v>
      </c>
      <c r="D40" s="19" t="str">
        <f aca="false">"Skor "&amp;MUSTERI_RISK_SKORU!$X40&amp;" | Açık "&amp;TEXT(MUSTERI_RISK_SKORU!$C40,"₺ #,##0")</f>
        <v>Skor 20 | Açık ₺ ,000</v>
      </c>
      <c r="E40" s="19" t="str">
        <f aca="false">IF(MUSTERI_RISK_SKORU!$K40&gt;0,"Teminat açığı","Kontrollü risk")</f>
        <v>Kontrollü risk</v>
      </c>
      <c r="F40" s="19" t="str">
        <f aca="false">"Net risk "&amp;TEXT(MUSTERI_RISK_SKORU!$K40,"₺ #,##0")</f>
        <v>Net risk ₺ ,000</v>
      </c>
      <c r="G40" s="19" t="str">
        <f aca="false">MUSTERI_RISK_SKORU!$V40</f>
        <v>DEVAM</v>
      </c>
      <c r="H40" s="19" t="str">
        <f aca="false">MUSTERI_RISK_SKORU!$W40</f>
        <v>Planlı izleme</v>
      </c>
      <c r="I40" s="19" t="str">
        <f aca="false">IF(MUSTERI_RISK_SKORU!$X40&gt;EsikYuksek,"CFO / Finans Müdürü","Tahsilat Yöneticisi")</f>
        <v>Tahsilat Yöneticisi</v>
      </c>
      <c r="J40" s="31" t="n">
        <f aca="false">RaporTarihi+IF(MUSTERI_RISK_SKORU!$X40&gt;EsikPesin,1,KararGunu)</f>
        <v>46242</v>
      </c>
      <c r="K40" s="19" t="str">
        <f aca="false">"Korunan nakit: "&amp;TEXT(MIN(MUSTERI_RISK_SKORU!$G40,MUSTERI_RISK_SKORU!$K40),"₺ #,##0")</f>
        <v>Korunan nakit: ₺ ,000</v>
      </c>
      <c r="L40" s="19" t="str">
        <f aca="false">IF(MUSTERI_RISK_SKORU!$X40&gt;EsikYuksek,"Tahsil edilememe ve nakit kaybı büyür","İşletme sermayesi baskısı artar")</f>
        <v>İşletme sermayesi baskısı artar</v>
      </c>
      <c r="M40" s="19" t="str">
        <f aca="false">MUSTERI_RISK_SKORU!$U40</f>
        <v>YÜKSEK</v>
      </c>
      <c r="N40" s="20"/>
    </row>
    <row r="41" customFormat="false" ht="16.4" hidden="false" customHeight="false" outlineLevel="0" collapsed="false">
      <c r="A41" s="19" t="str">
        <f aca="false">MUSTERI_RISK_SKORU!$A41&amp;" - "&amp;MUSTERI_RISK_SKORU!$B41</f>
        <v>0 - 0</v>
      </c>
      <c r="B41" s="19" t="str">
        <f aca="false">IF(MUSTERI_RISK_SKORU!$X41&gt;EsikKritik,"KRİTİK",IF(MUSTERI_RISK_SKORU!$X41&gt;EsikYuksek,"RİSKLİ",IF(MUSTERI_RISK_SKORU!$X41&gt;EsikIzle,"İZLE","NORMAL")))</f>
        <v>NORMAL</v>
      </c>
      <c r="C41" s="19" t="str">
        <f aca="false">IF(MUSTERI_RISK_SKORU!$I41&gt;YaslamaDilim3,"90+ gün gecikme",IF(MUSTERI_RISK_SKORU!$F41&gt;1,"Limit aşımı",IF(MUSTERI_RISK_SKORU!$M41&gt;0,"İtirazlı alacak","Planlı izleme")))</f>
        <v>Planlı izleme</v>
      </c>
      <c r="D41" s="19" t="str">
        <f aca="false">"Skor "&amp;MUSTERI_RISK_SKORU!$X41&amp;" | Açık "&amp;TEXT(MUSTERI_RISK_SKORU!$C41,"₺ #,##0")</f>
        <v>Skor 20 | Açık ₺ ,000</v>
      </c>
      <c r="E41" s="19" t="str">
        <f aca="false">IF(MUSTERI_RISK_SKORU!$K41&gt;0,"Teminat açığı","Kontrollü risk")</f>
        <v>Kontrollü risk</v>
      </c>
      <c r="F41" s="19" t="str">
        <f aca="false">"Net risk "&amp;TEXT(MUSTERI_RISK_SKORU!$K41,"₺ #,##0")</f>
        <v>Net risk ₺ ,000</v>
      </c>
      <c r="G41" s="19" t="str">
        <f aca="false">MUSTERI_RISK_SKORU!$V41</f>
        <v>DEVAM</v>
      </c>
      <c r="H41" s="19" t="str">
        <f aca="false">MUSTERI_RISK_SKORU!$W41</f>
        <v>Planlı izleme</v>
      </c>
      <c r="I41" s="19" t="str">
        <f aca="false">IF(MUSTERI_RISK_SKORU!$X41&gt;EsikYuksek,"CFO / Finans Müdürü","Tahsilat Yöneticisi")</f>
        <v>Tahsilat Yöneticisi</v>
      </c>
      <c r="J41" s="31" t="n">
        <f aca="false">RaporTarihi+IF(MUSTERI_RISK_SKORU!$X41&gt;EsikPesin,1,KararGunu)</f>
        <v>46242</v>
      </c>
      <c r="K41" s="19" t="str">
        <f aca="false">"Korunan nakit: "&amp;TEXT(MIN(MUSTERI_RISK_SKORU!$G41,MUSTERI_RISK_SKORU!$K41),"₺ #,##0")</f>
        <v>Korunan nakit: ₺ ,000</v>
      </c>
      <c r="L41" s="19" t="str">
        <f aca="false">IF(MUSTERI_RISK_SKORU!$X41&gt;EsikYuksek,"Tahsil edilememe ve nakit kaybı büyür","İşletme sermayesi baskısı artar")</f>
        <v>İşletme sermayesi baskısı artar</v>
      </c>
      <c r="M41" s="19" t="str">
        <f aca="false">MUSTERI_RISK_SKORU!$U41</f>
        <v>YÜKSEK</v>
      </c>
      <c r="N41" s="20"/>
    </row>
    <row r="42" customFormat="false" ht="16.4" hidden="false" customHeight="false" outlineLevel="0" collapsed="false">
      <c r="A42" s="19" t="str">
        <f aca="false">MUSTERI_RISK_SKORU!$A42&amp;" - "&amp;MUSTERI_RISK_SKORU!$B42</f>
        <v>0 - 0</v>
      </c>
      <c r="B42" s="19" t="str">
        <f aca="false">IF(MUSTERI_RISK_SKORU!$X42&gt;EsikKritik,"KRİTİK",IF(MUSTERI_RISK_SKORU!$X42&gt;EsikYuksek,"RİSKLİ",IF(MUSTERI_RISK_SKORU!$X42&gt;EsikIzle,"İZLE","NORMAL")))</f>
        <v>NORMAL</v>
      </c>
      <c r="C42" s="19" t="str">
        <f aca="false">IF(MUSTERI_RISK_SKORU!$I42&gt;YaslamaDilim3,"90+ gün gecikme",IF(MUSTERI_RISK_SKORU!$F42&gt;1,"Limit aşımı",IF(MUSTERI_RISK_SKORU!$M42&gt;0,"İtirazlı alacak","Planlı izleme")))</f>
        <v>Planlı izleme</v>
      </c>
      <c r="D42" s="19" t="str">
        <f aca="false">"Skor "&amp;MUSTERI_RISK_SKORU!$X42&amp;" | Açık "&amp;TEXT(MUSTERI_RISK_SKORU!$C42,"₺ #,##0")</f>
        <v>Skor 20 | Açık ₺ ,000</v>
      </c>
      <c r="E42" s="19" t="str">
        <f aca="false">IF(MUSTERI_RISK_SKORU!$K42&gt;0,"Teminat açığı","Kontrollü risk")</f>
        <v>Kontrollü risk</v>
      </c>
      <c r="F42" s="19" t="str">
        <f aca="false">"Net risk "&amp;TEXT(MUSTERI_RISK_SKORU!$K42,"₺ #,##0")</f>
        <v>Net risk ₺ ,000</v>
      </c>
      <c r="G42" s="19" t="str">
        <f aca="false">MUSTERI_RISK_SKORU!$V42</f>
        <v>DEVAM</v>
      </c>
      <c r="H42" s="19" t="str">
        <f aca="false">MUSTERI_RISK_SKORU!$W42</f>
        <v>Planlı izleme</v>
      </c>
      <c r="I42" s="19" t="str">
        <f aca="false">IF(MUSTERI_RISK_SKORU!$X42&gt;EsikYuksek,"CFO / Finans Müdürü","Tahsilat Yöneticisi")</f>
        <v>Tahsilat Yöneticisi</v>
      </c>
      <c r="J42" s="31" t="n">
        <f aca="false">RaporTarihi+IF(MUSTERI_RISK_SKORU!$X42&gt;EsikPesin,1,KararGunu)</f>
        <v>46242</v>
      </c>
      <c r="K42" s="19" t="str">
        <f aca="false">"Korunan nakit: "&amp;TEXT(MIN(MUSTERI_RISK_SKORU!$G42,MUSTERI_RISK_SKORU!$K42),"₺ #,##0")</f>
        <v>Korunan nakit: ₺ ,000</v>
      </c>
      <c r="L42" s="19" t="str">
        <f aca="false">IF(MUSTERI_RISK_SKORU!$X42&gt;EsikYuksek,"Tahsil edilememe ve nakit kaybı büyür","İşletme sermayesi baskısı artar")</f>
        <v>İşletme sermayesi baskısı artar</v>
      </c>
      <c r="M42" s="19" t="str">
        <f aca="false">MUSTERI_RISK_SKORU!$U42</f>
        <v>YÜKSEK</v>
      </c>
      <c r="N42" s="20"/>
    </row>
    <row r="43" customFormat="false" ht="16.4" hidden="false" customHeight="false" outlineLevel="0" collapsed="false">
      <c r="A43" s="19" t="str">
        <f aca="false">MUSTERI_RISK_SKORU!$A43&amp;" - "&amp;MUSTERI_RISK_SKORU!$B43</f>
        <v>0 - 0</v>
      </c>
      <c r="B43" s="19" t="str">
        <f aca="false">IF(MUSTERI_RISK_SKORU!$X43&gt;EsikKritik,"KRİTİK",IF(MUSTERI_RISK_SKORU!$X43&gt;EsikYuksek,"RİSKLİ",IF(MUSTERI_RISK_SKORU!$X43&gt;EsikIzle,"İZLE","NORMAL")))</f>
        <v>NORMAL</v>
      </c>
      <c r="C43" s="19" t="str">
        <f aca="false">IF(MUSTERI_RISK_SKORU!$I43&gt;YaslamaDilim3,"90+ gün gecikme",IF(MUSTERI_RISK_SKORU!$F43&gt;1,"Limit aşımı",IF(MUSTERI_RISK_SKORU!$M43&gt;0,"İtirazlı alacak","Planlı izleme")))</f>
        <v>Planlı izleme</v>
      </c>
      <c r="D43" s="19" t="str">
        <f aca="false">"Skor "&amp;MUSTERI_RISK_SKORU!$X43&amp;" | Açık "&amp;TEXT(MUSTERI_RISK_SKORU!$C43,"₺ #,##0")</f>
        <v>Skor 20 | Açık ₺ ,000</v>
      </c>
      <c r="E43" s="19" t="str">
        <f aca="false">IF(MUSTERI_RISK_SKORU!$K43&gt;0,"Teminat açığı","Kontrollü risk")</f>
        <v>Kontrollü risk</v>
      </c>
      <c r="F43" s="19" t="str">
        <f aca="false">"Net risk "&amp;TEXT(MUSTERI_RISK_SKORU!$K43,"₺ #,##0")</f>
        <v>Net risk ₺ ,000</v>
      </c>
      <c r="G43" s="19" t="str">
        <f aca="false">MUSTERI_RISK_SKORU!$V43</f>
        <v>DEVAM</v>
      </c>
      <c r="H43" s="19" t="str">
        <f aca="false">MUSTERI_RISK_SKORU!$W43</f>
        <v>Planlı izleme</v>
      </c>
      <c r="I43" s="19" t="str">
        <f aca="false">IF(MUSTERI_RISK_SKORU!$X43&gt;EsikYuksek,"CFO / Finans Müdürü","Tahsilat Yöneticisi")</f>
        <v>Tahsilat Yöneticisi</v>
      </c>
      <c r="J43" s="31" t="n">
        <f aca="false">RaporTarihi+IF(MUSTERI_RISK_SKORU!$X43&gt;EsikPesin,1,KararGunu)</f>
        <v>46242</v>
      </c>
      <c r="K43" s="19" t="str">
        <f aca="false">"Korunan nakit: "&amp;TEXT(MIN(MUSTERI_RISK_SKORU!$G43,MUSTERI_RISK_SKORU!$K43),"₺ #,##0")</f>
        <v>Korunan nakit: ₺ ,000</v>
      </c>
      <c r="L43" s="19" t="str">
        <f aca="false">IF(MUSTERI_RISK_SKORU!$X43&gt;EsikYuksek,"Tahsil edilememe ve nakit kaybı büyür","İşletme sermayesi baskısı artar")</f>
        <v>İşletme sermayesi baskısı artar</v>
      </c>
      <c r="M43" s="19" t="str">
        <f aca="false">MUSTERI_RISK_SKORU!$U43</f>
        <v>YÜKSEK</v>
      </c>
      <c r="N43" s="20"/>
    </row>
    <row r="44" customFormat="false" ht="16.4" hidden="false" customHeight="false" outlineLevel="0" collapsed="false">
      <c r="A44" s="19" t="str">
        <f aca="false">MUSTERI_RISK_SKORU!$A44&amp;" - "&amp;MUSTERI_RISK_SKORU!$B44</f>
        <v>0 - 0</v>
      </c>
      <c r="B44" s="19" t="str">
        <f aca="false">IF(MUSTERI_RISK_SKORU!$X44&gt;EsikKritik,"KRİTİK",IF(MUSTERI_RISK_SKORU!$X44&gt;EsikYuksek,"RİSKLİ",IF(MUSTERI_RISK_SKORU!$X44&gt;EsikIzle,"İZLE","NORMAL")))</f>
        <v>NORMAL</v>
      </c>
      <c r="C44" s="19" t="str">
        <f aca="false">IF(MUSTERI_RISK_SKORU!$I44&gt;YaslamaDilim3,"90+ gün gecikme",IF(MUSTERI_RISK_SKORU!$F44&gt;1,"Limit aşımı",IF(MUSTERI_RISK_SKORU!$M44&gt;0,"İtirazlı alacak","Planlı izleme")))</f>
        <v>Planlı izleme</v>
      </c>
      <c r="D44" s="19" t="str">
        <f aca="false">"Skor "&amp;MUSTERI_RISK_SKORU!$X44&amp;" | Açık "&amp;TEXT(MUSTERI_RISK_SKORU!$C44,"₺ #,##0")</f>
        <v>Skor 20 | Açık ₺ ,000</v>
      </c>
      <c r="E44" s="19" t="str">
        <f aca="false">IF(MUSTERI_RISK_SKORU!$K44&gt;0,"Teminat açığı","Kontrollü risk")</f>
        <v>Kontrollü risk</v>
      </c>
      <c r="F44" s="19" t="str">
        <f aca="false">"Net risk "&amp;TEXT(MUSTERI_RISK_SKORU!$K44,"₺ #,##0")</f>
        <v>Net risk ₺ ,000</v>
      </c>
      <c r="G44" s="19" t="str">
        <f aca="false">MUSTERI_RISK_SKORU!$V44</f>
        <v>DEVAM</v>
      </c>
      <c r="H44" s="19" t="str">
        <f aca="false">MUSTERI_RISK_SKORU!$W44</f>
        <v>Planlı izleme</v>
      </c>
      <c r="I44" s="19" t="str">
        <f aca="false">IF(MUSTERI_RISK_SKORU!$X44&gt;EsikYuksek,"CFO / Finans Müdürü","Tahsilat Yöneticisi")</f>
        <v>Tahsilat Yöneticisi</v>
      </c>
      <c r="J44" s="31" t="n">
        <f aca="false">RaporTarihi+IF(MUSTERI_RISK_SKORU!$X44&gt;EsikPesin,1,KararGunu)</f>
        <v>46242</v>
      </c>
      <c r="K44" s="19" t="str">
        <f aca="false">"Korunan nakit: "&amp;TEXT(MIN(MUSTERI_RISK_SKORU!$G44,MUSTERI_RISK_SKORU!$K44),"₺ #,##0")</f>
        <v>Korunan nakit: ₺ ,000</v>
      </c>
      <c r="L44" s="19" t="str">
        <f aca="false">IF(MUSTERI_RISK_SKORU!$X44&gt;EsikYuksek,"Tahsil edilememe ve nakit kaybı büyür","İşletme sermayesi baskısı artar")</f>
        <v>İşletme sermayesi baskısı artar</v>
      </c>
      <c r="M44" s="19" t="str">
        <f aca="false">MUSTERI_RISK_SKORU!$U44</f>
        <v>YÜKSEK</v>
      </c>
      <c r="N44" s="20"/>
    </row>
    <row r="45" customFormat="false" ht="16.4" hidden="false" customHeight="false" outlineLevel="0" collapsed="false">
      <c r="A45" s="19" t="str">
        <f aca="false">MUSTERI_RISK_SKORU!$A45&amp;" - "&amp;MUSTERI_RISK_SKORU!$B45</f>
        <v>0 - 0</v>
      </c>
      <c r="B45" s="19" t="str">
        <f aca="false">IF(MUSTERI_RISK_SKORU!$X45&gt;EsikKritik,"KRİTİK",IF(MUSTERI_RISK_SKORU!$X45&gt;EsikYuksek,"RİSKLİ",IF(MUSTERI_RISK_SKORU!$X45&gt;EsikIzle,"İZLE","NORMAL")))</f>
        <v>NORMAL</v>
      </c>
      <c r="C45" s="19" t="str">
        <f aca="false">IF(MUSTERI_RISK_SKORU!$I45&gt;YaslamaDilim3,"90+ gün gecikme",IF(MUSTERI_RISK_SKORU!$F45&gt;1,"Limit aşımı",IF(MUSTERI_RISK_SKORU!$M45&gt;0,"İtirazlı alacak","Planlı izleme")))</f>
        <v>Planlı izleme</v>
      </c>
      <c r="D45" s="19" t="str">
        <f aca="false">"Skor "&amp;MUSTERI_RISK_SKORU!$X45&amp;" | Açık "&amp;TEXT(MUSTERI_RISK_SKORU!$C45,"₺ #,##0")</f>
        <v>Skor 20 | Açık ₺ ,000</v>
      </c>
      <c r="E45" s="19" t="str">
        <f aca="false">IF(MUSTERI_RISK_SKORU!$K45&gt;0,"Teminat açığı","Kontrollü risk")</f>
        <v>Kontrollü risk</v>
      </c>
      <c r="F45" s="19" t="str">
        <f aca="false">"Net risk "&amp;TEXT(MUSTERI_RISK_SKORU!$K45,"₺ #,##0")</f>
        <v>Net risk ₺ ,000</v>
      </c>
      <c r="G45" s="19" t="str">
        <f aca="false">MUSTERI_RISK_SKORU!$V45</f>
        <v>DEVAM</v>
      </c>
      <c r="H45" s="19" t="str">
        <f aca="false">MUSTERI_RISK_SKORU!$W45</f>
        <v>Planlı izleme</v>
      </c>
      <c r="I45" s="19" t="str">
        <f aca="false">IF(MUSTERI_RISK_SKORU!$X45&gt;EsikYuksek,"CFO / Finans Müdürü","Tahsilat Yöneticisi")</f>
        <v>Tahsilat Yöneticisi</v>
      </c>
      <c r="J45" s="31" t="n">
        <f aca="false">RaporTarihi+IF(MUSTERI_RISK_SKORU!$X45&gt;EsikPesin,1,KararGunu)</f>
        <v>46242</v>
      </c>
      <c r="K45" s="19" t="str">
        <f aca="false">"Korunan nakit: "&amp;TEXT(MIN(MUSTERI_RISK_SKORU!$G45,MUSTERI_RISK_SKORU!$K45),"₺ #,##0")</f>
        <v>Korunan nakit: ₺ ,000</v>
      </c>
      <c r="L45" s="19" t="str">
        <f aca="false">IF(MUSTERI_RISK_SKORU!$X45&gt;EsikYuksek,"Tahsil edilememe ve nakit kaybı büyür","İşletme sermayesi baskısı artar")</f>
        <v>İşletme sermayesi baskısı artar</v>
      </c>
      <c r="M45" s="19" t="str">
        <f aca="false">MUSTERI_RISK_SKORU!$U45</f>
        <v>YÜKSEK</v>
      </c>
      <c r="N45" s="20"/>
    </row>
    <row r="46" customFormat="false" ht="15" hidden="false" customHeight="false" outlineLevel="0" collapsed="false">
      <c r="N46" s="20"/>
    </row>
    <row r="47" customFormat="false" ht="15" hidden="false" customHeight="false" outlineLevel="0" collapsed="false">
      <c r="N47" s="20"/>
    </row>
    <row r="48" customFormat="false" ht="15" hidden="false" customHeight="false" outlineLevel="0" collapsed="false">
      <c r="N48" s="20"/>
    </row>
    <row r="49" customFormat="false" ht="15" hidden="false" customHeight="false" outlineLevel="0" collapsed="false">
      <c r="N49" s="20"/>
    </row>
    <row r="50" customFormat="false" ht="15" hidden="false" customHeight="false" outlineLevel="0" collapsed="false">
      <c r="N50" s="20"/>
    </row>
    <row r="51" customFormat="false" ht="15" hidden="false" customHeight="false" outlineLevel="0" collapsed="false">
      <c r="N51" s="20"/>
    </row>
    <row r="52" customFormat="false" ht="15" hidden="false" customHeight="false" outlineLevel="0" collapsed="false">
      <c r="N52" s="20"/>
    </row>
    <row r="53" customFormat="false" ht="15" hidden="false" customHeight="false" outlineLevel="0" collapsed="false">
      <c r="N53" s="20"/>
    </row>
    <row r="54" customFormat="false" ht="15" hidden="false" customHeight="false" outlineLevel="0" collapsed="false">
      <c r="N54" s="20"/>
    </row>
    <row r="55" customFormat="false" ht="15" hidden="false" customHeight="false" outlineLevel="0" collapsed="false">
      <c r="N55" s="20"/>
    </row>
    <row r="56" customFormat="false" ht="15" hidden="false" customHeight="false" outlineLevel="0" collapsed="false">
      <c r="N56" s="20"/>
    </row>
    <row r="57" customFormat="false" ht="15" hidden="false" customHeight="false" outlineLevel="0" collapsed="false">
      <c r="N57" s="20"/>
    </row>
    <row r="58" customFormat="false" ht="15" hidden="false" customHeight="false" outlineLevel="0" collapsed="false">
      <c r="N58" s="20"/>
    </row>
    <row r="59" customFormat="false" ht="15" hidden="false" customHeight="false" outlineLevel="0" collapsed="false">
      <c r="N59" s="20"/>
    </row>
    <row r="60" customFormat="false" ht="15" hidden="false" customHeight="false" outlineLevel="0" collapsed="false">
      <c r="N60" s="20"/>
    </row>
    <row r="61" customFormat="false" ht="15" hidden="false" customHeight="false" outlineLevel="0" collapsed="false">
      <c r="N61" s="20"/>
    </row>
    <row r="62" customFormat="false" ht="15" hidden="false" customHeight="false" outlineLevel="0" collapsed="false">
      <c r="N62" s="20"/>
    </row>
    <row r="63" customFormat="false" ht="15" hidden="false" customHeight="false" outlineLevel="0" collapsed="false">
      <c r="N63" s="20"/>
    </row>
    <row r="64" customFormat="false" ht="15" hidden="false" customHeight="false" outlineLevel="0" collapsed="false">
      <c r="N64" s="20"/>
    </row>
    <row r="65" customFormat="false" ht="15" hidden="false" customHeight="false" outlineLevel="0" collapsed="false">
      <c r="N65" s="20"/>
    </row>
    <row r="66" customFormat="false" ht="15" hidden="false" customHeight="false" outlineLevel="0" collapsed="false">
      <c r="N66" s="20"/>
    </row>
    <row r="67" customFormat="false" ht="15" hidden="false" customHeight="false" outlineLevel="0" collapsed="false">
      <c r="N67" s="20"/>
    </row>
    <row r="68" customFormat="false" ht="15" hidden="false" customHeight="false" outlineLevel="0" collapsed="false">
      <c r="N68" s="20"/>
    </row>
    <row r="69" customFormat="false" ht="15" hidden="false" customHeight="false" outlineLevel="0" collapsed="false">
      <c r="N69" s="20"/>
    </row>
    <row r="70" customFormat="false" ht="15" hidden="false" customHeight="false" outlineLevel="0" collapsed="false">
      <c r="N70" s="20"/>
    </row>
    <row r="71" customFormat="false" ht="15" hidden="false" customHeight="false" outlineLevel="0" collapsed="false">
      <c r="N71" s="20"/>
    </row>
    <row r="72" customFormat="false" ht="15" hidden="false" customHeight="false" outlineLevel="0" collapsed="false">
      <c r="N72" s="20"/>
    </row>
    <row r="73" customFormat="false" ht="15" hidden="false" customHeight="false" outlineLevel="0" collapsed="false">
      <c r="N73" s="20"/>
    </row>
    <row r="74" customFormat="false" ht="15" hidden="false" customHeight="false" outlineLevel="0" collapsed="false">
      <c r="N74" s="20"/>
    </row>
    <row r="75" customFormat="false" ht="15" hidden="false" customHeight="false" outlineLevel="0" collapsed="false">
      <c r="N75" s="20"/>
    </row>
    <row r="76" customFormat="false" ht="15" hidden="false" customHeight="false" outlineLevel="0" collapsed="false">
      <c r="N76" s="20"/>
    </row>
    <row r="77" customFormat="false" ht="15" hidden="false" customHeight="false" outlineLevel="0" collapsed="false">
      <c r="N77" s="20"/>
    </row>
    <row r="78" customFormat="false" ht="15" hidden="false" customHeight="false" outlineLevel="0" collapsed="false">
      <c r="N78" s="20"/>
    </row>
    <row r="79" customFormat="false" ht="15" hidden="false" customHeight="false" outlineLevel="0" collapsed="false">
      <c r="N79" s="20"/>
    </row>
    <row r="80" customFormat="false" ht="15" hidden="false" customHeight="false" outlineLevel="0" collapsed="false">
      <c r="N80" s="20"/>
    </row>
    <row r="81" customFormat="false" ht="15" hidden="false" customHeight="false" outlineLevel="0" collapsed="false">
      <c r="N81" s="20"/>
    </row>
    <row r="82" customFormat="false" ht="15" hidden="false" customHeight="false" outlineLevel="0" collapsed="false">
      <c r="N82" s="20"/>
    </row>
    <row r="83" customFormat="false" ht="15" hidden="false" customHeight="false" outlineLevel="0" collapsed="false">
      <c r="N83" s="20"/>
    </row>
    <row r="84" customFormat="false" ht="15" hidden="false" customHeight="false" outlineLevel="0" collapsed="false">
      <c r="N84" s="20"/>
    </row>
    <row r="85" customFormat="false" ht="15" hidden="false" customHeight="false" outlineLevel="0" collapsed="false">
      <c r="N85" s="20"/>
    </row>
    <row r="86" customFormat="false" ht="15" hidden="false" customHeight="false" outlineLevel="0" collapsed="false">
      <c r="N86" s="20"/>
    </row>
    <row r="87" customFormat="false" ht="15" hidden="false" customHeight="false" outlineLevel="0" collapsed="false">
      <c r="N87" s="20"/>
    </row>
    <row r="88" customFormat="false" ht="15" hidden="false" customHeight="false" outlineLevel="0" collapsed="false">
      <c r="N88" s="20"/>
    </row>
    <row r="89" customFormat="false" ht="15" hidden="false" customHeight="false" outlineLevel="0" collapsed="false">
      <c r="N89" s="20"/>
    </row>
    <row r="90" customFormat="false" ht="15" hidden="false" customHeight="false" outlineLevel="0" collapsed="false">
      <c r="N90" s="20"/>
    </row>
    <row r="91" customFormat="false" ht="15" hidden="false" customHeight="false" outlineLevel="0" collapsed="false">
      <c r="N91" s="20"/>
    </row>
    <row r="92" customFormat="false" ht="15" hidden="false" customHeight="false" outlineLevel="0" collapsed="false">
      <c r="N92" s="20"/>
    </row>
    <row r="93" customFormat="false" ht="15" hidden="false" customHeight="false" outlineLevel="0" collapsed="false">
      <c r="N93" s="20"/>
    </row>
    <row r="94" customFormat="false" ht="15" hidden="false" customHeight="false" outlineLevel="0" collapsed="false">
      <c r="N94" s="20"/>
    </row>
    <row r="95" customFormat="false" ht="15" hidden="false" customHeight="false" outlineLevel="0" collapsed="false">
      <c r="N95" s="20"/>
    </row>
    <row r="96" customFormat="false" ht="15" hidden="false" customHeight="false" outlineLevel="0" collapsed="false">
      <c r="N96" s="20"/>
    </row>
    <row r="97" customFormat="false" ht="15" hidden="false" customHeight="false" outlineLevel="0" collapsed="false">
      <c r="N97" s="20"/>
    </row>
    <row r="98" customFormat="false" ht="15" hidden="false" customHeight="false" outlineLevel="0" collapsed="false">
      <c r="N98" s="20"/>
    </row>
    <row r="99" customFormat="false" ht="15" hidden="false" customHeight="false" outlineLevel="0" collapsed="false">
      <c r="N99" s="20"/>
    </row>
    <row r="100" customFormat="false" ht="15" hidden="false" customHeight="false" outlineLevel="0" collapsed="false">
      <c r="N100" s="20"/>
    </row>
    <row r="101" customFormat="false" ht="15" hidden="false" customHeight="false" outlineLevel="0" collapsed="false">
      <c r="N101" s="20"/>
    </row>
    <row r="102" customFormat="false" ht="15" hidden="false" customHeight="false" outlineLevel="0" collapsed="false">
      <c r="N102" s="20"/>
    </row>
    <row r="103" customFormat="false" ht="15" hidden="false" customHeight="false" outlineLevel="0" collapsed="false">
      <c r="N103" s="20"/>
    </row>
    <row r="104" customFormat="false" ht="15" hidden="false" customHeight="false" outlineLevel="0" collapsed="false">
      <c r="N104" s="20"/>
    </row>
    <row r="105" customFormat="false" ht="15" hidden="false" customHeight="false" outlineLevel="0" collapsed="false">
      <c r="N105" s="20"/>
    </row>
    <row r="106" customFormat="false" ht="15" hidden="false" customHeight="false" outlineLevel="0" collapsed="false">
      <c r="N106" s="20"/>
    </row>
    <row r="107" customFormat="false" ht="15" hidden="false" customHeight="false" outlineLevel="0" collapsed="false">
      <c r="N107" s="20"/>
    </row>
    <row r="108" customFormat="false" ht="15" hidden="false" customHeight="false" outlineLevel="0" collapsed="false">
      <c r="N108" s="20"/>
    </row>
    <row r="109" customFormat="false" ht="15" hidden="false" customHeight="false" outlineLevel="0" collapsed="false">
      <c r="N109" s="20"/>
    </row>
    <row r="110" customFormat="false" ht="15" hidden="false" customHeight="false" outlineLevel="0" collapsed="false">
      <c r="N110" s="20"/>
    </row>
    <row r="111" customFormat="false" ht="15" hidden="false" customHeight="false" outlineLevel="0" collapsed="false">
      <c r="N111" s="20"/>
    </row>
    <row r="112" customFormat="false" ht="15" hidden="false" customHeight="false" outlineLevel="0" collapsed="false">
      <c r="N112" s="20"/>
    </row>
    <row r="113" customFormat="false" ht="15" hidden="false" customHeight="false" outlineLevel="0" collapsed="false">
      <c r="N113" s="20"/>
    </row>
    <row r="114" customFormat="false" ht="15" hidden="false" customHeight="false" outlineLevel="0" collapsed="false">
      <c r="N114" s="20"/>
    </row>
    <row r="115" customFormat="false" ht="15" hidden="false" customHeight="false" outlineLevel="0" collapsed="false">
      <c r="N115" s="20"/>
    </row>
    <row r="116" customFormat="false" ht="15" hidden="false" customHeight="false" outlineLevel="0" collapsed="false">
      <c r="N116" s="20"/>
    </row>
    <row r="117" customFormat="false" ht="15" hidden="false" customHeight="false" outlineLevel="0" collapsed="false">
      <c r="N117" s="20"/>
    </row>
    <row r="118" customFormat="false" ht="15" hidden="false" customHeight="false" outlineLevel="0" collapsed="false">
      <c r="N118" s="20"/>
    </row>
    <row r="119" customFormat="false" ht="15" hidden="false" customHeight="false" outlineLevel="0" collapsed="false">
      <c r="N119" s="20"/>
    </row>
    <row r="120" customFormat="false" ht="15" hidden="false" customHeight="false" outlineLevel="0" collapsed="false">
      <c r="N120" s="20"/>
    </row>
    <row r="121" customFormat="false" ht="15" hidden="false" customHeight="false" outlineLevel="0" collapsed="false">
      <c r="N121" s="20"/>
    </row>
    <row r="122" customFormat="false" ht="15" hidden="false" customHeight="false" outlineLevel="0" collapsed="false">
      <c r="N122" s="20"/>
    </row>
    <row r="123" customFormat="false" ht="15" hidden="false" customHeight="false" outlineLevel="0" collapsed="false">
      <c r="N123" s="20"/>
    </row>
    <row r="124" customFormat="false" ht="15" hidden="false" customHeight="false" outlineLevel="0" collapsed="false">
      <c r="N124" s="20"/>
    </row>
    <row r="125" customFormat="false" ht="15" hidden="false" customHeight="false" outlineLevel="0" collapsed="false">
      <c r="N125" s="20"/>
    </row>
    <row r="126" customFormat="false" ht="15" hidden="false" customHeight="false" outlineLevel="0" collapsed="false">
      <c r="N126" s="20"/>
    </row>
    <row r="127" customFormat="false" ht="15" hidden="false" customHeight="false" outlineLevel="0" collapsed="false">
      <c r="N127" s="20"/>
    </row>
    <row r="128" customFormat="false" ht="15" hidden="false" customHeight="false" outlineLevel="0" collapsed="false">
      <c r="N128" s="20"/>
    </row>
    <row r="129" customFormat="false" ht="15" hidden="false" customHeight="false" outlineLevel="0" collapsed="false">
      <c r="N129" s="20"/>
    </row>
    <row r="130" customFormat="false" ht="15" hidden="false" customHeight="false" outlineLevel="0" collapsed="false">
      <c r="N130" s="20"/>
    </row>
    <row r="131" customFormat="false" ht="15" hidden="false" customHeight="false" outlineLevel="0" collapsed="false">
      <c r="N131" s="20"/>
    </row>
    <row r="132" customFormat="false" ht="15" hidden="false" customHeight="false" outlineLevel="0" collapsed="false">
      <c r="N132" s="20"/>
    </row>
    <row r="133" customFormat="false" ht="15" hidden="false" customHeight="false" outlineLevel="0" collapsed="false">
      <c r="N133" s="20"/>
    </row>
    <row r="134" customFormat="false" ht="15" hidden="false" customHeight="false" outlineLevel="0" collapsed="false">
      <c r="N134" s="20"/>
    </row>
    <row r="135" customFormat="false" ht="15" hidden="false" customHeight="false" outlineLevel="0" collapsed="false">
      <c r="N135" s="20"/>
    </row>
    <row r="136" customFormat="false" ht="15" hidden="false" customHeight="false" outlineLevel="0" collapsed="false">
      <c r="N136" s="20"/>
    </row>
    <row r="137" customFormat="false" ht="15" hidden="false" customHeight="false" outlineLevel="0" collapsed="false">
      <c r="N137" s="20"/>
    </row>
    <row r="138" customFormat="false" ht="15" hidden="false" customHeight="false" outlineLevel="0" collapsed="false">
      <c r="N138" s="20"/>
    </row>
    <row r="139" customFormat="false" ht="15" hidden="false" customHeight="false" outlineLevel="0" collapsed="false">
      <c r="N139" s="20"/>
    </row>
    <row r="140" customFormat="false" ht="15" hidden="false" customHeight="false" outlineLevel="0" collapsed="false">
      <c r="N140" s="20"/>
    </row>
    <row r="141" customFormat="false" ht="15" hidden="false" customHeight="false" outlineLevel="0" collapsed="false">
      <c r="N141" s="20"/>
    </row>
    <row r="142" customFormat="false" ht="15" hidden="false" customHeight="false" outlineLevel="0" collapsed="false">
      <c r="N142" s="20"/>
    </row>
    <row r="143" customFormat="false" ht="15" hidden="false" customHeight="false" outlineLevel="0" collapsed="false">
      <c r="N143" s="20"/>
    </row>
    <row r="144" customFormat="false" ht="15" hidden="false" customHeight="false" outlineLevel="0" collapsed="false">
      <c r="N144" s="20"/>
    </row>
    <row r="145" customFormat="false" ht="15" hidden="false" customHeight="false" outlineLevel="0" collapsed="false">
      <c r="N145" s="20"/>
    </row>
    <row r="146" customFormat="false" ht="15" hidden="false" customHeight="false" outlineLevel="0" collapsed="false">
      <c r="N146" s="20"/>
    </row>
    <row r="147" customFormat="false" ht="15" hidden="false" customHeight="false" outlineLevel="0" collapsed="false">
      <c r="N147" s="20"/>
    </row>
    <row r="148" customFormat="false" ht="15" hidden="false" customHeight="false" outlineLevel="0" collapsed="false">
      <c r="N148" s="20"/>
    </row>
    <row r="149" customFormat="false" ht="15" hidden="false" customHeight="false" outlineLevel="0" collapsed="false">
      <c r="N149" s="20"/>
    </row>
    <row r="150" customFormat="false" ht="15" hidden="false" customHeight="false" outlineLevel="0" collapsed="false">
      <c r="N150" s="20"/>
    </row>
    <row r="151" customFormat="false" ht="15" hidden="false" customHeight="false" outlineLevel="0" collapsed="false">
      <c r="N151" s="20"/>
    </row>
    <row r="152" customFormat="false" ht="15" hidden="false" customHeight="false" outlineLevel="0" collapsed="false">
      <c r="N152" s="20"/>
    </row>
    <row r="153" customFormat="false" ht="15" hidden="false" customHeight="false" outlineLevel="0" collapsed="false">
      <c r="N153" s="20"/>
    </row>
    <row r="154" customFormat="false" ht="15" hidden="false" customHeight="false" outlineLevel="0" collapsed="false">
      <c r="N154" s="20"/>
    </row>
    <row r="155" customFormat="false" ht="15" hidden="false" customHeight="false" outlineLevel="0" collapsed="false">
      <c r="N155" s="20"/>
    </row>
    <row r="156" customFormat="false" ht="15" hidden="false" customHeight="false" outlineLevel="0" collapsed="false">
      <c r="N156" s="20"/>
    </row>
    <row r="157" customFormat="false" ht="15" hidden="false" customHeight="false" outlineLevel="0" collapsed="false">
      <c r="N157" s="20"/>
    </row>
    <row r="158" customFormat="false" ht="15" hidden="false" customHeight="false" outlineLevel="0" collapsed="false">
      <c r="N158" s="20"/>
    </row>
    <row r="159" customFormat="false" ht="15" hidden="false" customHeight="false" outlineLevel="0" collapsed="false">
      <c r="N159" s="20"/>
    </row>
    <row r="160" customFormat="false" ht="15" hidden="false" customHeight="false" outlineLevel="0" collapsed="false">
      <c r="N160" s="20"/>
    </row>
    <row r="161" customFormat="false" ht="15" hidden="false" customHeight="false" outlineLevel="0" collapsed="false">
      <c r="N161" s="20"/>
    </row>
    <row r="162" customFormat="false" ht="15" hidden="false" customHeight="false" outlineLevel="0" collapsed="false">
      <c r="N162" s="20"/>
    </row>
    <row r="163" customFormat="false" ht="15" hidden="false" customHeight="false" outlineLevel="0" collapsed="false">
      <c r="N163" s="20"/>
    </row>
    <row r="164" customFormat="false" ht="15" hidden="false" customHeight="false" outlineLevel="0" collapsed="false">
      <c r="N164" s="20"/>
    </row>
    <row r="165" customFormat="false" ht="15" hidden="false" customHeight="false" outlineLevel="0" collapsed="false">
      <c r="N165" s="20"/>
    </row>
    <row r="166" customFormat="false" ht="15" hidden="false" customHeight="false" outlineLevel="0" collapsed="false">
      <c r="N166" s="20"/>
    </row>
    <row r="167" customFormat="false" ht="15" hidden="false" customHeight="false" outlineLevel="0" collapsed="false">
      <c r="N167" s="20"/>
    </row>
    <row r="168" customFormat="false" ht="15" hidden="false" customHeight="false" outlineLevel="0" collapsed="false">
      <c r="N168" s="20"/>
    </row>
    <row r="169" customFormat="false" ht="15" hidden="false" customHeight="false" outlineLevel="0" collapsed="false">
      <c r="N169" s="20"/>
    </row>
    <row r="170" customFormat="false" ht="15" hidden="false" customHeight="false" outlineLevel="0" collapsed="false">
      <c r="N170" s="20"/>
    </row>
    <row r="171" customFormat="false" ht="15" hidden="false" customHeight="false" outlineLevel="0" collapsed="false">
      <c r="N171" s="20"/>
    </row>
    <row r="172" customFormat="false" ht="15" hidden="false" customHeight="false" outlineLevel="0" collapsed="false">
      <c r="N172" s="20"/>
    </row>
    <row r="173" customFormat="false" ht="15" hidden="false" customHeight="false" outlineLevel="0" collapsed="false">
      <c r="N173" s="20"/>
    </row>
    <row r="174" customFormat="false" ht="15" hidden="false" customHeight="false" outlineLevel="0" collapsed="false">
      <c r="N174" s="20"/>
    </row>
    <row r="175" customFormat="false" ht="15" hidden="false" customHeight="false" outlineLevel="0" collapsed="false">
      <c r="N175" s="20"/>
    </row>
    <row r="176" customFormat="false" ht="15" hidden="false" customHeight="false" outlineLevel="0" collapsed="false">
      <c r="N176" s="20"/>
    </row>
    <row r="177" customFormat="false" ht="15" hidden="false" customHeight="false" outlineLevel="0" collapsed="false">
      <c r="N177" s="20"/>
    </row>
    <row r="178" customFormat="false" ht="15" hidden="false" customHeight="false" outlineLevel="0" collapsed="false">
      <c r="N178" s="20"/>
    </row>
    <row r="179" customFormat="false" ht="15" hidden="false" customHeight="false" outlineLevel="0" collapsed="false">
      <c r="N179" s="20"/>
    </row>
    <row r="180" customFormat="false" ht="15" hidden="false" customHeight="false" outlineLevel="0" collapsed="false">
      <c r="N180" s="20"/>
    </row>
    <row r="181" customFormat="false" ht="15" hidden="false" customHeight="false" outlineLevel="0" collapsed="false">
      <c r="N181" s="20"/>
    </row>
    <row r="182" customFormat="false" ht="15" hidden="false" customHeight="false" outlineLevel="0" collapsed="false">
      <c r="N182" s="20"/>
    </row>
    <row r="183" customFormat="false" ht="15" hidden="false" customHeight="false" outlineLevel="0" collapsed="false">
      <c r="N183" s="20"/>
    </row>
    <row r="184" customFormat="false" ht="15" hidden="false" customHeight="false" outlineLevel="0" collapsed="false">
      <c r="N184" s="20"/>
    </row>
    <row r="185" customFormat="false" ht="15" hidden="false" customHeight="false" outlineLevel="0" collapsed="false">
      <c r="N185" s="20"/>
    </row>
    <row r="186" customFormat="false" ht="15" hidden="false" customHeight="false" outlineLevel="0" collapsed="false">
      <c r="N186" s="20"/>
    </row>
    <row r="187" customFormat="false" ht="15" hidden="false" customHeight="false" outlineLevel="0" collapsed="false">
      <c r="N187" s="20"/>
    </row>
    <row r="188" customFormat="false" ht="15" hidden="false" customHeight="false" outlineLevel="0" collapsed="false">
      <c r="N188" s="20"/>
    </row>
    <row r="189" customFormat="false" ht="15" hidden="false" customHeight="false" outlineLevel="0" collapsed="false">
      <c r="N189" s="20"/>
    </row>
    <row r="190" customFormat="false" ht="15" hidden="false" customHeight="false" outlineLevel="0" collapsed="false">
      <c r="N190" s="20"/>
    </row>
    <row r="191" customFormat="false" ht="15" hidden="false" customHeight="false" outlineLevel="0" collapsed="false">
      <c r="N191" s="20"/>
    </row>
    <row r="192" customFormat="false" ht="15" hidden="false" customHeight="false" outlineLevel="0" collapsed="false">
      <c r="N192" s="20"/>
    </row>
    <row r="193" customFormat="false" ht="15" hidden="false" customHeight="false" outlineLevel="0" collapsed="false">
      <c r="N193" s="20"/>
    </row>
    <row r="194" customFormat="false" ht="15" hidden="false" customHeight="false" outlineLevel="0" collapsed="false">
      <c r="N194" s="20"/>
    </row>
    <row r="195" customFormat="false" ht="15" hidden="false" customHeight="false" outlineLevel="0" collapsed="false">
      <c r="N195" s="20"/>
    </row>
    <row r="196" customFormat="false" ht="15" hidden="false" customHeight="false" outlineLevel="0" collapsed="false">
      <c r="N196" s="20"/>
    </row>
    <row r="197" customFormat="false" ht="15" hidden="false" customHeight="false" outlineLevel="0" collapsed="false">
      <c r="N197" s="20"/>
    </row>
    <row r="198" customFormat="false" ht="15" hidden="false" customHeight="false" outlineLevel="0" collapsed="false">
      <c r="N198" s="20"/>
    </row>
    <row r="199" customFormat="false" ht="15" hidden="false" customHeight="false" outlineLevel="0" collapsed="false">
      <c r="N199" s="20"/>
    </row>
    <row r="200" customFormat="false" ht="15" hidden="false" customHeight="false" outlineLevel="0" collapsed="false">
      <c r="N200" s="20"/>
    </row>
    <row r="201" customFormat="false" ht="15" hidden="false" customHeight="false" outlineLevel="0" collapsed="false">
      <c r="N201" s="20"/>
    </row>
    <row r="202" customFormat="false" ht="15" hidden="false" customHeight="false" outlineLevel="0" collapsed="false">
      <c r="N202" s="20"/>
    </row>
    <row r="203" customFormat="false" ht="15" hidden="false" customHeight="false" outlineLevel="0" collapsed="false">
      <c r="N203" s="20"/>
    </row>
    <row r="204" customFormat="false" ht="15" hidden="false" customHeight="false" outlineLevel="0" collapsed="false">
      <c r="N204" s="20"/>
    </row>
  </sheetData>
  <sheetProtection sheet="true" password="cc3d" objects="true" scenarios="true" deleteColumns="false" deleteRows="false"/>
  <mergeCells count="3">
    <mergeCell ref="A1:AN1"/>
    <mergeCell ref="B3:D3"/>
    <mergeCell ref="A4:D4"/>
  </mergeCells>
  <conditionalFormatting sqref="B6:B204">
    <cfRule type="cellIs" priority="2" operator="equal" aboveAverage="0" equalAverage="0" bottom="0" percent="0" rank="0" text="" dxfId="13">
      <formula>"KRİTİK"</formula>
    </cfRule>
    <cfRule type="cellIs" priority="3" operator="equal" aboveAverage="0" equalAverage="0" bottom="0" percent="0" rank="0" text="" dxfId="15">
      <formula>"RİSKLİ"</formula>
    </cfRule>
    <cfRule type="cellIs" priority="4" operator="equal" aboveAverage="0" equalAverage="0" bottom="0" percent="0" rank="0" text="" dxfId="10">
      <formula>"İZLE"</formula>
    </cfRule>
    <cfRule type="cellIs" priority="5" operator="equal" aboveAverage="0" equalAverage="0" bottom="0" percent="0" rank="0" text="" dxfId="9">
      <formula>"NORMAL"</formula>
    </cfRule>
  </conditionalFormatting>
  <conditionalFormatting sqref="G6:G204">
    <cfRule type="cellIs" priority="6" operator="equal" aboveAverage="0" equalAverage="0" bottom="0" percent="0" rank="0" text="" dxfId="9">
      <formula>"DEVAM"</formula>
    </cfRule>
    <cfRule type="cellIs" priority="7" operator="equal" aboveAverage="0" equalAverage="0" bottom="0" percent="0" rank="0" text="" dxfId="13">
      <formula>"VADELİ SATIŞI DURDUR"</formula>
    </cfRule>
  </conditionalFormatting>
  <conditionalFormatting sqref="M6:M204">
    <cfRule type="cellIs" priority="8" operator="equal" aboveAverage="0" equalAverage="0" bottom="0" percent="0" rank="0" text="" dxfId="9">
      <formula>"YÜKSEK"</formula>
    </cfRule>
    <cfRule type="cellIs" priority="9" operator="equal" aboveAverage="0" equalAverage="0" bottom="0" percent="0" rank="0" text="" dxfId="11">
      <formula>"DÜŞÜK"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32"/>
  </cols>
  <sheetData>
    <row r="1" customFormat="false" ht="25.5" hidden="false" customHeight="true" outlineLevel="0" collapsed="false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271</v>
      </c>
      <c r="B3" s="13"/>
      <c r="C3" s="13"/>
      <c r="D3" s="13"/>
      <c r="E3" s="13"/>
      <c r="F3" s="13"/>
    </row>
    <row r="5" customFormat="false" ht="30" hidden="false" customHeight="true" outlineLevel="0" collapsed="false">
      <c r="A5" s="14" t="s">
        <v>272</v>
      </c>
      <c r="B5" s="14" t="s">
        <v>273</v>
      </c>
      <c r="C5" s="14" t="s">
        <v>274</v>
      </c>
      <c r="D5" s="14" t="s">
        <v>275</v>
      </c>
      <c r="E5" s="14" t="s">
        <v>45</v>
      </c>
      <c r="F5" s="14" t="s">
        <v>129</v>
      </c>
    </row>
    <row r="6" customFormat="false" ht="15" hidden="false" customHeight="false" outlineLevel="0" collapsed="false">
      <c r="A6" s="34" t="s">
        <v>276</v>
      </c>
      <c r="B6" s="28" t="s">
        <v>277</v>
      </c>
      <c r="C6" s="28" t="s">
        <v>278</v>
      </c>
      <c r="D6" s="35" t="n">
        <f aca="false">COUNTIFS(MUSTERI_KARTLARI!$A$6:$A$204,"&lt;&gt;",MUSTERI_KARTLARI!$B$6:$B$204,"")</f>
        <v>0</v>
      </c>
      <c r="E6" s="36" t="str">
        <f aca="false">IF($D6=0,"GEÇTİ","KALDI")</f>
        <v>GEÇTİ</v>
      </c>
      <c r="F6" s="29" t="str">
        <f aca="false">IF($E6="GEÇTİ","Kontrol başarılı",IF($E6="UYARI","Yönetim incelemesi gerekli","Düzeltme gerekli"))</f>
        <v>Kontrol başarılı</v>
      </c>
    </row>
    <row r="7" customFormat="false" ht="15" hidden="false" customHeight="false" outlineLevel="0" collapsed="false">
      <c r="A7" s="34" t="s">
        <v>279</v>
      </c>
      <c r="B7" s="28" t="s">
        <v>280</v>
      </c>
      <c r="C7" s="28" t="s">
        <v>278</v>
      </c>
      <c r="D7" s="35" t="n">
        <f aca="false">COUNTIFS(FATURALAR!$B$6:$B$204,"&lt;&gt;",FATURALAR!$C$6:$C$204,"")</f>
        <v>0</v>
      </c>
      <c r="E7" s="36" t="str">
        <f aca="false">IF($D7=0,"GEÇTİ","KALDI")</f>
        <v>GEÇTİ</v>
      </c>
      <c r="F7" s="29" t="str">
        <f aca="false">IF($E7="GEÇTİ","Kontrol başarılı",IF($E7="UYARI","Yönetim incelemesi gerekli","Düzeltme gerekli"))</f>
        <v>Kontrol başarılı</v>
      </c>
    </row>
    <row r="8" customFormat="false" ht="15" hidden="false" customHeight="false" outlineLevel="0" collapsed="false">
      <c r="A8" s="34" t="s">
        <v>281</v>
      </c>
      <c r="B8" s="28" t="s">
        <v>280</v>
      </c>
      <c r="C8" s="28" t="s">
        <v>282</v>
      </c>
      <c r="D8" s="35" t="n">
        <f aca="false">COUNTIF(FATURALAR!$Q$6:$Q$204,"MÜKERRER")</f>
        <v>0</v>
      </c>
      <c r="E8" s="36" t="str">
        <f aca="false">IF($D8=0,"GEÇTİ","KALDI")</f>
        <v>GEÇTİ</v>
      </c>
      <c r="F8" s="29" t="str">
        <f aca="false">IF($E8="GEÇTİ","Kontrol başarılı",IF($E8="UYARI","Yönetim incelemesi gerekli","Düzeltme gerekli"))</f>
        <v>Kontrol başarılı</v>
      </c>
    </row>
    <row r="9" customFormat="false" ht="15" hidden="false" customHeight="false" outlineLevel="0" collapsed="false">
      <c r="A9" s="34" t="s">
        <v>283</v>
      </c>
      <c r="B9" s="28" t="s">
        <v>280</v>
      </c>
      <c r="C9" s="28" t="s">
        <v>284</v>
      </c>
      <c r="D9" s="35" t="n">
        <f aca="false">COUNTIF(FATURALAR!$K$6:$K$204,"&lt;0")</f>
        <v>0</v>
      </c>
      <c r="E9" s="36" t="str">
        <f aca="false">IF($D9=0,"GEÇTİ","KALDI")</f>
        <v>GEÇTİ</v>
      </c>
      <c r="F9" s="29" t="str">
        <f aca="false">IF($E9="GEÇTİ","Kontrol başarılı",IF($E9="UYARI","Yönetim incelemesi gerekli","Düzeltme gerekli"))</f>
        <v>Kontrol başarılı</v>
      </c>
    </row>
    <row r="10" customFormat="false" ht="15" hidden="false" customHeight="false" outlineLevel="0" collapsed="false">
      <c r="A10" s="34" t="s">
        <v>285</v>
      </c>
      <c r="B10" s="28" t="s">
        <v>286</v>
      </c>
      <c r="C10" s="28" t="s">
        <v>287</v>
      </c>
      <c r="D10" s="35" t="n">
        <f aca="false">COUNTIF(TAHSILATLAR!$E$6:$E$204,"&lt;0")</f>
        <v>0</v>
      </c>
      <c r="E10" s="36" t="str">
        <f aca="false">IF($D10=0,"GEÇTİ","KALDI")</f>
        <v>GEÇTİ</v>
      </c>
      <c r="F10" s="29" t="str">
        <f aca="false">IF($E10="GEÇTİ","Kontrol başarılı",IF($E10="UYARI","Yönetim incelemesi gerekli","Düzeltme gerekli"))</f>
        <v>Kontrol başarılı</v>
      </c>
    </row>
    <row r="11" customFormat="false" ht="15" hidden="false" customHeight="false" outlineLevel="0" collapsed="false">
      <c r="A11" s="34" t="s">
        <v>288</v>
      </c>
      <c r="B11" s="28" t="s">
        <v>289</v>
      </c>
      <c r="C11" s="28" t="s">
        <v>290</v>
      </c>
      <c r="D11" s="35" t="n">
        <f aca="false">COUNTIF(TEMINATLAR!$K$6:$K$204,"SÜRESİ GEÇTİ")</f>
        <v>2</v>
      </c>
      <c r="E11" s="36" t="str">
        <f aca="false">IF($D11=0,"GEÇTİ","KALDI")</f>
        <v>KALDI</v>
      </c>
      <c r="F11" s="29" t="str">
        <f aca="false">IF($E11="GEÇTİ","Kontrol başarılı",IF($E11="UYARI","Yönetim incelemesi gerekli","Düzeltme gerekli"))</f>
        <v>Düzeltme gerekli</v>
      </c>
    </row>
    <row r="12" customFormat="false" ht="15" hidden="false" customHeight="false" outlineLevel="0" collapsed="false">
      <c r="A12" s="34" t="s">
        <v>291</v>
      </c>
      <c r="B12" s="28" t="s">
        <v>292</v>
      </c>
      <c r="C12" s="28" t="s">
        <v>293</v>
      </c>
      <c r="D12" s="35" t="n">
        <f aca="false">COUNTIF(ILETISIM_TAKIP!$L$6:$L$204,"SÖZ GECİKTİ")</f>
        <v>1</v>
      </c>
      <c r="E12" s="36" t="str">
        <f aca="false">IF($D12=0,"GEÇTİ","KALDI")</f>
        <v>KALDI</v>
      </c>
      <c r="F12" s="29" t="str">
        <f aca="false">IF($E12="GEÇTİ","Kontrol başarılı",IF($E12="UYARI","Yönetim incelemesi gerekli","Düzeltme gerekli"))</f>
        <v>Düzeltme gerekli</v>
      </c>
    </row>
    <row r="13" customFormat="false" ht="15" hidden="false" customHeight="false" outlineLevel="0" collapsed="false">
      <c r="A13" s="34" t="s">
        <v>294</v>
      </c>
      <c r="B13" s="28" t="s">
        <v>241</v>
      </c>
      <c r="C13" s="28" t="s">
        <v>295</v>
      </c>
      <c r="D13" s="35" t="n">
        <f aca="false">COUNTIF(MUSTERI_RISK_SKORU!$X$6:$X$204,"&gt;84")</f>
        <v>1</v>
      </c>
      <c r="E13" s="36" t="str">
        <f aca="false">IF($D13=0,"GEÇTİ","KALDI")</f>
        <v>KALDI</v>
      </c>
      <c r="F13" s="29" t="str">
        <f aca="false">IF($E13="GEÇTİ","Kontrol başarılı",IF($E13="UYARI","Yönetim incelemesi gerekli","Düzeltme gerekli"))</f>
        <v>Düzeltme gerekli</v>
      </c>
    </row>
    <row r="15" customFormat="false" ht="15" hidden="false" customHeight="false" outlineLevel="0" collapsed="false">
      <c r="A15" s="37" t="s">
        <v>296</v>
      </c>
      <c r="B15" s="38" t="n">
        <f aca="false">ROUND(COUNTIF($E$6:$E$13,"GEÇTİ")/COUNTA($E$6:$E$13)*100,0)</f>
        <v>63</v>
      </c>
    </row>
    <row r="16" customFormat="false" ht="15" hidden="false" customHeight="false" outlineLevel="0" collapsed="false">
      <c r="A16" s="37" t="s">
        <v>297</v>
      </c>
      <c r="B16" s="36" t="str">
        <f aca="false">IF($B$15&gt;=SaglikEsikYuksek,"SAĞLIKLI",IF($B$15&gt;=SaglikEsikOrta,"İZLEME GEREKLİ","DÜZELTME GEREKLİ"))</f>
        <v>İZLEME GEREKLİ</v>
      </c>
    </row>
    <row r="17" customFormat="false" ht="15" hidden="false" customHeight="false" outlineLevel="0" collapsed="false">
      <c r="A17" s="37" t="s">
        <v>298</v>
      </c>
      <c r="B17" s="36" t="str">
        <f aca="false">IF($B$16="SAĞLIKLI","UYGUN",IF($B$16="İZLEME GEREKLİ","İNCELE","DURDUR"))</f>
        <v>İNCELE</v>
      </c>
    </row>
    <row r="18" customFormat="false" ht="15" hidden="false" customHeight="false" outlineLevel="0" collapsed="false">
      <c r="A18" s="37" t="s">
        <v>299</v>
      </c>
      <c r="B18" s="36" t="str">
        <f aca="false">IF($B$15&gt;=GuvenYuksek,"YÜKSEK",IF($B$15&gt;=GuvenOrta,"ORTA","DÜŞÜK"))</f>
        <v>DÜŞÜK</v>
      </c>
    </row>
  </sheetData>
  <sheetProtection sheet="true" password="cc3d" objects="true" scenarios="true" deleteColumns="false" deleteRows="false"/>
  <mergeCells count="2">
    <mergeCell ref="A1:AN1"/>
    <mergeCell ref="A3:F3"/>
  </mergeCells>
  <conditionalFormatting sqref="E6:E13">
    <cfRule type="cellIs" priority="2" operator="equal" aboveAverage="0" equalAverage="0" bottom="0" percent="0" rank="0" text="" dxfId="9">
      <formula>"GEÇTİ"</formula>
    </cfRule>
    <cfRule type="cellIs" priority="3" operator="equal" aboveAverage="0" equalAverage="0" bottom="0" percent="0" rank="0" text="" dxfId="13">
      <formula>"KALDI"</formula>
    </cfRule>
  </conditionalFormatting>
  <conditionalFormatting sqref="G6">
    <cfRule type="cellIs" priority="4" operator="lessThan" aboveAverage="0" equalAverage="0" bottom="0" percent="0" rank="0" text="" dxfId="13">
      <formula>50</formula>
    </cfRule>
    <cfRule type="cellIs" priority="5" operator="between" aboveAverage="0" equalAverage="0" bottom="0" percent="0" rank="0" text="" dxfId="10">
      <formula>50</formula>
      <formula>80</formula>
    </cfRule>
    <cfRule type="cellIs" priority="6" operator="greaterThanOrEqual" aboveAverage="0" equalAverage="0" bottom="0" percent="0" rank="0" text="" dxfId="9">
      <formula>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1" min="10" style="0" width="16"/>
  </cols>
  <sheetData>
    <row r="1" customFormat="false" ht="25.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2" t="s">
        <v>301</v>
      </c>
    </row>
    <row r="5" customFormat="false" ht="15" hidden="false" customHeight="false" outlineLevel="0" collapsed="false">
      <c r="A5" s="39" t="s">
        <v>302</v>
      </c>
      <c r="B5" s="39"/>
      <c r="D5" s="39" t="s">
        <v>303</v>
      </c>
      <c r="E5" s="39"/>
      <c r="G5" s="39" t="s">
        <v>304</v>
      </c>
      <c r="H5" s="39"/>
      <c r="J5" s="39" t="s">
        <v>305</v>
      </c>
      <c r="K5" s="39"/>
    </row>
    <row r="6" customFormat="false" ht="17.35" hidden="false" customHeight="false" outlineLevel="0" collapsed="false">
      <c r="A6" s="40" t="n">
        <f aca="false">SUM(tblYaslandirma[Açık Tutar])</f>
        <v>3380000</v>
      </c>
      <c r="B6" s="40"/>
      <c r="D6" s="40" t="n">
        <f aca="false">SUMIFS(tblYaslandirma[Açık Tutar],tblYaslandirma[Gecikme Günü],"&gt;0")</f>
        <v>2380000</v>
      </c>
      <c r="E6" s="40"/>
      <c r="G6" s="40" t="n">
        <f aca="false">SUMIFS(tblYaslandirma[Açık Tutar],tblYaslandirma[Yaşlandırma],"61+")</f>
        <v>1700000</v>
      </c>
      <c r="H6" s="40"/>
      <c r="J6" s="40" t="n">
        <f aca="false">SUM(tblRisk[Net Risk])</f>
        <v>2200000</v>
      </c>
      <c r="K6" s="40"/>
    </row>
    <row r="8" customFormat="false" ht="15" hidden="false" customHeight="false" outlineLevel="0" collapsed="false">
      <c r="A8" s="37" t="s">
        <v>257</v>
      </c>
      <c r="B8" s="41" t="str">
        <f aca="false">IF(COUNTIF(tblRisk[Risk Skoru],"&gt;84")&gt;0,"KRİTİK İNCELEME","KONTROLLÜ")</f>
        <v>KRİTİK İNCELEME</v>
      </c>
    </row>
    <row r="9" customFormat="false" ht="15" hidden="false" customHeight="false" outlineLevel="0" collapsed="false">
      <c r="A9" s="37" t="s">
        <v>306</v>
      </c>
      <c r="B9" s="42" t="n">
        <f aca="false">KONTROLLER!$B$15</f>
        <v>63</v>
      </c>
      <c r="D9" s="37" t="s">
        <v>299</v>
      </c>
      <c r="E9" s="41" t="str">
        <f aca="false">KONTROLLER!$B$18</f>
        <v>DÜŞÜK</v>
      </c>
    </row>
    <row r="11" customFormat="false" ht="24" hidden="false" customHeight="true" outlineLevel="0" collapsed="false">
      <c r="A11" s="37" t="s">
        <v>307</v>
      </c>
      <c r="B11" s="43" t="str">
        <f aca="false">IFERROR("En yüksek risk: "&amp;INDEX(tblRisk[Unvan],MATCH(MAX(tblRisk[Risk Skoru]),tblRisk[Risk Skoru],0))&amp;" ("&amp;MAX(tblRisk[Risk Skoru])&amp;")","Yeterli veri yok")</f>
        <v>En yüksek risk: Delta Tekstil Ltd. (85)</v>
      </c>
      <c r="C11" s="43"/>
      <c r="D11" s="43"/>
      <c r="E11" s="43"/>
      <c r="F11" s="43"/>
      <c r="G11" s="43"/>
      <c r="H11" s="43"/>
      <c r="I11" s="43"/>
    </row>
    <row r="13" customFormat="false" ht="24" hidden="false" customHeight="true" outlineLevel="0" collapsed="false">
      <c r="A13" s="37" t="s">
        <v>308</v>
      </c>
      <c r="B13" s="43" t="str">
        <f aca="false">IFERROR("En yüksek bakiye: "&amp;INDEX(tblRisk[Unvan],MATCH(MAX(tblRisk[Açık Bakiye]),tblRisk[Açık Bakiye],0))&amp;" ("&amp;TEXT(MAX(tblRisk[Açık Bakiye]),"₺ #,##0")&amp;")","Yeterli veri yok")</f>
        <v>En yüksek bakiye: Delta Tekstil Ltd. (₺ 1500000,000)</v>
      </c>
      <c r="C13" s="43"/>
      <c r="D13" s="43"/>
      <c r="E13" s="43"/>
      <c r="F13" s="43"/>
      <c r="G13" s="43"/>
      <c r="H13" s="43"/>
      <c r="I13" s="43"/>
    </row>
    <row r="15" customFormat="false" ht="15" hidden="false" customHeight="false" outlineLevel="0" collapsed="false">
      <c r="A15" s="10" t="s">
        <v>309</v>
      </c>
      <c r="D15" s="10" t="s">
        <v>310</v>
      </c>
      <c r="G15" s="10" t="s">
        <v>311</v>
      </c>
      <c r="J15" s="10" t="s">
        <v>312</v>
      </c>
    </row>
    <row r="16" customFormat="false" ht="15" hidden="false" customHeight="false" outlineLevel="0" collapsed="false">
      <c r="A16" s="34" t="s">
        <v>313</v>
      </c>
      <c r="B16" s="44" t="n">
        <f aca="false">SUMIFS(tblYaslandirma[Açık Tutar],tblYaslandirma[Yaşlandırma],A16)</f>
        <v>1000000</v>
      </c>
      <c r="D16" s="34" t="s">
        <v>314</v>
      </c>
      <c r="E16" s="35" t="n">
        <f aca="false">COUNTIFS(tblRisk[Risk Skoru],"&gt;=0",tblRisk[Risk Skoru],"&lt;="&amp;EsikIzle)</f>
        <v>38</v>
      </c>
      <c r="G16" s="34" t="s">
        <v>315</v>
      </c>
      <c r="H16" s="44" t="n">
        <f aca="false">SUMIFS(tblTahsilatlar[Tahsilat Tutarı],tblTahsilatlar[Tarih],"&gt;="&amp;DATE(AnalizYili,AnalizBasiAy,1),tblTahsilatlar[Tarih],"&lt;"&amp;EDATE(DATE(AnalizYili,AnalizBasiAy,1),1),tblTahsilatlar[Kesinleşti mi?],"Evet")</f>
        <v>300000</v>
      </c>
      <c r="J16" s="34" t="s">
        <v>131</v>
      </c>
      <c r="K16" s="44" t="n">
        <f aca="false">SUMIFS(tblTahsilatlar[Tahsilat Tutarı],tblTahsilatlar[Ödeme Türü],J16,tblTahsilatlar[Kesinleşti mi?],"Evet")</f>
        <v>730000</v>
      </c>
    </row>
    <row r="17" customFormat="false" ht="15" hidden="false" customHeight="false" outlineLevel="0" collapsed="false">
      <c r="A17" s="34" t="s">
        <v>316</v>
      </c>
      <c r="B17" s="44" t="n">
        <f aca="false">SUMIFS(tblYaslandirma[Açık Tutar],tblYaslandirma[Yaşlandırma],A17)</f>
        <v>0</v>
      </c>
      <c r="D17" s="34" t="s">
        <v>317</v>
      </c>
      <c r="E17" s="35" t="n">
        <f aca="false">COUNTIFS(tblRisk[Risk Skoru],"&gt;"&amp;EsikIzle,tblRisk[Risk Skoru],"&lt;="&amp;EsikYuksek)</f>
        <v>0</v>
      </c>
      <c r="G17" s="34" t="s">
        <v>318</v>
      </c>
      <c r="H17" s="44" t="n">
        <f aca="false">SUMIFS(tblTahsilatlar[Tahsilat Tutarı],tblTahsilatlar[Tarih],"&gt;="&amp;DATE(AnalizYili,AnalizIkinciAy,1),tblTahsilatlar[Tarih],"&lt;"&amp;EDATE(DATE(AnalizYili,AnalizIkinciAy,1),1),tblTahsilatlar[Kesinleşti mi?],"Evet")</f>
        <v>0</v>
      </c>
      <c r="J17" s="34" t="s">
        <v>319</v>
      </c>
      <c r="K17" s="44" t="n">
        <f aca="false">SUMIFS(tblTahsilatlar[Tahsilat Tutarı],tblTahsilatlar[Ödeme Türü],J17,tblTahsilatlar[Kesinleşti mi?],"Evet")</f>
        <v>0</v>
      </c>
    </row>
    <row r="18" customFormat="false" ht="15" hidden="false" customHeight="false" outlineLevel="0" collapsed="false">
      <c r="A18" s="34" t="s">
        <v>320</v>
      </c>
      <c r="B18" s="44" t="n">
        <f aca="false">SUMIFS(tblYaslandirma[Açık Tutar],tblYaslandirma[Yaşlandırma],A18)</f>
        <v>0</v>
      </c>
      <c r="D18" s="34" t="s">
        <v>321</v>
      </c>
      <c r="E18" s="35" t="n">
        <f aca="false">COUNTIFS(tblRisk[Risk Skoru],"&gt;"&amp;EsikYuksek,tblRisk[Risk Skoru],"&lt;="&amp;EsikKritik)</f>
        <v>2</v>
      </c>
      <c r="G18" s="34" t="s">
        <v>322</v>
      </c>
      <c r="H18" s="44" t="n">
        <f aca="false">SUMIFS(tblTahsilatlar[Tahsilat Tutarı],tblTahsilatlar[Tarih],"&gt;="&amp;DATE(AnalizYili,AnalizUcuncuAy,1),tblTahsilatlar[Tarih],"&lt;"&amp;EDATE(DATE(AnalizYili,AnalizUcuncuAy,1),1),tblTahsilatlar[Kesinleşti mi?],"Evet")</f>
        <v>250000</v>
      </c>
      <c r="J18" s="34" t="s">
        <v>138</v>
      </c>
      <c r="K18" s="44" t="n">
        <f aca="false">SUMIFS(tblTahsilatlar[Tahsilat Tutarı],tblTahsilatlar[Ödeme Türü],J18,tblTahsilatlar[Kesinleşti mi?],"Evet")</f>
        <v>0</v>
      </c>
    </row>
    <row r="19" customFormat="false" ht="15" hidden="false" customHeight="false" outlineLevel="0" collapsed="false">
      <c r="A19" s="34" t="s">
        <v>323</v>
      </c>
      <c r="B19" s="44" t="n">
        <f aca="false">SUMIFS(tblYaslandirma[Açık Tutar],tblYaslandirma[Yaşlandırma],A19)</f>
        <v>680000</v>
      </c>
      <c r="D19" s="34" t="s">
        <v>324</v>
      </c>
      <c r="E19" s="35" t="n">
        <f aca="false">COUNTIFS(tblRisk[Risk Skoru],"&gt;"&amp;EsikKritik)</f>
        <v>0</v>
      </c>
      <c r="G19" s="34" t="s">
        <v>325</v>
      </c>
      <c r="H19" s="44" t="n">
        <f aca="false">SUMIFS(tblTahsilatlar[Tahsilat Tutarı],tblTahsilatlar[Tarih],"&gt;="&amp;DATE(AnalizYili,AnalizDorduncuAy,1),tblTahsilatlar[Tarih],"&lt;"&amp;EDATE(DATE(AnalizYili,AnalizDorduncuAy,1),1),tblTahsilatlar[Kesinleşti mi?],"Evet")</f>
        <v>180000</v>
      </c>
      <c r="J19" s="34" t="s">
        <v>326</v>
      </c>
      <c r="K19" s="44" t="n">
        <f aca="false">SUMIFS(tblTahsilatlar[Tahsilat Tutarı],tblTahsilatlar[Ödeme Türü],J19,tblTahsilatlar[Kesinleşti mi?],"Evet")</f>
        <v>0</v>
      </c>
    </row>
    <row r="20" customFormat="false" ht="15" hidden="false" customHeight="false" outlineLevel="0" collapsed="false">
      <c r="A20" s="34" t="s">
        <v>327</v>
      </c>
      <c r="B20" s="44" t="n">
        <f aca="false">SUMIFS(tblYaslandirma[Açık Tutar],tblYaslandirma[Yaşlandırma],A20)</f>
        <v>1700000</v>
      </c>
    </row>
    <row r="58" customFormat="false" ht="15" hidden="false" customHeight="false" outlineLevel="0" collapsed="false">
      <c r="A58" s="10" t="s">
        <v>328</v>
      </c>
      <c r="B58" s="45" t="n">
        <f aca="false">TREND(H16:H19)</f>
        <v>199000</v>
      </c>
    </row>
    <row r="59" customFormat="false" ht="15" hidden="false" customHeight="false" outlineLevel="0" collapsed="false">
      <c r="A59" s="10" t="s">
        <v>329</v>
      </c>
      <c r="E59" s="10" t="s">
        <v>330</v>
      </c>
    </row>
    <row r="60" customFormat="false" ht="15" hidden="false" customHeight="false" outlineLevel="0" collapsed="false">
      <c r="A60" s="34" t="str">
        <f aca="false">MUSTERI_RISK_SKORU!A6</f>
        <v>M001</v>
      </c>
      <c r="B60" s="44" t="n">
        <f aca="false">MUSTERI_RISK_SKORU!C6</f>
        <v>720000</v>
      </c>
      <c r="E60" s="34" t="str">
        <f aca="false">MUSTERI_RISK_SKORU!A6</f>
        <v>M001</v>
      </c>
      <c r="F60" s="44" t="n">
        <f aca="false">MUSTERI_RISK_SKORU!K6</f>
        <v>0</v>
      </c>
    </row>
    <row r="61" customFormat="false" ht="15" hidden="false" customHeight="false" outlineLevel="0" collapsed="false">
      <c r="A61" s="34" t="str">
        <f aca="false">MUSTERI_RISK_SKORU!A7</f>
        <v>M002</v>
      </c>
      <c r="B61" s="44" t="n">
        <f aca="false">MUSTERI_RISK_SKORU!C7</f>
        <v>220000</v>
      </c>
      <c r="E61" s="34" t="str">
        <f aca="false">MUSTERI_RISK_SKORU!A7</f>
        <v>M002</v>
      </c>
      <c r="F61" s="44" t="n">
        <f aca="false">MUSTERI_RISK_SKORU!K7</f>
        <v>0</v>
      </c>
    </row>
    <row r="62" customFormat="false" ht="15" hidden="false" customHeight="false" outlineLevel="0" collapsed="false">
      <c r="A62" s="34" t="str">
        <f aca="false">MUSTERI_RISK_SKORU!A8</f>
        <v>M003</v>
      </c>
      <c r="B62" s="44" t="n">
        <f aca="false">MUSTERI_RISK_SKORU!C8</f>
        <v>940000</v>
      </c>
      <c r="E62" s="34" t="str">
        <f aca="false">MUSTERI_RISK_SKORU!A8</f>
        <v>M003</v>
      </c>
      <c r="F62" s="44" t="n">
        <f aca="false">MUSTERI_RISK_SKORU!K8</f>
        <v>700000</v>
      </c>
    </row>
    <row r="63" customFormat="false" ht="15" hidden="false" customHeight="false" outlineLevel="0" collapsed="false">
      <c r="A63" s="34" t="str">
        <f aca="false">MUSTERI_RISK_SKORU!A9</f>
        <v>M004</v>
      </c>
      <c r="B63" s="44" t="n">
        <f aca="false">MUSTERI_RISK_SKORU!C9</f>
        <v>1500000</v>
      </c>
      <c r="E63" s="34" t="str">
        <f aca="false">MUSTERI_RISK_SKORU!A9</f>
        <v>M004</v>
      </c>
      <c r="F63" s="44" t="n">
        <f aca="false">MUSTERI_RISK_SKORU!K9</f>
        <v>1500000</v>
      </c>
    </row>
  </sheetData>
  <sheetProtection sheet="true" password="cc3d" objects="true" scenarios="true" deleteColumns="false" deleteRows="false"/>
  <mergeCells count="11">
    <mergeCell ref="A1:AN1"/>
    <mergeCell ref="A5:B5"/>
    <mergeCell ref="D5:E5"/>
    <mergeCell ref="G5:H5"/>
    <mergeCell ref="J5:K5"/>
    <mergeCell ref="A6:B6"/>
    <mergeCell ref="D6:E6"/>
    <mergeCell ref="G6:H6"/>
    <mergeCell ref="J6:K6"/>
    <mergeCell ref="B11:I11"/>
    <mergeCell ref="B13:I13"/>
  </mergeCells>
  <conditionalFormatting sqref="B6">
    <cfRule type="cellIs" priority="2" operator="lessThan" aboveAverage="0" equalAverage="0" bottom="0" percent="0" rank="0" text="" dxfId="13">
      <formula>0</formula>
    </cfRule>
  </conditionalFormatting>
  <conditionalFormatting sqref="E6">
    <cfRule type="cellIs" priority="3" operator="greaterThan" aboveAverage="0" equalAverage="0" bottom="0" percent="0" rank="0" text="" dxfId="11">
      <formula>0</formula>
    </cfRule>
  </conditionalFormatting>
  <conditionalFormatting sqref="H6">
    <cfRule type="cellIs" priority="4" operator="greaterThan" aboveAverage="0" equalAverage="0" bottom="0" percent="0" rank="0" text="" dxfId="11">
      <formula>0</formula>
    </cfRule>
  </conditionalFormatting>
  <conditionalFormatting sqref="B8">
    <cfRule type="cellIs" priority="5" operator="equal" aboveAverage="0" equalAverage="0" bottom="0" percent="0" rank="0" text="" dxfId="13">
      <formula>"KRİTİK İNCELEME"</formula>
    </cfRule>
    <cfRule type="cellIs" priority="6" operator="equal" aboveAverage="0" equalAverage="0" bottom="0" percent="0" rank="0" text="" dxfId="9">
      <formula>"KONTROLLÜ"</formula>
    </cfRule>
  </conditionalFormatting>
  <conditionalFormatting sqref="B9">
    <cfRule type="cellIs" priority="7" operator="lessThan" aboveAverage="0" equalAverage="0" bottom="0" percent="0" rank="0" text="" dxfId="11">
      <formula>70</formula>
    </cfRule>
    <cfRule type="cellIs" priority="8" operator="between" aboveAverage="0" equalAverage="0" bottom="0" percent="0" rank="0" text="" dxfId="10">
      <formula>70</formula>
      <formula>90</formula>
    </cfRule>
    <cfRule type="cellIs" priority="9" operator="greaterThanOrEqual" aboveAverage="0" equalAverage="0" bottom="0" percent="0" rank="0" text="" dxfId="9">
      <formula>90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&amp;LExcelArşiv Cari Risk Paneli&amp;CExcelArşiv&amp;RSayfa &amp;P /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2" t="s">
        <v>332</v>
      </c>
    </row>
    <row r="5" customFormat="false" ht="15" hidden="false" customHeight="false" outlineLevel="0" collapsed="false">
      <c r="A5" s="10" t="s">
        <v>333</v>
      </c>
      <c r="B5" s="10" t="s">
        <v>334</v>
      </c>
      <c r="C5" s="10" t="s">
        <v>129</v>
      </c>
    </row>
    <row r="6" customFormat="false" ht="28.35" hidden="false" customHeight="false" outlineLevel="0" collapsed="false">
      <c r="A6" s="46" t="s">
        <v>335</v>
      </c>
      <c r="B6" s="44" t="n">
        <f aca="false">PANO!$B$6*(1-DuyarliOran)</f>
        <v>0</v>
      </c>
      <c r="C6" s="28" t="s">
        <v>336</v>
      </c>
    </row>
    <row r="7" customFormat="false" ht="15" hidden="false" customHeight="false" outlineLevel="0" collapsed="false">
      <c r="A7" s="46" t="s">
        <v>337</v>
      </c>
      <c r="B7" s="44" t="n">
        <f aca="false">PANO!$B$6</f>
        <v>0</v>
      </c>
      <c r="C7" s="28" t="s">
        <v>338</v>
      </c>
    </row>
    <row r="8" customFormat="false" ht="28.35" hidden="false" customHeight="false" outlineLevel="0" collapsed="false">
      <c r="A8" s="46" t="s">
        <v>339</v>
      </c>
      <c r="B8" s="44" t="n">
        <f aca="false">PANO!$B$6*(1+DuyarliOran)</f>
        <v>0</v>
      </c>
      <c r="C8" s="28" t="s">
        <v>340</v>
      </c>
    </row>
    <row r="10" customFormat="false" ht="15" hidden="false" customHeight="false" outlineLevel="0" collapsed="false">
      <c r="A10" s="47" t="s">
        <v>341</v>
      </c>
      <c r="B10" s="47"/>
      <c r="C10" s="47"/>
      <c r="D10" s="47"/>
    </row>
    <row r="11" customFormat="false" ht="15" hidden="false" customHeight="false" outlineLevel="0" collapsed="false">
      <c r="A11" s="37" t="s">
        <v>342</v>
      </c>
      <c r="B11" s="37" t="s">
        <v>343</v>
      </c>
      <c r="C11" s="37" t="s">
        <v>344</v>
      </c>
    </row>
    <row r="12" customFormat="false" ht="15" hidden="false" customHeight="false" outlineLevel="0" collapsed="false">
      <c r="A12" s="28" t="s">
        <v>345</v>
      </c>
      <c r="B12" s="44" t="n">
        <f aca="false">PANO!$B$6*(1-DuyarliOran)</f>
        <v>0</v>
      </c>
      <c r="C12" s="44" t="n">
        <f aca="false">PANO!$B$6*(1+DuyarliOran)</f>
        <v>0</v>
      </c>
    </row>
    <row r="13" customFormat="false" ht="15" hidden="false" customHeight="false" outlineLevel="0" collapsed="false">
      <c r="A13" s="28" t="s">
        <v>346</v>
      </c>
      <c r="B13" s="44" t="n">
        <f aca="false">PANO!$B$6*(1-DuyarliOran/2)</f>
        <v>0</v>
      </c>
      <c r="C13" s="44" t="n">
        <f aca="false">PANO!$B$6*(1+DuyarliOran/2)</f>
        <v>0</v>
      </c>
    </row>
    <row r="15" customFormat="false" ht="15" hidden="false" customHeight="false" outlineLevel="0" collapsed="false">
      <c r="A15" s="37" t="s">
        <v>347</v>
      </c>
      <c r="B15" s="44" t="n">
        <f aca="false">PANO!$B$6*TolereansCarpan</f>
        <v>0</v>
      </c>
    </row>
    <row r="16" customFormat="false" ht="15" hidden="false" customHeight="false" outlineLevel="0" collapsed="false">
      <c r="A16" s="37" t="s">
        <v>348</v>
      </c>
      <c r="B16" s="36" t="str">
        <f aca="false">IF(MAX($B$6:$B$8)&gt;$B$15,"EVET","HAYIR")</f>
        <v>HAYIR</v>
      </c>
    </row>
  </sheetData>
  <sheetProtection sheet="true" password="cc3d" objects="true" scenarios="true" deleteColumns="false" deleteRows="false"/>
  <mergeCells count="2">
    <mergeCell ref="A1:AN1"/>
    <mergeCell ref="A10:D10"/>
  </mergeCells>
  <conditionalFormatting sqref="B5">
    <cfRule type="cellIs" priority="2" operator="lessThan" aboveAverage="0" equalAverage="0" bottom="0" percent="0" rank="0" text="" dxfId="13">
      <formula>0</formula>
    </cfRule>
  </conditionalFormatting>
  <conditionalFormatting sqref="B6">
    <cfRule type="cellIs" priority="3" operator="lessThan" aboveAverage="0" equalAverage="0" bottom="0" percent="0" rank="0" text="" dxfId="11">
      <formula>0</formula>
    </cfRule>
  </conditionalFormatting>
  <conditionalFormatting sqref="B7">
    <cfRule type="cellIs" priority="4" operator="lessThan" aboveAverage="0" equalAverage="0" bottom="0" percent="0" rank="0" text="" dxfId="11">
      <formula>0</formula>
    </cfRule>
  </conditionalFormatting>
  <conditionalFormatting sqref="D14:D19">
    <cfRule type="cellIs" priority="5" operator="lessThan" aboveAverage="0" equalAverage="0" bottom="0" percent="0" rank="0" text="" dxfId="11">
      <formula>0</formula>
    </cfRule>
    <cfRule type="cellIs" priority="6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5" min="3" style="0" width="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9" t="s">
        <v>350</v>
      </c>
    </row>
    <row r="5" customFormat="false" ht="15" hidden="false" customHeight="false" outlineLevel="0" collapsed="false">
      <c r="A5" s="10" t="s">
        <v>351</v>
      </c>
      <c r="F5" s="10" t="s">
        <v>352</v>
      </c>
    </row>
    <row r="6" customFormat="false" ht="25.5" hidden="false" customHeight="true" outlineLevel="0" collapsed="false">
      <c r="A6" s="43" t="str">
        <f aca="false">PANO!$A$11</f>
        <v>EN YÜKSEK RİSK</v>
      </c>
      <c r="B6" s="43"/>
      <c r="C6" s="43"/>
      <c r="D6" s="43"/>
      <c r="F6" s="48" t="s">
        <v>353</v>
      </c>
      <c r="G6" s="29" t="str">
        <f aca="false">AYARLAR!$B$6</f>
        <v>Anadolu Endüstriyel Çözümler A.Ş.</v>
      </c>
    </row>
    <row r="7" customFormat="false" ht="15" hidden="false" customHeight="false" outlineLevel="0" collapsed="false">
      <c r="F7" s="48" t="s">
        <v>354</v>
      </c>
      <c r="G7" s="49" t="n">
        <f aca="false">AYARLAR!$B$7</f>
        <v>46239</v>
      </c>
    </row>
    <row r="8" customFormat="false" ht="15" hidden="false" customHeight="false" outlineLevel="0" collapsed="false">
      <c r="F8" s="48" t="s">
        <v>355</v>
      </c>
      <c r="G8" s="29" t="str">
        <f aca="false">AYARLAR!$B$8</f>
        <v>Finans Direktörü</v>
      </c>
    </row>
    <row r="9" customFormat="false" ht="15" hidden="false" customHeight="false" outlineLevel="0" collapsed="false">
      <c r="F9" s="48" t="s">
        <v>356</v>
      </c>
      <c r="G9" s="29" t="str">
        <f aca="false">AYARLAR!$B$9</f>
        <v>2.0</v>
      </c>
    </row>
    <row r="11" customFormat="false" ht="15" hidden="false" customHeight="false" outlineLevel="0" collapsed="false">
      <c r="A11" s="10" t="s">
        <v>357</v>
      </c>
    </row>
    <row r="12" customFormat="false" ht="15" hidden="false" customHeight="false" outlineLevel="0" collapsed="false">
      <c r="A12" s="50" t="s">
        <v>358</v>
      </c>
      <c r="B12" s="44" t="n">
        <f aca="false">PANO!$B$6</f>
        <v>0</v>
      </c>
    </row>
    <row r="13" customFormat="false" ht="15" hidden="false" customHeight="false" outlineLevel="0" collapsed="false">
      <c r="A13" s="50" t="s">
        <v>226</v>
      </c>
      <c r="B13" s="44" t="n">
        <f aca="false">PANO!$E$6</f>
        <v>0</v>
      </c>
    </row>
    <row r="14" customFormat="false" ht="15" hidden="false" customHeight="false" outlineLevel="0" collapsed="false">
      <c r="A14" s="50" t="s">
        <v>359</v>
      </c>
      <c r="B14" s="44" t="n">
        <f aca="false">PANO!$H$6</f>
        <v>0</v>
      </c>
    </row>
    <row r="15" customFormat="false" ht="15" hidden="false" customHeight="false" outlineLevel="0" collapsed="false">
      <c r="A15" s="50" t="s">
        <v>360</v>
      </c>
      <c r="B15" s="44" t="n">
        <f aca="false">PANO!$K$6</f>
        <v>0</v>
      </c>
    </row>
    <row r="17" customFormat="false" ht="15" hidden="false" customHeight="false" outlineLevel="0" collapsed="false">
      <c r="A17" s="10" t="s">
        <v>361</v>
      </c>
    </row>
    <row r="18" customFormat="false" ht="15" hidden="false" customHeight="false" outlineLevel="0" collapsed="false">
      <c r="A18" s="50" t="s">
        <v>362</v>
      </c>
      <c r="B18" s="36" t="str">
        <f aca="false">KONTROLLER!$B$17</f>
        <v>İNCELE</v>
      </c>
    </row>
    <row r="19" customFormat="false" ht="15" hidden="false" customHeight="false" outlineLevel="0" collapsed="false">
      <c r="A19" s="50" t="s">
        <v>363</v>
      </c>
      <c r="B19" s="51" t="n">
        <f aca="false">KONTROLLER!$B$15</f>
        <v>63</v>
      </c>
    </row>
    <row r="20" customFormat="false" ht="15" hidden="false" customHeight="false" outlineLevel="0" collapsed="false">
      <c r="A20" s="50" t="s">
        <v>238</v>
      </c>
      <c r="B20" s="36" t="str">
        <f aca="false">KONTROLLER!$B$18</f>
        <v>DÜŞÜK</v>
      </c>
    </row>
    <row r="21" customFormat="false" ht="25.5" hidden="false" customHeight="true" outlineLevel="0" collapsed="false">
      <c r="A21" s="50" t="s">
        <v>364</v>
      </c>
      <c r="B21" s="11" t="s">
        <v>365</v>
      </c>
      <c r="C21" s="11"/>
      <c r="D21" s="11"/>
      <c r="E21" s="11"/>
      <c r="F21" s="11"/>
      <c r="G21" s="11"/>
    </row>
  </sheetData>
  <sheetProtection sheet="true" password="cc3d" objects="true" scenarios="true" deleteColumns="false" deleteRows="false"/>
  <mergeCells count="3">
    <mergeCell ref="A1:AN1"/>
    <mergeCell ref="A6:D6"/>
    <mergeCell ref="B21:G21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&amp;LExcelArşiv Müşteri Risk Komitesi Raporu&amp;CExcelArşiv&amp;RSayfa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367</v>
      </c>
      <c r="B3" s="13"/>
      <c r="C3" s="13"/>
      <c r="D3" s="13"/>
    </row>
    <row r="5" customFormat="false" ht="30" hidden="false" customHeight="true" outlineLevel="0" collapsed="false">
      <c r="A5" s="14" t="s">
        <v>368</v>
      </c>
      <c r="B5" s="14" t="s">
        <v>259</v>
      </c>
      <c r="C5" s="14" t="s">
        <v>369</v>
      </c>
      <c r="D5" s="14" t="s">
        <v>370</v>
      </c>
    </row>
    <row r="6" customFormat="false" ht="15" hidden="false" customHeight="false" outlineLevel="0" collapsed="false">
      <c r="A6" s="50" t="s">
        <v>371</v>
      </c>
      <c r="B6" s="50" t="s">
        <v>58</v>
      </c>
      <c r="C6" s="50" t="s">
        <v>372</v>
      </c>
      <c r="D6" s="50" t="s">
        <v>373</v>
      </c>
    </row>
    <row r="7" customFormat="false" ht="15" hidden="false" customHeight="false" outlineLevel="0" collapsed="false">
      <c r="A7" s="50" t="s">
        <v>374</v>
      </c>
      <c r="B7" s="50" t="s">
        <v>48</v>
      </c>
      <c r="C7" s="50" t="s">
        <v>375</v>
      </c>
      <c r="D7" s="50" t="s">
        <v>317</v>
      </c>
    </row>
    <row r="8" customFormat="false" ht="15" hidden="false" customHeight="false" outlineLevel="0" collapsed="false">
      <c r="A8" s="50" t="s">
        <v>376</v>
      </c>
      <c r="B8" s="50" t="s">
        <v>66</v>
      </c>
      <c r="C8" s="50" t="s">
        <v>377</v>
      </c>
      <c r="D8" s="50" t="s">
        <v>378</v>
      </c>
    </row>
    <row r="9" customFormat="false" ht="15" hidden="false" customHeight="false" outlineLevel="0" collapsed="false">
      <c r="A9" s="50" t="s">
        <v>379</v>
      </c>
      <c r="B9" s="50" t="s">
        <v>74</v>
      </c>
      <c r="C9" s="50" t="s">
        <v>380</v>
      </c>
      <c r="D9" s="50" t="s">
        <v>381</v>
      </c>
    </row>
  </sheetData>
  <sheetProtection sheet="true" password="cc3d" objects="true" scenarios="true" deleteColumns="false" deleteRows="false"/>
  <mergeCells count="2">
    <mergeCell ref="A1:AN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13" t="s">
        <v>383</v>
      </c>
      <c r="B3" s="13"/>
      <c r="C3" s="13"/>
      <c r="D3" s="13"/>
      <c r="E3" s="13"/>
      <c r="F3" s="13"/>
      <c r="G3" s="13"/>
    </row>
    <row r="5" customFormat="false" ht="30" hidden="false" customHeight="true" outlineLevel="0" collapsed="false">
      <c r="A5" s="14" t="s">
        <v>384</v>
      </c>
      <c r="B5" s="14" t="s">
        <v>385</v>
      </c>
      <c r="C5" s="14" t="s">
        <v>386</v>
      </c>
      <c r="D5" s="14" t="s">
        <v>275</v>
      </c>
      <c r="E5" s="14" t="s">
        <v>45</v>
      </c>
      <c r="F5" s="14" t="s">
        <v>387</v>
      </c>
      <c r="G5" s="14" t="s">
        <v>246</v>
      </c>
    </row>
    <row r="6" customFormat="false" ht="33.75" hidden="false" customHeight="true" outlineLevel="0" collapsed="false">
      <c r="A6" s="34" t="s">
        <v>388</v>
      </c>
      <c r="B6" s="28" t="s">
        <v>389</v>
      </c>
      <c r="C6" s="28" t="s">
        <v>390</v>
      </c>
      <c r="D6" s="30" t="str">
        <f aca="false">IF(AND(KONTROLLER!$D$6=0,KONTROLLER!$D$11=0),"Zorunlu veri ve karar çıktıları tutarlı","Eksik veri: "&amp;KONTROLLER!$D$6&amp;" müşteri, "&amp;KONTROLLER!$D$11&amp;" kritik")</f>
        <v>Eksik veri: 0 müşteri, 2 kritik</v>
      </c>
      <c r="E6" s="36" t="str">
        <f aca="false">IF(AND(KONTROLLER!$D$6=0,KONTROLLER!$D$11=0),"GEÇTİ","KALDI")</f>
        <v>KALDI</v>
      </c>
      <c r="F6" s="34" t="s">
        <v>391</v>
      </c>
      <c r="G6" s="30" t="str">
        <f aca="false">IF($E6="GEÇTİ","İşlem gerekmiyor","Eksik müşteri kodlarını ve kritik müşterileri inceleyin")</f>
        <v>Eksik müşteri kodlarını ve kritik müşterileri inceleyin</v>
      </c>
    </row>
    <row r="7" customFormat="false" ht="33.75" hidden="false" customHeight="true" outlineLevel="0" collapsed="false">
      <c r="A7" s="34" t="s">
        <v>392</v>
      </c>
      <c r="B7" s="28" t="s">
        <v>393</v>
      </c>
      <c r="C7" s="28" t="s">
        <v>394</v>
      </c>
      <c r="D7" s="30" t="str">
        <f aca="false">IF(KONTROLLER!$D$8=0,"Mükerrer fatura yok; kontrol aktif",KONTROLLER!$D$8&amp;" mükerrer fatura bulundu")</f>
        <v>Mükerrer fatura yok; kontrol aktif</v>
      </c>
      <c r="E7" s="36" t="str">
        <f aca="false">KONTROLLER!$E$8</f>
        <v>GEÇTİ</v>
      </c>
      <c r="F7" s="34" t="s">
        <v>391</v>
      </c>
      <c r="G7" s="30" t="str">
        <f aca="false">IF($E7="GEÇTİ","İşlem gerekmiyor","Mükerrer faturaları FATURALAR sayfasında düzeltin")</f>
        <v>İşlem gerekmiyor</v>
      </c>
    </row>
    <row r="8" customFormat="false" ht="33.75" hidden="false" customHeight="true" outlineLevel="0" collapsed="false">
      <c r="A8" s="34" t="s">
        <v>395</v>
      </c>
      <c r="B8" s="28" t="s">
        <v>396</v>
      </c>
      <c r="C8" s="28" t="s">
        <v>397</v>
      </c>
      <c r="D8" s="30" t="str">
        <f aca="false">IF(SUM(KONTROLLER!$D$9:$D$10)=0,"Negatif fatura veya tahsilat yok",SUM(KONTROLLER!$D$9:$D$10)&amp;" negatif kayıt var")</f>
        <v>Negatif fatura veya tahsilat yok</v>
      </c>
      <c r="E8" s="36" t="str">
        <f aca="false">IF(SUM(KONTROLLER!$D$9:$D$10)=0,"GEÇTİ","KALDI")</f>
        <v>GEÇTİ</v>
      </c>
      <c r="F8" s="34" t="s">
        <v>391</v>
      </c>
      <c r="G8" s="30" t="str">
        <f aca="false">IF($E8="GEÇTİ","İşlem gerekmiyor","Negatif tutarlı fatura ve tahsilatları düzeltin")</f>
        <v>İşlem gerekmiyor</v>
      </c>
    </row>
    <row r="9" customFormat="false" ht="33.75" hidden="false" customHeight="true" outlineLevel="0" collapsed="false">
      <c r="A9" s="34" t="s">
        <v>398</v>
      </c>
      <c r="B9" s="28" t="s">
        <v>399</v>
      </c>
      <c r="C9" s="28" t="s">
        <v>400</v>
      </c>
      <c r="D9" s="30" t="str">
        <f aca="false">IF(KONTROLLER!$D$13=0,"Kritik müşteri yok; karar kapısı kontrollü","Kritik müşteri için aksiyon üretildi")</f>
        <v>Kritik müşteri için aksiyon üretildi</v>
      </c>
      <c r="E9" s="36" t="str">
        <f aca="false">IF(OR(KONTROLLER!$D$13=0,COUNTIF(tblKarar[Risk Seviyesi],"KRİTİK")&gt;0),"GEÇTİ","KALDI")</f>
        <v>KALDI</v>
      </c>
      <c r="F9" s="34" t="s">
        <v>391</v>
      </c>
      <c r="G9" s="30" t="str">
        <f aca="false">IF($E9="GEÇTİ","İşlem gerekmiyor","Kritik müşteri kararını KARAR_MOTORU sayfasında uygulayın")</f>
        <v>Kritik müşteri kararını KARAR_MOTORU sayfasında uygulayın</v>
      </c>
    </row>
  </sheetData>
  <sheetProtection sheet="true" password="cc3d" objects="true" scenarios="true" deleteColumns="false" deleteRows="false"/>
  <mergeCells count="2">
    <mergeCell ref="A1:AN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9" t="s">
        <v>402</v>
      </c>
    </row>
    <row r="5" customFormat="false" ht="30" hidden="false" customHeight="true" outlineLevel="0" collapsed="false">
      <c r="A5" s="14" t="s">
        <v>356</v>
      </c>
      <c r="B5" s="14" t="s">
        <v>122</v>
      </c>
      <c r="C5" s="14" t="s">
        <v>129</v>
      </c>
    </row>
    <row r="6" customFormat="false" ht="15" hidden="false" customHeight="false" outlineLevel="0" collapsed="false">
      <c r="A6" s="34" t="s">
        <v>403</v>
      </c>
      <c r="B6" s="34" t="s">
        <v>404</v>
      </c>
      <c r="C6" s="28" t="s">
        <v>405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18"/>
    <col collapsed="false" customWidth="true" hidden="false" outlineLevel="0" max="14" min="14" style="0" width="3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1" t="s">
        <v>406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9" t="s">
        <v>407</v>
      </c>
    </row>
    <row r="5" customFormat="false" ht="15" hidden="false" customHeight="false" outlineLevel="0" collapsed="false">
      <c r="A5" s="10" t="s">
        <v>408</v>
      </c>
      <c r="C5" s="10" t="s">
        <v>88</v>
      </c>
      <c r="E5" s="10" t="s">
        <v>124</v>
      </c>
      <c r="G5" s="10" t="s">
        <v>40</v>
      </c>
      <c r="I5" s="10" t="s">
        <v>96</v>
      </c>
      <c r="K5" s="10" t="s">
        <v>409</v>
      </c>
      <c r="M5" s="10" t="s">
        <v>410</v>
      </c>
      <c r="O5" s="10" t="s">
        <v>411</v>
      </c>
    </row>
    <row r="6" customFormat="false" ht="15" hidden="false" customHeight="false" outlineLevel="0" collapsed="false">
      <c r="A6" s="34" t="s">
        <v>56</v>
      </c>
      <c r="C6" s="34" t="s">
        <v>100</v>
      </c>
      <c r="E6" s="34" t="s">
        <v>131</v>
      </c>
      <c r="G6" s="34" t="s">
        <v>53</v>
      </c>
      <c r="I6" s="34" t="s">
        <v>102</v>
      </c>
      <c r="K6" s="34" t="s">
        <v>166</v>
      </c>
      <c r="M6" s="34" t="s">
        <v>412</v>
      </c>
      <c r="O6" s="34" t="s">
        <v>79</v>
      </c>
    </row>
    <row r="7" customFormat="false" ht="15" hidden="false" customHeight="false" outlineLevel="0" collapsed="false">
      <c r="A7" s="34" t="s">
        <v>72</v>
      </c>
      <c r="C7" s="34" t="s">
        <v>413</v>
      </c>
      <c r="E7" s="34" t="s">
        <v>319</v>
      </c>
      <c r="G7" s="34" t="s">
        <v>63</v>
      </c>
      <c r="I7" s="34" t="s">
        <v>112</v>
      </c>
      <c r="K7" s="34" t="s">
        <v>172</v>
      </c>
      <c r="M7" s="34" t="s">
        <v>249</v>
      </c>
      <c r="O7" s="34" t="s">
        <v>55</v>
      </c>
    </row>
    <row r="8" customFormat="false" ht="15" hidden="false" customHeight="false" outlineLevel="0" collapsed="false">
      <c r="A8" s="34" t="s">
        <v>80</v>
      </c>
      <c r="C8" s="34" t="s">
        <v>414</v>
      </c>
      <c r="E8" s="34" t="s">
        <v>138</v>
      </c>
      <c r="G8" s="34" t="s">
        <v>71</v>
      </c>
      <c r="I8" s="34" t="s">
        <v>415</v>
      </c>
      <c r="K8" s="34" t="s">
        <v>416</v>
      </c>
    </row>
    <row r="9" customFormat="false" ht="15" hidden="false" customHeight="false" outlineLevel="0" collapsed="false">
      <c r="A9" s="34" t="s">
        <v>417</v>
      </c>
      <c r="E9" s="34" t="s">
        <v>326</v>
      </c>
      <c r="G9" s="34" t="s">
        <v>418</v>
      </c>
      <c r="K9" s="34" t="s">
        <v>419</v>
      </c>
    </row>
    <row r="10" customFormat="false" ht="15" hidden="false" customHeight="false" outlineLevel="0" collapsed="false">
      <c r="G10" s="34" t="s">
        <v>78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50"/>
  </cols>
  <sheetData>
    <row r="1" customFormat="false" ht="25.5" hidden="false" customHeight="true" outlineLevel="0" collapsed="false">
      <c r="A1" s="1" t="s">
        <v>420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26" t="s">
        <v>421</v>
      </c>
      <c r="B3" s="26"/>
      <c r="C3" s="26"/>
      <c r="D3" s="26"/>
      <c r="E3" s="26"/>
      <c r="F3" s="26"/>
      <c r="G3" s="26"/>
      <c r="H3" s="26"/>
    </row>
    <row r="5" customFormat="false" ht="30" hidden="false" customHeight="true" outlineLevel="0" collapsed="false">
      <c r="A5" s="14" t="s">
        <v>422</v>
      </c>
      <c r="B5" s="14" t="s">
        <v>423</v>
      </c>
      <c r="C5" s="14" t="s">
        <v>424</v>
      </c>
      <c r="D5" s="14" t="s">
        <v>425</v>
      </c>
      <c r="E5" s="14" t="s">
        <v>426</v>
      </c>
      <c r="F5" s="14" t="s">
        <v>427</v>
      </c>
      <c r="G5" s="14" t="s">
        <v>428</v>
      </c>
      <c r="H5" s="14" t="s">
        <v>429</v>
      </c>
    </row>
    <row r="6" customFormat="false" ht="15" hidden="false" customHeight="false" outlineLevel="0" collapsed="false">
      <c r="A6" s="10" t="s">
        <v>430</v>
      </c>
      <c r="B6" s="17" t="s">
        <v>431</v>
      </c>
      <c r="C6" s="34" t="s">
        <v>432</v>
      </c>
      <c r="D6" s="28" t="s">
        <v>433</v>
      </c>
      <c r="E6" s="34" t="s">
        <v>434</v>
      </c>
      <c r="F6" s="52" t="n">
        <v>46239</v>
      </c>
      <c r="G6" s="52" t="n">
        <v>46239</v>
      </c>
      <c r="H6" s="28" t="s">
        <v>433</v>
      </c>
    </row>
    <row r="7" customFormat="false" ht="28.35" hidden="false" customHeight="false" outlineLevel="0" collapsed="false">
      <c r="A7" s="10" t="s">
        <v>354</v>
      </c>
      <c r="B7" s="16" t="n">
        <v>46239</v>
      </c>
      <c r="C7" s="34" t="s">
        <v>122</v>
      </c>
      <c r="D7" s="28" t="s">
        <v>435</v>
      </c>
      <c r="E7" s="34" t="s">
        <v>434</v>
      </c>
      <c r="F7" s="52" t="n">
        <v>46239</v>
      </c>
      <c r="G7" s="52" t="n">
        <v>46239</v>
      </c>
      <c r="H7" s="28" t="s">
        <v>435</v>
      </c>
    </row>
    <row r="8" customFormat="false" ht="15" hidden="false" customHeight="false" outlineLevel="0" collapsed="false">
      <c r="A8" s="10" t="s">
        <v>436</v>
      </c>
      <c r="B8" s="17" t="s">
        <v>437</v>
      </c>
      <c r="C8" s="34" t="s">
        <v>432</v>
      </c>
      <c r="D8" s="28" t="s">
        <v>438</v>
      </c>
      <c r="E8" s="34" t="s">
        <v>434</v>
      </c>
      <c r="F8" s="52" t="n">
        <v>46239</v>
      </c>
      <c r="G8" s="52" t="n">
        <v>46239</v>
      </c>
      <c r="H8" s="28" t="s">
        <v>438</v>
      </c>
    </row>
    <row r="9" customFormat="false" ht="15" hidden="false" customHeight="false" outlineLevel="0" collapsed="false">
      <c r="A9" s="10" t="s">
        <v>439</v>
      </c>
      <c r="B9" s="17" t="s">
        <v>440</v>
      </c>
      <c r="C9" s="34" t="s">
        <v>432</v>
      </c>
      <c r="D9" s="28" t="s">
        <v>441</v>
      </c>
      <c r="E9" s="34" t="s">
        <v>442</v>
      </c>
      <c r="F9" s="52" t="n">
        <v>46244</v>
      </c>
      <c r="G9" s="52" t="n">
        <v>46244</v>
      </c>
      <c r="H9" s="28" t="s">
        <v>441</v>
      </c>
    </row>
    <row r="10" customFormat="false" ht="15" hidden="false" customHeight="false" outlineLevel="0" collapsed="false">
      <c r="A10" s="10" t="s">
        <v>443</v>
      </c>
      <c r="B10" s="17" t="n">
        <v>15</v>
      </c>
      <c r="C10" s="34" t="s">
        <v>444</v>
      </c>
      <c r="D10" s="28" t="s">
        <v>445</v>
      </c>
      <c r="E10" s="34" t="s">
        <v>446</v>
      </c>
      <c r="F10" s="52" t="n">
        <v>46239</v>
      </c>
      <c r="G10" s="52" t="n">
        <v>46239</v>
      </c>
      <c r="H10" s="28" t="s">
        <v>447</v>
      </c>
    </row>
    <row r="11" customFormat="false" ht="15" hidden="false" customHeight="false" outlineLevel="0" collapsed="false">
      <c r="A11" s="10" t="s">
        <v>448</v>
      </c>
      <c r="B11" s="17" t="n">
        <v>30</v>
      </c>
      <c r="C11" s="34" t="s">
        <v>444</v>
      </c>
      <c r="D11" s="28" t="s">
        <v>449</v>
      </c>
      <c r="E11" s="34" t="s">
        <v>446</v>
      </c>
      <c r="F11" s="52" t="n">
        <v>46239</v>
      </c>
      <c r="G11" s="52" t="n">
        <v>46239</v>
      </c>
      <c r="H11" s="28" t="s">
        <v>450</v>
      </c>
    </row>
    <row r="12" customFormat="false" ht="15" hidden="false" customHeight="false" outlineLevel="0" collapsed="false">
      <c r="A12" s="10" t="s">
        <v>451</v>
      </c>
      <c r="B12" s="17" t="n">
        <v>60</v>
      </c>
      <c r="C12" s="34" t="s">
        <v>444</v>
      </c>
      <c r="D12" s="28" t="s">
        <v>452</v>
      </c>
      <c r="E12" s="34" t="s">
        <v>446</v>
      </c>
      <c r="F12" s="52" t="n">
        <v>46239</v>
      </c>
      <c r="G12" s="52" t="n">
        <v>46239</v>
      </c>
      <c r="H12" s="28" t="s">
        <v>453</v>
      </c>
    </row>
    <row r="13" customFormat="false" ht="15" hidden="false" customHeight="false" outlineLevel="0" collapsed="false">
      <c r="A13" s="10" t="s">
        <v>454</v>
      </c>
      <c r="B13" s="17" t="n">
        <v>24</v>
      </c>
      <c r="C13" s="34" t="s">
        <v>455</v>
      </c>
      <c r="D13" s="28" t="s">
        <v>456</v>
      </c>
      <c r="E13" s="34" t="s">
        <v>446</v>
      </c>
      <c r="F13" s="52" t="n">
        <v>46239</v>
      </c>
      <c r="G13" s="52" t="n">
        <v>46239</v>
      </c>
      <c r="H13" s="28" t="s">
        <v>457</v>
      </c>
    </row>
    <row r="14" customFormat="false" ht="15" hidden="false" customHeight="false" outlineLevel="0" collapsed="false">
      <c r="A14" s="10" t="s">
        <v>458</v>
      </c>
      <c r="B14" s="17" t="n">
        <v>49</v>
      </c>
      <c r="C14" s="34" t="s">
        <v>455</v>
      </c>
      <c r="D14" s="28" t="s">
        <v>459</v>
      </c>
      <c r="E14" s="34" t="s">
        <v>446</v>
      </c>
      <c r="F14" s="52" t="n">
        <v>46239</v>
      </c>
      <c r="G14" s="52" t="n">
        <v>46239</v>
      </c>
      <c r="H14" s="28" t="s">
        <v>460</v>
      </c>
    </row>
    <row r="15" customFormat="false" ht="15" hidden="false" customHeight="false" outlineLevel="0" collapsed="false">
      <c r="A15" s="10" t="s">
        <v>461</v>
      </c>
      <c r="B15" s="17" t="n">
        <v>69</v>
      </c>
      <c r="C15" s="34" t="s">
        <v>455</v>
      </c>
      <c r="D15" s="28" t="s">
        <v>462</v>
      </c>
      <c r="E15" s="34" t="s">
        <v>446</v>
      </c>
      <c r="F15" s="52" t="n">
        <v>46239</v>
      </c>
      <c r="G15" s="52" t="n">
        <v>46239</v>
      </c>
      <c r="H15" s="28" t="s">
        <v>463</v>
      </c>
    </row>
    <row r="16" customFormat="false" ht="15" hidden="false" customHeight="false" outlineLevel="0" collapsed="false">
      <c r="A16" s="10" t="s">
        <v>464</v>
      </c>
      <c r="B16" s="17" t="n">
        <v>84</v>
      </c>
      <c r="C16" s="34" t="s">
        <v>455</v>
      </c>
      <c r="D16" s="28" t="s">
        <v>465</v>
      </c>
      <c r="E16" s="34" t="s">
        <v>446</v>
      </c>
      <c r="F16" s="52" t="n">
        <v>46239</v>
      </c>
      <c r="G16" s="52" t="n">
        <v>46239</v>
      </c>
      <c r="H16" s="28" t="s">
        <v>466</v>
      </c>
    </row>
    <row r="17" customFormat="false" ht="15" hidden="false" customHeight="false" outlineLevel="0" collapsed="false">
      <c r="A17" s="10" t="s">
        <v>467</v>
      </c>
      <c r="B17" s="17" t="n">
        <v>85</v>
      </c>
      <c r="C17" s="34" t="s">
        <v>455</v>
      </c>
      <c r="D17" s="28" t="s">
        <v>468</v>
      </c>
      <c r="E17" s="34" t="s">
        <v>446</v>
      </c>
      <c r="F17" s="52" t="n">
        <v>46239</v>
      </c>
      <c r="G17" s="52" t="n">
        <v>46239</v>
      </c>
      <c r="H17" s="28" t="s">
        <v>469</v>
      </c>
    </row>
    <row r="18" customFormat="false" ht="15" hidden="false" customHeight="false" outlineLevel="0" collapsed="false">
      <c r="A18" s="10" t="s">
        <v>470</v>
      </c>
      <c r="B18" s="17" t="n">
        <v>70</v>
      </c>
      <c r="C18" s="34" t="s">
        <v>455</v>
      </c>
      <c r="D18" s="28" t="s">
        <v>471</v>
      </c>
      <c r="E18" s="34" t="s">
        <v>446</v>
      </c>
      <c r="F18" s="52" t="n">
        <v>46239</v>
      </c>
      <c r="G18" s="52" t="n">
        <v>46239</v>
      </c>
      <c r="H18" s="28" t="s">
        <v>472</v>
      </c>
    </row>
    <row r="19" customFormat="false" ht="15" hidden="false" customHeight="false" outlineLevel="0" collapsed="false">
      <c r="A19" s="10" t="s">
        <v>473</v>
      </c>
      <c r="B19" s="17" t="n">
        <v>25</v>
      </c>
      <c r="C19" s="34" t="s">
        <v>474</v>
      </c>
      <c r="D19" s="28" t="s">
        <v>475</v>
      </c>
      <c r="E19" s="34" t="s">
        <v>446</v>
      </c>
      <c r="F19" s="52" t="n">
        <v>46239</v>
      </c>
      <c r="G19" s="52" t="n">
        <v>46239</v>
      </c>
      <c r="H19" s="28" t="s">
        <v>476</v>
      </c>
    </row>
    <row r="20" customFormat="false" ht="15" hidden="false" customHeight="false" outlineLevel="0" collapsed="false">
      <c r="A20" s="10" t="s">
        <v>477</v>
      </c>
      <c r="B20" s="17" t="n">
        <v>20</v>
      </c>
      <c r="C20" s="34" t="s">
        <v>474</v>
      </c>
      <c r="D20" s="28" t="s">
        <v>478</v>
      </c>
      <c r="E20" s="34" t="s">
        <v>446</v>
      </c>
      <c r="F20" s="52" t="n">
        <v>46239</v>
      </c>
      <c r="G20" s="52" t="n">
        <v>46239</v>
      </c>
      <c r="H20" s="28" t="s">
        <v>479</v>
      </c>
    </row>
    <row r="21" customFormat="false" ht="15" hidden="false" customHeight="false" outlineLevel="0" collapsed="false">
      <c r="A21" s="10" t="s">
        <v>480</v>
      </c>
      <c r="B21" s="17" t="n">
        <v>20</v>
      </c>
      <c r="C21" s="34" t="s">
        <v>474</v>
      </c>
      <c r="D21" s="28" t="s">
        <v>481</v>
      </c>
      <c r="E21" s="34" t="s">
        <v>446</v>
      </c>
      <c r="F21" s="52" t="n">
        <v>46239</v>
      </c>
      <c r="G21" s="52" t="n">
        <v>46239</v>
      </c>
      <c r="H21" s="28" t="s">
        <v>482</v>
      </c>
    </row>
    <row r="22" customFormat="false" ht="15" hidden="false" customHeight="false" outlineLevel="0" collapsed="false">
      <c r="A22" s="10" t="s">
        <v>483</v>
      </c>
      <c r="B22" s="17" t="n">
        <v>20</v>
      </c>
      <c r="C22" s="34" t="s">
        <v>474</v>
      </c>
      <c r="D22" s="28" t="s">
        <v>484</v>
      </c>
      <c r="E22" s="34" t="s">
        <v>446</v>
      </c>
      <c r="F22" s="52" t="n">
        <v>46239</v>
      </c>
      <c r="G22" s="52" t="n">
        <v>46239</v>
      </c>
      <c r="H22" s="28" t="s">
        <v>485</v>
      </c>
    </row>
    <row r="23" customFormat="false" ht="15" hidden="false" customHeight="false" outlineLevel="0" collapsed="false">
      <c r="A23" s="10" t="s">
        <v>486</v>
      </c>
      <c r="B23" s="17" t="n">
        <v>10</v>
      </c>
      <c r="C23" s="34" t="s">
        <v>474</v>
      </c>
      <c r="D23" s="28" t="s">
        <v>487</v>
      </c>
      <c r="E23" s="34" t="s">
        <v>446</v>
      </c>
      <c r="F23" s="52" t="n">
        <v>46239</v>
      </c>
      <c r="G23" s="52" t="n">
        <v>46239</v>
      </c>
      <c r="H23" s="28" t="s">
        <v>488</v>
      </c>
    </row>
    <row r="24" customFormat="false" ht="15" hidden="false" customHeight="false" outlineLevel="0" collapsed="false">
      <c r="A24" s="10" t="s">
        <v>489</v>
      </c>
      <c r="B24" s="17" t="n">
        <v>5</v>
      </c>
      <c r="C24" s="34" t="s">
        <v>474</v>
      </c>
      <c r="D24" s="28" t="s">
        <v>490</v>
      </c>
      <c r="E24" s="34" t="s">
        <v>446</v>
      </c>
      <c r="F24" s="52" t="n">
        <v>46239</v>
      </c>
      <c r="G24" s="52" t="n">
        <v>46239</v>
      </c>
      <c r="H24" s="28" t="s">
        <v>491</v>
      </c>
    </row>
    <row r="25" customFormat="false" ht="15" hidden="false" customHeight="false" outlineLevel="0" collapsed="false">
      <c r="A25" s="10" t="s">
        <v>492</v>
      </c>
      <c r="B25" s="17" t="n">
        <v>3</v>
      </c>
      <c r="C25" s="34" t="s">
        <v>474</v>
      </c>
      <c r="D25" s="28" t="s">
        <v>493</v>
      </c>
      <c r="E25" s="34" t="s">
        <v>446</v>
      </c>
      <c r="F25" s="52" t="n">
        <v>46239</v>
      </c>
      <c r="G25" s="52" t="n">
        <v>46239</v>
      </c>
      <c r="H25" s="28" t="s">
        <v>494</v>
      </c>
    </row>
    <row r="26" customFormat="false" ht="15" hidden="false" customHeight="false" outlineLevel="0" collapsed="false">
      <c r="A26" s="10" t="s">
        <v>495</v>
      </c>
      <c r="B26" s="17" t="n">
        <v>90</v>
      </c>
      <c r="C26" s="34" t="s">
        <v>455</v>
      </c>
      <c r="D26" s="28" t="s">
        <v>496</v>
      </c>
      <c r="E26" s="34" t="s">
        <v>446</v>
      </c>
      <c r="F26" s="52" t="n">
        <v>46239</v>
      </c>
      <c r="G26" s="52" t="n">
        <v>46239</v>
      </c>
      <c r="H26" s="28" t="s">
        <v>497</v>
      </c>
    </row>
    <row r="27" customFormat="false" ht="15" hidden="false" customHeight="false" outlineLevel="0" collapsed="false">
      <c r="A27" s="10" t="s">
        <v>498</v>
      </c>
      <c r="B27" s="17" t="n">
        <v>70</v>
      </c>
      <c r="C27" s="34" t="s">
        <v>455</v>
      </c>
      <c r="D27" s="28" t="s">
        <v>499</v>
      </c>
      <c r="E27" s="34" t="s">
        <v>446</v>
      </c>
      <c r="F27" s="52" t="n">
        <v>46239</v>
      </c>
      <c r="G27" s="52" t="n">
        <v>46239</v>
      </c>
      <c r="H27" s="28" t="s">
        <v>497</v>
      </c>
    </row>
    <row r="28" customFormat="false" ht="15" hidden="false" customHeight="false" outlineLevel="0" collapsed="false">
      <c r="A28" s="10" t="s">
        <v>500</v>
      </c>
      <c r="B28" s="23" t="n">
        <v>0.1</v>
      </c>
      <c r="C28" s="34" t="s">
        <v>501</v>
      </c>
      <c r="D28" s="28" t="s">
        <v>502</v>
      </c>
      <c r="E28" s="34" t="s">
        <v>446</v>
      </c>
      <c r="F28" s="52" t="n">
        <v>46239</v>
      </c>
      <c r="G28" s="52" t="n">
        <v>46239</v>
      </c>
      <c r="H28" s="28" t="s">
        <v>503</v>
      </c>
    </row>
    <row r="29" customFormat="false" ht="15" hidden="false" customHeight="false" outlineLevel="0" collapsed="false">
      <c r="A29" s="10" t="s">
        <v>504</v>
      </c>
      <c r="B29" s="17" t="n">
        <v>17</v>
      </c>
      <c r="C29" s="34" t="s">
        <v>505</v>
      </c>
      <c r="D29" s="28" t="s">
        <v>506</v>
      </c>
      <c r="E29" s="34" t="s">
        <v>446</v>
      </c>
      <c r="F29" s="52" t="n">
        <v>46239</v>
      </c>
      <c r="G29" s="52" t="n">
        <v>46239</v>
      </c>
      <c r="H29" s="28" t="s">
        <v>507</v>
      </c>
    </row>
    <row r="30" customFormat="false" ht="15" hidden="false" customHeight="false" outlineLevel="0" collapsed="false">
      <c r="A30" s="10" t="s">
        <v>508</v>
      </c>
      <c r="B30" s="17" t="n">
        <v>10</v>
      </c>
      <c r="C30" s="34" t="s">
        <v>505</v>
      </c>
      <c r="D30" s="28" t="s">
        <v>509</v>
      </c>
      <c r="E30" s="34" t="s">
        <v>446</v>
      </c>
      <c r="F30" s="52" t="n">
        <v>46239</v>
      </c>
      <c r="G30" s="52" t="n">
        <v>46239</v>
      </c>
      <c r="H30" s="28" t="s">
        <v>510</v>
      </c>
    </row>
    <row r="31" customFormat="false" ht="15" hidden="false" customHeight="false" outlineLevel="0" collapsed="false">
      <c r="A31" s="10" t="s">
        <v>511</v>
      </c>
      <c r="B31" s="17" t="n">
        <v>2026</v>
      </c>
      <c r="C31" s="34" t="s">
        <v>512</v>
      </c>
      <c r="D31" s="28" t="s">
        <v>513</v>
      </c>
      <c r="E31" s="34" t="s">
        <v>434</v>
      </c>
      <c r="F31" s="52" t="n">
        <v>46239</v>
      </c>
      <c r="G31" s="52" t="n">
        <v>46239</v>
      </c>
      <c r="H31" s="28" t="s">
        <v>514</v>
      </c>
    </row>
    <row r="32" customFormat="false" ht="15" hidden="false" customHeight="false" outlineLevel="0" collapsed="false">
      <c r="A32" s="10" t="s">
        <v>515</v>
      </c>
      <c r="B32" s="17" t="n">
        <v>5</v>
      </c>
      <c r="C32" s="34" t="s">
        <v>516</v>
      </c>
      <c r="D32" s="28" t="s">
        <v>517</v>
      </c>
      <c r="E32" s="34" t="s">
        <v>434</v>
      </c>
      <c r="F32" s="52" t="n">
        <v>46239</v>
      </c>
      <c r="G32" s="52" t="n">
        <v>46239</v>
      </c>
      <c r="H32" s="28" t="s">
        <v>518</v>
      </c>
    </row>
    <row r="33" customFormat="false" ht="15" hidden="false" customHeight="false" outlineLevel="0" collapsed="false">
      <c r="A33" s="10" t="s">
        <v>519</v>
      </c>
      <c r="B33" s="17" t="n">
        <v>6</v>
      </c>
      <c r="C33" s="34" t="s">
        <v>516</v>
      </c>
      <c r="D33" s="28" t="s">
        <v>520</v>
      </c>
      <c r="E33" s="34" t="s">
        <v>434</v>
      </c>
      <c r="F33" s="52" t="n">
        <v>46239</v>
      </c>
      <c r="G33" s="52" t="n">
        <v>46239</v>
      </c>
      <c r="H33" s="28" t="s">
        <v>521</v>
      </c>
    </row>
    <row r="34" customFormat="false" ht="15" hidden="false" customHeight="false" outlineLevel="0" collapsed="false">
      <c r="A34" s="10" t="s">
        <v>522</v>
      </c>
      <c r="B34" s="17" t="n">
        <v>7</v>
      </c>
      <c r="C34" s="34" t="s">
        <v>516</v>
      </c>
      <c r="D34" s="28" t="s">
        <v>523</v>
      </c>
      <c r="E34" s="34" t="s">
        <v>434</v>
      </c>
      <c r="F34" s="52" t="n">
        <v>46239</v>
      </c>
      <c r="G34" s="52" t="n">
        <v>46239</v>
      </c>
      <c r="H34" s="28" t="s">
        <v>524</v>
      </c>
    </row>
    <row r="35" customFormat="false" ht="15" hidden="false" customHeight="false" outlineLevel="0" collapsed="false">
      <c r="A35" s="10" t="s">
        <v>525</v>
      </c>
      <c r="B35" s="17" t="n">
        <v>8</v>
      </c>
      <c r="C35" s="34" t="s">
        <v>516</v>
      </c>
      <c r="D35" s="28" t="s">
        <v>526</v>
      </c>
      <c r="E35" s="34" t="s">
        <v>434</v>
      </c>
      <c r="F35" s="52" t="n">
        <v>46239</v>
      </c>
      <c r="G35" s="52" t="n">
        <v>46239</v>
      </c>
      <c r="H35" s="28" t="s">
        <v>527</v>
      </c>
    </row>
    <row r="36" customFormat="false" ht="15" hidden="false" customHeight="false" outlineLevel="0" collapsed="false">
      <c r="A36" s="10" t="s">
        <v>528</v>
      </c>
      <c r="B36" s="23" t="n">
        <v>1.25</v>
      </c>
      <c r="C36" s="34" t="s">
        <v>501</v>
      </c>
      <c r="D36" s="28" t="s">
        <v>529</v>
      </c>
      <c r="E36" s="34" t="s">
        <v>446</v>
      </c>
      <c r="F36" s="52" t="n">
        <v>46239</v>
      </c>
      <c r="G36" s="52" t="n">
        <v>46239</v>
      </c>
      <c r="H36" s="28" t="s">
        <v>530</v>
      </c>
    </row>
    <row r="37" customFormat="false" ht="15" hidden="false" customHeight="false" outlineLevel="0" collapsed="false">
      <c r="A37" s="10" t="s">
        <v>531</v>
      </c>
      <c r="B37" s="17" t="n">
        <v>30</v>
      </c>
      <c r="C37" s="34" t="s">
        <v>444</v>
      </c>
      <c r="D37" s="28" t="s">
        <v>532</v>
      </c>
      <c r="E37" s="34" t="s">
        <v>446</v>
      </c>
      <c r="F37" s="52" t="n">
        <v>46239</v>
      </c>
      <c r="G37" s="52" t="n">
        <v>46239</v>
      </c>
      <c r="H37" s="28" t="s">
        <v>533</v>
      </c>
    </row>
    <row r="38" customFormat="false" ht="15" hidden="false" customHeight="false" outlineLevel="0" collapsed="false">
      <c r="A38" s="10" t="s">
        <v>534</v>
      </c>
      <c r="B38" s="17" t="n">
        <v>80</v>
      </c>
      <c r="C38" s="34" t="s">
        <v>455</v>
      </c>
      <c r="D38" s="28" t="s">
        <v>535</v>
      </c>
      <c r="E38" s="34" t="s">
        <v>446</v>
      </c>
      <c r="F38" s="52" t="n">
        <v>46239</v>
      </c>
      <c r="G38" s="52" t="n">
        <v>46239</v>
      </c>
      <c r="H38" s="28" t="s">
        <v>536</v>
      </c>
    </row>
    <row r="39" customFormat="false" ht="15" hidden="false" customHeight="false" outlineLevel="0" collapsed="false">
      <c r="A39" s="10" t="s">
        <v>537</v>
      </c>
      <c r="B39" s="17" t="n">
        <v>50</v>
      </c>
      <c r="C39" s="34" t="s">
        <v>455</v>
      </c>
      <c r="D39" s="28" t="s">
        <v>538</v>
      </c>
      <c r="E39" s="34" t="s">
        <v>446</v>
      </c>
      <c r="F39" s="52" t="n">
        <v>46239</v>
      </c>
      <c r="G39" s="52" t="n">
        <v>46239</v>
      </c>
      <c r="H39" s="28" t="s">
        <v>539</v>
      </c>
    </row>
    <row r="40" customFormat="false" ht="15" hidden="false" customHeight="false" outlineLevel="0" collapsed="false">
      <c r="A40" s="10" t="s">
        <v>540</v>
      </c>
      <c r="B40" s="17" t="n">
        <v>50</v>
      </c>
      <c r="C40" s="34" t="s">
        <v>474</v>
      </c>
      <c r="D40" s="28" t="s">
        <v>541</v>
      </c>
      <c r="E40" s="34" t="s">
        <v>446</v>
      </c>
      <c r="F40" s="52" t="n">
        <v>46239</v>
      </c>
      <c r="G40" s="52" t="n">
        <v>46239</v>
      </c>
      <c r="H40" s="28" t="s">
        <v>542</v>
      </c>
    </row>
    <row r="41" customFormat="false" ht="15" hidden="false" customHeight="false" outlineLevel="0" collapsed="false">
      <c r="A41" s="10" t="s">
        <v>543</v>
      </c>
      <c r="B41" s="23" t="n">
        <v>0.3</v>
      </c>
      <c r="C41" s="34" t="s">
        <v>501</v>
      </c>
      <c r="D41" s="28" t="s">
        <v>544</v>
      </c>
      <c r="E41" s="34" t="s">
        <v>446</v>
      </c>
      <c r="F41" s="52" t="n">
        <v>46239</v>
      </c>
      <c r="G41" s="52" t="n">
        <v>46239</v>
      </c>
      <c r="H41" s="28" t="s">
        <v>545</v>
      </c>
    </row>
    <row r="42" customFormat="false" ht="28.35" hidden="false" customHeight="false" outlineLevel="0" collapsed="false">
      <c r="A42" s="10" t="s">
        <v>546</v>
      </c>
      <c r="B42" s="17" t="n">
        <v>3</v>
      </c>
      <c r="C42" s="34" t="s">
        <v>444</v>
      </c>
      <c r="D42" s="28" t="s">
        <v>547</v>
      </c>
      <c r="E42" s="34" t="s">
        <v>446</v>
      </c>
      <c r="F42" s="52" t="n">
        <v>46239</v>
      </c>
      <c r="G42" s="52" t="n">
        <v>46239</v>
      </c>
      <c r="H42" s="28" t="s">
        <v>548</v>
      </c>
    </row>
    <row r="43" customFormat="false" ht="28.35" hidden="false" customHeight="false" outlineLevel="0" collapsed="false">
      <c r="A43" s="10" t="s">
        <v>549</v>
      </c>
      <c r="B43" s="17" t="n">
        <v>7</v>
      </c>
      <c r="C43" s="34" t="s">
        <v>444</v>
      </c>
      <c r="D43" s="28" t="s">
        <v>550</v>
      </c>
      <c r="E43" s="34" t="s">
        <v>446</v>
      </c>
      <c r="F43" s="52" t="n">
        <v>46239</v>
      </c>
      <c r="G43" s="52" t="n">
        <v>46239</v>
      </c>
      <c r="H43" s="28" t="s">
        <v>551</v>
      </c>
    </row>
    <row r="44" customFormat="false" ht="15" hidden="false" customHeight="false" outlineLevel="0" collapsed="false">
      <c r="A44" s="10" t="s">
        <v>552</v>
      </c>
      <c r="B44" s="17" t="n">
        <v>3</v>
      </c>
      <c r="C44" s="34" t="s">
        <v>444</v>
      </c>
      <c r="D44" s="28" t="s">
        <v>553</v>
      </c>
      <c r="E44" s="34" t="s">
        <v>446</v>
      </c>
      <c r="F44" s="52" t="n">
        <v>46239</v>
      </c>
      <c r="G44" s="52" t="n">
        <v>46239</v>
      </c>
      <c r="H44" s="28" t="s">
        <v>554</v>
      </c>
    </row>
    <row r="45" customFormat="false" ht="28.35" hidden="false" customHeight="false" outlineLevel="0" collapsed="false">
      <c r="A45" s="10" t="s">
        <v>555</v>
      </c>
      <c r="B45" s="23" t="n">
        <v>0.25</v>
      </c>
      <c r="C45" s="34" t="s">
        <v>501</v>
      </c>
      <c r="D45" s="28" t="s">
        <v>556</v>
      </c>
      <c r="E45" s="34" t="s">
        <v>446</v>
      </c>
      <c r="F45" s="52" t="n">
        <v>46239</v>
      </c>
      <c r="G45" s="52" t="n">
        <v>46239</v>
      </c>
      <c r="H45" s="28" t="s">
        <v>557</v>
      </c>
    </row>
    <row r="46" customFormat="false" ht="28.35" hidden="false" customHeight="false" outlineLevel="0" collapsed="false">
      <c r="A46" s="10" t="s">
        <v>558</v>
      </c>
      <c r="B46" s="17" t="n">
        <v>90</v>
      </c>
      <c r="C46" s="34" t="s">
        <v>455</v>
      </c>
      <c r="D46" s="28" t="s">
        <v>559</v>
      </c>
      <c r="E46" s="34" t="s">
        <v>446</v>
      </c>
      <c r="F46" s="52" t="n">
        <v>46239</v>
      </c>
      <c r="G46" s="52" t="n">
        <v>46239</v>
      </c>
      <c r="H46" s="28" t="s">
        <v>560</v>
      </c>
    </row>
    <row r="47" customFormat="false" ht="15" hidden="false" customHeight="false" outlineLevel="0" collapsed="false">
      <c r="A47" s="10" t="s">
        <v>561</v>
      </c>
      <c r="B47" s="23" t="n">
        <v>0.9</v>
      </c>
      <c r="C47" s="34" t="s">
        <v>501</v>
      </c>
      <c r="D47" s="28" t="s">
        <v>562</v>
      </c>
      <c r="E47" s="34" t="s">
        <v>446</v>
      </c>
      <c r="F47" s="52" t="n">
        <v>46239</v>
      </c>
      <c r="G47" s="52" t="n">
        <v>46239</v>
      </c>
      <c r="H47" s="28" t="s">
        <v>563</v>
      </c>
    </row>
  </sheetData>
  <sheetProtection sheet="true" password="cc3d" objects="true" scenarios="true" deleteColumns="false" deleteRows="false"/>
  <mergeCells count="2">
    <mergeCell ref="A1:AN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25.5" hidden="false" customHeight="true" outlineLevel="0" collapsed="false">
      <c r="A1" s="1" t="s">
        <v>564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9" t="s">
        <v>565</v>
      </c>
    </row>
    <row r="5" customFormat="false" ht="15" hidden="false" customHeight="false" outlineLevel="0" collapsed="false">
      <c r="A5" s="10" t="s">
        <v>566</v>
      </c>
    </row>
    <row r="6" customFormat="false" ht="25.5" hidden="false" customHeight="true" outlineLevel="0" collapsed="false">
      <c r="A6" s="11" t="s">
        <v>567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</row>
    <row r="7" customFormat="false" ht="15" hidden="false" customHeight="false" outlineLevel="0" collapsed="false">
      <c r="A7" s="10" t="s">
        <v>568</v>
      </c>
    </row>
    <row r="8" customFormat="false" ht="25.5" hidden="false" customHeight="true" outlineLevel="0" collapsed="false">
      <c r="A8" s="11" t="s">
        <v>569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</row>
    <row r="9" customFormat="false" ht="15" hidden="false" customHeight="false" outlineLevel="0" collapsed="false">
      <c r="A9" s="10" t="s">
        <v>570</v>
      </c>
    </row>
    <row r="10" customFormat="false" ht="25.5" hidden="false" customHeight="true" outlineLevel="0" collapsed="false">
      <c r="A10" s="11" t="s">
        <v>571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</row>
    <row r="11" customFormat="false" ht="15" hidden="false" customHeight="false" outlineLevel="0" collapsed="false">
      <c r="A11" s="10" t="s">
        <v>572</v>
      </c>
    </row>
    <row r="12" customFormat="false" ht="25.5" hidden="false" customHeight="true" outlineLevel="0" collapsed="false">
      <c r="A12" s="11" t="s">
        <v>573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</row>
    <row r="13" customFormat="false" ht="15" hidden="false" customHeight="false" outlineLevel="0" collapsed="false">
      <c r="A13" s="10" t="s">
        <v>574</v>
      </c>
    </row>
    <row r="14" customFormat="false" ht="25.5" hidden="false" customHeight="true" outlineLevel="0" collapsed="false">
      <c r="A14" s="11" t="s">
        <v>575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</row>
    <row r="15" customFormat="false" ht="15" hidden="false" customHeight="false" outlineLevel="0" collapsed="false">
      <c r="A15" s="10" t="s">
        <v>576</v>
      </c>
    </row>
    <row r="16" customFormat="false" ht="25.5" hidden="false" customHeight="true" outlineLevel="0" collapsed="false">
      <c r="A16" s="11" t="s">
        <v>577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customFormat="false" ht="15" hidden="false" customHeight="false" outlineLevel="0" collapsed="false">
      <c r="A17" s="10" t="s">
        <v>578</v>
      </c>
    </row>
    <row r="18" customFormat="false" ht="25.5" hidden="false" customHeight="true" outlineLevel="0" collapsed="false">
      <c r="A18" s="11" t="s">
        <v>579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customFormat="false" ht="15" hidden="false" customHeight="false" outlineLevel="0" collapsed="false">
      <c r="A19" s="10" t="s">
        <v>580</v>
      </c>
    </row>
    <row r="20" customFormat="false" ht="25.5" hidden="false" customHeight="true" outlineLevel="0" collapsed="false">
      <c r="A20" s="11" t="s">
        <v>581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customFormat="false" ht="15" hidden="false" customHeight="false" outlineLevel="0" collapsed="false">
      <c r="A21" s="10" t="s">
        <v>582</v>
      </c>
    </row>
    <row r="22" customFormat="false" ht="25.5" hidden="false" customHeight="true" outlineLevel="0" collapsed="false">
      <c r="A22" s="11" t="s">
        <v>583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customFormat="false" ht="15" hidden="false" customHeight="false" outlineLevel="0" collapsed="false">
      <c r="A23" s="10" t="s">
        <v>584</v>
      </c>
    </row>
    <row r="24" customFormat="false" ht="25.5" hidden="false" customHeight="true" outlineLevel="0" collapsed="false">
      <c r="A24" s="11" t="s">
        <v>585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</row>
  </sheetData>
  <sheetProtection sheet="true" password="cc3d" objects="true" scenarios="true" deleteColumns="false" deleteRows="false"/>
  <mergeCells count="11">
    <mergeCell ref="A1:AN1"/>
    <mergeCell ref="A6:BH6"/>
    <mergeCell ref="A8:BH8"/>
    <mergeCell ref="A10:BH10"/>
    <mergeCell ref="A12:BH12"/>
    <mergeCell ref="A14:BH14"/>
    <mergeCell ref="A16:BH16"/>
    <mergeCell ref="A18:BH18"/>
    <mergeCell ref="A20:BH20"/>
    <mergeCell ref="A22:BH22"/>
    <mergeCell ref="A24:B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2026-08-10T09:49:11Z</dcterms:created>
  <dc:creator>openpyxl</dc:creator>
  <dc:description/>
  <dc:language>tr-TR</dc:language>
  <cp:lastModifiedBy/>
  <dcterms:modified xsi:type="dcterms:W3CDTF">2026-08-10T09:49:12Z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