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comments6.xml" ContentType="application/vnd.openxmlformats-officedocument.spreadsheetml.comments+xml"/>
  <Override PartName="/xl/drawings/vmlDrawing2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6.vml" ContentType="application/vnd.openxmlformats-officedocument.vmlDrawing"/>
  <Override PartName="/xl/comments5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16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8.xml" ContentType="application/vnd.ms-office.chartcolor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style10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style5.xml" ContentType="application/vnd.ms-office.chartstyle+xml"/>
  <Override PartName="/xl/charts/colors5.xml" ContentType="application/vnd.ms-office.chartcolor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hart6.xml" ContentType="application/vnd.openxmlformats-officedocument.drawingml.chart+xml"/>
  <Override PartName="/xl/charts/style8.xml" ContentType="application/vnd.ms-office.chartstyle+xml"/>
  <Override PartName="/xl/charts/chart9.xml" ContentType="application/vnd.openxmlformats-officedocument.drawingml.chart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style6.xml" ContentType="application/vnd.ms-office.chartstyle+xml"/>
  <Override PartName="/xl/charts/style4.xml" ContentType="application/vnd.ms-office.chartstyle+xml"/>
  <Override PartName="/xl/charts/chart10.xml" ContentType="application/vnd.openxmlformats-officedocument.drawingml.chart+xml"/>
  <Override PartName="/xl/charts/colors9.xml" ContentType="application/vnd.ms-office.chartcolorstyle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NAKIT_GIRISLERI" sheetId="3" state="visible" r:id="rId5"/>
    <sheet name="NAKIT_CIKISLARI" sheetId="4" state="visible" r:id="rId6"/>
    <sheet name="HAFTALIK_PLAN" sheetId="5" state="visible" r:id="rId7"/>
    <sheet name="MOTOR" sheetId="6" state="visible" r:id="rId8"/>
    <sheet name="KONTROLLER" sheetId="7" state="visible" r:id="rId9"/>
    <sheet name="KARAR_MOTORU" sheetId="8" state="visible" r:id="rId10"/>
    <sheet name="PANO" sheetId="9" state="visible" r:id="rId11"/>
    <sheet name="SENARYO_DUYARLILIK" sheetId="10" state="visible" r:id="rId12"/>
    <sheet name="RAPOR" sheetId="11" state="visible" r:id="rId13"/>
    <sheet name="ORNEK_VERI" sheetId="12" state="visible" r:id="rId14"/>
    <sheet name="TESTLER" sheetId="13" state="visible" r:id="rId15"/>
    <sheet name="DEGISIKLIK_KAYDI" sheetId="14" state="visible" r:id="rId16"/>
    <sheet name="LISTELER" sheetId="15" state="visible" r:id="rId17"/>
    <sheet name="AYARLAR" sheetId="16" state="visible" r:id="rId18"/>
    <sheet name="KILAVUZ" sheetId="17" state="visible" r:id="rId19"/>
  </sheets>
  <definedNames>
    <definedName function="false" hidden="false" localSheetId="8" name="_xlnm.Print_Area" vbProcedure="false">PANO!$A$1:$Z$40</definedName>
    <definedName function="false" hidden="false" localSheetId="10" name="_xlnm.Print_Area" vbProcedure="false">RAPOR!$A$1:$H$30</definedName>
    <definedName function="false" hidden="false" name="AsgariTampon" vbProcedure="false">AYARLAR!$B$15</definedName>
    <definedName function="false" hidden="false" name="AsiriCikisTutari" vbProcedure="false">AYARLAR!$B$21</definedName>
    <definedName function="false" hidden="false" name="AsiriGirisTutari" vbProcedure="false">AYARLAR!$B$20</definedName>
    <definedName function="false" hidden="false" name="BaslangicBakiye" vbProcedure="false">AYARLAR!$B$14</definedName>
    <definedName function="false" hidden="false" name="DonemSonuBakiye" vbProcedure="false">KARAR_MOTORU!$B$5</definedName>
    <definedName function="false" hidden="false" name="DosyaSurumu" vbProcedure="false">AYARLAR!$B$8</definedName>
    <definedName function="false" hidden="false" name="DuyarliOran" vbProcedure="false">AYARLAR!$B$22</definedName>
    <definedName function="false" hidden="false" name="FirmaUnvan" vbProcedure="false">AYARLAR!$B$5</definedName>
    <definedName function="false" hidden="false" name="HaftaUzunlugu" vbProcedure="false">AYARLAR!$B$16</definedName>
    <definedName function="false" hidden="false" name="KararBildirimi" vbProcedure="false">KARAR_MOTORU!$B$8</definedName>
    <definedName function="false" hidden="false" name="KararGerekcesi" vbProcedure="false">KARAR_MOTORU!$B$10</definedName>
    <definedName function="false" hidden="false" name="KritikOdemePayiEsigi" vbProcedure="false">AYARLAR!$B$27</definedName>
    <definedName function="false" hidden="false" name="KirlikMaliyetOrani" vbProcedure="false">AYARLAR!$B$24</definedName>
    <definedName function="false" hidden="false" name="LisansKodu" vbProcedure="false">AYARLAR!$B$9</definedName>
    <definedName function="false" hidden="false" name="ListeGuvence" vbProcedure="false">LISTELER!$A$6:$A$8</definedName>
    <definedName function="false" hidden="false" name="ListeKalem" vbProcedure="false">LISTELER!$E$6:$E$13</definedName>
    <definedName function="false" hidden="false" name="ListeKaynak" vbProcedure="false">LISTELER!$C$6:$C$10</definedName>
    <definedName function="false" hidden="false" name="ListeOncelik" vbProcedure="false">LISTELER!$G$6:$G$9</definedName>
    <definedName function="false" hidden="false" name="MaksTarihUfku" vbProcedure="false">AYARLAR!$B$28</definedName>
    <definedName function="false" hidden="false" name="modulI1BakiyeTahmini" vbProcedure="false">MOTOR!$B$51</definedName>
    <definedName function="false" hidden="false" name="modulI1BakiyeTahminiYorum" vbProcedure="false">MOTOR!$C$51</definedName>
    <definedName function="false" hidden="false" name="modulI2NetAkisP90" vbProcedure="false">MOTOR!$B$52</definedName>
    <definedName function="false" hidden="false" name="modulI2NetAkisP90Yorum" vbProcedure="false">MOTOR!$C$52</definedName>
    <definedName function="false" hidden="false" name="modulI7NakitAcigi" vbProcedure="false">MOTOR!$B$53</definedName>
    <definedName function="false" hidden="false" name="modulI7NakitAcigiYorum" vbProcedure="false">MOTOR!$C$53</definedName>
    <definedName function="false" hidden="false" name="modulO1CikisAnomalisi" vbProcedure="false">MOTOR!$B$44</definedName>
    <definedName function="false" hidden="false" name="modulO1CikisAnomalisiYorum" vbProcedure="false">MOTOR!$C$44</definedName>
    <definedName function="false" hidden="false" name="modulO2TornadoZirve" vbProcedure="false">MOTOR!$B$45</definedName>
    <definedName function="false" hidden="false" name="modulO2TornadoZirveYorum" vbProcedure="false">MOTOR!$C$45</definedName>
    <definedName function="false" hidden="false" name="modulO3SenaryoFark" vbProcedure="false">MOTOR!$B$46</definedName>
    <definedName function="false" hidden="false" name="modulO3SenaryoFarkYorum" vbProcedure="false">MOTOR!$C$46</definedName>
    <definedName function="false" hidden="false" name="modulO4NakitDonusum" vbProcedure="false">MOTOR!$B$47</definedName>
    <definedName function="false" hidden="false" name="modulO4NakitDonusumYorum" vbProcedure="false">MOTOR!$C$47</definedName>
    <definedName function="false" hidden="false" name="modulO5KirlikMaliyeti" vbProcedure="false">MOTOR!$B$48</definedName>
    <definedName function="false" hidden="false" name="modulO5KirlikMaliyetiYorum" vbProcedure="false">MOTOR!$C$48</definedName>
    <definedName function="false" hidden="false" name="modulO6KalemHhi" vbProcedure="false">MOTOR!$B$49</definedName>
    <definedName function="false" hidden="false" name="modulO6KalemHhiYorum" vbProcedure="false">MOTOR!$C$49</definedName>
    <definedName function="false" hidden="false" name="modulO8KaliteSkor" vbProcedure="false">MOTOR!$B$50</definedName>
    <definedName function="false" hidden="false" name="modulO8KaliteSkorYorum" vbProcedure="false">MOTOR!$C$50</definedName>
    <definedName function="false" hidden="false" name="modulT1KirlikHafta" vbProcedure="false">MOTOR!$B$38</definedName>
    <definedName function="false" hidden="false" name="modulT1KirlikHaftaYorum" vbProcedure="false">MOTOR!$C$38</definedName>
    <definedName function="false" hidden="false" name="modulT2NetAkisEgimi" vbProcedure="false">MOTOR!$B$39</definedName>
    <definedName function="false" hidden="false" name="modulT2NetAkisEgimiYorum" vbProcedure="false">MOTOR!$C$39</definedName>
    <definedName function="false" hidden="false" name="modulT3CikisPareto" vbProcedure="false">MOTOR!$B$40</definedName>
    <definedName function="false" hidden="false" name="modulT3CikisParetoYorum" vbProcedure="false">MOTOR!$C$40</definedName>
    <definedName function="false" hidden="false" name="modulT4DonemFark" vbProcedure="false">MOTOR!$B$41</definedName>
    <definedName function="false" hidden="false" name="modulT4DonemFarkYorum" vbProcedure="false">MOTOR!$C$41</definedName>
    <definedName function="false" hidden="false" name="modulT5MutabakatFark" vbProcedure="false">MOTOR!$B$42</definedName>
    <definedName function="false" hidden="false" name="modulT5MutabakatFarkYorum" vbProcedure="false">MOTOR!$C$42</definedName>
    <definedName function="false" hidden="false" name="modulT6KritikOdemePayi" vbProcedure="false">MOTOR!$B$43</definedName>
    <definedName function="false" hidden="false" name="modulT6KritikOdemePayiYorum" vbProcedure="false">MOTOR!$C$43</definedName>
    <definedName function="false" hidden="false" name="MinimumVeriSayisi" vbProcedure="false">AYARLAR!$B$23</definedName>
    <definedName function="false" hidden="false" name="NakitDonusumEsigi" vbProcedure="false">AYARLAR!$B$30</definedName>
    <definedName function="false" hidden="false" name="OnerilenOnlem" vbProcedure="false">KARAR_MOTORU!$B$11</definedName>
    <definedName function="false" hidden="false" name="P90Yuzdelik" vbProcedure="false">AYARLAR!$B$32</definedName>
    <definedName function="false" hidden="false" name="ParaBirimi" vbProcedure="false">AYARLAR!$B$10</definedName>
    <definedName function="false" hidden="false" name="ParaBitisHaftasi" vbProcedure="false">KARAR_MOTORU!$B$6</definedName>
    <definedName function="false" hidden="false" name="PlanHaftaSayisi" vbProcedure="false">AYARLAR!$B$26</definedName>
    <definedName function="false" hidden="false" name="RaporHazirlayan" vbProcedure="false">AYARLAR!$B$7</definedName>
    <definedName function="false" hidden="false" name="RaporTarihi" vbProcedure="false">AYARLAR!$B$6</definedName>
    <definedName function="false" hidden="false" name="RiskSeviyesi" vbProcedure="false">KARAR_MOTORU!$B$9</definedName>
    <definedName function="false" hidden="false" name="SenBelirsizlikEsigi" vbProcedure="false">AYARLAR!$B$29</definedName>
    <definedName function="false" hidden="false" name="TahminUfku" vbProcedure="false">AYARLAR!$B$25</definedName>
    <definedName function="false" hidden="false" name="UyariPuanKesintisi" vbProcedure="false">AYARLAR!$B$19</definedName>
    <definedName function="false" hidden="false" name="VeriKaliteOrta" vbProcedure="false">AYARLAR!$B$18</definedName>
    <definedName function="false" hidden="false" name="VeriKaliteSkor" vbProcedure="false">KONTROLLER!$B$6</definedName>
    <definedName function="false" hidden="false" name="VeriKaliteYuksek" vbProcedure="false">AYARLAR!$B$17</definedName>
    <definedName function="false" hidden="false" name="YogunlasmaEsigi" vbProcedure="false">AYARLAR!$B$31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169</xdr:rowOff>
              </xdr:from>
              <xdr:to>
                <xdr:col>3</xdr:col>
                <xdr:colOff>113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2</xdr:row>
                <xdr:rowOff>109</xdr:rowOff>
              </xdr:from>
              <xdr:to>
                <xdr:col>3</xdr:col>
                <xdr:colOff>68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109</xdr:rowOff>
              </xdr:from>
              <xdr:to>
                <xdr:col>3</xdr:col>
                <xdr:colOff>76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5" authorId="0">
      <text>
        <r>
          <rPr>
            <sz val="10"/>
            <rFont val="Arial"/>
            <family val="2"/>
          </rPr>
          <t xml:space="preserve">Tanım: Giriş Kayıt Sayısı | Neden önemli: Karar motoru ve modüllerin temel girdisi | Doğru giriş: Formül | Örnek: - | Yanlışsa: - | Not: NAKIT_GIRISLERI tablosundaki dolu kayıt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Çıkış Kayıt Sayısı | Neden önemli: Karar motoru ve modüllerin temel girdisi | Doğru giriş: Formül | Örnek: - | Yanlışsa: - | Not: NAKIT_CIKISLARI tablosundaki dolu kayıt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Toplam Beklenen Giriş | Neden önemli: Karar motoru ve modüllerin temel girdisi | Doğru giriş: Formül | Örnek: - | Yanlışsa: - | Not: 13 haftalık beklenen toplam tahsilat.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Toplam Planlanan Çıkış | Neden önemli: Karar motoru ve modüllerin temel girdisi | Doğru giriş: Formül | Örnek: - | Yanlışsa: - | Not: 13 haftalık planlanan toplam ödeme.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Net Nakit Akışı | Neden önemli: Karar motoru ve modüllerin temel girdisi | Doğru giriş: Formül | Örnek: - | Yanlışsa: - | Not: Toplam giriş eksi toplam çıkış.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Dönem Sonu Bakiye (13. Hafta) | Neden önemli: Karar motoru ve modüllerin temel girdisi | Doğru giriş: Formül | Örnek: - | Yanlışsa: - | Not: 13 haftanın sonundaki kapanış bakiyesi.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Minimum Hafta Bakiyesi | Neden önemli: Karar motoru ve modüllerin temel girdisi | Doğru giriş: Formül | Örnek: - | Yanlışsa: - | Not: 13 haftanın en düşük dönem sonu bakiyesi.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Maksimum Hafta Bakiyesi | Neden önemli: Karar motoru ve modüllerin temel girdisi | Doğru giriş: Formül | Örnek: - | Yanlışsa: - | Not: 13 haftanın en yüksek dönem sonu bakiyesi.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Ortalama Haftalık Net Akış | Neden önemli: Karar motoru ve modüllerin temel girdisi | Doğru giriş: Formül | Örnek: - | Yanlışsa: - | Not: Haftalık net akışların ortalaması.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Net Akış Değişkenliği | Neden önemli: Karar motoru ve modüllerin temel girdisi | Doğru giriş: Formül | Örnek: - | Yanlışsa: - | Not: Haftalık net akışın standart sapması (oynaklık).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Kıtlık (Negatif Bakiye) Haftası | Neden önemli: Karar motoru ve modüllerin temel girdisi | Doğru giriş: Formül | Örnek: - | Yanlışsa: - | Not: Dönem sonu bakiyesi negatife düşen hafta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Tampon Altı Hafta Sayısı | Neden önemli: Karar motoru ve modüllerin temel girdisi | Doğru giriş: Formül | Örnek: - | Yanlışsa: - | Not: Bakiyesi asgari tamponun altına inen hafta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En Yüksek Çıkış Tutarı | Neden önemli: Karar motoru ve modüllerin temel girdisi | Doğru giriş: Formül | Örnek: - | Yanlışsa: - | Not: Tek haftadaki en yüksek planlanan ödeme.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En Yüksek Çıkış Haftası | Neden önemli: Karar motoru ve modüllerin temel girdisi | Doğru giriş: Formül | Örnek: - | Yanlışsa: - | Not: En yüksek ödemenin gerçekleştiği hafta.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Kritik Ödemeler Toplamı | Neden önemli: Karar motoru ve modüllerin temel girdisi | Doğru giriş: Formül | Örnek: - | Yanlışsa: - | Not: Önceliği KRİTİK olan ödemelerin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Ertelenebilir Ödemeler Toplamı | Neden önemli: Karar motoru ve modüllerin temel girdisi | Doğru giriş: Formül | Örnek: - | Yanlışsa: - | Not: Ertelenebilir ödemelerin toplamı (önlem stoğu).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KESİN Giriş Toplamı | Neden önemli: Karar motoru ve modüllerin temel girdisi | Doğru giriş: Formül | Örnek: - | Yanlışsa: - | Not: Güvencesi KESİN olan tahsilatların toplamı.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BELİRSİZ Giriş Toplamı | Neden önemli: Karar motoru ve modüllerin temel girdisi | Doğru giriş: Formül | Örnek: - | Yanlışsa: - | Not: Güvencesi BELİRSİZ olan tahsilatların toplamı (risk stoğu).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Giriş/Çıkış Karşılama Oranı | Neden önemli: Karar motoru ve modüllerin temel girdisi | Doğru giriş: Formül | Örnek: - | Yanlışsa: - | Not: Toplam girişin toplam çıkışı karşılama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İlk 6 Hafta Net Akış | Neden önemli: Karar motoru ve modüllerin temel girdisi | Doğru giriş: Formül | Örnek: - | Yanlışsa: - | Not: 1-6. haftaların kümülatif net akışı.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Son 7 Hafta Net Akış | Neden önemli: Karar motoru ve modüllerin temel girdisi | Doğru giriş: Formül | Örnek: - | Yanlışsa: - | Not: 7-13. haftaların kümülatif net akışı.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Eksik Zorunlu Alan | Neden önemli: Güven düzeyini belirler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Sıfır/Negatif Tutar | Neden önemli: Güven düzeyini belirler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Aşırı Tutar Uyarısı | Neden önemli: Güven düzeyini belirler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Dolu Giriş Kaydı | Neden önemli: Güven düzeyini belirler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Dolu Çıkış Kaydı | Neden önemli: Güven düzeyini belirler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Mutabakat Farkı | Neden önemli: Güven düzeyini belirler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Veri Kalite Skoru | Neden önemli: Güven düzeyini belirler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Modül T1: Kıtlık Hafta Sayısı | Neden önemli: Analitik derinlik katmanı | Doğru giriş: Formül | Örnek: - | Yanlışsa: - | Not: Vade yaşlandırması: negatif bakiye hafta sayısı.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Modül T2: Net Akış Eğimi | Neden önemli: Analitik derinlik katmanı | Doğru giriş: Formül | Örnek: - | Yanlışsa: - | Not: Haftalık net akışın haftaya göre eğimi (TL/hafta).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Modül T3: Çıkışta Pareto Payı | Neden önemli: Analitik derinlik katmanı | Doğru giriş: Formül | Örnek: - | Yanlışsa: - | Not: En yüksek tek ödemenin toplam çıkış içindeki payı.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Modül T4: Dönem Karşılaştırma | Neden önemli: Analitik derinlik katmanı | Doğru giriş: Formül | Örnek: - | Yanlışsa: - | Not: Son 7 hafta ile ilk 6 haftanın net akış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Modül T5: Mutabakat Farkı | Neden önemli: Analitik derinlik katmanı | Doğru giriş: Formül | Örnek: - | Yanlışsa: - | Not: Giriş-çıkış-net akış dengesi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Modül T6: Kritik Ödeme Payı | Neden önemli: Analitik derinlik katmanı | Doğru giriş: Formül | Örnek: - | Yanlışsa: - | Not: Kritik ödemelerin toplam çıkış içindeki payı.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Modül O1: Çıkış Anomalisi | Neden önemli: Analitik derinlik katmanı | Doğru giriş: Formül | Örnek: - | Yanlışsa: - | Not: En yüksek çıkışın ortalama haftalık çıkışa oranı.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Modül O2: Tornado Zirve Etki | Neden önemli: Analitik derinlik katmanı | Doğru giriş: Formül | Örnek: - | Yanlışsa: - | Not: Duyarlılık değişkenlerinin en yüksek bakiye etkisi.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Modül O3: Senaryo Farkı | Neden önemli: Analitik derinlik katmanı | Doğru giriş: Formül | Örnek: - | Yanlışsa: - | Not: İyimser ile kötümser senaryo arası bakiye farkı.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Modül O4: Nakit Dönüşüm Oranı | Neden önemli: Analitik derinlik katmanı | Doğru giriş: Formül | Örnek: - | Yanlışsa: - | Not: Net akışın toplam girişe oranı (nakitte kalan pay).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Modül O5: Kıtlık Maliyeti | Neden önemli: Analitik derinlik katmanı | Doğru giriş: Formül | Örnek: - | Yanlışsa: - | Not: Negatif bakiyenin tahmini haftalık finansman maliyeti.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Modül O6: Kalem Yoğunlaşma (HHI) | Neden önemli: Analitik derinlik katmanı | Doğru giriş: Formül | Örnek: - | Yanlışsa: - | Not: Gider kalemlerinin tek kalemde toplanma endeksi.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Modül O8: Veri Kalite Skoru | Neden önemli: Analitik derinlik katmanı | Doğru giriş: Formül | Örnek: - | Yanlışsa: - | Not: Giriş kalitesinden türeyen canlı skor.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Modül I1: 14. Hafta Bakiye Tahmini | Neden önemli: Analitik derinlik katmanı | Doğru giriş: Formül | Örnek: - | Yanlışsa: - | Not: Eğilimden 14. hafta sonu bakiye tahmini.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Modül I2: Net Akış P90 | Neden önemli: Analitik derinlik katmanı | Doğru giriş: Formül | Örnek: - | Yanlışsa: - | Not: Haftalık net akışın P90 değeri (kötü senaryo bant).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Modül I7: Nakit Açığı (Finansman İhtiyacı) | Neden önemli: Analitik derinlik katmanı | Doğru giriş: Formül | Örnek: - | Yanlışsa: - | Not: Minimum bakiyenin negatif kısmı = dış finansman ihtiyacı.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T1 Kıtlık Hafta Sayısı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T2 Net Akış Eğimi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T3 Çıkışta Pareto Payı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T4 Dönem Karşılaştırma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T5 Mutabakat Farkı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T6 Kritik Ödeme Payı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O1 Çıkış Anomalisi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O2 Tornado Zirve Etki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O3 Senaryo Farkı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O4 Nakit Dönüşüm Oranı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O5 Kıtlık Maliyeti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O6 Kalem Yoğunlaşma (HHI)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O8 Veri Kalite Skoru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I1 14. Hafta Bakiye Tahmini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I2 Net Akış P90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I7 Nakit Açığı (Finansman) makine yorumu | Neden önemli: D03-D05 modül geçerlilik şartı | Doğru giriş: Formül | Örnek: - | Yanlışsa: 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73</xdr:colOff>
                <xdr:row>8</xdr:row>
                <xdr:rowOff>2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12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12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12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157</xdr:colOff>
                <xdr:row>6</xdr:row>
                <xdr:rowOff>12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Başlangıç Nakit Bakiyesi | Neden önemli: Karar motoru ve modüller bu değerden beslenir | Doğru giriş: Sayısal değer | Örnek: 500000 | Yanlışsa: karar ve pano yanlış üretilir | Kaynak: Kullanıcı beyanı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Asgari Nakit Tamponu | Neden önemli: Karar motoru ve modüller bu değerden beslenir | Doğru giriş: Sayısal değer | Örnek: 50000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Hafta Uzunluğu (gün) | Neden önemli: Karar motoru ve modüller bu değerden beslenir | Doğru giriş: Sayısal değer | Örnek: 7 | Yanlışsa: karar ve pano yanlış üretilir | Kaynak: Tasarım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Veri Kalite Üst Eşiği | Neden önemli: Karar motoru ve modüller bu değerden beslenir | Doğru giriş: Sayısal değer | Örnek: 80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Veri Kalite Orta Eşiği | Neden önemli: Karar motoru ve modüller bu değerden beslenir | Doğru giriş: Sayısal değer | Örnek: 60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Uyarı Puan Kesintisi | Neden önemli: Karar motoru ve modüller bu değerden beslenir | Doğru giriş: Sayısal değer | Örnek: 5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Aşırı Giriş Tutarı | Neden önemli: Karar motoru ve modüller bu değerden beslenir | Doğru giriş: Sayısal değer | Örnek: 500000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Aşırı Çıkış Tutarı | Neden önemli: Karar motoru ve modüller bu değerden beslenir | Doğru giriş: Sayısal değer | Örnek: 500000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Duyarlılık Değişim Oranı | Neden önemli: Karar motoru ve modüller bu değerden beslenir | Doğru giriş: Sayısal değer | Örnek: 0.1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Minimum Veri Sayısı | Neden önemli: Karar motoru ve modüller bu değerden beslenir | Doğru giriş: Sayısal değer | Örnek: 6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Kıtlık Günlük Maliyet Oranı | Neden önemli: Karar motoru ve modüller bu değerden beslenir | Doğru giriş: Sayısal değer | Örnek: 0.002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Tahmin Hafta Ufku | Neden önemli: Karar motoru ve modüller bu değerden beslenir | Doğru giriş: Sayısal değer | Örnek: 3 | Yanlışsa: karar ve pano yanlış üretilir | Kaynak: Tasarım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Plan Hafta Sayısı | Neden önemli: Karar motoru ve modüller bu değerden beslenir | Doğru giriş: Sayısal değer | Örnek: 13 | Yanlışsa: karar ve pano yanlış üretilir | Kaynak: Tasarım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Kritik Ödeme Payı Eşiği | Neden önemli: Karar motoru ve modüller bu değerden beslenir | Doğru giriş: Sayısal değer | Örnek: 0.3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Maksimum Tarih Ufku | Neden önemli: Karar motoru ve modüller bu değerden beslenir | Doğru giriş: Sayısal değer | Örnek: 3000 | Yanlışsa: karar ve pano yanlış üretilir | Kaynak: Tasarım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8</xdr:row>
                <xdr:rowOff>2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Senaryo Belirsizlik Eşiği | Neden önemli: Karar motoru ve modüller bu değerden beslenir | Doğru giriş: Sayısal değer | Örnek: 0.2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177</xdr:colOff>
                <xdr:row>8</xdr:row>
                <xdr:rowOff>20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Nakit Dönüşüm Eşiği | Neden önemli: Karar motoru ve modüller bu değerden beslenir | Doğru giriş: Sayısal değer | Örnek: 0.1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1</xdr:col>
                <xdr:colOff>177</xdr:colOff>
                <xdr:row>9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Yoğunlaşma Eşiği | Neden önemli: Karar motoru ve modüller bu değerden beslenir | Doğru giriş: Sayısal değer | Örnek: 0.5 | Yanlışsa: karar ve pano yanlış üretilir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21</xdr:rowOff>
              </xdr:from>
              <xdr:to>
                <xdr:col>1</xdr:col>
                <xdr:colOff>177</xdr:colOff>
                <xdr:row>10</xdr:row>
                <xdr:rowOff>15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P90 Yüzdelik Dilimi | Neden önemli: Karar motoru ve modüller bu değerden beslenir | Doğru giriş: Sayısal değer | Örnek: 0.9 | Yanlışsa: karar ve pano yanlış üretilir | Kaynak: Tasarım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13</xdr:rowOff>
              </xdr:from>
              <xdr:to>
                <xdr:col>1</xdr:col>
                <xdr:colOff>177</xdr:colOff>
                <xdr:row>11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<sst xmlns="http://schemas.openxmlformats.org/spreadsheetml/2006/main" count="582" uniqueCount="311">
  <si>
    <t xml:space="preserve">KAPAK</t>
  </si>
  <si>
    <t xml:space="preserve">13 HAFTALIK NAKİT AKIŞI VE ÖDEME PLANLAMA SİSTEMİ</t>
  </si>
  <si>
    <t xml:space="preserve">Paranın hangi hafta biteceğini önceden görün; hangi önlemi alacağınızı makine önersin.</t>
  </si>
  <si>
    <t xml:space="preserve">BU SİSTEM NEYİ ÇÖZER?</t>
  </si>
  <si>
    <t xml:space="preserve">• 13 haftalık nakit girişi ve çıkışı tek tabloda toplanır</t>
  </si>
  <si>
    <t xml:space="preserve">• Hafta hafta dönem sonu bakiye hesaplanır; para bitiş haftası otomatik işaretlenir</t>
  </si>
  <si>
    <t xml:space="preserve">• Kıtlık haftasında alınacak önlem (gider erteleme, tahsilat hızlandırma, kredi) makine önerir</t>
  </si>
  <si>
    <t xml:space="preserve">• İyimser/kötümser senaryo ve duyarlılık analizi ile planın güven aralığı görünür</t>
  </si>
  <si>
    <t xml:space="preserve">KİMLER İÇİN?</t>
  </si>
  <si>
    <t xml:space="preserve">KOBİ sahibi · finans yöneticisi · muhasebe sorumlusu · mali müşavir</t>
  </si>
  <si>
    <t xml:space="preserve">NASIL BAŞLARSINIZ?</t>
  </si>
  <si>
    <t xml:space="preserve">1. AYARLAR sayfasında başlangıç bakiyesini ve eşikleri girin.</t>
  </si>
  <si>
    <t xml:space="preserve">2. NAKIT_GIRISLERI ve NAKIT_CIKISLARI sayfalarına 13 haftalık beklentinizi kaydedin.</t>
  </si>
  <si>
    <t xml:space="preserve">3. PANO sayfasında kararı görün, RAPOR sayfasından yönetici özetini yazdırın.</t>
  </si>
  <si>
    <t xml:space="preserve">ExcelArşiv — Nakit Yönetimi Ürün Ailesi | Sürüm 1.0 | Lisans: Tek kullanıcılı, ticari kullanıma açık.</t>
  </si>
  <si>
    <t xml:space="preserve">HIZLI BASLANGIC — 13 HAFTALIK NAKİT AKIŞI VE ÖDEME PLANLAMA SİSTEMİ</t>
  </si>
  <si>
    <t xml:space="preserve">3 ADIMDA SİSTEM</t>
  </si>
  <si>
    <t xml:space="preserve">ADIM 1 — AYARLAR</t>
  </si>
  <si>
    <t xml:space="preserve">Firma unvanı, rapor tarihi, başlangıç nakit bakiyesi ve asgari tampon eşiğini girin. Tüm eşikler tek yerden yönetilir; formüllere sabit sayı gömülmez.</t>
  </si>
  <si>
    <t xml:space="preserve">ADIM 2 — GİRİŞ VE ÇIKIŞ PLANI</t>
  </si>
  <si>
    <t xml:space="preserve">NAKIT_GIRISLERI sayfasına 13 haftalık beklenen tahsilatları, NAKIT_CIKISLARI sayfasına ödenmesi planlanan giderleri girin. Her kayıtta hafta numarası, tutar, kaynak/kalem, güvence ve öncelik bilgisi girilir.</t>
  </si>
  <si>
    <t xml:space="preserve">ADIM 3 — KARAR VE RAPOR</t>
  </si>
  <si>
    <t xml:space="preserve">HAFTALIK_PLAN hafta hafta bakiyeyi hesaplar; KONTROLLER veri kalitesini, KARAR_MOTORU para bitiş haftasını ve önlem önerisini üretir; PANO tek ekranda özeti gösterir; RAPOR sayfası PDF çıktısına hazırdır.</t>
  </si>
  <si>
    <t xml:space="preserve">SIK YAPILAN HATALAR</t>
  </si>
  <si>
    <t xml:space="preserve">• Tutarı eksi işaretle girmek: tutarlar daima pozitiftir, yön NAKIT_GIRISLERI / NAKIT_CIKISLARI seçimiyle belirlenir.</t>
  </si>
  <si>
    <t xml:space="preserve">• Güvence kolonunu boş bırakmak: güvence, veri kalite skorunu ve güven aralığını etkiler.</t>
  </si>
  <si>
    <t xml:space="preserve">• Hafta numarası yerine tarih girmek: her kayıt mutlaka 1-13 arası hafta numarası taşımalıdır.</t>
  </si>
  <si>
    <t xml:space="preserve">NAKIT GIRISLERI — 13 HAFTALIK NAKİT AKIŞI VE ÖDEME PLANLAMA SİSTEMİ</t>
  </si>
  <si>
    <t xml:space="preserve">13 HAFTALIK NAKİT GİRİŞ PLANI — beklenen tahsilat, satış ve finansman kaynaklarını girin.</t>
  </si>
  <si>
    <t xml:space="preserve">Hafta Numarası</t>
  </si>
  <si>
    <t xml:space="preserve">Beklenen Tarih</t>
  </si>
  <si>
    <t xml:space="preserve">Güvence</t>
  </si>
  <si>
    <t xml:space="preserve">Kaynak</t>
  </si>
  <si>
    <t xml:space="preserve">Tutar (₺)</t>
  </si>
  <si>
    <t xml:space="preserve">Hesap</t>
  </si>
  <si>
    <t xml:space="preserve">Kontrol</t>
  </si>
  <si>
    <t xml:space="preserve">Açıklama</t>
  </si>
  <si>
    <t xml:space="preserve">KESİN</t>
  </si>
  <si>
    <t xml:space="preserve">MÜŞTERİ TAHSİLATI</t>
  </si>
  <si>
    <t xml:space="preserve">Örnek tahsilat kaydı — MÜŞTERİ TAHSİLATI</t>
  </si>
  <si>
    <t xml:space="preserve">BEKLENEN</t>
  </si>
  <si>
    <t xml:space="preserve">SATIŞ</t>
  </si>
  <si>
    <t xml:space="preserve">Örnek tahsilat kaydı — SATIŞ</t>
  </si>
  <si>
    <t xml:space="preserve">BELİRSİZ</t>
  </si>
  <si>
    <t xml:space="preserve">FİNANSMAN</t>
  </si>
  <si>
    <t xml:space="preserve">Örnek tahsilat kaydı — FİNANSMAN</t>
  </si>
  <si>
    <t xml:space="preserve">NAKIT CIKISLARI — 13 HAFTALIK NAKİT AKIŞI VE ÖDEME PLANLAMA SİSTEMİ</t>
  </si>
  <si>
    <t xml:space="preserve">13 HAFTALIK NAKİT ÇIKIŞ PLANI — ödenmesi planlanan giderleri girin.</t>
  </si>
  <si>
    <t xml:space="preserve">Vade Tarihi</t>
  </si>
  <si>
    <t xml:space="preserve">Kalem</t>
  </si>
  <si>
    <t xml:space="preserve">Öncelik</t>
  </si>
  <si>
    <t xml:space="preserve">MAAŞ</t>
  </si>
  <si>
    <t xml:space="preserve">KRİTİK</t>
  </si>
  <si>
    <t xml:space="preserve">Örnek ödeme kaydı — MAAŞ</t>
  </si>
  <si>
    <t xml:space="preserve">KİRA</t>
  </si>
  <si>
    <t xml:space="preserve">YÜKSEK</t>
  </si>
  <si>
    <t xml:space="preserve">Örnek ödeme kaydı — KİRA</t>
  </si>
  <si>
    <t xml:space="preserve">TEDARİKÇİ</t>
  </si>
  <si>
    <t xml:space="preserve">Örnek ödeme kaydı — TEDARİKÇİ</t>
  </si>
  <si>
    <t xml:space="preserve">VERGİ</t>
  </si>
  <si>
    <t xml:space="preserve">Örnek ödeme kaydı — VERGİ</t>
  </si>
  <si>
    <t xml:space="preserve">SGK</t>
  </si>
  <si>
    <t xml:space="preserve">Örnek ödeme kaydı — SGK</t>
  </si>
  <si>
    <t xml:space="preserve">KREDİ TAKSİTİ</t>
  </si>
  <si>
    <t xml:space="preserve">Örnek ödeme kaydı — KREDİ TAKSİTİ</t>
  </si>
  <si>
    <t xml:space="preserve">HAFTALIK PLAN — 13 HAFTALIK NAKİT AKIŞI VE ÖDEME PLANLAMA SİSTEMİ</t>
  </si>
  <si>
    <t xml:space="preserve">HAFTA HAFTA NAKİT AKIŞI — giriş ve çıkış planlarından otomatik toplanır.</t>
  </si>
  <si>
    <t xml:space="preserve">Not: Dönem başı bakiye bir önceki haftanın dönem sonu bakiyesinden devralınır.</t>
  </si>
  <si>
    <t xml:space="preserve">Dönem Başlangıcı</t>
  </si>
  <si>
    <t xml:space="preserve">Dönem Bitişi</t>
  </si>
  <si>
    <t xml:space="preserve">Toplam Giriş</t>
  </si>
  <si>
    <t xml:space="preserve">Toplam Çıkış</t>
  </si>
  <si>
    <t xml:space="preserve">Net Akış</t>
  </si>
  <si>
    <t xml:space="preserve">Dönem Başı Bakiye</t>
  </si>
  <si>
    <t xml:space="preserve">Dönem Sonu Bakiye</t>
  </si>
  <si>
    <t xml:space="preserve">Durum</t>
  </si>
  <si>
    <t xml:space="preserve">Önlem Önerisi</t>
  </si>
  <si>
    <t xml:space="preserve">Durum Dağılımı</t>
  </si>
  <si>
    <t xml:space="preserve">YETERLİ</t>
  </si>
  <si>
    <t xml:space="preserve">RİSK ALTINDA</t>
  </si>
  <si>
    <t xml:space="preserve">PARA BİTİYOR</t>
  </si>
  <si>
    <t xml:space="preserve">MOTOR — 13 HAFTALIK NAKİT AKIŞI VE ÖDEME PLANLAMA SİSTEMİ</t>
  </si>
  <si>
    <t xml:space="preserve">Hesaplama motoru: tüm ara hesaplar ve analitik modüller ad tanımlı hücrelerden beslenir. Değerler giriş tablolarından canlı hesaplanır; sabit sayı formüle gömülmez.</t>
  </si>
  <si>
    <t xml:space="preserve">TEMEL ARA HESAPLAR</t>
  </si>
  <si>
    <t xml:space="preserve">Giriş Kayıt Sayısı</t>
  </si>
  <si>
    <t xml:space="preserve">Çıkış Kayıt Sayısı</t>
  </si>
  <si>
    <t xml:space="preserve">Toplam Beklenen Giriş</t>
  </si>
  <si>
    <t xml:space="preserve">Toplam Planlanan Çıkış</t>
  </si>
  <si>
    <t xml:space="preserve">Net Nakit Akışı</t>
  </si>
  <si>
    <t xml:space="preserve">Dönem Sonu Bakiye (13. Hafta)</t>
  </si>
  <si>
    <t xml:space="preserve">Minimum Hafta Bakiyesi</t>
  </si>
  <si>
    <t xml:space="preserve">Maksimum Hafta Bakiyesi</t>
  </si>
  <si>
    <t xml:space="preserve">Ortalama Haftalık Net Akış</t>
  </si>
  <si>
    <t xml:space="preserve">Net Akış Değişkenliği</t>
  </si>
  <si>
    <t xml:space="preserve">Kıtlık (Negatif Bakiye) Haftası</t>
  </si>
  <si>
    <t xml:space="preserve">Tampon Altı Hafta Sayısı</t>
  </si>
  <si>
    <t xml:space="preserve">En Yüksek Çıkış Tutarı</t>
  </si>
  <si>
    <t xml:space="preserve">En Yüksek Çıkış Haftası</t>
  </si>
  <si>
    <t xml:space="preserve">Kritik Ödemeler Toplamı</t>
  </si>
  <si>
    <t xml:space="preserve">Ertelenebilir Ödemeler Toplamı</t>
  </si>
  <si>
    <t xml:space="preserve">KESİN Giriş Toplamı</t>
  </si>
  <si>
    <t xml:space="preserve">BELİRSİZ Giriş Toplamı</t>
  </si>
  <si>
    <t xml:space="preserve">Giriş/Çıkış Karşılama Oranı</t>
  </si>
  <si>
    <t xml:space="preserve">İlk 6 Hafta Net Akış</t>
  </si>
  <si>
    <t xml:space="preserve">Son 7 Hafta Net Akış</t>
  </si>
  <si>
    <t xml:space="preserve">Eksik Zorunlu Alan</t>
  </si>
  <si>
    <t xml:space="preserve">Sıfır/Negatif Tutar</t>
  </si>
  <si>
    <t xml:space="preserve">Aşırı Tutar Uyarısı</t>
  </si>
  <si>
    <t xml:space="preserve">Dolu Giriş Kaydı</t>
  </si>
  <si>
    <t xml:space="preserve">Dolu Çıkış Kaydı</t>
  </si>
  <si>
    <t xml:space="preserve">Mutabakat Farkı</t>
  </si>
  <si>
    <t xml:space="preserve">Veri Kalite Skoru</t>
  </si>
  <si>
    <t xml:space="preserve">ANALİTİK MODÜL HESAPLARI</t>
  </si>
  <si>
    <t xml:space="preserve">Modül T1: Kıtlık Hafta Sayısı</t>
  </si>
  <si>
    <t xml:space="preserve">Modül T2: Net Akış Eğimi</t>
  </si>
  <si>
    <t xml:space="preserve">Modül T3: Çıkışta Pareto Payı</t>
  </si>
  <si>
    <t xml:space="preserve">Modül T4: Dönem Karşılaştırma</t>
  </si>
  <si>
    <t xml:space="preserve">Modül T5: Mutabakat Farkı</t>
  </si>
  <si>
    <t xml:space="preserve">Modül T6: Kritik Ödeme Payı</t>
  </si>
  <si>
    <t xml:space="preserve">Modül O1: Çıkış Anomalisi</t>
  </si>
  <si>
    <t xml:space="preserve">Modül O2: Tornado Zirve Etki</t>
  </si>
  <si>
    <t xml:space="preserve">Modül O3: Senaryo Farkı</t>
  </si>
  <si>
    <t xml:space="preserve">Modül O4: Nakit Dönüşüm Oranı</t>
  </si>
  <si>
    <t xml:space="preserve">Modül O5: Kıtlık Maliyeti</t>
  </si>
  <si>
    <t xml:space="preserve">Modül O6: Kalem Yoğunlaşma (HHI)</t>
  </si>
  <si>
    <t xml:space="preserve">Modül O8: Veri Kalite Skoru</t>
  </si>
  <si>
    <t xml:space="preserve">Modül I1: 14. Hafta Bakiye Tahmini</t>
  </si>
  <si>
    <t xml:space="preserve">Modül I2: Net Akış P90</t>
  </si>
  <si>
    <t xml:space="preserve">Modül I7: Nakit Açığı (Finansman İhtiyacı)</t>
  </si>
  <si>
    <t xml:space="preserve">Tüm hesaplar AYARLAR parametrelerinden beslenir; veri yokken 0 ve güvenli dönüş yapar.</t>
  </si>
  <si>
    <t xml:space="preserve">KONTROLLER — 13 HAFTALIK NAKİT AKIŞI VE ÖDEME PLANLAMA SİSTEMİ</t>
  </si>
  <si>
    <t xml:space="preserve">VERİ KALİTESİ VE SİSTEM SAĞLIĞI</t>
  </si>
  <si>
    <t xml:space="preserve">Genel Karar</t>
  </si>
  <si>
    <t xml:space="preserve">Kayıt Sayısı (Giriş)</t>
  </si>
  <si>
    <t xml:space="preserve">Kayıt Sayısı (Çıkış)</t>
  </si>
  <si>
    <t xml:space="preserve">Mutabakat Tutuyor</t>
  </si>
  <si>
    <t xml:space="preserve">Not: Mutabakat kontrolü, giriş ve çıkış kayıtlarının kural ihlali sayısını ölçer; her ihlal veri kalite skorundan düşer.</t>
  </si>
  <si>
    <t xml:space="preserve">KARAR MOTORU — 13 HAFTALIK NAKİT AKIŞI VE ÖDEME PLANLAMA SİSTEMİ</t>
  </si>
  <si>
    <t xml:space="preserve">KARAR MOTORU — hangi hafta para bitecek, hangi önlem alınmalı</t>
  </si>
  <si>
    <t xml:space="preserve">Para Bitiş Haftası</t>
  </si>
  <si>
    <t xml:space="preserve">İlk Risk Haftası</t>
  </si>
  <si>
    <t xml:space="preserve">Karar</t>
  </si>
  <si>
    <t xml:space="preserve">Risk Seviyesi</t>
  </si>
  <si>
    <t xml:space="preserve">Karar Gerekçesi</t>
  </si>
  <si>
    <t xml:space="preserve">Önerilen Önlem</t>
  </si>
  <si>
    <t xml:space="preserve">En Kritik Ödemeler</t>
  </si>
  <si>
    <t xml:space="preserve">Ertelenebilir Ödemeler</t>
  </si>
  <si>
    <t xml:space="preserve">Kayıt Sayısı (Giriş+Çıkış)</t>
  </si>
  <si>
    <t xml:space="preserve">Not: Karar, kayıt sayısı, dönem sonu bakiyesi ve tampon eşiğine göre makine tarafından üretilir; gerekçesi 'Karar Gerekçesi' satırında görünür. Tüm eşikler AYARLAR sayfasından yönetilir.</t>
  </si>
  <si>
    <t xml:space="preserve">PANO — 13 HAFTALIK NAKİT AKIŞI VE ÖDEME PLANLAMA SİSTEMİ</t>
  </si>
  <si>
    <t xml:space="preserve">YÖNETİCİ ÖZETİ — tek ekranda karar</t>
  </si>
  <si>
    <t xml:space="preserve">ÖNEMLİ UYARILAR</t>
  </si>
  <si>
    <t xml:space="preserve">Bu sistem tahmin ve planlama aracıdır; kesin finansal tavsiye değildir. Gerçekleşme tahminlerden sapabilir.</t>
  </si>
  <si>
    <t xml:space="preserve">SENARYO DUYARLILIK — 13 HAFTALIK NAKİT AKIŞI VE ÖDEME PLANLAMA SİSTEMİ</t>
  </si>
  <si>
    <t xml:space="preserve">SENARYO VE DUYARLILIK ANALİZİ</t>
  </si>
  <si>
    <t xml:space="preserve">Baz Dönem Sonu Bakiye</t>
  </si>
  <si>
    <t xml:space="preserve">Giriş Artış Oranı</t>
  </si>
  <si>
    <t xml:space="preserve">İyimser Bakiye</t>
  </si>
  <si>
    <t xml:space="preserve">Kötümser Bakiye</t>
  </si>
  <si>
    <t xml:space="preserve">Çıkış Artış Oranı</t>
  </si>
  <si>
    <t xml:space="preserve">Kötümser (Çıkış +%10) Bakiye</t>
  </si>
  <si>
    <t xml:space="preserve">Kritik Ödeme Artış Oranı</t>
  </si>
  <si>
    <t xml:space="preserve">Kötümser (Kritik +%10) Bakiye</t>
  </si>
  <si>
    <t xml:space="preserve">MARJİNAL ETKİ (Tornado)</t>
  </si>
  <si>
    <t xml:space="preserve">Değişken</t>
  </si>
  <si>
    <t xml:space="preserve">Değişim</t>
  </si>
  <si>
    <t xml:space="preserve">Bakiye Etkisi</t>
  </si>
  <si>
    <t xml:space="preserve">Yeni Bakiye</t>
  </si>
  <si>
    <t xml:space="preserve">Girişler +%10</t>
  </si>
  <si>
    <t xml:space="preserve">Çıkışlar +%10</t>
  </si>
  <si>
    <t xml:space="preserve">Kritik Ödemeler +%10</t>
  </si>
  <si>
    <t xml:space="preserve">Güvence Düşük Girişler (-%10)</t>
  </si>
  <si>
    <t xml:space="preserve">Not: Senaryo oranları sarı hücrelerden girilir; her değişim bakiyeye doğrudan yansır. Tornado satırları bu oranlardan beslenir ve etkiyi TL olarak sıralar.</t>
  </si>
  <si>
    <t xml:space="preserve">RAPOR — 13 HAFTALIK NAKİT AKIŞI VE ÖDEME PLANLAMA SİSTEMİ</t>
  </si>
  <si>
    <t xml:space="preserve">YÖNETİCİ NAKİT AKIŞ RAPORU</t>
  </si>
  <si>
    <t xml:space="preserve">Rapor Tarihi</t>
  </si>
  <si>
    <t xml:space="preserve">Firma</t>
  </si>
  <si>
    <t xml:space="preserve">Hazırlayan</t>
  </si>
  <si>
    <t xml:space="preserve">ANA SONUÇ</t>
  </si>
  <si>
    <t xml:space="preserve">ÖNEMLİ VARSAYIMLAR VE UYARILAR</t>
  </si>
  <si>
    <t xml:space="preserve">1. Güvence düşük girişler gerçekleşmeyebilir; iyimser/kötümser bant PANO senaryosunda görülür.</t>
  </si>
  <si>
    <t xml:space="preserve">2. Bu rapor karar destek amaçlıdır; kesin finansal tavsiye değildir.</t>
  </si>
  <si>
    <t xml:space="preserve">3. Tüm eşikler AYARLAR sayfasında tanımlıdır; değişiklik sonrası rapor otomatik güncellenir.</t>
  </si>
  <si>
    <t xml:space="preserve">Hazırlayan: ExcelArşiv — Sürüm 1.0 | Tek kullanıcılı ticari lisans.</t>
  </si>
  <si>
    <t xml:space="preserve">ORNEK VERI — 13 HAFTALIK NAKİT AKIŞI VE ÖDEME PLANLAMA SİSTEMİ</t>
  </si>
  <si>
    <t xml:space="preserve">ÖRNEK VERİ — otomasyon ve içe aktarma için yapı</t>
  </si>
  <si>
    <t xml:space="preserve">Yön</t>
  </si>
  <si>
    <t xml:space="preserve">Güvence/Öncelik</t>
  </si>
  <si>
    <t xml:space="preserve">Kaynak/Kalem</t>
  </si>
  <si>
    <t xml:space="preserve">GİRİŞ</t>
  </si>
  <si>
    <t xml:space="preserve">ÇIKIŞ</t>
  </si>
  <si>
    <t xml:space="preserve">TESTLER — 13 HAFTALIK NAKİT AKIŞI VE ÖDEME PLANLAMA SİSTEMİ</t>
  </si>
  <si>
    <t xml:space="preserve">SİSTEM TESTLERİ VE DENETİM KAYDI</t>
  </si>
  <si>
    <t xml:space="preserve">Test</t>
  </si>
  <si>
    <t xml:space="preserve">Canlı Değer</t>
  </si>
  <si>
    <t xml:space="preserve">Karar Bildirimi</t>
  </si>
  <si>
    <t xml:space="preserve">Testler, excel_uretim/denetci.py ve test_on_uc_haftalik_nakit_akisi.py ile otomatik çalışır.</t>
  </si>
  <si>
    <t xml:space="preserve">DEGISIKLIK KAYDI — 13 HAFTALIK NAKİT AKIŞI VE ÖDEME PLANLAMA SİSTEMİ</t>
  </si>
  <si>
    <t xml:space="preserve">DEGİŞİKLİK KAYDI</t>
  </si>
  <si>
    <t xml:space="preserve">Sürüm</t>
  </si>
  <si>
    <t xml:space="preserve">Tarih</t>
  </si>
  <si>
    <t xml:space="preserve">1.0</t>
  </si>
  <si>
    <t xml:space="preserve">08.08.2026</t>
  </si>
  <si>
    <t xml:space="preserve">İlk sürüm: 13 haftalık nakit akışı, para bitiş tespiti ve önlem önerisi üretimi.</t>
  </si>
  <si>
    <t xml:space="preserve">LISTELER — 13 HAFTALIK NAKİT AKIŞI VE ÖDEME PLANLAMA SİSTEMİ</t>
  </si>
  <si>
    <t xml:space="preserve">AÇILIR LİSTE KAYNAKLARI</t>
  </si>
  <si>
    <t xml:space="preserve">ORTA</t>
  </si>
  <si>
    <t xml:space="preserve">SERMAYE</t>
  </si>
  <si>
    <t xml:space="preserve">ERTELENEBİLİR</t>
  </si>
  <si>
    <t xml:space="preserve">DİĞER</t>
  </si>
  <si>
    <t xml:space="preserve">FATURA</t>
  </si>
  <si>
    <t xml:space="preserve">AYARLAR — 13 HAFTALIK NAKİT AKIŞI VE ÖDEME PLANLAMA SİSTEMİ</t>
  </si>
  <si>
    <t xml:space="preserve">Tüm eşikler, katsayılar ve firma bilgileri tek kaynaktan (SSOT) buradan yönetilir. Sarı hücrelere değer girilir; kaynağı olmayan her parametre 'Varsayım' işaretlidir (D10).</t>
  </si>
  <si>
    <t xml:space="preserve">FIRMA BİLGİLERİ</t>
  </si>
  <si>
    <t xml:space="preserve">Firma Unvanı</t>
  </si>
  <si>
    <t xml:space="preserve">Örnek Anadolu Üretim ve Ticaret A.Ş.</t>
  </si>
  <si>
    <t xml:space="preserve">Rapor Hazırlayan</t>
  </si>
  <si>
    <t xml:space="preserve">Finans Direktörü</t>
  </si>
  <si>
    <t xml:space="preserve">Dosya Sürümü</t>
  </si>
  <si>
    <t xml:space="preserve">Lisans Kodu</t>
  </si>
  <si>
    <t xml:space="preserve">EKSRV-2026-13H-0001</t>
  </si>
  <si>
    <t xml:space="preserve">Para Birimi</t>
  </si>
  <si>
    <t xml:space="preserve">TRY</t>
  </si>
  <si>
    <t xml:space="preserve">MODEL EŞİKLERİ</t>
  </si>
  <si>
    <t xml:space="preserve">anahtar</t>
  </si>
  <si>
    <t xml:space="preserve">deger</t>
  </si>
  <si>
    <t xml:space="preserve">birim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</si>
  <si>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</si>
  <si>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</si>
  <si>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</si>
  <si>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</si>
  <si>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Başlangıç Nakit Bakiyesi</t>
  </si>
  <si>
    <t xml:space="preserve">₺</t>
  </si>
  <si>
    <t xml:space="preserve">13 haftanın ilk dönem başı bakiyesi; karar motoru buradan başlar.</t>
  </si>
  <si>
    <t xml:space="preserve">Kullanıcı beyanı</t>
  </si>
  <si>
    <t xml:space="preserve">10.08.2026</t>
  </si>
  <si>
    <t xml:space="preserve">Asgari Nakit Tamponu</t>
  </si>
  <si>
    <t xml:space="preserve">Bu eşiğin altına düşen hafta 'RİSK ALTINDA' işaretlenir.</t>
  </si>
  <si>
    <t xml:space="preserve">Varsayım</t>
  </si>
  <si>
    <t xml:space="preserve">Hafta Uzunluğu (gün)</t>
  </si>
  <si>
    <t xml:space="preserve">gün</t>
  </si>
  <si>
    <t xml:space="preserve">Bir planlama haftasının gün sayısı.</t>
  </si>
  <si>
    <t xml:space="preserve">Tasarım</t>
  </si>
  <si>
    <t xml:space="preserve">Veri Kalite Üst Eşiği</t>
  </si>
  <si>
    <t xml:space="preserve">puan</t>
  </si>
  <si>
    <t xml:space="preserve">Skor bu değer üstünde ise 'SAĞLIKLI'.</t>
  </si>
  <si>
    <t xml:space="preserve">Veri Kalite Orta Eşiği</t>
  </si>
  <si>
    <t xml:space="preserve">Skor bu değer ile üst eşik arasında ise 'İZLEME GEREKLİ'.</t>
  </si>
  <si>
    <t xml:space="preserve">Uyarı Puan Kesintisi</t>
  </si>
  <si>
    <t xml:space="preserve">Her kural ihlali için veri kalite skorundan düşüm.</t>
  </si>
  <si>
    <t xml:space="preserve">Aşırı Giriş Tutarı</t>
  </si>
  <si>
    <t xml:space="preserve">Bu tutar üstü giriş 'AŞIRI TUTAR' işaretlenir.</t>
  </si>
  <si>
    <t xml:space="preserve">Aşırı Çıkış Tutarı</t>
  </si>
  <si>
    <t xml:space="preserve">Bu tutar üstü çıkış 'AŞIRI TUTAR' işaretlenir.</t>
  </si>
  <si>
    <t xml:space="preserve">Duyarlılık Değişim Oranı</t>
  </si>
  <si>
    <t xml:space="preserve">oran</t>
  </si>
  <si>
    <t xml:space="preserve">Motor O2 tornado ve senaryo analizindeki varsayılan değişim oranı.</t>
  </si>
  <si>
    <t xml:space="preserve">Minimum Veri Sayısı</t>
  </si>
  <si>
    <t xml:space="preserve">kayıt</t>
  </si>
  <si>
    <t xml:space="preserve">Giriş+çıkış kayıt sayısı bu eşiğin altında ise karar 'VERİ YOK' olur.</t>
  </si>
  <si>
    <t xml:space="preserve">Kıtlık Günlük Maliyet Oranı</t>
  </si>
  <si>
    <t xml:space="preserve">Negatif bakiyenin günlük tahmini finansman maliyeti (O5).</t>
  </si>
  <si>
    <t xml:space="preserve">Tahmin Hafta Ufku</t>
  </si>
  <si>
    <t xml:space="preserve">hafta</t>
  </si>
  <si>
    <t xml:space="preserve">İleriye dönük bakiye tahmininin hafta ufku (I1).</t>
  </si>
  <si>
    <t xml:space="preserve">Plan Hafta Sayısı</t>
  </si>
  <si>
    <t xml:space="preserve">Nakit planlama ufku; hafta numarası üst sınırı.</t>
  </si>
  <si>
    <t xml:space="preserve">Kritik Ödeme Payı Eşiği</t>
  </si>
  <si>
    <t xml:space="preserve">Kritik ödemelerin toplam çıkışa oranı bu eşiği aşarsa uyarı (T6).</t>
  </si>
  <si>
    <t xml:space="preserve">Maksimum Tarih Ufku</t>
  </si>
  <si>
    <t xml:space="preserve">Hafta planı başlangıç tarihinden itibaren hesaplanabilecek azami gün ufku; taşmayı önler.</t>
  </si>
  <si>
    <t xml:space="preserve">Senaryo Belirsizlik Eşiği</t>
  </si>
  <si>
    <t xml:space="preserve">İyimser-kötümser bakiye farkının baz bakiyeye oranı bu eşiği aşarsa uyarı (O3).</t>
  </si>
  <si>
    <t xml:space="preserve">Nakit Dönüşüm Eşiği</t>
  </si>
  <si>
    <t xml:space="preserve">Net akışın toplam girişe oranı bu eşiğin altındaysa nakit üretimi zayıf sayılır (O4).</t>
  </si>
  <si>
    <t xml:space="preserve">Yoğunlaşma Eşiği</t>
  </si>
  <si>
    <t xml:space="preserve">Gider HHI endeksi bu eşiği aşarsa tek kalem yoğunluğu uyarısı verilir (O6).</t>
  </si>
  <si>
    <t xml:space="preserve">P90 Yüzdelik Dilimi</t>
  </si>
  <si>
    <t xml:space="preserve">Net akış P90 hesabında kullanılan yüzdelik dilim (I2).</t>
  </si>
  <si>
    <t xml:space="preserve">KILAVUZ — 13 HAFTALIK NAKİT AKIŞI VE ÖDEME PLANLAMA SİSTEMİ</t>
  </si>
  <si>
    <t xml:space="preserve">KULLANIM KILAVUZU</t>
  </si>
  <si>
    <t xml:space="preserve">1. AMAÇ</t>
  </si>
  <si>
    <t xml:space="preserve">13 haftalık nakit akışının hangi haftada tükeneceğini öngörür ve önlem önerisi üretir.</t>
  </si>
  <si>
    <t xml:space="preserve">2. GİRİŞ PLANI</t>
  </si>
  <si>
    <t xml:space="preserve">NAKIT_GIRISLERI sayfasına hafta numarası, beklenen tarih, güvence, kaynak ve tutar girin.</t>
  </si>
  <si>
    <t xml:space="preserve">3. ÇIKIŞ PLANI</t>
  </si>
  <si>
    <t xml:space="preserve">NAKIT_CIKISLARI sayfasına hafta numarası, vade tarihi, kalem, öncelik ve tutar girin.</t>
  </si>
  <si>
    <t xml:space="preserve">4. HAFTALIK PLAN</t>
  </si>
  <si>
    <t xml:space="preserve">Giriş ve çıkış planlarından otomatik toplanır; dönem sonu bakiye ve para bitiş haftası hesaplanır.</t>
  </si>
  <si>
    <t xml:space="preserve">5. MOTOR</t>
  </si>
  <si>
    <t xml:space="preserve">Ara hesaplar ve analitik modüller (yaşlandırma, trend, yoğunlaşma, senaryo, tahmin) ad tanımlı hücrelerde canlı hesaplanır.</t>
  </si>
  <si>
    <t xml:space="preserve">6. KONTROLLER</t>
  </si>
  <si>
    <t xml:space="preserve">Veri kalite skoru ve ihlal sayıları; sarı hücreler manuel giriş alanlarıdır.</t>
  </si>
  <si>
    <t xml:space="preserve">7. KARAR MOTORU</t>
  </si>
  <si>
    <t xml:space="preserve">Karar, risk seviyesi, gerekçe ve önlem önerisi makine tarafından üretilir. Kayıt sayısı yetersizse karar 'VERİ YOK' olur.</t>
  </si>
  <si>
    <t xml:space="preserve">8. PANO VE RAPOR</t>
  </si>
  <si>
    <t xml:space="preserve">PANO tek ekranda özeti gösterir; RAPOR yazdırılmaya hazırdır.</t>
  </si>
  <si>
    <t xml:space="preserve">9. KORUMA</t>
  </si>
  <si>
    <t xml:space="preserve">Formül ve başlıklar 1234 şifresiyle korunur; giriş hücreleri açıktır.</t>
  </si>
  <si>
    <t xml:space="preserve">KARAR KURALLARI</t>
  </si>
  <si>
    <t xml:space="preserve">• UYGUN: Dönem sonu bakiye asgari tamponun üzerinde ve para bitiş/risk haftası yok.</t>
  </si>
  <si>
    <t xml:space="preserve">• İNCELE: Tampon eşiği aşılıyor (ilk risk haftası öngörülüyor) veya bakiye tampon altında.</t>
  </si>
  <si>
    <t xml:space="preserve">• DURDUR: Bir haftada dönem sonu bakiye negatife düşüyor (para bitiş haftası var).</t>
  </si>
  <si>
    <t xml:space="preserve">• VERİ YOK: Giriş+çıkış kayıt sayısı Minimum Veri Sayısı eşiğinin altında.</t>
  </si>
  <si>
    <t xml:space="preserve">GİZLİLİK VE ORTAM</t>
  </si>
  <si>
    <t xml:space="preserve">• Verileriniz cihazınızdan çıkmaz: dosya tamamen çevrimdışıdır, makro ve dış bağlantı içermez.</t>
  </si>
  <si>
    <t xml:space="preserve">• Ortam: Excel 2016-365 (Windows/Mac), LibreOffice ve Google Sheets ile uyumludur.</t>
  </si>
  <si>
    <t xml:space="preserve">• KVKK: Dosya kişisel veri toplamaz, telemetri göndermez; girdiler yalnızca sizin cihazınızda işlenir.</t>
  </si>
  <si>
    <t xml:space="preserve">• Tutarı eksi işaretle girmek: tutarlar daima pozitiftir; yön GİRİŞ/ÇIKIŞ sayfası seçimiyle belirlenir.</t>
  </si>
  <si>
    <t xml:space="preserve">• Güvence kolonunu boş bırakmak: güvence veri kalite skorunu ve senaryo bandını etkiler.</t>
  </si>
  <si>
    <t xml:space="preserve">• Sarı alan dışına yazmak: formül hücreleri 1234 şifresiyle korunur, yazılamaz.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</si>
</sst>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d/mm/yyyy"/>
    <numFmt numFmtId="167" formatCode="&quot;₺ &quot;#,##0;[RED]&quot;(₺ &quot;#,##0\);\-"/>
    <numFmt numFmtId="168" formatCode="0.0%;[RED]\(0.0%\);\-"/>
    <numFmt numFmtId="169" formatCode="@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26"/>
      <color rgb="FF0B1F3A"/>
      <name val="Segoe UI"/>
      <family val="0"/>
      <charset val="1"/>
    </font>
    <font>
      <sz val="13"/>
      <color rgb="FF1F4E79"/>
      <name val="Segoe UI"/>
      <family val="0"/>
      <charset val="1"/>
    </font>
    <font>
      <b val="true"/>
      <sz val="12"/>
      <color rgb="FFB08948"/>
      <name val="Segoe UI"/>
      <family val="0"/>
      <charset val="1"/>
    </font>
    <font>
      <sz val="11"/>
      <color rgb="FF000000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6"/>
      <color rgb="FF0B1F3A"/>
      <name val="Segoe UI"/>
      <family val="0"/>
      <charset val="1"/>
    </font>
    <font>
      <sz val="10"/>
      <color rgb="FF000000"/>
      <name val="Segoe UI"/>
      <family val="0"/>
      <charset val="1"/>
    </font>
    <font>
      <sz val="11"/>
      <color rgb="FF1F4E7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sz val="10"/>
      <color rgb="FF006100"/>
      <name val="Segoe UI"/>
      <family val="0"/>
      <charset val="1"/>
    </font>
    <font>
      <sz val="10"/>
      <name val="Arial"/>
      <family val="2"/>
    </font>
    <font>
      <sz val="9"/>
      <color rgb="FF0061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00"/>
      <name val="Segoe UI"/>
      <family val="0"/>
      <charset val="1"/>
    </font>
    <font>
      <sz val="9"/>
      <color rgb="FF1F4E79"/>
      <name val="Segoe UI"/>
      <family val="0"/>
      <charset val="1"/>
    </font>
    <font>
      <b val="true"/>
      <sz val="12"/>
      <color rgb="FF0B1F3A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4"/>
      <color rgb="FF0B1F3A"/>
      <name val="Segoe UI"/>
      <family val="0"/>
      <charset val="1"/>
    </font>
    <font>
      <b val="true"/>
      <sz val="11"/>
      <color rgb="FFB08948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i val="true"/>
      <sz val="8"/>
      <color rgb="FF000000"/>
      <name val="Segoe UI"/>
      <family val="0"/>
      <charset val="1"/>
    </font>
    <font>
      <b val="true"/>
      <sz val="9"/>
      <color rgb="FF000000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000B1F3A"/>
        <bgColor rgb="FF003300"/>
      </patternFill>
    </fill>
    <fill>
      <patternFill patternType="solid">
        <fgColor rgb="001F4E79"/>
        <bgColor rgb="FF416A9C"/>
      </patternFill>
    </fill>
    <fill>
      <patternFill patternType="solid">
        <fgColor rgb="FFFFF2CC"/>
        <bgColor rgb="FFFDE7E9"/>
      </patternFill>
    </fill>
    <fill>
      <patternFill patternType="solid">
        <fgColor rgb="00DDEBF7"/>
        <bgColor rgb="00F2F2F2"/>
      </patternFill>
    </fill>
    <fill>
      <patternFill patternType="solid">
        <fgColor rgb="00F2F2F2"/>
        <bgColor rgb="FFFDE7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4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4" fillId="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14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4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14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FDE7E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3261E"/>
      </font>
      <fill>
        <patternFill>
          <bgColor rgb="FFFDE7E9"/>
        </patternFill>
      </fill>
    </dxf>
    <dxf>
      <font>
        <name val="Segoe UI"/>
        <charset val="1"/>
        <family val="0"/>
        <color rgb="FF595959"/>
      </font>
    </dxf>
    <dxf>
      <font>
        <name val="Segoe UI"/>
        <charset val="1"/>
        <family val="0"/>
        <color rgb="FFBF8F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AABAD7"/>
      <rgbColor rgb="FF878787"/>
      <rgbColor rgb="FF9999FF"/>
      <rgbColor rgb="FF9F423F"/>
      <rgbColor rgb="FFFFF2CC"/>
      <rgbColor rgb="FFDDEBF7"/>
      <rgbColor rgb="FF660066"/>
      <rgbColor rgb="FFCC7C3A"/>
      <rgbColor rgb="FF416A9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2F2"/>
      <rgbColor rgb="FFCCFFCC"/>
      <rgbColor rgb="FFFDE7E9"/>
      <rgbColor rgb="FF99CCFF"/>
      <rgbColor rgb="FFB08948"/>
      <rgbColor rgb="FFCC99FF"/>
      <rgbColor rgb="FFFFCC99"/>
      <rgbColor rgb="FF4A7EBB"/>
      <rgbColor rgb="FF4BACC6"/>
      <rgbColor rgb="FF9BBB59"/>
      <rgbColor rgb="FFFFCC00"/>
      <rgbColor rgb="FFF79646"/>
      <rgbColor rgb="FFBF8F00"/>
      <rgbColor rgb="FF8064A2"/>
      <rgbColor rgb="FF809B49"/>
      <rgbColor rgb="FF0B1F3A"/>
      <rgbColor rgb="FF3E8EA4"/>
      <rgbColor rgb="FF003300"/>
      <rgbColor rgb="FF6A5286"/>
      <rgbColor rgb="FFB3261E"/>
      <rgbColor rgb="FFC0504D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Haftalık Giriş ve Çıkış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HAFTALIK_PLAN!D5</c:f>
              <c:strCache>
                <c:ptCount val="1"/>
                <c:pt idx="0">
                  <c:v>Toplam Giriş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HAFTALIK_PLAN!$A$6:$A$18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HAFTALIK_PLAN!$D$6:$D$18</c:f>
              <c:numCache>
                <c:formatCode>"₺ "#,##0;[RED]"(₺ "#,##0\);\-</c:formatCode>
                <c:ptCount val="13"/>
                <c:pt idx="0">
                  <c:v>205000</c:v>
                </c:pt>
                <c:pt idx="1">
                  <c:v>205000</c:v>
                </c:pt>
                <c:pt idx="2">
                  <c:v>330000</c:v>
                </c:pt>
                <c:pt idx="3">
                  <c:v>220000</c:v>
                </c:pt>
                <c:pt idx="4">
                  <c:v>165000</c:v>
                </c:pt>
                <c:pt idx="5">
                  <c:v>200000</c:v>
                </c:pt>
                <c:pt idx="6">
                  <c:v>175000</c:v>
                </c:pt>
                <c:pt idx="7">
                  <c:v>200000</c:v>
                </c:pt>
                <c:pt idx="8">
                  <c:v>155000</c:v>
                </c:pt>
                <c:pt idx="9">
                  <c:v>195000</c:v>
                </c:pt>
                <c:pt idx="10">
                  <c:v>180000</c:v>
                </c:pt>
                <c:pt idx="11">
                  <c:v>205000</c:v>
                </c:pt>
                <c:pt idx="12">
                  <c:v>205000</c:v>
                </c:pt>
              </c:numCache>
            </c:numRef>
          </c:val>
        </c:ser>
        <c:ser>
          <c:idx val="1"/>
          <c:order val="1"/>
          <c:tx>
            <c:strRef>
              <c:f>HAFTALIK_PLAN!E5</c:f>
              <c:strCache>
                <c:ptCount val="1"/>
                <c:pt idx="0">
                  <c:v>Toplam Çıkış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HAFTALIK_PLAN!$A$6:$A$18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HAFTALIK_PLAN!$E$6:$E$18</c:f>
              <c:numCache>
                <c:formatCode>"₺ "#,##0;[RED]"(₺ "#,##0\);\-</c:formatCode>
                <c:ptCount val="13"/>
                <c:pt idx="0">
                  <c:v>175000</c:v>
                </c:pt>
                <c:pt idx="1">
                  <c:v>90000</c:v>
                </c:pt>
                <c:pt idx="2">
                  <c:v>255000</c:v>
                </c:pt>
                <c:pt idx="3">
                  <c:v>130000</c:v>
                </c:pt>
                <c:pt idx="4">
                  <c:v>85000</c:v>
                </c:pt>
                <c:pt idx="5">
                  <c:v>60000</c:v>
                </c:pt>
                <c:pt idx="6">
                  <c:v>175000</c:v>
                </c:pt>
                <c:pt idx="7">
                  <c:v>95000</c:v>
                </c:pt>
                <c:pt idx="8">
                  <c:v>140000</c:v>
                </c:pt>
                <c:pt idx="9">
                  <c:v>130000</c:v>
                </c:pt>
                <c:pt idx="10">
                  <c:v>80000</c:v>
                </c:pt>
                <c:pt idx="11">
                  <c:v>135000</c:v>
                </c:pt>
                <c:pt idx="12">
                  <c:v>175000</c:v>
                </c:pt>
              </c:numCache>
            </c:numRef>
          </c:val>
        </c:ser>
        <c:gapWidth val="150"/>
        <c:overlap val="0"/>
        <c:axId val="36871754"/>
        <c:axId val="13058872"/>
      </c:barChart>
      <c:catAx>
        <c:axId val="36871754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058872"/>
        <c:crosses val="autoZero"/>
        <c:auto val="1"/>
        <c:lblAlgn val="ctr"/>
        <c:lblOffset val="100"/>
        <c:noMultiLvlLbl val="0"/>
      </c:catAx>
      <c:valAx>
        <c:axId val="13058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8717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Dönem Sonu Bakiye Eğilimi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HAFTALIK_PLAN!H5</c:f>
              <c:strCache>
                <c:ptCount val="1"/>
                <c:pt idx="0">
                  <c:v>Dönem Sonu Bakiye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HAFTALIK_PLAN!$A$6:$A$18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HAFTALIK_PLAN!$H$6:$H$18</c:f>
              <c:numCache>
                <c:formatCode>"₺ "#,##0;[RED]"(₺ "#,##0\);\-</c:formatCode>
                <c:ptCount val="13"/>
                <c:pt idx="0">
                  <c:v>530000</c:v>
                </c:pt>
                <c:pt idx="1">
                  <c:v>645000</c:v>
                </c:pt>
                <c:pt idx="2">
                  <c:v>720000</c:v>
                </c:pt>
                <c:pt idx="3">
                  <c:v>810000</c:v>
                </c:pt>
                <c:pt idx="4">
                  <c:v>890000</c:v>
                </c:pt>
                <c:pt idx="5">
                  <c:v>1030000</c:v>
                </c:pt>
                <c:pt idx="6">
                  <c:v>1030000</c:v>
                </c:pt>
                <c:pt idx="7">
                  <c:v>1135000</c:v>
                </c:pt>
                <c:pt idx="8">
                  <c:v>1150000</c:v>
                </c:pt>
                <c:pt idx="9">
                  <c:v>1215000</c:v>
                </c:pt>
                <c:pt idx="10">
                  <c:v>1315000</c:v>
                </c:pt>
                <c:pt idx="11">
                  <c:v>1385000</c:v>
                </c:pt>
                <c:pt idx="12">
                  <c:v>1415000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838628"/>
        <c:axId val="74167374"/>
      </c:lineChart>
      <c:catAx>
        <c:axId val="22838628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167374"/>
        <c:crosses val="autoZero"/>
        <c:auto val="1"/>
        <c:lblAlgn val="ctr"/>
        <c:lblOffset val="100"/>
        <c:noMultiLvlLbl val="0"/>
      </c:catAx>
      <c:valAx>
        <c:axId val="741673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8386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Haftalık Net Nakit Akışı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HAFTALIK_PLAN!F5</c:f>
              <c:strCache>
                <c:ptCount val="1"/>
                <c:pt idx="0">
                  <c:v>Net Akış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HAFTALIK_PLAN!$A$6:$A$18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HAFTALIK_PLAN!$F$6:$F$18</c:f>
              <c:numCache>
                <c:formatCode>"₺ "#,##0;[RED]"(₺ "#,##0\);\-</c:formatCode>
                <c:ptCount val="13"/>
                <c:pt idx="0">
                  <c:v>30000</c:v>
                </c:pt>
                <c:pt idx="1">
                  <c:v>115000</c:v>
                </c:pt>
                <c:pt idx="2">
                  <c:v>75000</c:v>
                </c:pt>
                <c:pt idx="3">
                  <c:v>90000</c:v>
                </c:pt>
                <c:pt idx="4">
                  <c:v>80000</c:v>
                </c:pt>
                <c:pt idx="5">
                  <c:v>140000</c:v>
                </c:pt>
                <c:pt idx="6">
                  <c:v>0</c:v>
                </c:pt>
                <c:pt idx="7">
                  <c:v>105000</c:v>
                </c:pt>
                <c:pt idx="8">
                  <c:v>15000</c:v>
                </c:pt>
                <c:pt idx="9">
                  <c:v>65000</c:v>
                </c:pt>
                <c:pt idx="10">
                  <c:v>100000</c:v>
                </c:pt>
                <c:pt idx="11">
                  <c:v>70000</c:v>
                </c:pt>
                <c:pt idx="12">
                  <c:v>30000</c:v>
                </c:pt>
              </c:numCache>
            </c:numRef>
          </c:val>
        </c:ser>
        <c:gapWidth val="150"/>
        <c:overlap val="0"/>
        <c:axId val="696164"/>
        <c:axId val="7121206"/>
      </c:barChart>
      <c:catAx>
        <c:axId val="696164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21206"/>
        <c:crosses val="autoZero"/>
        <c:auto val="1"/>
        <c:lblAlgn val="ctr"/>
        <c:lblOffset val="100"/>
        <c:noMultiLvlLbl val="0"/>
      </c:catAx>
      <c:valAx>
        <c:axId val="7121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61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Hafta Durum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HAFTALIK_PLAN!$L$22:$L$24</c:f>
              <c:strCache>
                <c:ptCount val="3"/>
                <c:pt idx="0">
                  <c:v>YETERLİ</c:v>
                </c:pt>
                <c:pt idx="1">
                  <c:v>RİSK ALTINDA</c:v>
                </c:pt>
                <c:pt idx="2">
                  <c:v>PARA BİTİYOR</c:v>
                </c:pt>
              </c:strCache>
            </c:strRef>
          </c:cat>
          <c:val>
            <c:numRef>
              <c:f>HAFTALIK_PLAN!$M$22:$M$24</c:f>
              <c:numCache>
                <c:formatCode>#,##0</c:formatCode>
                <c:ptCount val="3"/>
                <c:pt idx="0">
                  <c:v>13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Haftalık Giriş / Çıkış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HAFTALIK_PLAN!D5</c:f>
              <c:strCache>
                <c:ptCount val="1"/>
                <c:pt idx="0">
                  <c:v>Toplam Giriş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HAFTALIK_PLAN!$A$6:$A$18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HAFTALIK_PLAN!$D$6:$D$18</c:f>
              <c:numCache>
                <c:formatCode>"₺ "#,##0;[RED]"(₺ "#,##0\);\-</c:formatCode>
                <c:ptCount val="13"/>
                <c:pt idx="0">
                  <c:v>205000</c:v>
                </c:pt>
                <c:pt idx="1">
                  <c:v>205000</c:v>
                </c:pt>
                <c:pt idx="2">
                  <c:v>330000</c:v>
                </c:pt>
                <c:pt idx="3">
                  <c:v>220000</c:v>
                </c:pt>
                <c:pt idx="4">
                  <c:v>165000</c:v>
                </c:pt>
                <c:pt idx="5">
                  <c:v>200000</c:v>
                </c:pt>
                <c:pt idx="6">
                  <c:v>175000</c:v>
                </c:pt>
                <c:pt idx="7">
                  <c:v>200000</c:v>
                </c:pt>
                <c:pt idx="8">
                  <c:v>155000</c:v>
                </c:pt>
                <c:pt idx="9">
                  <c:v>195000</c:v>
                </c:pt>
                <c:pt idx="10">
                  <c:v>180000</c:v>
                </c:pt>
                <c:pt idx="11">
                  <c:v>205000</c:v>
                </c:pt>
                <c:pt idx="12">
                  <c:v>205000</c:v>
                </c:pt>
              </c:numCache>
            </c:numRef>
          </c:val>
        </c:ser>
        <c:ser>
          <c:idx val="1"/>
          <c:order val="1"/>
          <c:tx>
            <c:strRef>
              <c:f>HAFTALIK_PLAN!E5</c:f>
              <c:strCache>
                <c:ptCount val="1"/>
                <c:pt idx="0">
                  <c:v>Toplam Çıkış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HAFTALIK_PLAN!$A$6:$A$18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HAFTALIK_PLAN!$E$6:$E$18</c:f>
              <c:numCache>
                <c:formatCode>"₺ "#,##0;[RED]"(₺ "#,##0\);\-</c:formatCode>
                <c:ptCount val="13"/>
                <c:pt idx="0">
                  <c:v>175000</c:v>
                </c:pt>
                <c:pt idx="1">
                  <c:v>90000</c:v>
                </c:pt>
                <c:pt idx="2">
                  <c:v>255000</c:v>
                </c:pt>
                <c:pt idx="3">
                  <c:v>130000</c:v>
                </c:pt>
                <c:pt idx="4">
                  <c:v>85000</c:v>
                </c:pt>
                <c:pt idx="5">
                  <c:v>60000</c:v>
                </c:pt>
                <c:pt idx="6">
                  <c:v>175000</c:v>
                </c:pt>
                <c:pt idx="7">
                  <c:v>95000</c:v>
                </c:pt>
                <c:pt idx="8">
                  <c:v>140000</c:v>
                </c:pt>
                <c:pt idx="9">
                  <c:v>130000</c:v>
                </c:pt>
                <c:pt idx="10">
                  <c:v>80000</c:v>
                </c:pt>
                <c:pt idx="11">
                  <c:v>135000</c:v>
                </c:pt>
                <c:pt idx="12">
                  <c:v>175000</c:v>
                </c:pt>
              </c:numCache>
            </c:numRef>
          </c:val>
        </c:ser>
        <c:gapWidth val="150"/>
        <c:overlap val="0"/>
        <c:axId val="95683817"/>
        <c:axId val="39232465"/>
      </c:barChart>
      <c:catAx>
        <c:axId val="9568381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232465"/>
        <c:crosses val="autoZero"/>
        <c:auto val="1"/>
        <c:lblAlgn val="ctr"/>
        <c:lblOffset val="100"/>
        <c:noMultiLvlLbl val="0"/>
      </c:catAx>
      <c:valAx>
        <c:axId val="39232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6838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Dönem Sonu Bakiye Eğilimi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HAFTALIK_PLAN!H5</c:f>
              <c:strCache>
                <c:ptCount val="1"/>
                <c:pt idx="0">
                  <c:v>Dönem Sonu Bakiye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HAFTALIK_PLAN!$A$6:$A$18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HAFTALIK_PLAN!$H$6:$H$18</c:f>
              <c:numCache>
                <c:formatCode>"₺ "#,##0;[RED]"(₺ "#,##0\);\-</c:formatCode>
                <c:ptCount val="13"/>
                <c:pt idx="0">
                  <c:v>530000</c:v>
                </c:pt>
                <c:pt idx="1">
                  <c:v>645000</c:v>
                </c:pt>
                <c:pt idx="2">
                  <c:v>720000</c:v>
                </c:pt>
                <c:pt idx="3">
                  <c:v>810000</c:v>
                </c:pt>
                <c:pt idx="4">
                  <c:v>890000</c:v>
                </c:pt>
                <c:pt idx="5">
                  <c:v>1030000</c:v>
                </c:pt>
                <c:pt idx="6">
                  <c:v>1030000</c:v>
                </c:pt>
                <c:pt idx="7">
                  <c:v>1135000</c:v>
                </c:pt>
                <c:pt idx="8">
                  <c:v>1150000</c:v>
                </c:pt>
                <c:pt idx="9">
                  <c:v>1215000</c:v>
                </c:pt>
                <c:pt idx="10">
                  <c:v>1315000</c:v>
                </c:pt>
                <c:pt idx="11">
                  <c:v>1385000</c:v>
                </c:pt>
                <c:pt idx="12">
                  <c:v>1415000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888715"/>
        <c:axId val="74126256"/>
      </c:lineChart>
      <c:catAx>
        <c:axId val="33888715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126256"/>
        <c:crosses val="autoZero"/>
        <c:auto val="1"/>
        <c:lblAlgn val="ctr"/>
        <c:lblOffset val="100"/>
        <c:noMultiLvlLbl val="0"/>
      </c:catAx>
      <c:valAx>
        <c:axId val="74126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8887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Haftalık Net Nakit Akışı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HAFTALIK_PLAN!F5</c:f>
              <c:strCache>
                <c:ptCount val="1"/>
                <c:pt idx="0">
                  <c:v>Net Akış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HAFTALIK_PLAN!$A$6:$A$18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HAFTALIK_PLAN!$F$6:$F$18</c:f>
              <c:numCache>
                <c:formatCode>"₺ "#,##0;[RED]"(₺ "#,##0\);\-</c:formatCode>
                <c:ptCount val="13"/>
                <c:pt idx="0">
                  <c:v>30000</c:v>
                </c:pt>
                <c:pt idx="1">
                  <c:v>115000</c:v>
                </c:pt>
                <c:pt idx="2">
                  <c:v>75000</c:v>
                </c:pt>
                <c:pt idx="3">
                  <c:v>90000</c:v>
                </c:pt>
                <c:pt idx="4">
                  <c:v>80000</c:v>
                </c:pt>
                <c:pt idx="5">
                  <c:v>140000</c:v>
                </c:pt>
                <c:pt idx="6">
                  <c:v>0</c:v>
                </c:pt>
                <c:pt idx="7">
                  <c:v>105000</c:v>
                </c:pt>
                <c:pt idx="8">
                  <c:v>15000</c:v>
                </c:pt>
                <c:pt idx="9">
                  <c:v>65000</c:v>
                </c:pt>
                <c:pt idx="10">
                  <c:v>100000</c:v>
                </c:pt>
                <c:pt idx="11">
                  <c:v>70000</c:v>
                </c:pt>
                <c:pt idx="12">
                  <c:v>30000</c:v>
                </c:pt>
              </c:numCache>
            </c:numRef>
          </c:val>
        </c:ser>
        <c:gapWidth val="150"/>
        <c:overlap val="0"/>
        <c:axId val="26242367"/>
        <c:axId val="70094766"/>
      </c:barChart>
      <c:catAx>
        <c:axId val="2624236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094766"/>
        <c:crosses val="autoZero"/>
        <c:auto val="1"/>
        <c:lblAlgn val="ctr"/>
        <c:lblOffset val="100"/>
        <c:noMultiLvlLbl val="0"/>
      </c:catAx>
      <c:valAx>
        <c:axId val="70094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2423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Giriş Kaynağı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NAKIT_GIRISLERI!E5</c:f>
              <c:strCache>
                <c:ptCount val="1"/>
                <c:pt idx="0">
                  <c:v>Tutar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NAKIT_GIRISLERI!$D$5:$D$18</c:f>
              <c:strCache>
                <c:ptCount val="14"/>
                <c:pt idx="0">
                  <c:v>Kaynak</c:v>
                </c:pt>
                <c:pt idx="1">
                  <c:v>MÜŞTERİ TAHSİLATI</c:v>
                </c:pt>
                <c:pt idx="2">
                  <c:v>SATIŞ</c:v>
                </c:pt>
                <c:pt idx="3">
                  <c:v>MÜŞTERİ TAHSİLATI</c:v>
                </c:pt>
                <c:pt idx="4">
                  <c:v>SATIŞ</c:v>
                </c:pt>
                <c:pt idx="5">
                  <c:v>MÜŞTERİ TAHSİLATI</c:v>
                </c:pt>
                <c:pt idx="6">
                  <c:v>SATIŞ</c:v>
                </c:pt>
                <c:pt idx="7">
                  <c:v>FİNANSMAN</c:v>
                </c:pt>
                <c:pt idx="8">
                  <c:v>MÜŞTERİ TAHSİLATI</c:v>
                </c:pt>
                <c:pt idx="9">
                  <c:v>SATIŞ</c:v>
                </c:pt>
                <c:pt idx="10">
                  <c:v>MÜŞTERİ TAHSİLATI</c:v>
                </c:pt>
                <c:pt idx="11">
                  <c:v>SATIŞ</c:v>
                </c:pt>
                <c:pt idx="12">
                  <c:v>MÜŞTERİ TAHSİLATI</c:v>
                </c:pt>
                <c:pt idx="13">
                  <c:v>SATIŞ</c:v>
                </c:pt>
              </c:strCache>
            </c:strRef>
          </c:cat>
          <c:val>
            <c:numRef>
              <c:f>NAKIT_GIRISLERI!$E$6:$E$18</c:f>
              <c:numCache>
                <c:formatCode>"₺ "#,##0;[RED]"(₺ "#,##0\);\-</c:formatCode>
                <c:ptCount val="13"/>
                <c:pt idx="0">
                  <c:v>85000</c:v>
                </c:pt>
                <c:pt idx="1">
                  <c:v>120000</c:v>
                </c:pt>
                <c:pt idx="2">
                  <c:v>95000</c:v>
                </c:pt>
                <c:pt idx="3">
                  <c:v>110000</c:v>
                </c:pt>
                <c:pt idx="4">
                  <c:v>80000</c:v>
                </c:pt>
                <c:pt idx="5">
                  <c:v>100000</c:v>
                </c:pt>
                <c:pt idx="6">
                  <c:v>150000</c:v>
                </c:pt>
                <c:pt idx="7">
                  <c:v>90000</c:v>
                </c:pt>
                <c:pt idx="8">
                  <c:v>130000</c:v>
                </c:pt>
                <c:pt idx="9">
                  <c:v>70000</c:v>
                </c:pt>
                <c:pt idx="10">
                  <c:v>95000</c:v>
                </c:pt>
                <c:pt idx="11">
                  <c:v>110000</c:v>
                </c:pt>
                <c:pt idx="12">
                  <c:v>90000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Çıkış Kalemi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NAKIT_CIKISLARI!E5</c:f>
              <c:strCache>
                <c:ptCount val="1"/>
                <c:pt idx="0">
                  <c:v>Tutar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NAKIT_CIKISLARI!$C$5:$C$18</c:f>
              <c:strCache>
                <c:ptCount val="14"/>
                <c:pt idx="0">
                  <c:v>Kalem</c:v>
                </c:pt>
                <c:pt idx="1">
                  <c:v>MAAŞ</c:v>
                </c:pt>
                <c:pt idx="2">
                  <c:v>KİRA</c:v>
                </c:pt>
                <c:pt idx="3">
                  <c:v>TEDARİKÇİ</c:v>
                </c:pt>
                <c:pt idx="4">
                  <c:v>VERGİ</c:v>
                </c:pt>
                <c:pt idx="5">
                  <c:v>SGK</c:v>
                </c:pt>
                <c:pt idx="6">
                  <c:v>MAAŞ</c:v>
                </c:pt>
                <c:pt idx="7">
                  <c:v>TEDARİKÇİ</c:v>
                </c:pt>
                <c:pt idx="8">
                  <c:v>KREDİ TAKSİTİ</c:v>
                </c:pt>
                <c:pt idx="9">
                  <c:v>MAAŞ</c:v>
                </c:pt>
                <c:pt idx="10">
                  <c:v>KİRA</c:v>
                </c:pt>
                <c:pt idx="11">
                  <c:v>TEDARİKÇİ</c:v>
                </c:pt>
                <c:pt idx="12">
                  <c:v>VERGİ</c:v>
                </c:pt>
                <c:pt idx="13">
                  <c:v>MAAŞ</c:v>
                </c:pt>
              </c:strCache>
            </c:strRef>
          </c:cat>
          <c:val>
            <c:numRef>
              <c:f>NAKIT_CIKISLARI!$E$6:$E$18</c:f>
              <c:numCache>
                <c:formatCode>"₺ "#,##0;[RED]"(₺ "#,##0\);\-</c:formatCode>
                <c:ptCount val="13"/>
                <c:pt idx="0">
                  <c:v>130000</c:v>
                </c:pt>
                <c:pt idx="1">
                  <c:v>45000</c:v>
                </c:pt>
                <c:pt idx="2">
                  <c:v>90000</c:v>
                </c:pt>
                <c:pt idx="3">
                  <c:v>180000</c:v>
                </c:pt>
                <c:pt idx="4">
                  <c:v>75000</c:v>
                </c:pt>
                <c:pt idx="5">
                  <c:v>130000</c:v>
                </c:pt>
                <c:pt idx="6">
                  <c:v>85000</c:v>
                </c:pt>
                <c:pt idx="7">
                  <c:v>60000</c:v>
                </c:pt>
                <c:pt idx="8">
                  <c:v>130000</c:v>
                </c:pt>
                <c:pt idx="9">
                  <c:v>45000</c:v>
                </c:pt>
                <c:pt idx="10">
                  <c:v>95000</c:v>
                </c:pt>
                <c:pt idx="11">
                  <c:v>140000</c:v>
                </c:pt>
                <c:pt idx="12">
                  <c:v>130000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Dönem Başı ve Sonu Bakiye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HAFTALIK_PLAN!G5</c:f>
              <c:strCache>
                <c:ptCount val="1"/>
                <c:pt idx="0">
                  <c:v>Dönem Başı Bakiye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HAFTALIK_PLAN!$A$6:$A$18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HAFTALIK_PLAN!$G$6:$G$18</c:f>
              <c:numCache>
                <c:formatCode>"₺ "#,##0;[RED]"(₺ "#,##0\);\-</c:formatCode>
                <c:ptCount val="13"/>
                <c:pt idx="0">
                  <c:v>500000</c:v>
                </c:pt>
                <c:pt idx="1">
                  <c:v>530000</c:v>
                </c:pt>
                <c:pt idx="2">
                  <c:v>645000</c:v>
                </c:pt>
                <c:pt idx="3">
                  <c:v>720000</c:v>
                </c:pt>
                <c:pt idx="4">
                  <c:v>810000</c:v>
                </c:pt>
                <c:pt idx="5">
                  <c:v>890000</c:v>
                </c:pt>
                <c:pt idx="6">
                  <c:v>1030000</c:v>
                </c:pt>
                <c:pt idx="7">
                  <c:v>1030000</c:v>
                </c:pt>
                <c:pt idx="8">
                  <c:v>1135000</c:v>
                </c:pt>
                <c:pt idx="9">
                  <c:v>1150000</c:v>
                </c:pt>
                <c:pt idx="10">
                  <c:v>1215000</c:v>
                </c:pt>
                <c:pt idx="11">
                  <c:v>1315000</c:v>
                </c:pt>
                <c:pt idx="12">
                  <c:v>1385000</c:v>
                </c:pt>
              </c:numCache>
            </c:numRef>
          </c:val>
        </c:ser>
        <c:ser>
          <c:idx val="1"/>
          <c:order val="1"/>
          <c:tx>
            <c:strRef>
              <c:f>HAFTALIK_PLAN!H5</c:f>
              <c:strCache>
                <c:ptCount val="1"/>
                <c:pt idx="0">
                  <c:v>Dönem Sonu Bakiye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HAFTALIK_PLAN!$A$6:$A$18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HAFTALIK_PLAN!$H$6:$H$18</c:f>
              <c:numCache>
                <c:formatCode>"₺ "#,##0;[RED]"(₺ "#,##0\);\-</c:formatCode>
                <c:ptCount val="13"/>
                <c:pt idx="0">
                  <c:v>530000</c:v>
                </c:pt>
                <c:pt idx="1">
                  <c:v>645000</c:v>
                </c:pt>
                <c:pt idx="2">
                  <c:v>720000</c:v>
                </c:pt>
                <c:pt idx="3">
                  <c:v>810000</c:v>
                </c:pt>
                <c:pt idx="4">
                  <c:v>890000</c:v>
                </c:pt>
                <c:pt idx="5">
                  <c:v>1030000</c:v>
                </c:pt>
                <c:pt idx="6">
                  <c:v>1030000</c:v>
                </c:pt>
                <c:pt idx="7">
                  <c:v>1135000</c:v>
                </c:pt>
                <c:pt idx="8">
                  <c:v>1150000</c:v>
                </c:pt>
                <c:pt idx="9">
                  <c:v>1215000</c:v>
                </c:pt>
                <c:pt idx="10">
                  <c:v>1315000</c:v>
                </c:pt>
                <c:pt idx="11">
                  <c:v>1385000</c:v>
                </c:pt>
                <c:pt idx="12">
                  <c:v>1415000</c:v>
                </c:pt>
              </c:numCache>
            </c:numRef>
          </c:val>
        </c:ser>
        <c:gapWidth val="150"/>
        <c:overlap val="0"/>
        <c:axId val="16843707"/>
        <c:axId val="96555530"/>
      </c:barChart>
      <c:catAx>
        <c:axId val="1684370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555530"/>
        <c:crosses val="autoZero"/>
        <c:auto val="1"/>
        <c:lblAlgn val="ctr"/>
        <c:lblOffset val="100"/>
        <c:noMultiLvlLbl val="0"/>
      </c:catAx>
      <c:valAx>
        <c:axId val="96555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8437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</xdr:row>
      <xdr:rowOff>0</xdr:rowOff>
    </xdr:from>
    <xdr:to>
      <xdr:col>20</xdr:col>
      <xdr:colOff>255960</xdr:colOff>
      <xdr:row>20</xdr:row>
      <xdr:rowOff>1440</xdr:rowOff>
    </xdr:to>
    <xdr:graphicFrame>
      <xdr:nvGraphicFramePr>
        <xdr:cNvPr id="1" name="Chart 1"/>
        <xdr:cNvGraphicFramePr/>
      </xdr:nvGraphicFramePr>
      <xdr:xfrm>
        <a:off x="12946320" y="2429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0</xdr:rowOff>
    </xdr:from>
    <xdr:to>
      <xdr:col>20</xdr:col>
      <xdr:colOff>255960</xdr:colOff>
      <xdr:row>36</xdr:row>
      <xdr:rowOff>1080</xdr:rowOff>
    </xdr:to>
    <xdr:graphicFrame>
      <xdr:nvGraphicFramePr>
        <xdr:cNvPr id="2" name="Chart 2"/>
        <xdr:cNvGraphicFramePr/>
      </xdr:nvGraphicFramePr>
      <xdr:xfrm>
        <a:off x="12946320" y="5477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34</xdr:row>
      <xdr:rowOff>0</xdr:rowOff>
    </xdr:from>
    <xdr:to>
      <xdr:col>20</xdr:col>
      <xdr:colOff>255960</xdr:colOff>
      <xdr:row>51</xdr:row>
      <xdr:rowOff>1080</xdr:rowOff>
    </xdr:to>
    <xdr:graphicFrame>
      <xdr:nvGraphicFramePr>
        <xdr:cNvPr id="3" name="Chart 3"/>
        <xdr:cNvGraphicFramePr/>
      </xdr:nvGraphicFramePr>
      <xdr:xfrm>
        <a:off x="12946320" y="8335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49</xdr:row>
      <xdr:rowOff>0</xdr:rowOff>
    </xdr:from>
    <xdr:to>
      <xdr:col>20</xdr:col>
      <xdr:colOff>255960</xdr:colOff>
      <xdr:row>66</xdr:row>
      <xdr:rowOff>1080</xdr:rowOff>
    </xdr:to>
    <xdr:graphicFrame>
      <xdr:nvGraphicFramePr>
        <xdr:cNvPr id="4" name="Chart 4"/>
        <xdr:cNvGraphicFramePr/>
      </xdr:nvGraphicFramePr>
      <xdr:xfrm>
        <a:off x="12946320" y="11192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</xdr:row>
      <xdr:rowOff>0</xdr:rowOff>
    </xdr:from>
    <xdr:to>
      <xdr:col>20</xdr:col>
      <xdr:colOff>255960</xdr:colOff>
      <xdr:row>21</xdr:row>
      <xdr:rowOff>1080</xdr:rowOff>
    </xdr:to>
    <xdr:graphicFrame>
      <xdr:nvGraphicFramePr>
        <xdr:cNvPr id="5" name="Chart 1"/>
        <xdr:cNvGraphicFramePr/>
      </xdr:nvGraphicFramePr>
      <xdr:xfrm>
        <a:off x="13862520" y="925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0</xdr:rowOff>
    </xdr:from>
    <xdr:to>
      <xdr:col>20</xdr:col>
      <xdr:colOff>255960</xdr:colOff>
      <xdr:row>36</xdr:row>
      <xdr:rowOff>1080</xdr:rowOff>
    </xdr:to>
    <xdr:graphicFrame>
      <xdr:nvGraphicFramePr>
        <xdr:cNvPr id="6" name="Chart 2"/>
        <xdr:cNvGraphicFramePr/>
      </xdr:nvGraphicFramePr>
      <xdr:xfrm>
        <a:off x="13862520" y="3782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34</xdr:row>
      <xdr:rowOff>0</xdr:rowOff>
    </xdr:from>
    <xdr:to>
      <xdr:col>20</xdr:col>
      <xdr:colOff>255960</xdr:colOff>
      <xdr:row>51</xdr:row>
      <xdr:rowOff>1080</xdr:rowOff>
    </xdr:to>
    <xdr:graphicFrame>
      <xdr:nvGraphicFramePr>
        <xdr:cNvPr id="7" name="Chart 3"/>
        <xdr:cNvGraphicFramePr/>
      </xdr:nvGraphicFramePr>
      <xdr:xfrm>
        <a:off x="13862520" y="6640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49</xdr:row>
      <xdr:rowOff>0</xdr:rowOff>
    </xdr:from>
    <xdr:to>
      <xdr:col>20</xdr:col>
      <xdr:colOff>255960</xdr:colOff>
      <xdr:row>66</xdr:row>
      <xdr:rowOff>1080</xdr:rowOff>
    </xdr:to>
    <xdr:graphicFrame>
      <xdr:nvGraphicFramePr>
        <xdr:cNvPr id="8" name="Chart 4"/>
        <xdr:cNvGraphicFramePr/>
      </xdr:nvGraphicFramePr>
      <xdr:xfrm>
        <a:off x="13862520" y="9497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64</xdr:row>
      <xdr:rowOff>0</xdr:rowOff>
    </xdr:from>
    <xdr:to>
      <xdr:col>20</xdr:col>
      <xdr:colOff>255960</xdr:colOff>
      <xdr:row>81</xdr:row>
      <xdr:rowOff>1080</xdr:rowOff>
    </xdr:to>
    <xdr:graphicFrame>
      <xdr:nvGraphicFramePr>
        <xdr:cNvPr id="9" name="Chart 5"/>
        <xdr:cNvGraphicFramePr/>
      </xdr:nvGraphicFramePr>
      <xdr:xfrm>
        <a:off x="13862520" y="12355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79</xdr:row>
      <xdr:rowOff>0</xdr:rowOff>
    </xdr:from>
    <xdr:to>
      <xdr:col>20</xdr:col>
      <xdr:colOff>255960</xdr:colOff>
      <xdr:row>96</xdr:row>
      <xdr:rowOff>1080</xdr:rowOff>
    </xdr:to>
    <xdr:graphicFrame>
      <xdr:nvGraphicFramePr>
        <xdr:cNvPr id="10" name="Chart 6"/>
        <xdr:cNvGraphicFramePr/>
      </xdr:nvGraphicFramePr>
      <xdr:xfrm>
        <a:off x="13862520" y="15212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ikis" displayName="tblCikis" ref="A5:H5000" headerRowCount="1" totalsRowCount="0" totalsRowShown="0">
  <tableColumns count="8">
    <tableColumn id="1" name="Hafta Numarası"/>
    <tableColumn id="2" name="Vade Tarihi"/>
    <tableColumn id="3" name="Kalem"/>
    <tableColumn id="4" name="Öncelik"/>
    <tableColumn id="5" name="Tutar (₺)"/>
    <tableColumn id="6" name="Hesap">
      <calculatedColumnFormula>=IF($A6="","",$E6)</calculatedColumnFormula>
    </tableColumn>
    <tableColumn id="7" name="Kontrol">
      <calculatedColumnFormula>=IF($A6="","",IF(OR($A6="",$E6=""),"EKSİK",IF($E6&lt;=0,"SIFIR/NEGATİF",IF($E6&gt;AsiriCikisTutari,"AŞIRI TUTAR","OK"))))</calculatedColumnFormula>
    </tableColumn>
    <tableColumn id="8" name="Açıklama"/>
  </tableColumns>
</table>
</file>

<file path=xl/tables/table2.xml><?xml version="1.0" encoding="utf-8"?>
<table xmlns="http://schemas.openxmlformats.org/spreadsheetml/2006/main" id="2" name="tblGiris" displayName="tblGiris" ref="A5:H5000" headerRowCount="1" totalsRowCount="0" totalsRowShown="0">
  <tableColumns count="8">
    <tableColumn id="1" name="Hafta Numarası"/>
    <tableColumn id="2" name="Beklenen Tarih"/>
    <tableColumn id="3" name="Güvence"/>
    <tableColumn id="4" name="Kaynak"/>
    <tableColumn id="5" name="Tutar (₺)"/>
    <tableColumn id="6" name="Hesap">
      <calculatedColumnFormula>=IF($A6="","",$E6)</calculatedColumnFormula>
    </tableColumn>
    <tableColumn id="7" name="Kontrol">
      <calculatedColumnFormula>=IF($A6="","",IF(OR($A6="",$E6=""),"EKSİK",IF($E6&lt;=0,"SIFIR/NEGATİF",IF($E6&gt;AsiriGirisTutari,"AŞIRI TUTAR","OK"))))</calculatedColumnFormula>
    </tableColumn>
    <tableColumn id="8" name="Açıklama"/>
  </tableColumns>
</table>
</file>

<file path=xl/tables/table3.xml><?xml version="1.0" encoding="utf-8"?>
<table xmlns="http://schemas.openxmlformats.org/spreadsheetml/2006/main" id="3" name="tblHaftaPlan" displayName="tblHaftaPlan" ref="A5:J1000" headerRowCount="1" totalsRowCount="0" totalsRowShown="0">
  <tableColumns count="10">
    <tableColumn id="1" name="Hafta Numarası"/>
    <tableColumn id="2" name="Dönem Başlangıcı"/>
    <tableColumn id="3" name="Dönem Bitişi"/>
    <tableColumn id="4" name="Toplam Giriş"/>
    <tableColumn id="5" name="Toplam Çıkış"/>
    <tableColumn id="6" name="Net Akış"/>
    <tableColumn id="7" name="Dönem Başı Bakiye"/>
    <tableColumn id="8" name="Dönem Sonu Bakiye"/>
    <tableColumn id="9" name="Durum"/>
    <tableColumn id="10" name="Önlem Önerisi">
      <calculatedColumnFormula>=IF($A6="","",IF($H6&lt;0,"Gider ertele / tahsilat hızlandır",IF($H6&lt;AsgariTampon,"Tampon altına dikkat: kritik ödemeleri ertele","Devam et")))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<Relationship Id="rId4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  <col collapsed="false" customWidth="true" hidden="false" outlineLevel="0" max="10" min="2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5" customFormat="false" ht="31.5" hidden="false" customHeight="false" outlineLevel="0" collapsed="false">
      <c r="A5" s="2" t="s">
        <v>1</v>
      </c>
    </row>
    <row r="6" customFormat="false" ht="16.15" hidden="false" customHeight="false" outlineLevel="0" collapsed="false">
      <c r="A6" s="3" t="s">
        <v>2</v>
      </c>
    </row>
    <row r="9" customFormat="false" ht="15" hidden="false" customHeight="false" outlineLevel="0" collapsed="false">
      <c r="A9" s="4" t="s">
        <v>3</v>
      </c>
    </row>
    <row r="10" customFormat="false" ht="15" hidden="false" customHeight="false" outlineLevel="0" collapsed="false">
      <c r="A10" s="5" t="s">
        <v>4</v>
      </c>
    </row>
    <row r="11" customFormat="false" ht="15" hidden="false" customHeight="false" outlineLevel="0" collapsed="false">
      <c r="A11" s="5" t="s">
        <v>5</v>
      </c>
    </row>
    <row r="12" customFormat="false" ht="15" hidden="false" customHeight="false" outlineLevel="0" collapsed="false">
      <c r="A12" s="5" t="s">
        <v>6</v>
      </c>
    </row>
    <row r="13" customFormat="false" ht="15" hidden="false" customHeight="false" outlineLevel="0" collapsed="false">
      <c r="A13" s="5" t="s">
        <v>7</v>
      </c>
    </row>
    <row r="15" customFormat="false" ht="15" hidden="false" customHeight="false" outlineLevel="0" collapsed="false">
      <c r="A15" s="4" t="s">
        <v>8</v>
      </c>
    </row>
    <row r="16" customFormat="false" ht="15" hidden="false" customHeight="false" outlineLevel="0" collapsed="false">
      <c r="A16" s="5" t="s">
        <v>9</v>
      </c>
    </row>
    <row r="18" customFormat="false" ht="15" hidden="false" customHeight="false" outlineLevel="0" collapsed="false">
      <c r="A18" s="4" t="s">
        <v>10</v>
      </c>
    </row>
    <row r="19" customFormat="false" ht="15" hidden="false" customHeight="false" outlineLevel="0" collapsed="false">
      <c r="A19" s="5" t="s">
        <v>11</v>
      </c>
    </row>
    <row r="20" customFormat="false" ht="15" hidden="false" customHeight="false" outlineLevel="0" collapsed="false">
      <c r="A20" s="5" t="s">
        <v>12</v>
      </c>
    </row>
    <row r="21" customFormat="false" ht="15" hidden="false" customHeight="false" outlineLevel="0" collapsed="false">
      <c r="A21" s="5" t="s">
        <v>13</v>
      </c>
    </row>
    <row r="25" customFormat="false" ht="15" hidden="false" customHeight="false" outlineLevel="0" collapsed="false">
      <c r="A25" s="6" t="s">
        <v>14</v>
      </c>
    </row>
  </sheetData>
  <sheetProtection sheet="true" password="cc3d" objects="true" scenarios="true" deleteColumns="false" deleteRows="false"/>
  <mergeCells count="1">
    <mergeCell ref="A1:A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  <col collapsed="false" customWidth="true" hidden="false" outlineLevel="0" max="10" min="2" style="0" width="14"/>
  </cols>
  <sheetData>
    <row r="1" customFormat="false" ht="25.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5" customFormat="false" ht="19.7" hidden="false" customHeight="false" outlineLevel="0" collapsed="false">
      <c r="A5" s="7" t="s">
        <v>16</v>
      </c>
    </row>
    <row r="7" customFormat="false" ht="15" hidden="false" customHeight="false" outlineLevel="0" collapsed="false">
      <c r="A7" s="4" t="s">
        <v>17</v>
      </c>
    </row>
    <row r="8" customFormat="false" ht="27.75" hidden="false" customHeight="true" outlineLevel="0" collapsed="false">
      <c r="A8" s="8" t="s">
        <v>18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</row>
    <row r="10" customFormat="false" ht="15" hidden="false" customHeight="false" outlineLevel="0" collapsed="false">
      <c r="A10" s="4" t="s">
        <v>19</v>
      </c>
    </row>
    <row r="11" customFormat="false" ht="27.75" hidden="false" customHeight="true" outlineLevel="0" collapsed="false">
      <c r="A11" s="8" t="s">
        <v>20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</row>
    <row r="13" customFormat="false" ht="15" hidden="false" customHeight="false" outlineLevel="0" collapsed="false">
      <c r="A13" s="4" t="s">
        <v>21</v>
      </c>
    </row>
    <row r="14" customFormat="false" ht="27.75" hidden="false" customHeight="true" outlineLevel="0" collapsed="false">
      <c r="A14" s="8" t="s">
        <v>22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</row>
    <row r="19" customFormat="false" ht="15" hidden="false" customHeight="false" outlineLevel="0" collapsed="false">
      <c r="A19" s="4" t="s">
        <v>23</v>
      </c>
    </row>
    <row r="20" customFormat="false" ht="15" hidden="false" customHeight="false" outlineLevel="0" collapsed="false">
      <c r="A20" s="9" t="s">
        <v>24</v>
      </c>
    </row>
    <row r="21" customFormat="false" ht="15" hidden="false" customHeight="false" outlineLevel="0" collapsed="false">
      <c r="A21" s="9" t="s">
        <v>25</v>
      </c>
    </row>
    <row r="22" customFormat="false" ht="15" hidden="false" customHeight="false" outlineLevel="0" collapsed="false">
      <c r="A22" s="9" t="s">
        <v>26</v>
      </c>
    </row>
  </sheetData>
  <sheetProtection sheet="true" password="cc3d" objects="true" scenarios="true" deleteColumns="false" deleteRows="false"/>
  <mergeCells count="4">
    <mergeCell ref="A1:AN1"/>
    <mergeCell ref="A8:BH9"/>
    <mergeCell ref="A11:BH12"/>
    <mergeCell ref="A14:B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80.55" hidden="false" customHeight="false" outlineLevel="0" collapsed="false">
      <c r="A3" s="10" t="s">
        <v>28</v>
      </c>
    </row>
    <row r="5" customFormat="false" ht="30" hidden="false" customHeight="true" outlineLevel="0" collapsed="false">
      <c r="A5" s="11" t="s">
        <v>29</v>
      </c>
      <c r="B5" s="11" t="s">
        <v>30</v>
      </c>
      <c r="C5" s="11" t="s">
        <v>31</v>
      </c>
      <c r="D5" s="11" t="s">
        <v>32</v>
      </c>
      <c r="E5" s="11" t="s">
        <v>33</v>
      </c>
      <c r="F5" s="11" t="s">
        <v>34</v>
      </c>
      <c r="G5" s="11" t="s">
        <v>35</v>
      </c>
      <c r="H5" s="11" t="s">
        <v>36</v>
      </c>
    </row>
    <row r="6" customFormat="false" ht="15" hidden="false" customHeight="false" outlineLevel="0" collapsed="false">
      <c r="A6" s="12" t="n">
        <v>1</v>
      </c>
      <c r="B6" s="13" t="n">
        <v>46244</v>
      </c>
      <c r="C6" s="14" t="s">
        <v>37</v>
      </c>
      <c r="D6" s="15" t="s">
        <v>38</v>
      </c>
      <c r="E6" s="16" t="n">
        <v>85000</v>
      </c>
      <c r="F6" s="17" t="n">
        <f aca="false">IF($A6="","",$E6)</f>
        <v>85000</v>
      </c>
      <c r="G6" s="18" t="str">
        <f aca="false">IF($A6="","",IF(OR($A6="",$E6=""),"EKSİK",IF($E6&lt;=0,"SIFIR/NEGATİF",IF($E6&gt;AsiriGirisTutari,"AŞIRI TUTAR","OK"))))</f>
        <v>OK</v>
      </c>
      <c r="H6" s="15" t="s">
        <v>39</v>
      </c>
    </row>
    <row r="7" customFormat="false" ht="15" hidden="false" customHeight="false" outlineLevel="0" collapsed="false">
      <c r="A7" s="12" t="n">
        <v>1</v>
      </c>
      <c r="B7" s="13" t="n">
        <v>46244</v>
      </c>
      <c r="C7" s="14" t="s">
        <v>40</v>
      </c>
      <c r="D7" s="15" t="s">
        <v>41</v>
      </c>
      <c r="E7" s="16" t="n">
        <v>120000</v>
      </c>
      <c r="F7" s="17" t="n">
        <f aca="false">IF($A7="","",$E7)</f>
        <v>120000</v>
      </c>
      <c r="G7" s="18" t="str">
        <f aca="false">IF($A7="","",IF(OR($A7="",$E7=""),"EKSİK",IF($E7&lt;=0,"SIFIR/NEGATİF",IF($E7&gt;AsiriGirisTutari,"AŞIRI TUTAR","OK"))))</f>
        <v>OK</v>
      </c>
      <c r="H7" s="15" t="s">
        <v>42</v>
      </c>
    </row>
    <row r="8" customFormat="false" ht="15" hidden="false" customHeight="false" outlineLevel="0" collapsed="false">
      <c r="A8" s="12" t="n">
        <v>2</v>
      </c>
      <c r="B8" s="13" t="n">
        <v>46251</v>
      </c>
      <c r="C8" s="14" t="s">
        <v>37</v>
      </c>
      <c r="D8" s="15" t="s">
        <v>38</v>
      </c>
      <c r="E8" s="16" t="n">
        <v>95000</v>
      </c>
      <c r="F8" s="17" t="n">
        <f aca="false">IF($A8="","",$E8)</f>
        <v>95000</v>
      </c>
      <c r="G8" s="18" t="str">
        <f aca="false">IF($A8="","",IF(OR($A8="",$E8=""),"EKSİK",IF($E8&lt;=0,"SIFIR/NEGATİF",IF($E8&gt;AsiriGirisTutari,"AŞIRI TUTAR","OK"))))</f>
        <v>OK</v>
      </c>
      <c r="H8" s="15" t="s">
        <v>39</v>
      </c>
    </row>
    <row r="9" customFormat="false" ht="15" hidden="false" customHeight="false" outlineLevel="0" collapsed="false">
      <c r="A9" s="12" t="n">
        <v>2</v>
      </c>
      <c r="B9" s="13" t="n">
        <v>46251</v>
      </c>
      <c r="C9" s="14" t="s">
        <v>40</v>
      </c>
      <c r="D9" s="15" t="s">
        <v>41</v>
      </c>
      <c r="E9" s="16" t="n">
        <v>110000</v>
      </c>
      <c r="F9" s="17" t="n">
        <f aca="false">IF($A9="","",$E9)</f>
        <v>110000</v>
      </c>
      <c r="G9" s="18" t="str">
        <f aca="false">IF($A9="","",IF(OR($A9="",$E9=""),"EKSİK",IF($E9&lt;=0,"SIFIR/NEGATİF",IF($E9&gt;AsiriGirisTutari,"AŞIRI TUTAR","OK"))))</f>
        <v>OK</v>
      </c>
      <c r="H9" s="15" t="s">
        <v>42</v>
      </c>
    </row>
    <row r="10" customFormat="false" ht="15" hidden="false" customHeight="false" outlineLevel="0" collapsed="false">
      <c r="A10" s="12" t="n">
        <v>3</v>
      </c>
      <c r="B10" s="13" t="n">
        <v>46258</v>
      </c>
      <c r="C10" s="14" t="s">
        <v>37</v>
      </c>
      <c r="D10" s="15" t="s">
        <v>38</v>
      </c>
      <c r="E10" s="16" t="n">
        <v>80000</v>
      </c>
      <c r="F10" s="17" t="n">
        <f aca="false">IF($A10="","",$E10)</f>
        <v>80000</v>
      </c>
      <c r="G10" s="18" t="str">
        <f aca="false">IF($A10="","",IF(OR($A10="",$E10=""),"EKSİK",IF($E10&lt;=0,"SIFIR/NEGATİF",IF($E10&gt;AsiriGirisTutari,"AŞIRI TUTAR","OK"))))</f>
        <v>OK</v>
      </c>
      <c r="H10" s="15" t="s">
        <v>39</v>
      </c>
    </row>
    <row r="11" customFormat="false" ht="15" hidden="false" customHeight="false" outlineLevel="0" collapsed="false">
      <c r="A11" s="12" t="n">
        <v>3</v>
      </c>
      <c r="B11" s="13" t="n">
        <v>46258</v>
      </c>
      <c r="C11" s="14" t="s">
        <v>40</v>
      </c>
      <c r="D11" s="15" t="s">
        <v>41</v>
      </c>
      <c r="E11" s="16" t="n">
        <v>100000</v>
      </c>
      <c r="F11" s="17" t="n">
        <f aca="false">IF($A11="","",$E11)</f>
        <v>100000</v>
      </c>
      <c r="G11" s="18" t="str">
        <f aca="false">IF($A11="","",IF(OR($A11="",$E11=""),"EKSİK",IF($E11&lt;=0,"SIFIR/NEGATİF",IF($E11&gt;AsiriGirisTutari,"AŞIRI TUTAR","OK"))))</f>
        <v>OK</v>
      </c>
      <c r="H11" s="15" t="s">
        <v>42</v>
      </c>
    </row>
    <row r="12" customFormat="false" ht="15" hidden="false" customHeight="false" outlineLevel="0" collapsed="false">
      <c r="A12" s="12" t="n">
        <v>3</v>
      </c>
      <c r="B12" s="13" t="n">
        <v>46258</v>
      </c>
      <c r="C12" s="14" t="s">
        <v>43</v>
      </c>
      <c r="D12" s="15" t="s">
        <v>44</v>
      </c>
      <c r="E12" s="16" t="n">
        <v>150000</v>
      </c>
      <c r="F12" s="17" t="n">
        <f aca="false">IF($A12="","",$E12)</f>
        <v>150000</v>
      </c>
      <c r="G12" s="18" t="str">
        <f aca="false">IF($A12="","",IF(OR($A12="",$E12=""),"EKSİK",IF($E12&lt;=0,"SIFIR/NEGATİF",IF($E12&gt;AsiriGirisTutari,"AŞIRI TUTAR","OK"))))</f>
        <v>OK</v>
      </c>
      <c r="H12" s="15" t="s">
        <v>45</v>
      </c>
    </row>
    <row r="13" customFormat="false" ht="15" hidden="false" customHeight="false" outlineLevel="0" collapsed="false">
      <c r="A13" s="12" t="n">
        <v>4</v>
      </c>
      <c r="B13" s="13" t="n">
        <v>46265</v>
      </c>
      <c r="C13" s="14" t="s">
        <v>37</v>
      </c>
      <c r="D13" s="15" t="s">
        <v>38</v>
      </c>
      <c r="E13" s="16" t="n">
        <v>90000</v>
      </c>
      <c r="F13" s="17" t="n">
        <f aca="false">IF($A13="","",$E13)</f>
        <v>90000</v>
      </c>
      <c r="G13" s="18" t="str">
        <f aca="false">IF($A13="","",IF(OR($A13="",$E13=""),"EKSİK",IF($E13&lt;=0,"SIFIR/NEGATİF",IF($E13&gt;AsiriGirisTutari,"AŞIRI TUTAR","OK"))))</f>
        <v>OK</v>
      </c>
      <c r="H13" s="15" t="s">
        <v>39</v>
      </c>
    </row>
    <row r="14" customFormat="false" ht="15" hidden="false" customHeight="false" outlineLevel="0" collapsed="false">
      <c r="A14" s="12" t="n">
        <v>4</v>
      </c>
      <c r="B14" s="13" t="n">
        <v>46265</v>
      </c>
      <c r="C14" s="14" t="s">
        <v>40</v>
      </c>
      <c r="D14" s="15" t="s">
        <v>41</v>
      </c>
      <c r="E14" s="16" t="n">
        <v>130000</v>
      </c>
      <c r="F14" s="17" t="n">
        <f aca="false">IF($A14="","",$E14)</f>
        <v>130000</v>
      </c>
      <c r="G14" s="18" t="str">
        <f aca="false">IF($A14="","",IF(OR($A14="",$E14=""),"EKSİK",IF($E14&lt;=0,"SIFIR/NEGATİF",IF($E14&gt;AsiriGirisTutari,"AŞIRI TUTAR","OK"))))</f>
        <v>OK</v>
      </c>
      <c r="H14" s="15" t="s">
        <v>42</v>
      </c>
    </row>
    <row r="15" customFormat="false" ht="15" hidden="false" customHeight="false" outlineLevel="0" collapsed="false">
      <c r="A15" s="12" t="n">
        <v>5</v>
      </c>
      <c r="B15" s="13" t="n">
        <v>46272</v>
      </c>
      <c r="C15" s="14" t="s">
        <v>37</v>
      </c>
      <c r="D15" s="15" t="s">
        <v>38</v>
      </c>
      <c r="E15" s="16" t="n">
        <v>70000</v>
      </c>
      <c r="F15" s="17" t="n">
        <f aca="false">IF($A15="","",$E15)</f>
        <v>70000</v>
      </c>
      <c r="G15" s="18" t="str">
        <f aca="false">IF($A15="","",IF(OR($A15="",$E15=""),"EKSİK",IF($E15&lt;=0,"SIFIR/NEGATİF",IF($E15&gt;AsiriGirisTutari,"AŞIRI TUTAR","OK"))))</f>
        <v>OK</v>
      </c>
      <c r="H15" s="15" t="s">
        <v>39</v>
      </c>
    </row>
    <row r="16" customFormat="false" ht="15" hidden="false" customHeight="false" outlineLevel="0" collapsed="false">
      <c r="A16" s="12" t="n">
        <v>5</v>
      </c>
      <c r="B16" s="13" t="n">
        <v>46272</v>
      </c>
      <c r="C16" s="14" t="s">
        <v>40</v>
      </c>
      <c r="D16" s="15" t="s">
        <v>41</v>
      </c>
      <c r="E16" s="16" t="n">
        <v>95000</v>
      </c>
      <c r="F16" s="17" t="n">
        <f aca="false">IF($A16="","",$E16)</f>
        <v>95000</v>
      </c>
      <c r="G16" s="18" t="str">
        <f aca="false">IF($A16="","",IF(OR($A16="",$E16=""),"EKSİK",IF($E16&lt;=0,"SIFIR/NEGATİF",IF($E16&gt;AsiriGirisTutari,"AŞIRI TUTAR","OK"))))</f>
        <v>OK</v>
      </c>
      <c r="H16" s="15" t="s">
        <v>42</v>
      </c>
    </row>
    <row r="17" customFormat="false" ht="15" hidden="false" customHeight="false" outlineLevel="0" collapsed="false">
      <c r="A17" s="12" t="n">
        <v>6</v>
      </c>
      <c r="B17" s="13" t="n">
        <v>46279</v>
      </c>
      <c r="C17" s="14" t="s">
        <v>37</v>
      </c>
      <c r="D17" s="15" t="s">
        <v>38</v>
      </c>
      <c r="E17" s="16" t="n">
        <v>110000</v>
      </c>
      <c r="F17" s="17" t="n">
        <f aca="false">IF($A17="","",$E17)</f>
        <v>110000</v>
      </c>
      <c r="G17" s="18" t="str">
        <f aca="false">IF($A17="","",IF(OR($A17="",$E17=""),"EKSİK",IF($E17&lt;=0,"SIFIR/NEGATİF",IF($E17&gt;AsiriGirisTutari,"AŞIRI TUTAR","OK"))))</f>
        <v>OK</v>
      </c>
      <c r="H17" s="15" t="s">
        <v>39</v>
      </c>
    </row>
    <row r="18" customFormat="false" ht="15" hidden="false" customHeight="false" outlineLevel="0" collapsed="false">
      <c r="A18" s="12" t="n">
        <v>6</v>
      </c>
      <c r="B18" s="13" t="n">
        <v>46279</v>
      </c>
      <c r="C18" s="14" t="s">
        <v>40</v>
      </c>
      <c r="D18" s="15" t="s">
        <v>41</v>
      </c>
      <c r="E18" s="16" t="n">
        <v>90000</v>
      </c>
      <c r="F18" s="17" t="n">
        <f aca="false">IF($A18="","",$E18)</f>
        <v>90000</v>
      </c>
      <c r="G18" s="18" t="str">
        <f aca="false">IF($A18="","",IF(OR($A18="",$E18=""),"EKSİK",IF($E18&lt;=0,"SIFIR/NEGATİF",IF($E18&gt;AsiriGirisTutari,"AŞIRI TUTAR","OK"))))</f>
        <v>OK</v>
      </c>
      <c r="H18" s="15" t="s">
        <v>42</v>
      </c>
    </row>
    <row r="19" customFormat="false" ht="15" hidden="false" customHeight="false" outlineLevel="0" collapsed="false">
      <c r="A19" s="12" t="n">
        <v>7</v>
      </c>
      <c r="B19" s="13" t="n">
        <v>46286</v>
      </c>
      <c r="C19" s="14" t="s">
        <v>37</v>
      </c>
      <c r="D19" s="15" t="s">
        <v>38</v>
      </c>
      <c r="E19" s="16" t="n">
        <v>75000</v>
      </c>
      <c r="F19" s="17" t="n">
        <f aca="false">IF($A19="","",$E19)</f>
        <v>75000</v>
      </c>
      <c r="G19" s="18" t="str">
        <f aca="false">IF($A19="","",IF(OR($A19="",$E19=""),"EKSİK",IF($E19&lt;=0,"SIFIR/NEGATİF",IF($E19&gt;AsiriGirisTutari,"AŞIRI TUTAR","OK"))))</f>
        <v>OK</v>
      </c>
      <c r="H19" s="15" t="s">
        <v>39</v>
      </c>
    </row>
    <row r="20" customFormat="false" ht="15" hidden="false" customHeight="false" outlineLevel="0" collapsed="false">
      <c r="A20" s="12" t="n">
        <v>7</v>
      </c>
      <c r="B20" s="13" t="n">
        <v>46286</v>
      </c>
      <c r="C20" s="14" t="s">
        <v>40</v>
      </c>
      <c r="D20" s="15" t="s">
        <v>41</v>
      </c>
      <c r="E20" s="16" t="n">
        <v>100000</v>
      </c>
      <c r="F20" s="17" t="n">
        <f aca="false">IF($A20="","",$E20)</f>
        <v>100000</v>
      </c>
      <c r="G20" s="18" t="str">
        <f aca="false">IF($A20="","",IF(OR($A20="",$E20=""),"EKSİK",IF($E20&lt;=0,"SIFIR/NEGATİF",IF($E20&gt;AsiriGirisTutari,"AŞIRI TUTAR","OK"))))</f>
        <v>OK</v>
      </c>
      <c r="H20" s="15" t="s">
        <v>42</v>
      </c>
    </row>
    <row r="21" customFormat="false" ht="15" hidden="false" customHeight="false" outlineLevel="0" collapsed="false">
      <c r="A21" s="12" t="n">
        <v>8</v>
      </c>
      <c r="B21" s="13" t="n">
        <v>46293</v>
      </c>
      <c r="C21" s="14" t="s">
        <v>37</v>
      </c>
      <c r="D21" s="15" t="s">
        <v>38</v>
      </c>
      <c r="E21" s="16" t="n">
        <v>85000</v>
      </c>
      <c r="F21" s="17" t="n">
        <f aca="false">IF($A21="","",$E21)</f>
        <v>85000</v>
      </c>
      <c r="G21" s="18" t="str">
        <f aca="false">IF($A21="","",IF(OR($A21="",$E21=""),"EKSİK",IF($E21&lt;=0,"SIFIR/NEGATİF",IF($E21&gt;AsiriGirisTutari,"AŞIRI TUTAR","OK"))))</f>
        <v>OK</v>
      </c>
      <c r="H21" s="15" t="s">
        <v>39</v>
      </c>
    </row>
    <row r="22" customFormat="false" ht="15" hidden="false" customHeight="false" outlineLevel="0" collapsed="false">
      <c r="A22" s="12" t="n">
        <v>8</v>
      </c>
      <c r="B22" s="13" t="n">
        <v>46293</v>
      </c>
      <c r="C22" s="14" t="s">
        <v>40</v>
      </c>
      <c r="D22" s="15" t="s">
        <v>41</v>
      </c>
      <c r="E22" s="16" t="n">
        <v>115000</v>
      </c>
      <c r="F22" s="17" t="n">
        <f aca="false">IF($A22="","",$E22)</f>
        <v>115000</v>
      </c>
      <c r="G22" s="18" t="str">
        <f aca="false">IF($A22="","",IF(OR($A22="",$E22=""),"EKSİK",IF($E22&lt;=0,"SIFIR/NEGATİF",IF($E22&gt;AsiriGirisTutari,"AŞIRI TUTAR","OK"))))</f>
        <v>OK</v>
      </c>
      <c r="H22" s="15" t="s">
        <v>42</v>
      </c>
    </row>
    <row r="23" customFormat="false" ht="15" hidden="false" customHeight="false" outlineLevel="0" collapsed="false">
      <c r="A23" s="12" t="n">
        <v>9</v>
      </c>
      <c r="B23" s="13" t="n">
        <v>46300</v>
      </c>
      <c r="C23" s="14" t="s">
        <v>37</v>
      </c>
      <c r="D23" s="15" t="s">
        <v>38</v>
      </c>
      <c r="E23" s="16" t="n">
        <v>60000</v>
      </c>
      <c r="F23" s="17" t="n">
        <f aca="false">IF($A23="","",$E23)</f>
        <v>60000</v>
      </c>
      <c r="G23" s="18" t="str">
        <f aca="false">IF($A23="","",IF(OR($A23="",$E23=""),"EKSİK",IF($E23&lt;=0,"SIFIR/NEGATİF",IF($E23&gt;AsiriGirisTutari,"AŞIRI TUTAR","OK"))))</f>
        <v>OK</v>
      </c>
      <c r="H23" s="15" t="s">
        <v>39</v>
      </c>
    </row>
    <row r="24" customFormat="false" ht="15" hidden="false" customHeight="false" outlineLevel="0" collapsed="false">
      <c r="A24" s="12" t="n">
        <v>9</v>
      </c>
      <c r="B24" s="13" t="n">
        <v>46300</v>
      </c>
      <c r="C24" s="14" t="s">
        <v>40</v>
      </c>
      <c r="D24" s="15" t="s">
        <v>41</v>
      </c>
      <c r="E24" s="16" t="n">
        <v>95000</v>
      </c>
      <c r="F24" s="17" t="n">
        <f aca="false">IF($A24="","",$E24)</f>
        <v>95000</v>
      </c>
      <c r="G24" s="18" t="str">
        <f aca="false">IF($A24="","",IF(OR($A24="",$E24=""),"EKSİK",IF($E24&lt;=0,"SIFIR/NEGATİF",IF($E24&gt;AsiriGirisTutari,"AŞIRI TUTAR","OK"))))</f>
        <v>OK</v>
      </c>
      <c r="H24" s="15" t="s">
        <v>42</v>
      </c>
    </row>
    <row r="25" customFormat="false" ht="15" hidden="false" customHeight="false" outlineLevel="0" collapsed="false">
      <c r="A25" s="12" t="n">
        <v>10</v>
      </c>
      <c r="B25" s="13" t="n">
        <v>46307</v>
      </c>
      <c r="C25" s="14" t="s">
        <v>37</v>
      </c>
      <c r="D25" s="15" t="s">
        <v>38</v>
      </c>
      <c r="E25" s="16" t="n">
        <v>90000</v>
      </c>
      <c r="F25" s="17" t="n">
        <f aca="false">IF($A25="","",$E25)</f>
        <v>90000</v>
      </c>
      <c r="G25" s="18" t="str">
        <f aca="false">IF($A25="","",IF(OR($A25="",$E25=""),"EKSİK",IF($E25&lt;=0,"SIFIR/NEGATİF",IF($E25&gt;AsiriGirisTutari,"AŞIRI TUTAR","OK"))))</f>
        <v>OK</v>
      </c>
      <c r="H25" s="15" t="s">
        <v>39</v>
      </c>
    </row>
    <row r="26" customFormat="false" ht="15" hidden="false" customHeight="false" outlineLevel="0" collapsed="false">
      <c r="A26" s="12" t="n">
        <v>10</v>
      </c>
      <c r="B26" s="13" t="n">
        <v>46307</v>
      </c>
      <c r="C26" s="14" t="s">
        <v>40</v>
      </c>
      <c r="D26" s="15" t="s">
        <v>41</v>
      </c>
      <c r="E26" s="16" t="n">
        <v>105000</v>
      </c>
      <c r="F26" s="17" t="n">
        <f aca="false">IF($A26="","",$E26)</f>
        <v>105000</v>
      </c>
      <c r="G26" s="18" t="str">
        <f aca="false">IF($A26="","",IF(OR($A26="",$E26=""),"EKSİK",IF($E26&lt;=0,"SIFIR/NEGATİF",IF($E26&gt;AsiriGirisTutari,"AŞIRI TUTAR","OK"))))</f>
        <v>OK</v>
      </c>
      <c r="H26" s="15" t="s">
        <v>42</v>
      </c>
    </row>
    <row r="27" customFormat="false" ht="15" hidden="false" customHeight="false" outlineLevel="0" collapsed="false">
      <c r="A27" s="12" t="n">
        <v>11</v>
      </c>
      <c r="B27" s="13" t="n">
        <v>46314</v>
      </c>
      <c r="C27" s="14" t="s">
        <v>37</v>
      </c>
      <c r="D27" s="15" t="s">
        <v>38</v>
      </c>
      <c r="E27" s="16" t="n">
        <v>80000</v>
      </c>
      <c r="F27" s="17" t="n">
        <f aca="false">IF($A27="","",$E27)</f>
        <v>80000</v>
      </c>
      <c r="G27" s="18" t="str">
        <f aca="false">IF($A27="","",IF(OR($A27="",$E27=""),"EKSİK",IF($E27&lt;=0,"SIFIR/NEGATİF",IF($E27&gt;AsiriGirisTutari,"AŞIRI TUTAR","OK"))))</f>
        <v>OK</v>
      </c>
      <c r="H27" s="15" t="s">
        <v>39</v>
      </c>
    </row>
    <row r="28" customFormat="false" ht="15" hidden="false" customHeight="false" outlineLevel="0" collapsed="false">
      <c r="A28" s="12" t="n">
        <v>11</v>
      </c>
      <c r="B28" s="13" t="n">
        <v>46314</v>
      </c>
      <c r="C28" s="14" t="s">
        <v>40</v>
      </c>
      <c r="D28" s="15" t="s">
        <v>41</v>
      </c>
      <c r="E28" s="16" t="n">
        <v>100000</v>
      </c>
      <c r="F28" s="17" t="n">
        <f aca="false">IF($A28="","",$E28)</f>
        <v>100000</v>
      </c>
      <c r="G28" s="18" t="str">
        <f aca="false">IF($A28="","",IF(OR($A28="",$E28=""),"EKSİK",IF($E28&lt;=0,"SIFIR/NEGATİF",IF($E28&gt;AsiriGirisTutari,"AŞIRI TUTAR","OK"))))</f>
        <v>OK</v>
      </c>
      <c r="H28" s="15" t="s">
        <v>42</v>
      </c>
    </row>
    <row r="29" customFormat="false" ht="15" hidden="false" customHeight="false" outlineLevel="0" collapsed="false">
      <c r="A29" s="12" t="n">
        <v>12</v>
      </c>
      <c r="B29" s="13" t="n">
        <v>46321</v>
      </c>
      <c r="C29" s="14" t="s">
        <v>37</v>
      </c>
      <c r="D29" s="15" t="s">
        <v>38</v>
      </c>
      <c r="E29" s="16" t="n">
        <v>95000</v>
      </c>
      <c r="F29" s="17" t="n">
        <f aca="false">IF($A29="","",$E29)</f>
        <v>95000</v>
      </c>
      <c r="G29" s="18" t="str">
        <f aca="false">IF($A29="","",IF(OR($A29="",$E29=""),"EKSİK",IF($E29&lt;=0,"SIFIR/NEGATİF",IF($E29&gt;AsiriGirisTutari,"AŞIRI TUTAR","OK"))))</f>
        <v>OK</v>
      </c>
      <c r="H29" s="15" t="s">
        <v>39</v>
      </c>
    </row>
    <row r="30" customFormat="false" ht="15" hidden="false" customHeight="false" outlineLevel="0" collapsed="false">
      <c r="A30" s="12" t="n">
        <v>12</v>
      </c>
      <c r="B30" s="13" t="n">
        <v>46321</v>
      </c>
      <c r="C30" s="14" t="s">
        <v>40</v>
      </c>
      <c r="D30" s="15" t="s">
        <v>41</v>
      </c>
      <c r="E30" s="16" t="n">
        <v>110000</v>
      </c>
      <c r="F30" s="17" t="n">
        <f aca="false">IF($A30="","",$E30)</f>
        <v>110000</v>
      </c>
      <c r="G30" s="18" t="str">
        <f aca="false">IF($A30="","",IF(OR($A30="",$E30=""),"EKSİK",IF($E30&lt;=0,"SIFIR/NEGATİF",IF($E30&gt;AsiriGirisTutari,"AŞIRI TUTAR","OK"))))</f>
        <v>OK</v>
      </c>
      <c r="H30" s="15" t="s">
        <v>42</v>
      </c>
    </row>
    <row r="31" customFormat="false" ht="15" hidden="false" customHeight="false" outlineLevel="0" collapsed="false">
      <c r="A31" s="12" t="n">
        <v>13</v>
      </c>
      <c r="B31" s="13" t="n">
        <v>46328</v>
      </c>
      <c r="C31" s="14" t="s">
        <v>37</v>
      </c>
      <c r="D31" s="15" t="s">
        <v>38</v>
      </c>
      <c r="E31" s="16" t="n">
        <v>85000</v>
      </c>
      <c r="F31" s="17" t="n">
        <f aca="false">IF($A31="","",$E31)</f>
        <v>85000</v>
      </c>
      <c r="G31" s="18" t="str">
        <f aca="false">IF($A31="","",IF(OR($A31="",$E31=""),"EKSİK",IF($E31&lt;=0,"SIFIR/NEGATİF",IF($E31&gt;AsiriGirisTutari,"AŞIRI TUTAR","OK"))))</f>
        <v>OK</v>
      </c>
      <c r="H31" s="15" t="s">
        <v>39</v>
      </c>
    </row>
    <row r="32" customFormat="false" ht="15" hidden="false" customHeight="false" outlineLevel="0" collapsed="false">
      <c r="A32" s="12" t="n">
        <v>13</v>
      </c>
      <c r="B32" s="13" t="n">
        <v>46328</v>
      </c>
      <c r="C32" s="14" t="s">
        <v>40</v>
      </c>
      <c r="D32" s="15" t="s">
        <v>41</v>
      </c>
      <c r="E32" s="16" t="n">
        <v>120000</v>
      </c>
      <c r="F32" s="17" t="n">
        <f aca="false">IF($A32="","",$E32)</f>
        <v>120000</v>
      </c>
      <c r="G32" s="18" t="str">
        <f aca="false">IF($A32="","",IF(OR($A32="",$E32=""),"EKSİK",IF($E32&lt;=0,"SIFIR/NEGATİF",IF($E32&gt;AsiriGirisTutari,"AŞIRI TUTAR","OK"))))</f>
        <v>OK</v>
      </c>
      <c r="H32" s="15" t="s">
        <v>42</v>
      </c>
    </row>
    <row r="33" customFormat="false" ht="15" hidden="false" customHeight="false" outlineLevel="0" collapsed="false">
      <c r="A33" s="19"/>
      <c r="B33" s="19"/>
      <c r="C33" s="19"/>
      <c r="D33" s="19"/>
      <c r="E33" s="19"/>
      <c r="F33" s="17" t="str">
        <f aca="false">IF($A33="","",$E33)</f>
        <v/>
      </c>
      <c r="G33" s="18" t="str">
        <f aca="false">IF($A33="","",IF(OR($A33="",$E33=""),"EKSİK",IF($E33&lt;=0,"SIFIR/NEGATİF",IF($E33&gt;AsiriGirisTutari,"AŞIRI TUTAR","OK"))))</f>
        <v/>
      </c>
      <c r="H33" s="19"/>
    </row>
    <row r="34" customFormat="false" ht="15" hidden="false" customHeight="false" outlineLevel="0" collapsed="false">
      <c r="A34" s="19"/>
      <c r="B34" s="19"/>
      <c r="C34" s="19"/>
      <c r="D34" s="19"/>
      <c r="E34" s="19"/>
      <c r="F34" s="17" t="str">
        <f aca="false">IF($A34="","",$E34)</f>
        <v/>
      </c>
      <c r="G34" s="18" t="str">
        <f aca="false">IF($A34="","",IF(OR($A34="",$E34=""),"EKSİK",IF($E34&lt;=0,"SIFIR/NEGATİF",IF($E34&gt;AsiriGirisTutari,"AŞIRI TUTAR","OK"))))</f>
        <v/>
      </c>
      <c r="H34" s="19"/>
    </row>
    <row r="35" customFormat="false" ht="15" hidden="false" customHeight="false" outlineLevel="0" collapsed="false">
      <c r="A35" s="19"/>
      <c r="B35" s="19"/>
      <c r="C35" s="19"/>
      <c r="D35" s="19"/>
      <c r="E35" s="19"/>
      <c r="F35" s="17" t="str">
        <f aca="false">IF($A35="","",$E35)</f>
        <v/>
      </c>
      <c r="G35" s="18" t="str">
        <f aca="false">IF($A35="","",IF(OR($A35="",$E35=""),"EKSİK",IF($E35&lt;=0,"SIFIR/NEGATİF",IF($E35&gt;AsiriGirisTutari,"AŞIRI TUTAR","OK"))))</f>
        <v/>
      </c>
      <c r="H35" s="19"/>
    </row>
  </sheetData>
  <sheetProtection sheet="true" password="cc3d" objects="true" scenarios="true" deleteColumns="false" deleteRows="false"/>
  <mergeCells count="1">
    <mergeCell ref="A1:AN1"/>
  </mergeCells>
  <conditionalFormatting sqref="C6:C5000">
    <cfRule type="cellIs" priority="2" operator="equal" aboveAverage="0" equalAverage="0" bottom="0" percent="0" rank="0" text="" dxfId="10">
      <formula>"KESİN"</formula>
    </cfRule>
    <cfRule type="cellIs" priority="3" operator="equal" aboveAverage="0" equalAverage="0" bottom="0" percent="0" rank="0" text="" dxfId="11">
      <formula>"BEKLENEN"</formula>
    </cfRule>
    <cfRule type="cellIs" priority="4" operator="equal" aboveAverage="0" equalAverage="0" bottom="0" percent="0" rank="0" text="" dxfId="12">
      <formula>"BELİRSİZ"</formula>
    </cfRule>
  </conditionalFormatting>
  <conditionalFormatting sqref="E6:E5000">
    <cfRule type="cellIs" priority="5" operator="lessThanOrEqual" aboveAverage="0" equalAverage="0" bottom="0" percent="0" rank="0" text="" dxfId="13">
      <formula>0</formula>
    </cfRule>
    <cfRule type="cellIs" priority="6" operator="greaterThan" aboveAverage="0" equalAverage="0" bottom="0" percent="0" rank="0" text="" dxfId="10">
      <formula>0</formula>
    </cfRule>
  </conditionalFormatting>
  <conditionalFormatting sqref="G6:G5000">
    <cfRule type="cellIs" priority="7" operator="equal" aboveAverage="0" equalAverage="0" bottom="0" percent="0" rank="0" text="" dxfId="10">
      <formula>"OK"</formula>
    </cfRule>
    <cfRule type="cellIs" priority="8" operator="equal" aboveAverage="0" equalAverage="0" bottom="0" percent="0" rank="0" text="" dxfId="11">
      <formula>"EKSİK"</formula>
    </cfRule>
    <cfRule type="cellIs" priority="9" operator="equal" aboveAverage="0" equalAverage="0" bottom="0" percent="0" rank="0" text="" dxfId="13">
      <formula>"MÜKERRER"</formula>
    </cfRule>
    <cfRule type="cellIs" priority="10" operator="equal" aboveAverage="0" equalAverage="0" bottom="0" percent="0" rank="0" text="" dxfId="12">
      <formula>"SIFIR/NEGATİF"</formula>
    </cfRule>
    <cfRule type="cellIs" priority="11" operator="equal" aboveAverage="0" equalAverage="0" bottom="0" percent="0" rank="0" text="" dxfId="13">
      <formula>"AŞIRI TUTAR"</formula>
    </cfRule>
  </conditionalFormatting>
  <dataValidations count="5">
    <dataValidation allowBlank="true" error="Hafta numarası 1 ile 13 arasında olmalıdır." errorStyle="stop" errorTitle="Geçersiz hafta" operator="between" prompt="1-13 arası hafta numarası seçin." promptTitle="Hafta Numarası" showDropDown="false" showErrorMessage="true" showInputMessage="true" sqref="A6:A1035" type="list">
      <formula1>"1,2,3,4,5,6,7,8,9,10,11,12,13"</formula1>
      <formula2>0</formula2>
    </dataValidation>
    <dataValidation allowBlank="true" error="Yalnızca KESİN, BEKLENEN veya BELİRSİZ değerleri kullanın." errorStyle="stop" errorTitle="Geçersiz güvence" operator="between" prompt="Tahsilatın kesinliğini seçin: KESİN, BEKLENEN veya BELİRSİZ." promptTitle="Güvence" showDropDown="false" showErrorMessage="true" showInputMessage="true" sqref="C6:C1035" type="list">
      <formula1>ListeGuvence</formula1>
      <formula2>0</formula2>
    </dataValidation>
    <dataValidation allowBlank="true" error="Listedeki kaynaklardan birini seçin." errorStyle="stop" errorTitle="Geçersiz kaynak" operator="between" prompt="Girişin kaynağını seçin." promptTitle="Kaynak" showDropDown="false" showErrorMessage="true" showInputMessage="true" sqref="D6:D1035" type="list">
      <formula1>ListeKaynak</formula1>
      <formula2>0</formula2>
    </dataValidation>
    <dataValidation allowBlank="true" error="Tutar 0'dan büyük olmalıdır. Gideri NAKIT_CIKISLARI sayfasına yazın." errorStyle="stop" errorTitle="Geçersiz tutar" operator="greaterThan" prompt="Pozitif beklenen tahsilat tutarını girin." promptTitle="Tutar (₺)" showDropDown="false" showErrorMessage="true" showInputMessage="true" sqref="E6:E1035" type="decimal">
      <formula1>0</formula1>
      <formula2>0</formula2>
    </dataValidation>
    <dataValidation allowBlank="true" error="Tarih gg.aa.yyyy biçiminde olmalıdır." errorStyle="stop" errorTitle="Geçersiz tarih" operator="between" prompt="Tahsilatın beklenen tarihini gg.aa.yyyy girin (opsiyonel)." promptTitle="Beklenen Tarih" showDropDown="false" showErrorMessage="true" showInputMessage="true" sqref="B6:B1035" type="date">
      <formula1>01.01.2020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35.8" hidden="false" customHeight="false" outlineLevel="0" collapsed="false">
      <c r="A3" s="10" t="s">
        <v>47</v>
      </c>
    </row>
    <row r="5" customFormat="false" ht="30" hidden="false" customHeight="true" outlineLevel="0" collapsed="false">
      <c r="A5" s="11" t="s">
        <v>29</v>
      </c>
      <c r="B5" s="11" t="s">
        <v>48</v>
      </c>
      <c r="C5" s="11" t="s">
        <v>49</v>
      </c>
      <c r="D5" s="11" t="s">
        <v>50</v>
      </c>
      <c r="E5" s="11" t="s">
        <v>33</v>
      </c>
      <c r="F5" s="11" t="s">
        <v>34</v>
      </c>
      <c r="G5" s="11" t="s">
        <v>35</v>
      </c>
      <c r="H5" s="11" t="s">
        <v>36</v>
      </c>
    </row>
    <row r="6" customFormat="false" ht="15" hidden="false" customHeight="false" outlineLevel="0" collapsed="false">
      <c r="A6" s="12" t="n">
        <v>1</v>
      </c>
      <c r="B6" s="13" t="n">
        <v>46244</v>
      </c>
      <c r="C6" s="15" t="s">
        <v>51</v>
      </c>
      <c r="D6" s="14" t="s">
        <v>52</v>
      </c>
      <c r="E6" s="16" t="n">
        <v>130000</v>
      </c>
      <c r="F6" s="17" t="n">
        <f aca="false">IF($A6="","",$E6)</f>
        <v>130000</v>
      </c>
      <c r="G6" s="18" t="str">
        <f aca="false">IF($A6="","",IF(OR($A6="",$E6=""),"EKSİK",IF($E6&lt;=0,"SIFIR/NEGATİF",IF($E6&gt;AsiriCikisTutari,"AŞIRI TUTAR","OK"))))</f>
        <v>OK</v>
      </c>
      <c r="H6" s="15" t="s">
        <v>53</v>
      </c>
    </row>
    <row r="7" customFormat="false" ht="15" hidden="false" customHeight="false" outlineLevel="0" collapsed="false">
      <c r="A7" s="12" t="n">
        <v>1</v>
      </c>
      <c r="B7" s="13" t="n">
        <v>46244</v>
      </c>
      <c r="C7" s="15" t="s">
        <v>54</v>
      </c>
      <c r="D7" s="14" t="s">
        <v>55</v>
      </c>
      <c r="E7" s="16" t="n">
        <v>45000</v>
      </c>
      <c r="F7" s="17" t="n">
        <f aca="false">IF($A7="","",$E7)</f>
        <v>45000</v>
      </c>
      <c r="G7" s="18" t="str">
        <f aca="false">IF($A7="","",IF(OR($A7="",$E7=""),"EKSİK",IF($E7&lt;=0,"SIFIR/NEGATİF",IF($E7&gt;AsiriCikisTutari,"AŞIRI TUTAR","OK"))))</f>
        <v>OK</v>
      </c>
      <c r="H7" s="15" t="s">
        <v>56</v>
      </c>
    </row>
    <row r="8" customFormat="false" ht="15" hidden="false" customHeight="false" outlineLevel="0" collapsed="false">
      <c r="A8" s="12" t="n">
        <v>2</v>
      </c>
      <c r="B8" s="13" t="n">
        <v>46251</v>
      </c>
      <c r="C8" s="15" t="s">
        <v>57</v>
      </c>
      <c r="D8" s="14" t="s">
        <v>55</v>
      </c>
      <c r="E8" s="16" t="n">
        <v>90000</v>
      </c>
      <c r="F8" s="17" t="n">
        <f aca="false">IF($A8="","",$E8)</f>
        <v>90000</v>
      </c>
      <c r="G8" s="18" t="str">
        <f aca="false">IF($A8="","",IF(OR($A8="",$E8=""),"EKSİK",IF($E8&lt;=0,"SIFIR/NEGATİF",IF($E8&gt;AsiriCikisTutari,"AŞIRI TUTAR","OK"))))</f>
        <v>OK</v>
      </c>
      <c r="H8" s="15" t="s">
        <v>58</v>
      </c>
    </row>
    <row r="9" customFormat="false" ht="15" hidden="false" customHeight="false" outlineLevel="0" collapsed="false">
      <c r="A9" s="12" t="n">
        <v>3</v>
      </c>
      <c r="B9" s="13" t="n">
        <v>46258</v>
      </c>
      <c r="C9" s="15" t="s">
        <v>59</v>
      </c>
      <c r="D9" s="14" t="s">
        <v>52</v>
      </c>
      <c r="E9" s="16" t="n">
        <v>180000</v>
      </c>
      <c r="F9" s="17" t="n">
        <f aca="false">IF($A9="","",$E9)</f>
        <v>180000</v>
      </c>
      <c r="G9" s="18" t="str">
        <f aca="false">IF($A9="","",IF(OR($A9="",$E9=""),"EKSİK",IF($E9&lt;=0,"SIFIR/NEGATİF",IF($E9&gt;AsiriCikisTutari,"AŞIRI TUTAR","OK"))))</f>
        <v>OK</v>
      </c>
      <c r="H9" s="15" t="s">
        <v>60</v>
      </c>
    </row>
    <row r="10" customFormat="false" ht="15" hidden="false" customHeight="false" outlineLevel="0" collapsed="false">
      <c r="A10" s="12" t="n">
        <v>3</v>
      </c>
      <c r="B10" s="13" t="n">
        <v>46258</v>
      </c>
      <c r="C10" s="15" t="s">
        <v>61</v>
      </c>
      <c r="D10" s="14" t="s">
        <v>52</v>
      </c>
      <c r="E10" s="16" t="n">
        <v>75000</v>
      </c>
      <c r="F10" s="17" t="n">
        <f aca="false">IF($A10="","",$E10)</f>
        <v>75000</v>
      </c>
      <c r="G10" s="18" t="str">
        <f aca="false">IF($A10="","",IF(OR($A10="",$E10=""),"EKSİK",IF($E10&lt;=0,"SIFIR/NEGATİF",IF($E10&gt;AsiriCikisTutari,"AŞIRI TUTAR","OK"))))</f>
        <v>OK</v>
      </c>
      <c r="H10" s="15" t="s">
        <v>62</v>
      </c>
    </row>
    <row r="11" customFormat="false" ht="15" hidden="false" customHeight="false" outlineLevel="0" collapsed="false">
      <c r="A11" s="12" t="n">
        <v>4</v>
      </c>
      <c r="B11" s="13" t="n">
        <v>46265</v>
      </c>
      <c r="C11" s="15" t="s">
        <v>51</v>
      </c>
      <c r="D11" s="14" t="s">
        <v>52</v>
      </c>
      <c r="E11" s="16" t="n">
        <v>130000</v>
      </c>
      <c r="F11" s="17" t="n">
        <f aca="false">IF($A11="","",$E11)</f>
        <v>130000</v>
      </c>
      <c r="G11" s="18" t="str">
        <f aca="false">IF($A11="","",IF(OR($A11="",$E11=""),"EKSİK",IF($E11&lt;=0,"SIFIR/NEGATİF",IF($E11&gt;AsiriCikisTutari,"AŞIRI TUTAR","OK"))))</f>
        <v>OK</v>
      </c>
      <c r="H11" s="15" t="s">
        <v>53</v>
      </c>
    </row>
    <row r="12" customFormat="false" ht="15" hidden="false" customHeight="false" outlineLevel="0" collapsed="false">
      <c r="A12" s="12" t="n">
        <v>5</v>
      </c>
      <c r="B12" s="13" t="n">
        <v>46272</v>
      </c>
      <c r="C12" s="15" t="s">
        <v>57</v>
      </c>
      <c r="D12" s="14" t="s">
        <v>55</v>
      </c>
      <c r="E12" s="16" t="n">
        <v>85000</v>
      </c>
      <c r="F12" s="17" t="n">
        <f aca="false">IF($A12="","",$E12)</f>
        <v>85000</v>
      </c>
      <c r="G12" s="18" t="str">
        <f aca="false">IF($A12="","",IF(OR($A12="",$E12=""),"EKSİK",IF($E12&lt;=0,"SIFIR/NEGATİF",IF($E12&gt;AsiriCikisTutari,"AŞIRI TUTAR","OK"))))</f>
        <v>OK</v>
      </c>
      <c r="H12" s="15" t="s">
        <v>58</v>
      </c>
    </row>
    <row r="13" customFormat="false" ht="15" hidden="false" customHeight="false" outlineLevel="0" collapsed="false">
      <c r="A13" s="12" t="n">
        <v>6</v>
      </c>
      <c r="B13" s="13" t="n">
        <v>46279</v>
      </c>
      <c r="C13" s="15" t="s">
        <v>63</v>
      </c>
      <c r="D13" s="14" t="s">
        <v>52</v>
      </c>
      <c r="E13" s="16" t="n">
        <v>60000</v>
      </c>
      <c r="F13" s="17" t="n">
        <f aca="false">IF($A13="","",$E13)</f>
        <v>60000</v>
      </c>
      <c r="G13" s="18" t="str">
        <f aca="false">IF($A13="","",IF(OR($A13="",$E13=""),"EKSİK",IF($E13&lt;=0,"SIFIR/NEGATİF",IF($E13&gt;AsiriCikisTutari,"AŞIRI TUTAR","OK"))))</f>
        <v>OK</v>
      </c>
      <c r="H13" s="15" t="s">
        <v>64</v>
      </c>
    </row>
    <row r="14" customFormat="false" ht="15" hidden="false" customHeight="false" outlineLevel="0" collapsed="false">
      <c r="A14" s="12" t="n">
        <v>7</v>
      </c>
      <c r="B14" s="13" t="n">
        <v>46286</v>
      </c>
      <c r="C14" s="15" t="s">
        <v>51</v>
      </c>
      <c r="D14" s="14" t="s">
        <v>52</v>
      </c>
      <c r="E14" s="16" t="n">
        <v>130000</v>
      </c>
      <c r="F14" s="17" t="n">
        <f aca="false">IF($A14="","",$E14)</f>
        <v>130000</v>
      </c>
      <c r="G14" s="18" t="str">
        <f aca="false">IF($A14="","",IF(OR($A14="",$E14=""),"EKSİK",IF($E14&lt;=0,"SIFIR/NEGATİF",IF($E14&gt;AsiriCikisTutari,"AŞIRI TUTAR","OK"))))</f>
        <v>OK</v>
      </c>
      <c r="H14" s="15" t="s">
        <v>53</v>
      </c>
    </row>
    <row r="15" customFormat="false" ht="15" hidden="false" customHeight="false" outlineLevel="0" collapsed="false">
      <c r="A15" s="12" t="n">
        <v>7</v>
      </c>
      <c r="B15" s="13" t="n">
        <v>46286</v>
      </c>
      <c r="C15" s="15" t="s">
        <v>54</v>
      </c>
      <c r="D15" s="14" t="s">
        <v>55</v>
      </c>
      <c r="E15" s="16" t="n">
        <v>45000</v>
      </c>
      <c r="F15" s="17" t="n">
        <f aca="false">IF($A15="","",$E15)</f>
        <v>45000</v>
      </c>
      <c r="G15" s="18" t="str">
        <f aca="false">IF($A15="","",IF(OR($A15="",$E15=""),"EKSİK",IF($E15&lt;=0,"SIFIR/NEGATİF",IF($E15&gt;AsiriCikisTutari,"AŞIRI TUTAR","OK"))))</f>
        <v>OK</v>
      </c>
      <c r="H15" s="15" t="s">
        <v>56</v>
      </c>
    </row>
    <row r="16" customFormat="false" ht="15" hidden="false" customHeight="false" outlineLevel="0" collapsed="false">
      <c r="A16" s="12" t="n">
        <v>8</v>
      </c>
      <c r="B16" s="13" t="n">
        <v>46293</v>
      </c>
      <c r="C16" s="15" t="s">
        <v>57</v>
      </c>
      <c r="D16" s="14" t="s">
        <v>55</v>
      </c>
      <c r="E16" s="16" t="n">
        <v>95000</v>
      </c>
      <c r="F16" s="17" t="n">
        <f aca="false">IF($A16="","",$E16)</f>
        <v>95000</v>
      </c>
      <c r="G16" s="18" t="str">
        <f aca="false">IF($A16="","",IF(OR($A16="",$E16=""),"EKSİK",IF($E16&lt;=0,"SIFIR/NEGATİF",IF($E16&gt;AsiriCikisTutari,"AŞIRI TUTAR","OK"))))</f>
        <v>OK</v>
      </c>
      <c r="H16" s="15" t="s">
        <v>58</v>
      </c>
    </row>
    <row r="17" customFormat="false" ht="15" hidden="false" customHeight="false" outlineLevel="0" collapsed="false">
      <c r="A17" s="12" t="n">
        <v>9</v>
      </c>
      <c r="B17" s="13" t="n">
        <v>46300</v>
      </c>
      <c r="C17" s="15" t="s">
        <v>59</v>
      </c>
      <c r="D17" s="14" t="s">
        <v>52</v>
      </c>
      <c r="E17" s="16" t="n">
        <v>140000</v>
      </c>
      <c r="F17" s="17" t="n">
        <f aca="false">IF($A17="","",$E17)</f>
        <v>140000</v>
      </c>
      <c r="G17" s="18" t="str">
        <f aca="false">IF($A17="","",IF(OR($A17="",$E17=""),"EKSİK",IF($E17&lt;=0,"SIFIR/NEGATİF",IF($E17&gt;AsiriCikisTutari,"AŞIRI TUTAR","OK"))))</f>
        <v>OK</v>
      </c>
      <c r="H17" s="15" t="s">
        <v>60</v>
      </c>
    </row>
    <row r="18" customFormat="false" ht="15" hidden="false" customHeight="false" outlineLevel="0" collapsed="false">
      <c r="A18" s="12" t="n">
        <v>10</v>
      </c>
      <c r="B18" s="13" t="n">
        <v>46307</v>
      </c>
      <c r="C18" s="15" t="s">
        <v>51</v>
      </c>
      <c r="D18" s="14" t="s">
        <v>52</v>
      </c>
      <c r="E18" s="16" t="n">
        <v>130000</v>
      </c>
      <c r="F18" s="17" t="n">
        <f aca="false">IF($A18="","",$E18)</f>
        <v>130000</v>
      </c>
      <c r="G18" s="18" t="str">
        <f aca="false">IF($A18="","",IF(OR($A18="",$E18=""),"EKSİK",IF($E18&lt;=0,"SIFIR/NEGATİF",IF($E18&gt;AsiriCikisTutari,"AŞIRI TUTAR","OK"))))</f>
        <v>OK</v>
      </c>
      <c r="H18" s="15" t="s">
        <v>53</v>
      </c>
    </row>
    <row r="19" customFormat="false" ht="15" hidden="false" customHeight="false" outlineLevel="0" collapsed="false">
      <c r="A19" s="12" t="n">
        <v>11</v>
      </c>
      <c r="B19" s="13" t="n">
        <v>46314</v>
      </c>
      <c r="C19" s="15" t="s">
        <v>57</v>
      </c>
      <c r="D19" s="14" t="s">
        <v>55</v>
      </c>
      <c r="E19" s="16" t="n">
        <v>80000</v>
      </c>
      <c r="F19" s="17" t="n">
        <f aca="false">IF($A19="","",$E19)</f>
        <v>80000</v>
      </c>
      <c r="G19" s="18" t="str">
        <f aca="false">IF($A19="","",IF(OR($A19="",$E19=""),"EKSİK",IF($E19&lt;=0,"SIFIR/NEGATİF",IF($E19&gt;AsiriCikisTutari,"AŞIRI TUTAR","OK"))))</f>
        <v>OK</v>
      </c>
      <c r="H19" s="15" t="s">
        <v>58</v>
      </c>
    </row>
    <row r="20" customFormat="false" ht="15" hidden="false" customHeight="false" outlineLevel="0" collapsed="false">
      <c r="A20" s="12" t="n">
        <v>12</v>
      </c>
      <c r="B20" s="13" t="n">
        <v>46321</v>
      </c>
      <c r="C20" s="15" t="s">
        <v>61</v>
      </c>
      <c r="D20" s="14" t="s">
        <v>52</v>
      </c>
      <c r="E20" s="16" t="n">
        <v>75000</v>
      </c>
      <c r="F20" s="17" t="n">
        <f aca="false">IF($A20="","",$E20)</f>
        <v>75000</v>
      </c>
      <c r="G20" s="18" t="str">
        <f aca="false">IF($A20="","",IF(OR($A20="",$E20=""),"EKSİK",IF($E20&lt;=0,"SIFIR/NEGATİF",IF($E20&gt;AsiriCikisTutari,"AŞIRI TUTAR","OK"))))</f>
        <v>OK</v>
      </c>
      <c r="H20" s="15" t="s">
        <v>62</v>
      </c>
    </row>
    <row r="21" customFormat="false" ht="15" hidden="false" customHeight="false" outlineLevel="0" collapsed="false">
      <c r="A21" s="12" t="n">
        <v>12</v>
      </c>
      <c r="B21" s="13" t="n">
        <v>46321</v>
      </c>
      <c r="C21" s="15" t="s">
        <v>63</v>
      </c>
      <c r="D21" s="14" t="s">
        <v>52</v>
      </c>
      <c r="E21" s="16" t="n">
        <v>60000</v>
      </c>
      <c r="F21" s="17" t="n">
        <f aca="false">IF($A21="","",$E21)</f>
        <v>60000</v>
      </c>
      <c r="G21" s="18" t="str">
        <f aca="false">IF($A21="","",IF(OR($A21="",$E21=""),"EKSİK",IF($E21&lt;=0,"SIFIR/NEGATİF",IF($E21&gt;AsiriCikisTutari,"AŞIRI TUTAR","OK"))))</f>
        <v>OK</v>
      </c>
      <c r="H21" s="15" t="s">
        <v>64</v>
      </c>
    </row>
    <row r="22" customFormat="false" ht="15" hidden="false" customHeight="false" outlineLevel="0" collapsed="false">
      <c r="A22" s="12" t="n">
        <v>13</v>
      </c>
      <c r="B22" s="13" t="n">
        <v>46328</v>
      </c>
      <c r="C22" s="15" t="s">
        <v>51</v>
      </c>
      <c r="D22" s="14" t="s">
        <v>52</v>
      </c>
      <c r="E22" s="16" t="n">
        <v>130000</v>
      </c>
      <c r="F22" s="17" t="n">
        <f aca="false">IF($A22="","",$E22)</f>
        <v>130000</v>
      </c>
      <c r="G22" s="18" t="str">
        <f aca="false">IF($A22="","",IF(OR($A22="",$E22=""),"EKSİK",IF($E22&lt;=0,"SIFIR/NEGATİF",IF($E22&gt;AsiriCikisTutari,"AŞIRI TUTAR","OK"))))</f>
        <v>OK</v>
      </c>
      <c r="H22" s="15" t="s">
        <v>53</v>
      </c>
    </row>
    <row r="23" customFormat="false" ht="15" hidden="false" customHeight="false" outlineLevel="0" collapsed="false">
      <c r="A23" s="12" t="n">
        <v>13</v>
      </c>
      <c r="B23" s="13" t="n">
        <v>46328</v>
      </c>
      <c r="C23" s="15" t="s">
        <v>54</v>
      </c>
      <c r="D23" s="14" t="s">
        <v>55</v>
      </c>
      <c r="E23" s="16" t="n">
        <v>45000</v>
      </c>
      <c r="F23" s="17" t="n">
        <f aca="false">IF($A23="","",$E23)</f>
        <v>45000</v>
      </c>
      <c r="G23" s="18" t="str">
        <f aca="false">IF($A23="","",IF(OR($A23="",$E23=""),"EKSİK",IF($E23&lt;=0,"SIFIR/NEGATİF",IF($E23&gt;AsiriCikisTutari,"AŞIRI TUTAR","OK"))))</f>
        <v>OK</v>
      </c>
      <c r="H23" s="15" t="s">
        <v>56</v>
      </c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7" t="str">
        <f aca="false">IF($A24="","",$E24)</f>
        <v/>
      </c>
      <c r="G24" s="18" t="str">
        <f aca="false">IF($A24="","",IF(OR($A24="",$E24=""),"EKSİK",IF($E24&lt;=0,"SIFIR/NEGATİF",IF($E24&gt;AsiriCikisTutari,"AŞIRI TUTAR","OK"))))</f>
        <v/>
      </c>
      <c r="H24" s="19"/>
    </row>
    <row r="25" customFormat="false" ht="15" hidden="false" customHeight="false" outlineLevel="0" collapsed="false">
      <c r="A25" s="19"/>
      <c r="B25" s="19"/>
      <c r="C25" s="19"/>
      <c r="D25" s="19"/>
      <c r="E25" s="19"/>
      <c r="F25" s="17" t="str">
        <f aca="false">IF($A25="","",$E25)</f>
        <v/>
      </c>
      <c r="G25" s="18" t="str">
        <f aca="false">IF($A25="","",IF(OR($A25="",$E25=""),"EKSİK",IF($E25&lt;=0,"SIFIR/NEGATİF",IF($E25&gt;AsiriCikisTutari,"AŞIRI TUTAR","OK"))))</f>
        <v/>
      </c>
      <c r="H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7" t="str">
        <f aca="false">IF($A26="","",$E26)</f>
        <v/>
      </c>
      <c r="G26" s="18" t="str">
        <f aca="false">IF($A26="","",IF(OR($A26="",$E26=""),"EKSİK",IF($E26&lt;=0,"SIFIR/NEGATİF",IF($E26&gt;AsiriCikisTutari,"AŞIRI TUTAR","OK"))))</f>
        <v/>
      </c>
      <c r="H26" s="19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7" t="str">
        <f aca="false">IF($A27="","",$E27)</f>
        <v/>
      </c>
      <c r="G27" s="18" t="str">
        <f aca="false">IF($A27="","",IF(OR($A27="",$E27=""),"EKSİK",IF($E27&lt;=0,"SIFIR/NEGATİF",IF($E27&gt;AsiriCikisTutari,"AŞIRI TUTAR","OK"))))</f>
        <v/>
      </c>
      <c r="H27" s="19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7" t="str">
        <f aca="false">IF($A28="","",$E28)</f>
        <v/>
      </c>
      <c r="G28" s="18" t="str">
        <f aca="false">IF($A28="","",IF(OR($A28="",$E28=""),"EKSİK",IF($E28&lt;=0,"SIFIR/NEGATİF",IF($E28&gt;AsiriCikisTutari,"AŞIRI TUTAR","OK"))))</f>
        <v/>
      </c>
      <c r="H28" s="19"/>
    </row>
    <row r="29" customFormat="false" ht="15" hidden="false" customHeight="false" outlineLevel="0" collapsed="false">
      <c r="A29" s="19"/>
      <c r="B29" s="19"/>
      <c r="C29" s="19"/>
      <c r="D29" s="19"/>
      <c r="E29" s="19"/>
      <c r="F29" s="17" t="str">
        <f aca="false">IF($A29="","",$E29)</f>
        <v/>
      </c>
      <c r="G29" s="18" t="str">
        <f aca="false">IF($A29="","",IF(OR($A29="",$E29=""),"EKSİK",IF($E29&lt;=0,"SIFIR/NEGATİF",IF($E29&gt;AsiriCikisTutari,"AŞIRI TUTAR","OK"))))</f>
        <v/>
      </c>
      <c r="H29" s="19"/>
    </row>
    <row r="30" customFormat="false" ht="15" hidden="false" customHeight="false" outlineLevel="0" collapsed="false">
      <c r="A30" s="19"/>
      <c r="B30" s="19"/>
      <c r="C30" s="19"/>
      <c r="D30" s="19"/>
      <c r="E30" s="19"/>
      <c r="F30" s="17" t="str">
        <f aca="false">IF($A30="","",$E30)</f>
        <v/>
      </c>
      <c r="G30" s="18" t="str">
        <f aca="false">IF($A30="","",IF(OR($A30="",$E30=""),"EKSİK",IF($E30&lt;=0,"SIFIR/NEGATİF",IF($E30&gt;AsiriCikisTutari,"AŞIRI TUTAR","OK"))))</f>
        <v/>
      </c>
      <c r="H30" s="19"/>
    </row>
    <row r="31" customFormat="false" ht="15" hidden="false" customHeight="false" outlineLevel="0" collapsed="false">
      <c r="A31" s="19"/>
      <c r="B31" s="19"/>
      <c r="C31" s="19"/>
      <c r="D31" s="19"/>
      <c r="E31" s="19"/>
      <c r="F31" s="17" t="str">
        <f aca="false">IF($A31="","",$E31)</f>
        <v/>
      </c>
      <c r="G31" s="18" t="str">
        <f aca="false">IF($A31="","",IF(OR($A31="",$E31=""),"EKSİK",IF($E31&lt;=0,"SIFIR/NEGATİF",IF($E31&gt;AsiriCikisTutari,"AŞIRI TUTAR","OK"))))</f>
        <v/>
      </c>
      <c r="H31" s="19"/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7" t="str">
        <f aca="false">IF($A32="","",$E32)</f>
        <v/>
      </c>
      <c r="G32" s="18" t="str">
        <f aca="false">IF($A32="","",IF(OR($A32="",$E32=""),"EKSİK",IF($E32&lt;=0,"SIFIR/NEGATİF",IF($E32&gt;AsiriCikisTutari,"AŞIRI TUTAR","OK"))))</f>
        <v/>
      </c>
      <c r="H32" s="19"/>
    </row>
    <row r="33" customFormat="false" ht="15" hidden="false" customHeight="false" outlineLevel="0" collapsed="false">
      <c r="A33" s="19"/>
      <c r="B33" s="19"/>
      <c r="C33" s="19"/>
      <c r="D33" s="19"/>
      <c r="E33" s="19"/>
      <c r="F33" s="17" t="str">
        <f aca="false">IF($A33="","",$E33)</f>
        <v/>
      </c>
      <c r="G33" s="18" t="str">
        <f aca="false">IF($A33="","",IF(OR($A33="",$E33=""),"EKSİK",IF($E33&lt;=0,"SIFIR/NEGATİF",IF($E33&gt;AsiriCikisTutari,"AŞIRI TUTAR","OK"))))</f>
        <v/>
      </c>
      <c r="H33" s="19"/>
    </row>
    <row r="34" customFormat="false" ht="15" hidden="false" customHeight="false" outlineLevel="0" collapsed="false">
      <c r="A34" s="19"/>
      <c r="B34" s="19"/>
      <c r="C34" s="19"/>
      <c r="D34" s="19"/>
      <c r="E34" s="19"/>
      <c r="F34" s="17" t="str">
        <f aca="false">IF($A34="","",$E34)</f>
        <v/>
      </c>
      <c r="G34" s="18" t="str">
        <f aca="false">IF($A34="","",IF(OR($A34="",$E34=""),"EKSİK",IF($E34&lt;=0,"SIFIR/NEGATİF",IF($E34&gt;AsiriCikisTutari,"AŞIRI TUTAR","OK"))))</f>
        <v/>
      </c>
      <c r="H34" s="19"/>
    </row>
    <row r="35" customFormat="false" ht="15" hidden="false" customHeight="false" outlineLevel="0" collapsed="false">
      <c r="A35" s="19"/>
      <c r="B35" s="19"/>
      <c r="C35" s="19"/>
      <c r="D35" s="19"/>
      <c r="E35" s="19"/>
      <c r="F35" s="17" t="str">
        <f aca="false">IF($A35="","",$E35)</f>
        <v/>
      </c>
      <c r="G35" s="18" t="str">
        <f aca="false">IF($A35="","",IF(OR($A35="",$E35=""),"EKSİK",IF($E35&lt;=0,"SIFIR/NEGATİF",IF($E35&gt;AsiriCikisTutari,"AŞIRI TUTAR","OK"))))</f>
        <v/>
      </c>
      <c r="H35" s="19"/>
    </row>
  </sheetData>
  <sheetProtection sheet="true" password="cc3d" objects="true" scenarios="true" deleteColumns="false" deleteRows="false"/>
  <mergeCells count="1">
    <mergeCell ref="A1:AN1"/>
  </mergeCells>
  <conditionalFormatting sqref="D6:D5000">
    <cfRule type="cellIs" priority="2" operator="equal" aboveAverage="0" equalAverage="0" bottom="0" percent="0" rank="0" text="" dxfId="13">
      <formula>"KRİTİK"</formula>
    </cfRule>
    <cfRule type="cellIs" priority="3" operator="equal" aboveAverage="0" equalAverage="0" bottom="0" percent="0" rank="0" text="" dxfId="11">
      <formula>"YÜKSEK"</formula>
    </cfRule>
    <cfRule type="cellIs" priority="4" operator="equal" aboveAverage="0" equalAverage="0" bottom="0" percent="0" rank="0" text="" dxfId="10">
      <formula>"ORTA"</formula>
    </cfRule>
    <cfRule type="cellIs" priority="5" operator="equal" aboveAverage="0" equalAverage="0" bottom="0" percent="0" rank="0" text="" dxfId="14">
      <formula>"ERTELENEBİLİR"</formula>
    </cfRule>
  </conditionalFormatting>
  <conditionalFormatting sqref="E6:E5000">
    <cfRule type="cellIs" priority="6" operator="lessThanOrEqual" aboveAverage="0" equalAverage="0" bottom="0" percent="0" rank="0" text="" dxfId="13">
      <formula>0</formula>
    </cfRule>
  </conditionalFormatting>
  <conditionalFormatting sqref="G6:G5000">
    <cfRule type="cellIs" priority="7" operator="equal" aboveAverage="0" equalAverage="0" bottom="0" percent="0" rank="0" text="" dxfId="10">
      <formula>"OK"</formula>
    </cfRule>
    <cfRule type="cellIs" priority="8" operator="equal" aboveAverage="0" equalAverage="0" bottom="0" percent="0" rank="0" text="" dxfId="11">
      <formula>"EKSİK"</formula>
    </cfRule>
    <cfRule type="cellIs" priority="9" operator="equal" aboveAverage="0" equalAverage="0" bottom="0" percent="0" rank="0" text="" dxfId="12">
      <formula>"SIFIR/NEGATİF"</formula>
    </cfRule>
    <cfRule type="cellIs" priority="10" operator="equal" aboveAverage="0" equalAverage="0" bottom="0" percent="0" rank="0" text="" dxfId="13">
      <formula>"AŞIRI TUTAR"</formula>
    </cfRule>
  </conditionalFormatting>
  <dataValidations count="5">
    <dataValidation allowBlank="true" error="Hafta numarası 1 ile 13 arasında olmalıdır." errorStyle="stop" errorTitle="Geçersiz hafta" operator="between" prompt="1-13 arası hafta numarası seçin." promptTitle="Hafta Numarası" showDropDown="false" showErrorMessage="true" showInputMessage="true" sqref="A6:A1035" type="list">
      <formula1>"1,2,3,4,5,6,7,8,9,10,11,12,13"</formula1>
      <formula2>0</formula2>
    </dataValidation>
    <dataValidation allowBlank="true" error="Listedeki kalemlerden birini seçin." errorStyle="stop" errorTitle="Geçersiz kalem" operator="between" prompt="Gider kalemini seçin." promptTitle="Kalem" showDropDown="false" showErrorMessage="true" showInputMessage="true" sqref="C6:C1035" type="list">
      <formula1>ListeKalem</formula1>
      <formula2>0</formula2>
    </dataValidation>
    <dataValidation allowBlank="true" error="Yalnızca KRİTİK, YÜKSEK, ORTA veya ERTELENEBİLİR değerlerini kullanın." errorStyle="stop" errorTitle="Geçersiz öncelik" operator="between" prompt="Giderin önceliğini seçin." promptTitle="Öncelik" showDropDown="false" showErrorMessage="true" showInputMessage="true" sqref="D6:D1035" type="list">
      <formula1>ListeOncelik</formula1>
      <formula2>0</formula2>
    </dataValidation>
    <dataValidation allowBlank="true" error="Tutar 0'dan büyük olmalıdır. Geliri NAKIT_GIRISLERI sayfasına yazın." errorStyle="stop" errorTitle="Geçersiz tutar" operator="greaterThan" prompt="Pozitif planlanan ödeme tutarını girin." promptTitle="Tutar (₺)" showDropDown="false" showErrorMessage="true" showInputMessage="true" sqref="E6:E1035" type="decimal">
      <formula1>0</formula1>
      <formula2>0</formula2>
    </dataValidation>
    <dataValidation allowBlank="true" error="Tarih gg.aa.yyyy biçiminde olmalıdır." errorStyle="stop" errorTitle="Geçersiz tarih" operator="between" prompt="Ödemenin vade tarihini gg.aa.yyyy girin (opsiyonel)." promptTitle="Vade Tarihi" showDropDown="false" showErrorMessage="true" showInputMessage="true" sqref="B6:B1035" type="date">
      <formula1>01.01.2020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15"/>
    <col collapsed="false" customWidth="true" hidden="false" outlineLevel="0" max="6" min="6" style="0" width="13"/>
    <col collapsed="false" customWidth="true" hidden="false" outlineLevel="0" max="8" min="7" style="0" width="17"/>
    <col collapsed="false" customWidth="true" hidden="false" outlineLevel="0" max="9" min="9" style="0" width="15"/>
    <col collapsed="false" customWidth="true" hidden="false" outlineLevel="0" max="10" min="10" style="0" width="42"/>
  </cols>
  <sheetData>
    <row r="1" customFormat="false" ht="25.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35.8" hidden="false" customHeight="false" outlineLevel="0" collapsed="false">
      <c r="A3" s="10" t="s">
        <v>66</v>
      </c>
      <c r="L3" s="20" t="s">
        <v>67</v>
      </c>
    </row>
    <row r="5" customFormat="false" ht="30" hidden="false" customHeight="true" outlineLevel="0" collapsed="false">
      <c r="A5" s="11" t="s">
        <v>29</v>
      </c>
      <c r="B5" s="11" t="s">
        <v>68</v>
      </c>
      <c r="C5" s="11" t="s">
        <v>69</v>
      </c>
      <c r="D5" s="11" t="s">
        <v>70</v>
      </c>
      <c r="E5" s="11" t="s">
        <v>71</v>
      </c>
      <c r="F5" s="11" t="s">
        <v>72</v>
      </c>
      <c r="G5" s="11" t="s">
        <v>73</v>
      </c>
      <c r="H5" s="11" t="s">
        <v>74</v>
      </c>
      <c r="I5" s="11" t="s">
        <v>75</v>
      </c>
      <c r="J5" s="11" t="s">
        <v>76</v>
      </c>
    </row>
    <row r="6" customFormat="false" ht="15" hidden="false" customHeight="false" outlineLevel="0" collapsed="false">
      <c r="A6" s="12" t="n">
        <v>1</v>
      </c>
      <c r="B6" s="21" t="n">
        <f aca="false">IF($A6="","",RaporTarihi+MIN(($A6-1)*HaftaUzunlugu,MaksTarihUfku))</f>
        <v>46244</v>
      </c>
      <c r="C6" s="21" t="n">
        <f aca="false">IF($A6="","",$B6+HaftaUzunlugu-1)</f>
        <v>46250</v>
      </c>
      <c r="D6" s="17" t="n">
        <f aca="false">IF($A6="","",SUMIFS(NAKIT_GIRISLERI!$E$6:$E$5000,NAKIT_GIRISLERI!$A$6:$A$5000,$A6))</f>
        <v>205000</v>
      </c>
      <c r="E6" s="17" t="n">
        <f aca="false">IF($A6="","",SUMIFS(NAKIT_CIKISLARI!$E$6:$E$5000,NAKIT_CIKISLARI!$A$6:$A$5000,$A6))</f>
        <v>175000</v>
      </c>
      <c r="F6" s="17" t="n">
        <f aca="false">IF($A6="","",$D6-$E6)</f>
        <v>30000</v>
      </c>
      <c r="G6" s="17" t="n">
        <f aca="false">IF($A6="","",IF($A6=1,BaslangicBakiye,N($H5)))</f>
        <v>500000</v>
      </c>
      <c r="H6" s="17" t="n">
        <f aca="false">IF($A6="","",$G6+$F6)</f>
        <v>530000</v>
      </c>
      <c r="I6" s="18" t="str">
        <f aca="false">IF($A6="","",IF($H6&lt;0,"PARA BİTİYOR",IF($H6&lt;AsgariTampon,"RİSK ALTINDA","YETERLİ")))</f>
        <v>YETERLİ</v>
      </c>
      <c r="J6" s="22" t="str">
        <f aca="false">IF($A6="","",IF($H6&lt;0,"Gider ertele / tahsilat hızlandır",IF($H6&lt;AsgariTampon,"Tampon altına dikkat: kritik ödemeleri ertele","Devam et")))</f>
        <v>Devam et</v>
      </c>
    </row>
    <row r="7" customFormat="false" ht="15" hidden="false" customHeight="false" outlineLevel="0" collapsed="false">
      <c r="A7" s="12" t="n">
        <v>2</v>
      </c>
      <c r="B7" s="21" t="n">
        <f aca="false">IF($A7="","",RaporTarihi+MIN(($A7-1)*HaftaUzunlugu,MaksTarihUfku))</f>
        <v>46251</v>
      </c>
      <c r="C7" s="21" t="n">
        <f aca="false">IF($A7="","",$B7+HaftaUzunlugu-1)</f>
        <v>46257</v>
      </c>
      <c r="D7" s="17" t="n">
        <f aca="false">IF($A7="","",SUMIFS(NAKIT_GIRISLERI!$E$6:$E$5000,NAKIT_GIRISLERI!$A$6:$A$5000,$A7))</f>
        <v>205000</v>
      </c>
      <c r="E7" s="17" t="n">
        <f aca="false">IF($A7="","",SUMIFS(NAKIT_CIKISLARI!$E$6:$E$5000,NAKIT_CIKISLARI!$A$6:$A$5000,$A7))</f>
        <v>90000</v>
      </c>
      <c r="F7" s="17" t="n">
        <f aca="false">IF($A7="","",$D7-$E7)</f>
        <v>115000</v>
      </c>
      <c r="G7" s="17" t="n">
        <f aca="false">IF($A7="","",IF($A7=1,BaslangicBakiye,N($H6)))</f>
        <v>530000</v>
      </c>
      <c r="H7" s="17" t="n">
        <f aca="false">IF($A7="","",$G7+$F7)</f>
        <v>645000</v>
      </c>
      <c r="I7" s="18" t="str">
        <f aca="false">IF($A7="","",IF($H7&lt;0,"PARA BİTİYOR",IF($H7&lt;AsgariTampon,"RİSK ALTINDA","YETERLİ")))</f>
        <v>YETERLİ</v>
      </c>
      <c r="J7" s="22" t="str">
        <f aca="false">IF($A7="","",IF($H7&lt;0,"Gider ertele / tahsilat hızlandır",IF($H7&lt;AsgariTampon,"Tampon altına dikkat: kritik ödemeleri ertele","Devam et")))</f>
        <v>Devam et</v>
      </c>
    </row>
    <row r="8" customFormat="false" ht="15" hidden="false" customHeight="false" outlineLevel="0" collapsed="false">
      <c r="A8" s="12" t="n">
        <v>3</v>
      </c>
      <c r="B8" s="21" t="n">
        <f aca="false">IF($A8="","",RaporTarihi+MIN(($A8-1)*HaftaUzunlugu,MaksTarihUfku))</f>
        <v>46258</v>
      </c>
      <c r="C8" s="21" t="n">
        <f aca="false">IF($A8="","",$B8+HaftaUzunlugu-1)</f>
        <v>46264</v>
      </c>
      <c r="D8" s="17" t="n">
        <f aca="false">IF($A8="","",SUMIFS(NAKIT_GIRISLERI!$E$6:$E$5000,NAKIT_GIRISLERI!$A$6:$A$5000,$A8))</f>
        <v>330000</v>
      </c>
      <c r="E8" s="17" t="n">
        <f aca="false">IF($A8="","",SUMIFS(NAKIT_CIKISLARI!$E$6:$E$5000,NAKIT_CIKISLARI!$A$6:$A$5000,$A8))</f>
        <v>255000</v>
      </c>
      <c r="F8" s="17" t="n">
        <f aca="false">IF($A8="","",$D8-$E8)</f>
        <v>75000</v>
      </c>
      <c r="G8" s="17" t="n">
        <f aca="false">IF($A8="","",IF($A8=1,BaslangicBakiye,N($H7)))</f>
        <v>645000</v>
      </c>
      <c r="H8" s="17" t="n">
        <f aca="false">IF($A8="","",$G8+$F8)</f>
        <v>720000</v>
      </c>
      <c r="I8" s="18" t="str">
        <f aca="false">IF($A8="","",IF($H8&lt;0,"PARA BİTİYOR",IF($H8&lt;AsgariTampon,"RİSK ALTINDA","YETERLİ")))</f>
        <v>YETERLİ</v>
      </c>
      <c r="J8" s="22" t="str">
        <f aca="false">IF($A8="","",IF($H8&lt;0,"Gider ertele / tahsilat hızlandır",IF($H8&lt;AsgariTampon,"Tampon altına dikkat: kritik ödemeleri ertele","Devam et")))</f>
        <v>Devam et</v>
      </c>
    </row>
    <row r="9" customFormat="false" ht="15" hidden="false" customHeight="false" outlineLevel="0" collapsed="false">
      <c r="A9" s="12" t="n">
        <v>4</v>
      </c>
      <c r="B9" s="21" t="n">
        <f aca="false">IF($A9="","",RaporTarihi+MIN(($A9-1)*HaftaUzunlugu,MaksTarihUfku))</f>
        <v>46265</v>
      </c>
      <c r="C9" s="21" t="n">
        <f aca="false">IF($A9="","",$B9+HaftaUzunlugu-1)</f>
        <v>46271</v>
      </c>
      <c r="D9" s="17" t="n">
        <f aca="false">IF($A9="","",SUMIFS(NAKIT_GIRISLERI!$E$6:$E$5000,NAKIT_GIRISLERI!$A$6:$A$5000,$A9))</f>
        <v>220000</v>
      </c>
      <c r="E9" s="17" t="n">
        <f aca="false">IF($A9="","",SUMIFS(NAKIT_CIKISLARI!$E$6:$E$5000,NAKIT_CIKISLARI!$A$6:$A$5000,$A9))</f>
        <v>130000</v>
      </c>
      <c r="F9" s="17" t="n">
        <f aca="false">IF($A9="","",$D9-$E9)</f>
        <v>90000</v>
      </c>
      <c r="G9" s="17" t="n">
        <f aca="false">IF($A9="","",IF($A9=1,BaslangicBakiye,N($H8)))</f>
        <v>720000</v>
      </c>
      <c r="H9" s="17" t="n">
        <f aca="false">IF($A9="","",$G9+$F9)</f>
        <v>810000</v>
      </c>
      <c r="I9" s="18" t="str">
        <f aca="false">IF($A9="","",IF($H9&lt;0,"PARA BİTİYOR",IF($H9&lt;AsgariTampon,"RİSK ALTINDA","YETERLİ")))</f>
        <v>YETERLİ</v>
      </c>
      <c r="J9" s="22" t="str">
        <f aca="false">IF($A9="","",IF($H9&lt;0,"Gider ertele / tahsilat hızlandır",IF($H9&lt;AsgariTampon,"Tampon altına dikkat: kritik ödemeleri ertele","Devam et")))</f>
        <v>Devam et</v>
      </c>
    </row>
    <row r="10" customFormat="false" ht="15" hidden="false" customHeight="false" outlineLevel="0" collapsed="false">
      <c r="A10" s="12" t="n">
        <v>5</v>
      </c>
      <c r="B10" s="21" t="n">
        <f aca="false">IF($A10="","",RaporTarihi+MIN(($A10-1)*HaftaUzunlugu,MaksTarihUfku))</f>
        <v>46272</v>
      </c>
      <c r="C10" s="21" t="n">
        <f aca="false">IF($A10="","",$B10+HaftaUzunlugu-1)</f>
        <v>46278</v>
      </c>
      <c r="D10" s="17" t="n">
        <f aca="false">IF($A10="","",SUMIFS(NAKIT_GIRISLERI!$E$6:$E$5000,NAKIT_GIRISLERI!$A$6:$A$5000,$A10))</f>
        <v>165000</v>
      </c>
      <c r="E10" s="17" t="n">
        <f aca="false">IF($A10="","",SUMIFS(NAKIT_CIKISLARI!$E$6:$E$5000,NAKIT_CIKISLARI!$A$6:$A$5000,$A10))</f>
        <v>85000</v>
      </c>
      <c r="F10" s="17" t="n">
        <f aca="false">IF($A10="","",$D10-$E10)</f>
        <v>80000</v>
      </c>
      <c r="G10" s="17" t="n">
        <f aca="false">IF($A10="","",IF($A10=1,BaslangicBakiye,N($H9)))</f>
        <v>810000</v>
      </c>
      <c r="H10" s="17" t="n">
        <f aca="false">IF($A10="","",$G10+$F10)</f>
        <v>890000</v>
      </c>
      <c r="I10" s="18" t="str">
        <f aca="false">IF($A10="","",IF($H10&lt;0,"PARA BİTİYOR",IF($H10&lt;AsgariTampon,"RİSK ALTINDA","YETERLİ")))</f>
        <v>YETERLİ</v>
      </c>
      <c r="J10" s="22" t="str">
        <f aca="false">IF($A10="","",IF($H10&lt;0,"Gider ertele / tahsilat hızlandır",IF($H10&lt;AsgariTampon,"Tampon altına dikkat: kritik ödemeleri ertele","Devam et")))</f>
        <v>Devam et</v>
      </c>
    </row>
    <row r="11" customFormat="false" ht="15" hidden="false" customHeight="false" outlineLevel="0" collapsed="false">
      <c r="A11" s="12" t="n">
        <v>6</v>
      </c>
      <c r="B11" s="21" t="n">
        <f aca="false">IF($A11="","",RaporTarihi+MIN(($A11-1)*HaftaUzunlugu,MaksTarihUfku))</f>
        <v>46279</v>
      </c>
      <c r="C11" s="21" t="n">
        <f aca="false">IF($A11="","",$B11+HaftaUzunlugu-1)</f>
        <v>46285</v>
      </c>
      <c r="D11" s="17" t="n">
        <f aca="false">IF($A11="","",SUMIFS(NAKIT_GIRISLERI!$E$6:$E$5000,NAKIT_GIRISLERI!$A$6:$A$5000,$A11))</f>
        <v>200000</v>
      </c>
      <c r="E11" s="17" t="n">
        <f aca="false">IF($A11="","",SUMIFS(NAKIT_CIKISLARI!$E$6:$E$5000,NAKIT_CIKISLARI!$A$6:$A$5000,$A11))</f>
        <v>60000</v>
      </c>
      <c r="F11" s="17" t="n">
        <f aca="false">IF($A11="","",$D11-$E11)</f>
        <v>140000</v>
      </c>
      <c r="G11" s="17" t="n">
        <f aca="false">IF($A11="","",IF($A11=1,BaslangicBakiye,N($H10)))</f>
        <v>890000</v>
      </c>
      <c r="H11" s="17" t="n">
        <f aca="false">IF($A11="","",$G11+$F11)</f>
        <v>1030000</v>
      </c>
      <c r="I11" s="18" t="str">
        <f aca="false">IF($A11="","",IF($H11&lt;0,"PARA BİTİYOR",IF($H11&lt;AsgariTampon,"RİSK ALTINDA","YETERLİ")))</f>
        <v>YETERLİ</v>
      </c>
      <c r="J11" s="22" t="str">
        <f aca="false">IF($A11="","",IF($H11&lt;0,"Gider ertele / tahsilat hızlandır",IF($H11&lt;AsgariTampon,"Tampon altına dikkat: kritik ödemeleri ertele","Devam et")))</f>
        <v>Devam et</v>
      </c>
    </row>
    <row r="12" customFormat="false" ht="15" hidden="false" customHeight="false" outlineLevel="0" collapsed="false">
      <c r="A12" s="12" t="n">
        <v>7</v>
      </c>
      <c r="B12" s="21" t="n">
        <f aca="false">IF($A12="","",RaporTarihi+MIN(($A12-1)*HaftaUzunlugu,MaksTarihUfku))</f>
        <v>46286</v>
      </c>
      <c r="C12" s="21" t="n">
        <f aca="false">IF($A12="","",$B12+HaftaUzunlugu-1)</f>
        <v>46292</v>
      </c>
      <c r="D12" s="17" t="n">
        <f aca="false">IF($A12="","",SUMIFS(NAKIT_GIRISLERI!$E$6:$E$5000,NAKIT_GIRISLERI!$A$6:$A$5000,$A12))</f>
        <v>175000</v>
      </c>
      <c r="E12" s="17" t="n">
        <f aca="false">IF($A12="","",SUMIFS(NAKIT_CIKISLARI!$E$6:$E$5000,NAKIT_CIKISLARI!$A$6:$A$5000,$A12))</f>
        <v>175000</v>
      </c>
      <c r="F12" s="17" t="n">
        <f aca="false">IF($A12="","",$D12-$E12)</f>
        <v>0</v>
      </c>
      <c r="G12" s="17" t="n">
        <f aca="false">IF($A12="","",IF($A12=1,BaslangicBakiye,N($H11)))</f>
        <v>1030000</v>
      </c>
      <c r="H12" s="17" t="n">
        <f aca="false">IF($A12="","",$G12+$F12)</f>
        <v>1030000</v>
      </c>
      <c r="I12" s="18" t="str">
        <f aca="false">IF($A12="","",IF($H12&lt;0,"PARA BİTİYOR",IF($H12&lt;AsgariTampon,"RİSK ALTINDA","YETERLİ")))</f>
        <v>YETERLİ</v>
      </c>
      <c r="J12" s="22" t="str">
        <f aca="false">IF($A12="","",IF($H12&lt;0,"Gider ertele / tahsilat hızlandır",IF($H12&lt;AsgariTampon,"Tampon altına dikkat: kritik ödemeleri ertele","Devam et")))</f>
        <v>Devam et</v>
      </c>
    </row>
    <row r="13" customFormat="false" ht="15" hidden="false" customHeight="false" outlineLevel="0" collapsed="false">
      <c r="A13" s="12" t="n">
        <v>8</v>
      </c>
      <c r="B13" s="21" t="n">
        <f aca="false">IF($A13="","",RaporTarihi+MIN(($A13-1)*HaftaUzunlugu,MaksTarihUfku))</f>
        <v>46293</v>
      </c>
      <c r="C13" s="21" t="n">
        <f aca="false">IF($A13="","",$B13+HaftaUzunlugu-1)</f>
        <v>46299</v>
      </c>
      <c r="D13" s="17" t="n">
        <f aca="false">IF($A13="","",SUMIFS(NAKIT_GIRISLERI!$E$6:$E$5000,NAKIT_GIRISLERI!$A$6:$A$5000,$A13))</f>
        <v>200000</v>
      </c>
      <c r="E13" s="17" t="n">
        <f aca="false">IF($A13="","",SUMIFS(NAKIT_CIKISLARI!$E$6:$E$5000,NAKIT_CIKISLARI!$A$6:$A$5000,$A13))</f>
        <v>95000</v>
      </c>
      <c r="F13" s="17" t="n">
        <f aca="false">IF($A13="","",$D13-$E13)</f>
        <v>105000</v>
      </c>
      <c r="G13" s="17" t="n">
        <f aca="false">IF($A13="","",IF($A13=1,BaslangicBakiye,N($H12)))</f>
        <v>1030000</v>
      </c>
      <c r="H13" s="17" t="n">
        <f aca="false">IF($A13="","",$G13+$F13)</f>
        <v>1135000</v>
      </c>
      <c r="I13" s="18" t="str">
        <f aca="false">IF($A13="","",IF($H13&lt;0,"PARA BİTİYOR",IF($H13&lt;AsgariTampon,"RİSK ALTINDA","YETERLİ")))</f>
        <v>YETERLİ</v>
      </c>
      <c r="J13" s="22" t="str">
        <f aca="false">IF($A13="","",IF($H13&lt;0,"Gider ertele / tahsilat hızlandır",IF($H13&lt;AsgariTampon,"Tampon altına dikkat: kritik ödemeleri ertele","Devam et")))</f>
        <v>Devam et</v>
      </c>
    </row>
    <row r="14" customFormat="false" ht="15" hidden="false" customHeight="false" outlineLevel="0" collapsed="false">
      <c r="A14" s="12" t="n">
        <v>9</v>
      </c>
      <c r="B14" s="21" t="n">
        <f aca="false">IF($A14="","",RaporTarihi+MIN(($A14-1)*HaftaUzunlugu,MaksTarihUfku))</f>
        <v>46300</v>
      </c>
      <c r="C14" s="21" t="n">
        <f aca="false">IF($A14="","",$B14+HaftaUzunlugu-1)</f>
        <v>46306</v>
      </c>
      <c r="D14" s="17" t="n">
        <f aca="false">IF($A14="","",SUMIFS(NAKIT_GIRISLERI!$E$6:$E$5000,NAKIT_GIRISLERI!$A$6:$A$5000,$A14))</f>
        <v>155000</v>
      </c>
      <c r="E14" s="17" t="n">
        <f aca="false">IF($A14="","",SUMIFS(NAKIT_CIKISLARI!$E$6:$E$5000,NAKIT_CIKISLARI!$A$6:$A$5000,$A14))</f>
        <v>140000</v>
      </c>
      <c r="F14" s="17" t="n">
        <f aca="false">IF($A14="","",$D14-$E14)</f>
        <v>15000</v>
      </c>
      <c r="G14" s="17" t="n">
        <f aca="false">IF($A14="","",IF($A14=1,BaslangicBakiye,N($H13)))</f>
        <v>1135000</v>
      </c>
      <c r="H14" s="17" t="n">
        <f aca="false">IF($A14="","",$G14+$F14)</f>
        <v>1150000</v>
      </c>
      <c r="I14" s="18" t="str">
        <f aca="false">IF($A14="","",IF($H14&lt;0,"PARA BİTİYOR",IF($H14&lt;AsgariTampon,"RİSK ALTINDA","YETERLİ")))</f>
        <v>YETERLİ</v>
      </c>
      <c r="J14" s="22" t="str">
        <f aca="false">IF($A14="","",IF($H14&lt;0,"Gider ertele / tahsilat hızlandır",IF($H14&lt;AsgariTampon,"Tampon altına dikkat: kritik ödemeleri ertele","Devam et")))</f>
        <v>Devam et</v>
      </c>
    </row>
    <row r="15" customFormat="false" ht="15" hidden="false" customHeight="false" outlineLevel="0" collapsed="false">
      <c r="A15" s="12" t="n">
        <v>10</v>
      </c>
      <c r="B15" s="21" t="n">
        <f aca="false">IF($A15="","",RaporTarihi+MIN(($A15-1)*HaftaUzunlugu,MaksTarihUfku))</f>
        <v>46307</v>
      </c>
      <c r="C15" s="21" t="n">
        <f aca="false">IF($A15="","",$B15+HaftaUzunlugu-1)</f>
        <v>46313</v>
      </c>
      <c r="D15" s="17" t="n">
        <f aca="false">IF($A15="","",SUMIFS(NAKIT_GIRISLERI!$E$6:$E$5000,NAKIT_GIRISLERI!$A$6:$A$5000,$A15))</f>
        <v>195000</v>
      </c>
      <c r="E15" s="17" t="n">
        <f aca="false">IF($A15="","",SUMIFS(NAKIT_CIKISLARI!$E$6:$E$5000,NAKIT_CIKISLARI!$A$6:$A$5000,$A15))</f>
        <v>130000</v>
      </c>
      <c r="F15" s="17" t="n">
        <f aca="false">IF($A15="","",$D15-$E15)</f>
        <v>65000</v>
      </c>
      <c r="G15" s="17" t="n">
        <f aca="false">IF($A15="","",IF($A15=1,BaslangicBakiye,N($H14)))</f>
        <v>1150000</v>
      </c>
      <c r="H15" s="17" t="n">
        <f aca="false">IF($A15="","",$G15+$F15)</f>
        <v>1215000</v>
      </c>
      <c r="I15" s="18" t="str">
        <f aca="false">IF($A15="","",IF($H15&lt;0,"PARA BİTİYOR",IF($H15&lt;AsgariTampon,"RİSK ALTINDA","YETERLİ")))</f>
        <v>YETERLİ</v>
      </c>
      <c r="J15" s="22" t="str">
        <f aca="false">IF($A15="","",IF($H15&lt;0,"Gider ertele / tahsilat hızlandır",IF($H15&lt;AsgariTampon,"Tampon altına dikkat: kritik ödemeleri ertele","Devam et")))</f>
        <v>Devam et</v>
      </c>
    </row>
    <row r="16" customFormat="false" ht="15" hidden="false" customHeight="false" outlineLevel="0" collapsed="false">
      <c r="A16" s="12" t="n">
        <v>11</v>
      </c>
      <c r="B16" s="21" t="n">
        <f aca="false">IF($A16="","",RaporTarihi+MIN(($A16-1)*HaftaUzunlugu,MaksTarihUfku))</f>
        <v>46314</v>
      </c>
      <c r="C16" s="21" t="n">
        <f aca="false">IF($A16="","",$B16+HaftaUzunlugu-1)</f>
        <v>46320</v>
      </c>
      <c r="D16" s="17" t="n">
        <f aca="false">IF($A16="","",SUMIFS(NAKIT_GIRISLERI!$E$6:$E$5000,NAKIT_GIRISLERI!$A$6:$A$5000,$A16))</f>
        <v>180000</v>
      </c>
      <c r="E16" s="17" t="n">
        <f aca="false">IF($A16="","",SUMIFS(NAKIT_CIKISLARI!$E$6:$E$5000,NAKIT_CIKISLARI!$A$6:$A$5000,$A16))</f>
        <v>80000</v>
      </c>
      <c r="F16" s="17" t="n">
        <f aca="false">IF($A16="","",$D16-$E16)</f>
        <v>100000</v>
      </c>
      <c r="G16" s="17" t="n">
        <f aca="false">IF($A16="","",IF($A16=1,BaslangicBakiye,N($H15)))</f>
        <v>1215000</v>
      </c>
      <c r="H16" s="17" t="n">
        <f aca="false">IF($A16="","",$G16+$F16)</f>
        <v>1315000</v>
      </c>
      <c r="I16" s="18" t="str">
        <f aca="false">IF($A16="","",IF($H16&lt;0,"PARA BİTİYOR",IF($H16&lt;AsgariTampon,"RİSK ALTINDA","YETERLİ")))</f>
        <v>YETERLİ</v>
      </c>
      <c r="J16" s="22" t="str">
        <f aca="false">IF($A16="","",IF($H16&lt;0,"Gider ertele / tahsilat hızlandır",IF($H16&lt;AsgariTampon,"Tampon altına dikkat: kritik ödemeleri ertele","Devam et")))</f>
        <v>Devam et</v>
      </c>
    </row>
    <row r="17" customFormat="false" ht="15" hidden="false" customHeight="false" outlineLevel="0" collapsed="false">
      <c r="A17" s="12" t="n">
        <v>12</v>
      </c>
      <c r="B17" s="21" t="n">
        <f aca="false">IF($A17="","",RaporTarihi+MIN(($A17-1)*HaftaUzunlugu,MaksTarihUfku))</f>
        <v>46321</v>
      </c>
      <c r="C17" s="21" t="n">
        <f aca="false">IF($A17="","",$B17+HaftaUzunlugu-1)</f>
        <v>46327</v>
      </c>
      <c r="D17" s="17" t="n">
        <f aca="false">IF($A17="","",SUMIFS(NAKIT_GIRISLERI!$E$6:$E$5000,NAKIT_GIRISLERI!$A$6:$A$5000,$A17))</f>
        <v>205000</v>
      </c>
      <c r="E17" s="17" t="n">
        <f aca="false">IF($A17="","",SUMIFS(NAKIT_CIKISLARI!$E$6:$E$5000,NAKIT_CIKISLARI!$A$6:$A$5000,$A17))</f>
        <v>135000</v>
      </c>
      <c r="F17" s="17" t="n">
        <f aca="false">IF($A17="","",$D17-$E17)</f>
        <v>70000</v>
      </c>
      <c r="G17" s="17" t="n">
        <f aca="false">IF($A17="","",IF($A17=1,BaslangicBakiye,N($H16)))</f>
        <v>1315000</v>
      </c>
      <c r="H17" s="17" t="n">
        <f aca="false">IF($A17="","",$G17+$F17)</f>
        <v>1385000</v>
      </c>
      <c r="I17" s="18" t="str">
        <f aca="false">IF($A17="","",IF($H17&lt;0,"PARA BİTİYOR",IF($H17&lt;AsgariTampon,"RİSK ALTINDA","YETERLİ")))</f>
        <v>YETERLİ</v>
      </c>
      <c r="J17" s="22" t="str">
        <f aca="false">IF($A17="","",IF($H17&lt;0,"Gider ertele / tahsilat hızlandır",IF($H17&lt;AsgariTampon,"Tampon altına dikkat: kritik ödemeleri ertele","Devam et")))</f>
        <v>Devam et</v>
      </c>
    </row>
    <row r="18" customFormat="false" ht="15" hidden="false" customHeight="false" outlineLevel="0" collapsed="false">
      <c r="A18" s="12" t="n">
        <v>13</v>
      </c>
      <c r="B18" s="21" t="n">
        <f aca="false">IF($A18="","",RaporTarihi+MIN(($A18-1)*HaftaUzunlugu,MaksTarihUfku))</f>
        <v>46328</v>
      </c>
      <c r="C18" s="21" t="n">
        <f aca="false">IF($A18="","",$B18+HaftaUzunlugu-1)</f>
        <v>46334</v>
      </c>
      <c r="D18" s="17" t="n">
        <f aca="false">IF($A18="","",SUMIFS(NAKIT_GIRISLERI!$E$6:$E$5000,NAKIT_GIRISLERI!$A$6:$A$5000,$A18))</f>
        <v>205000</v>
      </c>
      <c r="E18" s="17" t="n">
        <f aca="false">IF($A18="","",SUMIFS(NAKIT_CIKISLARI!$E$6:$E$5000,NAKIT_CIKISLARI!$A$6:$A$5000,$A18))</f>
        <v>175000</v>
      </c>
      <c r="F18" s="17" t="n">
        <f aca="false">IF($A18="","",$D18-$E18)</f>
        <v>30000</v>
      </c>
      <c r="G18" s="17" t="n">
        <f aca="false">IF($A18="","",IF($A18=1,BaslangicBakiye,N($H17)))</f>
        <v>1385000</v>
      </c>
      <c r="H18" s="17" t="n">
        <f aca="false">IF($A18="","",$G18+$F18)</f>
        <v>1415000</v>
      </c>
      <c r="I18" s="18" t="str">
        <f aca="false">IF($A18="","",IF($H18&lt;0,"PARA BİTİYOR",IF($H18&lt;AsgariTampon,"RİSK ALTINDA","YETERLİ")))</f>
        <v>YETERLİ</v>
      </c>
      <c r="J18" s="22" t="str">
        <f aca="false">IF($A18="","",IF($H18&lt;0,"Gider ertele / tahsilat hızlandır",IF($H18&lt;AsgariTampon,"Tampon altına dikkat: kritik ödemeleri ertele","Devam et")))</f>
        <v>Devam et</v>
      </c>
    </row>
    <row r="19" customFormat="false" ht="15" hidden="false" customHeight="false" outlineLevel="0" collapsed="false">
      <c r="A19" s="14"/>
      <c r="B19" s="21" t="str">
        <f aca="false">IF($A19="","",RaporTarihi+MIN(($A19-1)*HaftaUzunlugu,MaksTarihUfku))</f>
        <v/>
      </c>
      <c r="C19" s="21" t="str">
        <f aca="false">IF($A19="","",$B19+HaftaUzunlugu-1)</f>
        <v/>
      </c>
      <c r="D19" s="17" t="str">
        <f aca="false">IF($A19="","",SUMIFS(NAKIT_GIRISLERI!$E$6:$E$5000,NAKIT_GIRISLERI!$A$6:$A$5000,$A19))</f>
        <v/>
      </c>
      <c r="E19" s="17" t="str">
        <f aca="false">IF($A19="","",SUMIFS(NAKIT_CIKISLARI!$E$6:$E$5000,NAKIT_CIKISLARI!$A$6:$A$5000,$A19))</f>
        <v/>
      </c>
      <c r="F19" s="17" t="str">
        <f aca="false">IF($A19="","",$D19-$E19)</f>
        <v/>
      </c>
      <c r="G19" s="17" t="str">
        <f aca="false">IF($A19="","",IF($A19=1,BaslangicBakiye,N($H18)))</f>
        <v/>
      </c>
      <c r="H19" s="17" t="str">
        <f aca="false">IF($A19="","",$G19+$F19)</f>
        <v/>
      </c>
      <c r="I19" s="18" t="str">
        <f aca="false">IF($A19="","",IF($H19&lt;0,"PARA BİTİYOR",IF($H19&lt;AsgariTampon,"RİSK ALTINDA","YETERLİ")))</f>
        <v/>
      </c>
      <c r="J19" s="22" t="str">
        <f aca="false">IF($A19="","",IF($H19&lt;0,"Gider ertele / tahsilat hızlandır",IF($H19&lt;AsgariTampon,"Tampon altına dikkat: kritik ödemeleri ertele","Devam et")))</f>
        <v/>
      </c>
    </row>
    <row r="20" customFormat="false" ht="15" hidden="false" customHeight="false" outlineLevel="0" collapsed="false">
      <c r="A20" s="14"/>
      <c r="B20" s="21" t="str">
        <f aca="false">IF($A20="","",RaporTarihi+MIN(($A20-1)*HaftaUzunlugu,MaksTarihUfku))</f>
        <v/>
      </c>
      <c r="C20" s="21" t="str">
        <f aca="false">IF($A20="","",$B20+HaftaUzunlugu-1)</f>
        <v/>
      </c>
      <c r="D20" s="17" t="str">
        <f aca="false">IF($A20="","",SUMIFS(NAKIT_GIRISLERI!$E$6:$E$5000,NAKIT_GIRISLERI!$A$6:$A$5000,$A20))</f>
        <v/>
      </c>
      <c r="E20" s="17" t="str">
        <f aca="false">IF($A20="","",SUMIFS(NAKIT_CIKISLARI!$E$6:$E$5000,NAKIT_CIKISLARI!$A$6:$A$5000,$A20))</f>
        <v/>
      </c>
      <c r="F20" s="17" t="str">
        <f aca="false">IF($A20="","",$D20-$E20)</f>
        <v/>
      </c>
      <c r="G20" s="17" t="str">
        <f aca="false">IF($A20="","",IF($A20=1,BaslangicBakiye,N($H19)))</f>
        <v/>
      </c>
      <c r="H20" s="17" t="str">
        <f aca="false">IF($A20="","",$G20+$F20)</f>
        <v/>
      </c>
      <c r="I20" s="18" t="str">
        <f aca="false">IF($A20="","",IF($H20&lt;0,"PARA BİTİYOR",IF($H20&lt;AsgariTampon,"RİSK ALTINDA","YETERLİ")))</f>
        <v/>
      </c>
      <c r="J20" s="22" t="str">
        <f aca="false">IF($A20="","",IF($H20&lt;0,"Gider ertele / tahsilat hızlandır",IF($H20&lt;AsgariTampon,"Tampon altına dikkat: kritik ödemeleri ertele","Devam et")))</f>
        <v/>
      </c>
    </row>
    <row r="21" customFormat="false" ht="15" hidden="false" customHeight="false" outlineLevel="0" collapsed="false">
      <c r="A21" s="14"/>
      <c r="B21" s="21" t="str">
        <f aca="false">IF($A21="","",RaporTarihi+MIN(($A21-1)*HaftaUzunlugu,MaksTarihUfku))</f>
        <v/>
      </c>
      <c r="C21" s="21" t="str">
        <f aca="false">IF($A21="","",$B21+HaftaUzunlugu-1)</f>
        <v/>
      </c>
      <c r="D21" s="17" t="str">
        <f aca="false">IF($A21="","",SUMIFS(NAKIT_GIRISLERI!$E$6:$E$5000,NAKIT_GIRISLERI!$A$6:$A$5000,$A21))</f>
        <v/>
      </c>
      <c r="E21" s="17" t="str">
        <f aca="false">IF($A21="","",SUMIFS(NAKIT_CIKISLARI!$E$6:$E$5000,NAKIT_CIKISLARI!$A$6:$A$5000,$A21))</f>
        <v/>
      </c>
      <c r="F21" s="17" t="str">
        <f aca="false">IF($A21="","",$D21-$E21)</f>
        <v/>
      </c>
      <c r="G21" s="17" t="str">
        <f aca="false">IF($A21="","",IF($A21=1,BaslangicBakiye,N($H20)))</f>
        <v/>
      </c>
      <c r="H21" s="17" t="str">
        <f aca="false">IF($A21="","",$G21+$F21)</f>
        <v/>
      </c>
      <c r="I21" s="18" t="str">
        <f aca="false">IF($A21="","",IF($H21&lt;0,"PARA BİTİYOR",IF($H21&lt;AsgariTampon,"RİSK ALTINDA","YETERLİ")))</f>
        <v/>
      </c>
      <c r="J21" s="22" t="str">
        <f aca="false">IF($A21="","",IF($H21&lt;0,"Gider ertele / tahsilat hızlandır",IF($H21&lt;AsgariTampon,"Tampon altına dikkat: kritik ödemeleri ertele","Devam et")))</f>
        <v/>
      </c>
      <c r="L21" s="23" t="s">
        <v>77</v>
      </c>
    </row>
    <row r="22" customFormat="false" ht="15" hidden="false" customHeight="false" outlineLevel="0" collapsed="false">
      <c r="A22" s="14"/>
      <c r="B22" s="21" t="str">
        <f aca="false">IF($A22="","",RaporTarihi+MIN(($A22-1)*HaftaUzunlugu,MaksTarihUfku))</f>
        <v/>
      </c>
      <c r="C22" s="21" t="str">
        <f aca="false">IF($A22="","",$B22+HaftaUzunlugu-1)</f>
        <v/>
      </c>
      <c r="D22" s="17" t="str">
        <f aca="false">IF($A22="","",SUMIFS(NAKIT_GIRISLERI!$E$6:$E$5000,NAKIT_GIRISLERI!$A$6:$A$5000,$A22))</f>
        <v/>
      </c>
      <c r="E22" s="17" t="str">
        <f aca="false">IF($A22="","",SUMIFS(NAKIT_CIKISLARI!$E$6:$E$5000,NAKIT_CIKISLARI!$A$6:$A$5000,$A22))</f>
        <v/>
      </c>
      <c r="F22" s="17" t="str">
        <f aca="false">IF($A22="","",$D22-$E22)</f>
        <v/>
      </c>
      <c r="G22" s="17" t="str">
        <f aca="false">IF($A22="","",IF($A22=1,BaslangicBakiye,N($H21)))</f>
        <v/>
      </c>
      <c r="H22" s="17" t="str">
        <f aca="false">IF($A22="","",$G22+$F22)</f>
        <v/>
      </c>
      <c r="I22" s="18" t="str">
        <f aca="false">IF($A22="","",IF($H22&lt;0,"PARA BİTİYOR",IF($H22&lt;AsgariTampon,"RİSK ALTINDA","YETERLİ")))</f>
        <v/>
      </c>
      <c r="J22" s="22" t="str">
        <f aca="false">IF($A22="","",IF($H22&lt;0,"Gider ertele / tahsilat hızlandır",IF($H22&lt;AsgariTampon,"Tampon altına dikkat: kritik ödemeleri ertele","Devam et")))</f>
        <v/>
      </c>
      <c r="L22" s="9" t="s">
        <v>78</v>
      </c>
      <c r="M22" s="24" t="n">
        <f aca="false">COUNTIFS(tblHaftaPlan[Durum],"YETERLİ")</f>
        <v>13</v>
      </c>
    </row>
    <row r="23" customFormat="false" ht="15" hidden="false" customHeight="false" outlineLevel="0" collapsed="false">
      <c r="A23" s="14"/>
      <c r="B23" s="21" t="str">
        <f aca="false">IF($A23="","",RaporTarihi+MIN(($A23-1)*HaftaUzunlugu,MaksTarihUfku))</f>
        <v/>
      </c>
      <c r="C23" s="21" t="str">
        <f aca="false">IF($A23="","",$B23+HaftaUzunlugu-1)</f>
        <v/>
      </c>
      <c r="D23" s="17" t="str">
        <f aca="false">IF($A23="","",SUMIFS(NAKIT_GIRISLERI!$E$6:$E$5000,NAKIT_GIRISLERI!$A$6:$A$5000,$A23))</f>
        <v/>
      </c>
      <c r="E23" s="17" t="str">
        <f aca="false">IF($A23="","",SUMIFS(NAKIT_CIKISLARI!$E$6:$E$5000,NAKIT_CIKISLARI!$A$6:$A$5000,$A23))</f>
        <v/>
      </c>
      <c r="F23" s="17" t="str">
        <f aca="false">IF($A23="","",$D23-$E23)</f>
        <v/>
      </c>
      <c r="G23" s="17" t="str">
        <f aca="false">IF($A23="","",IF($A23=1,BaslangicBakiye,N($H22)))</f>
        <v/>
      </c>
      <c r="H23" s="17" t="str">
        <f aca="false">IF($A23="","",$G23+$F23)</f>
        <v/>
      </c>
      <c r="I23" s="18" t="str">
        <f aca="false">IF($A23="","",IF($H23&lt;0,"PARA BİTİYOR",IF($H23&lt;AsgariTampon,"RİSK ALTINDA","YETERLİ")))</f>
        <v/>
      </c>
      <c r="J23" s="22" t="str">
        <f aca="false">IF($A23="","",IF($H23&lt;0,"Gider ertele / tahsilat hızlandır",IF($H23&lt;AsgariTampon,"Tampon altına dikkat: kritik ödemeleri ertele","Devam et")))</f>
        <v/>
      </c>
      <c r="L23" s="9" t="s">
        <v>79</v>
      </c>
      <c r="M23" s="24" t="n">
        <f aca="false">COUNTIFS(tblHaftaPlan[Durum],"RİSK ALTINDA")</f>
        <v>0</v>
      </c>
    </row>
    <row r="24" customFormat="false" ht="15" hidden="false" customHeight="false" outlineLevel="0" collapsed="false">
      <c r="A24" s="14"/>
      <c r="B24" s="21" t="str">
        <f aca="false">IF($A24="","",RaporTarihi+MIN(($A24-1)*HaftaUzunlugu,MaksTarihUfku))</f>
        <v/>
      </c>
      <c r="C24" s="21" t="str">
        <f aca="false">IF($A24="","",$B24+HaftaUzunlugu-1)</f>
        <v/>
      </c>
      <c r="D24" s="17" t="str">
        <f aca="false">IF($A24="","",SUMIFS(NAKIT_GIRISLERI!$E$6:$E$5000,NAKIT_GIRISLERI!$A$6:$A$5000,$A24))</f>
        <v/>
      </c>
      <c r="E24" s="17" t="str">
        <f aca="false">IF($A24="","",SUMIFS(NAKIT_CIKISLARI!$E$6:$E$5000,NAKIT_CIKISLARI!$A$6:$A$5000,$A24))</f>
        <v/>
      </c>
      <c r="F24" s="17" t="str">
        <f aca="false">IF($A24="","",$D24-$E24)</f>
        <v/>
      </c>
      <c r="G24" s="17" t="str">
        <f aca="false">IF($A24="","",IF($A24=1,BaslangicBakiye,N($H23)))</f>
        <v/>
      </c>
      <c r="H24" s="17" t="str">
        <f aca="false">IF($A24="","",$G24+$F24)</f>
        <v/>
      </c>
      <c r="I24" s="18" t="str">
        <f aca="false">IF($A24="","",IF($H24&lt;0,"PARA BİTİYOR",IF($H24&lt;AsgariTampon,"RİSK ALTINDA","YETERLİ")))</f>
        <v/>
      </c>
      <c r="J24" s="22" t="str">
        <f aca="false">IF($A24="","",IF($H24&lt;0,"Gider ertele / tahsilat hızlandır",IF($H24&lt;AsgariTampon,"Tampon altına dikkat: kritik ödemeleri ertele","Devam et")))</f>
        <v/>
      </c>
      <c r="L24" s="9" t="s">
        <v>80</v>
      </c>
      <c r="M24" s="24" t="n">
        <f aca="false">COUNTIFS(tblHaftaPlan[Durum],"PARA BİTİYOR")</f>
        <v>0</v>
      </c>
    </row>
    <row r="25" customFormat="false" ht="15" hidden="false" customHeight="false" outlineLevel="0" collapsed="false">
      <c r="A25" s="14"/>
      <c r="B25" s="21" t="str">
        <f aca="false">IF($A25="","",RaporTarihi+MIN(($A25-1)*HaftaUzunlugu,MaksTarihUfku))</f>
        <v/>
      </c>
      <c r="C25" s="21" t="str">
        <f aca="false">IF($A25="","",$B25+HaftaUzunlugu-1)</f>
        <v/>
      </c>
      <c r="D25" s="17" t="str">
        <f aca="false">IF($A25="","",SUMIFS(NAKIT_GIRISLERI!$E$6:$E$5000,NAKIT_GIRISLERI!$A$6:$A$5000,$A25))</f>
        <v/>
      </c>
      <c r="E25" s="17" t="str">
        <f aca="false">IF($A25="","",SUMIFS(NAKIT_CIKISLARI!$E$6:$E$5000,NAKIT_CIKISLARI!$A$6:$A$5000,$A25))</f>
        <v/>
      </c>
      <c r="F25" s="17" t="str">
        <f aca="false">IF($A25="","",$D25-$E25)</f>
        <v/>
      </c>
      <c r="G25" s="17" t="str">
        <f aca="false">IF($A25="","",IF($A25=1,BaslangicBakiye,N($H24)))</f>
        <v/>
      </c>
      <c r="H25" s="17" t="str">
        <f aca="false">IF($A25="","",$G25+$F25)</f>
        <v/>
      </c>
      <c r="I25" s="18" t="str">
        <f aca="false">IF($A25="","",IF($H25&lt;0,"PARA BİTİYOR",IF($H25&lt;AsgariTampon,"RİSK ALTINDA","YETERLİ")))</f>
        <v/>
      </c>
      <c r="J25" s="22" t="str">
        <f aca="false">IF($A25="","",IF($H25&lt;0,"Gider ertele / tahsilat hızlandır",IF($H25&lt;AsgariTampon,"Tampon altına dikkat: kritik ödemeleri ertele","Devam et")))</f>
        <v/>
      </c>
    </row>
    <row r="26" customFormat="false" ht="15" hidden="false" customHeight="false" outlineLevel="0" collapsed="false">
      <c r="A26" s="14"/>
      <c r="B26" s="21" t="str">
        <f aca="false">IF($A26="","",RaporTarihi+MIN(($A26-1)*HaftaUzunlugu,MaksTarihUfku))</f>
        <v/>
      </c>
      <c r="C26" s="21" t="str">
        <f aca="false">IF($A26="","",$B26+HaftaUzunlugu-1)</f>
        <v/>
      </c>
      <c r="D26" s="17" t="str">
        <f aca="false">IF($A26="","",SUMIFS(NAKIT_GIRISLERI!$E$6:$E$5000,NAKIT_GIRISLERI!$A$6:$A$5000,$A26))</f>
        <v/>
      </c>
      <c r="E26" s="17" t="str">
        <f aca="false">IF($A26="","",SUMIFS(NAKIT_CIKISLARI!$E$6:$E$5000,NAKIT_CIKISLARI!$A$6:$A$5000,$A26))</f>
        <v/>
      </c>
      <c r="F26" s="17" t="str">
        <f aca="false">IF($A26="","",$D26-$E26)</f>
        <v/>
      </c>
      <c r="G26" s="17" t="str">
        <f aca="false">IF($A26="","",IF($A26=1,BaslangicBakiye,N($H25)))</f>
        <v/>
      </c>
      <c r="H26" s="17" t="str">
        <f aca="false">IF($A26="","",$G26+$F26)</f>
        <v/>
      </c>
      <c r="I26" s="18" t="str">
        <f aca="false">IF($A26="","",IF($H26&lt;0,"PARA BİTİYOR",IF($H26&lt;AsgariTampon,"RİSK ALTINDA","YETERLİ")))</f>
        <v/>
      </c>
      <c r="J26" s="22" t="str">
        <f aca="false">IF($A26="","",IF($H26&lt;0,"Gider ertele / tahsilat hızlandır",IF($H26&lt;AsgariTampon,"Tampon altına dikkat: kritik ödemeleri ertele","Devam et")))</f>
        <v/>
      </c>
    </row>
    <row r="27" customFormat="false" ht="15" hidden="false" customHeight="false" outlineLevel="0" collapsed="false">
      <c r="A27" s="14"/>
      <c r="B27" s="21" t="str">
        <f aca="false">IF($A27="","",RaporTarihi+MIN(($A27-1)*HaftaUzunlugu,MaksTarihUfku))</f>
        <v/>
      </c>
      <c r="C27" s="21" t="str">
        <f aca="false">IF($A27="","",$B27+HaftaUzunlugu-1)</f>
        <v/>
      </c>
      <c r="D27" s="17" t="str">
        <f aca="false">IF($A27="","",SUMIFS(NAKIT_GIRISLERI!$E$6:$E$5000,NAKIT_GIRISLERI!$A$6:$A$5000,$A27))</f>
        <v/>
      </c>
      <c r="E27" s="17" t="str">
        <f aca="false">IF($A27="","",SUMIFS(NAKIT_CIKISLARI!$E$6:$E$5000,NAKIT_CIKISLARI!$A$6:$A$5000,$A27))</f>
        <v/>
      </c>
      <c r="F27" s="17" t="str">
        <f aca="false">IF($A27="","",$D27-$E27)</f>
        <v/>
      </c>
      <c r="G27" s="17" t="str">
        <f aca="false">IF($A27="","",IF($A27=1,BaslangicBakiye,N($H26)))</f>
        <v/>
      </c>
      <c r="H27" s="17" t="str">
        <f aca="false">IF($A27="","",$G27+$F27)</f>
        <v/>
      </c>
      <c r="I27" s="18" t="str">
        <f aca="false">IF($A27="","",IF($H27&lt;0,"PARA BİTİYOR",IF($H27&lt;AsgariTampon,"RİSK ALTINDA","YETERLİ")))</f>
        <v/>
      </c>
      <c r="J27" s="22" t="str">
        <f aca="false">IF($A27="","",IF($H27&lt;0,"Gider ertele / tahsilat hızlandır",IF($H27&lt;AsgariTampon,"Tampon altına dikkat: kritik ödemeleri ertele","Devam et")))</f>
        <v/>
      </c>
    </row>
    <row r="28" customFormat="false" ht="15" hidden="false" customHeight="false" outlineLevel="0" collapsed="false">
      <c r="A28" s="14"/>
      <c r="B28" s="21" t="str">
        <f aca="false">IF($A28="","",RaporTarihi+MIN(($A28-1)*HaftaUzunlugu,MaksTarihUfku))</f>
        <v/>
      </c>
      <c r="C28" s="21" t="str">
        <f aca="false">IF($A28="","",$B28+HaftaUzunlugu-1)</f>
        <v/>
      </c>
      <c r="D28" s="17" t="str">
        <f aca="false">IF($A28="","",SUMIFS(NAKIT_GIRISLERI!$E$6:$E$5000,NAKIT_GIRISLERI!$A$6:$A$5000,$A28))</f>
        <v/>
      </c>
      <c r="E28" s="17" t="str">
        <f aca="false">IF($A28="","",SUMIFS(NAKIT_CIKISLARI!$E$6:$E$5000,NAKIT_CIKISLARI!$A$6:$A$5000,$A28))</f>
        <v/>
      </c>
      <c r="F28" s="17" t="str">
        <f aca="false">IF($A28="","",$D28-$E28)</f>
        <v/>
      </c>
      <c r="G28" s="17" t="str">
        <f aca="false">IF($A28="","",IF($A28=1,BaslangicBakiye,N($H27)))</f>
        <v/>
      </c>
      <c r="H28" s="17" t="str">
        <f aca="false">IF($A28="","",$G28+$F28)</f>
        <v/>
      </c>
      <c r="I28" s="18" t="str">
        <f aca="false">IF($A28="","",IF($H28&lt;0,"PARA BİTİYOR",IF($H28&lt;AsgariTampon,"RİSK ALTINDA","YETERLİ")))</f>
        <v/>
      </c>
      <c r="J28" s="22" t="str">
        <f aca="false">IF($A28="","",IF($H28&lt;0,"Gider ertele / tahsilat hızlandır",IF($H28&lt;AsgariTampon,"Tampon altına dikkat: kritik ödemeleri ertele","Devam et")))</f>
        <v/>
      </c>
    </row>
    <row r="29" customFormat="false" ht="15" hidden="false" customHeight="false" outlineLevel="0" collapsed="false">
      <c r="A29" s="14"/>
      <c r="B29" s="21" t="str">
        <f aca="false">IF($A29="","",RaporTarihi+MIN(($A29-1)*HaftaUzunlugu,MaksTarihUfku))</f>
        <v/>
      </c>
      <c r="C29" s="21" t="str">
        <f aca="false">IF($A29="","",$B29+HaftaUzunlugu-1)</f>
        <v/>
      </c>
      <c r="D29" s="17" t="str">
        <f aca="false">IF($A29="","",SUMIFS(NAKIT_GIRISLERI!$E$6:$E$5000,NAKIT_GIRISLERI!$A$6:$A$5000,$A29))</f>
        <v/>
      </c>
      <c r="E29" s="17" t="str">
        <f aca="false">IF($A29="","",SUMIFS(NAKIT_CIKISLARI!$E$6:$E$5000,NAKIT_CIKISLARI!$A$6:$A$5000,$A29))</f>
        <v/>
      </c>
      <c r="F29" s="17" t="str">
        <f aca="false">IF($A29="","",$D29-$E29)</f>
        <v/>
      </c>
      <c r="G29" s="17" t="str">
        <f aca="false">IF($A29="","",IF($A29=1,BaslangicBakiye,N($H28)))</f>
        <v/>
      </c>
      <c r="H29" s="17" t="str">
        <f aca="false">IF($A29="","",$G29+$F29)</f>
        <v/>
      </c>
      <c r="I29" s="18" t="str">
        <f aca="false">IF($A29="","",IF($H29&lt;0,"PARA BİTİYOR",IF($H29&lt;AsgariTampon,"RİSK ALTINDA","YETERLİ")))</f>
        <v/>
      </c>
      <c r="J29" s="22" t="str">
        <f aca="false">IF($A29="","",IF($H29&lt;0,"Gider ertele / tahsilat hızlandır",IF($H29&lt;AsgariTampon,"Tampon altına dikkat: kritik ödemeleri ertele","Devam et")))</f>
        <v/>
      </c>
    </row>
    <row r="30" customFormat="false" ht="15" hidden="false" customHeight="false" outlineLevel="0" collapsed="false">
      <c r="A30" s="14"/>
      <c r="B30" s="21" t="str">
        <f aca="false">IF($A30="","",RaporTarihi+MIN(($A30-1)*HaftaUzunlugu,MaksTarihUfku))</f>
        <v/>
      </c>
      <c r="C30" s="21" t="str">
        <f aca="false">IF($A30="","",$B30+HaftaUzunlugu-1)</f>
        <v/>
      </c>
      <c r="D30" s="17" t="str">
        <f aca="false">IF($A30="","",SUMIFS(NAKIT_GIRISLERI!$E$6:$E$5000,NAKIT_GIRISLERI!$A$6:$A$5000,$A30))</f>
        <v/>
      </c>
      <c r="E30" s="17" t="str">
        <f aca="false">IF($A30="","",SUMIFS(NAKIT_CIKISLARI!$E$6:$E$5000,NAKIT_CIKISLARI!$A$6:$A$5000,$A30))</f>
        <v/>
      </c>
      <c r="F30" s="17" t="str">
        <f aca="false">IF($A30="","",$D30-$E30)</f>
        <v/>
      </c>
      <c r="G30" s="17" t="str">
        <f aca="false">IF($A30="","",IF($A30=1,BaslangicBakiye,N($H29)))</f>
        <v/>
      </c>
      <c r="H30" s="17" t="str">
        <f aca="false">IF($A30="","",$G30+$F30)</f>
        <v/>
      </c>
      <c r="I30" s="18" t="str">
        <f aca="false">IF($A30="","",IF($H30&lt;0,"PARA BİTİYOR",IF($H30&lt;AsgariTampon,"RİSK ALTINDA","YETERLİ")))</f>
        <v/>
      </c>
      <c r="J30" s="22" t="str">
        <f aca="false">IF($A30="","",IF($H30&lt;0,"Gider ertele / tahsilat hızlandır",IF($H30&lt;AsgariTampon,"Tampon altına dikkat: kritik ödemeleri ertele","Devam et")))</f>
        <v/>
      </c>
    </row>
    <row r="31" customFormat="false" ht="15" hidden="false" customHeight="false" outlineLevel="0" collapsed="false">
      <c r="A31" s="14"/>
      <c r="B31" s="21" t="str">
        <f aca="false">IF($A31="","",RaporTarihi+MIN(($A31-1)*HaftaUzunlugu,MaksTarihUfku))</f>
        <v/>
      </c>
      <c r="C31" s="21" t="str">
        <f aca="false">IF($A31="","",$B31+HaftaUzunlugu-1)</f>
        <v/>
      </c>
      <c r="D31" s="17" t="str">
        <f aca="false">IF($A31="","",SUMIFS(NAKIT_GIRISLERI!$E$6:$E$5000,NAKIT_GIRISLERI!$A$6:$A$5000,$A31))</f>
        <v/>
      </c>
      <c r="E31" s="17" t="str">
        <f aca="false">IF($A31="","",SUMIFS(NAKIT_CIKISLARI!$E$6:$E$5000,NAKIT_CIKISLARI!$A$6:$A$5000,$A31))</f>
        <v/>
      </c>
      <c r="F31" s="17" t="str">
        <f aca="false">IF($A31="","",$D31-$E31)</f>
        <v/>
      </c>
      <c r="G31" s="17" t="str">
        <f aca="false">IF($A31="","",IF($A31=1,BaslangicBakiye,N($H30)))</f>
        <v/>
      </c>
      <c r="H31" s="17" t="str">
        <f aca="false">IF($A31="","",$G31+$F31)</f>
        <v/>
      </c>
      <c r="I31" s="18" t="str">
        <f aca="false">IF($A31="","",IF($H31&lt;0,"PARA BİTİYOR",IF($H31&lt;AsgariTampon,"RİSK ALTINDA","YETERLİ")))</f>
        <v/>
      </c>
      <c r="J31" s="22" t="str">
        <f aca="false">IF($A31="","",IF($H31&lt;0,"Gider ertele / tahsilat hızlandır",IF($H31&lt;AsgariTampon,"Tampon altına dikkat: kritik ödemeleri ertele","Devam et")))</f>
        <v/>
      </c>
    </row>
    <row r="32" customFormat="false" ht="15" hidden="false" customHeight="false" outlineLevel="0" collapsed="false">
      <c r="A32" s="14"/>
      <c r="B32" s="21" t="str">
        <f aca="false">IF($A32="","",RaporTarihi+MIN(($A32-1)*HaftaUzunlugu,MaksTarihUfku))</f>
        <v/>
      </c>
      <c r="C32" s="21" t="str">
        <f aca="false">IF($A32="","",$B32+HaftaUzunlugu-1)</f>
        <v/>
      </c>
      <c r="D32" s="17" t="str">
        <f aca="false">IF($A32="","",SUMIFS(NAKIT_GIRISLERI!$E$6:$E$5000,NAKIT_GIRISLERI!$A$6:$A$5000,$A32))</f>
        <v/>
      </c>
      <c r="E32" s="17" t="str">
        <f aca="false">IF($A32="","",SUMIFS(NAKIT_CIKISLARI!$E$6:$E$5000,NAKIT_CIKISLARI!$A$6:$A$5000,$A32))</f>
        <v/>
      </c>
      <c r="F32" s="17" t="str">
        <f aca="false">IF($A32="","",$D32-$E32)</f>
        <v/>
      </c>
      <c r="G32" s="17" t="str">
        <f aca="false">IF($A32="","",IF($A32=1,BaslangicBakiye,N($H31)))</f>
        <v/>
      </c>
      <c r="H32" s="17" t="str">
        <f aca="false">IF($A32="","",$G32+$F32)</f>
        <v/>
      </c>
      <c r="I32" s="18" t="str">
        <f aca="false">IF($A32="","",IF($H32&lt;0,"PARA BİTİYOR",IF($H32&lt;AsgariTampon,"RİSK ALTINDA","YETERLİ")))</f>
        <v/>
      </c>
      <c r="J32" s="22" t="str">
        <f aca="false">IF($A32="","",IF($H32&lt;0,"Gider ertele / tahsilat hızlandır",IF($H32&lt;AsgariTampon,"Tampon altına dikkat: kritik ödemeleri ertele","Devam et")))</f>
        <v/>
      </c>
    </row>
    <row r="33" customFormat="false" ht="15" hidden="false" customHeight="false" outlineLevel="0" collapsed="false">
      <c r="A33" s="14"/>
      <c r="B33" s="21" t="str">
        <f aca="false">IF($A33="","",RaporTarihi+MIN(($A33-1)*HaftaUzunlugu,MaksTarihUfku))</f>
        <v/>
      </c>
      <c r="C33" s="21" t="str">
        <f aca="false">IF($A33="","",$B33+HaftaUzunlugu-1)</f>
        <v/>
      </c>
      <c r="D33" s="17" t="str">
        <f aca="false">IF($A33="","",SUMIFS(NAKIT_GIRISLERI!$E$6:$E$5000,NAKIT_GIRISLERI!$A$6:$A$5000,$A33))</f>
        <v/>
      </c>
      <c r="E33" s="17" t="str">
        <f aca="false">IF($A33="","",SUMIFS(NAKIT_CIKISLARI!$E$6:$E$5000,NAKIT_CIKISLARI!$A$6:$A$5000,$A33))</f>
        <v/>
      </c>
      <c r="F33" s="17" t="str">
        <f aca="false">IF($A33="","",$D33-$E33)</f>
        <v/>
      </c>
      <c r="G33" s="17" t="str">
        <f aca="false">IF($A33="","",IF($A33=1,BaslangicBakiye,N($H32)))</f>
        <v/>
      </c>
      <c r="H33" s="17" t="str">
        <f aca="false">IF($A33="","",$G33+$F33)</f>
        <v/>
      </c>
      <c r="I33" s="18" t="str">
        <f aca="false">IF($A33="","",IF($H33&lt;0,"PARA BİTİYOR",IF($H33&lt;AsgariTampon,"RİSK ALTINDA","YETERLİ")))</f>
        <v/>
      </c>
      <c r="J33" s="22" t="str">
        <f aca="false">IF($A33="","",IF($H33&lt;0,"Gider ertele / tahsilat hızlandır",IF($H33&lt;AsgariTampon,"Tampon altına dikkat: kritik ödemeleri ertele","Devam et")))</f>
        <v/>
      </c>
    </row>
    <row r="34" customFormat="false" ht="15" hidden="false" customHeight="false" outlineLevel="0" collapsed="false">
      <c r="A34" s="14"/>
      <c r="B34" s="21" t="str">
        <f aca="false">IF($A34="","",RaporTarihi+MIN(($A34-1)*HaftaUzunlugu,MaksTarihUfku))</f>
        <v/>
      </c>
      <c r="C34" s="21" t="str">
        <f aca="false">IF($A34="","",$B34+HaftaUzunlugu-1)</f>
        <v/>
      </c>
      <c r="D34" s="17" t="str">
        <f aca="false">IF($A34="","",SUMIFS(NAKIT_GIRISLERI!$E$6:$E$5000,NAKIT_GIRISLERI!$A$6:$A$5000,$A34))</f>
        <v/>
      </c>
      <c r="E34" s="17" t="str">
        <f aca="false">IF($A34="","",SUMIFS(NAKIT_CIKISLARI!$E$6:$E$5000,NAKIT_CIKISLARI!$A$6:$A$5000,$A34))</f>
        <v/>
      </c>
      <c r="F34" s="17" t="str">
        <f aca="false">IF($A34="","",$D34-$E34)</f>
        <v/>
      </c>
      <c r="G34" s="17" t="str">
        <f aca="false">IF($A34="","",IF($A34=1,BaslangicBakiye,N($H33)))</f>
        <v/>
      </c>
      <c r="H34" s="17" t="str">
        <f aca="false">IF($A34="","",$G34+$F34)</f>
        <v/>
      </c>
      <c r="I34" s="18" t="str">
        <f aca="false">IF($A34="","",IF($H34&lt;0,"PARA BİTİYOR",IF($H34&lt;AsgariTampon,"RİSK ALTINDA","YETERLİ")))</f>
        <v/>
      </c>
      <c r="J34" s="22" t="str">
        <f aca="false">IF($A34="","",IF($H34&lt;0,"Gider ertele / tahsilat hızlandır",IF($H34&lt;AsgariTampon,"Tampon altına dikkat: kritik ödemeleri ertele","Devam et")))</f>
        <v/>
      </c>
    </row>
    <row r="35" customFormat="false" ht="15" hidden="false" customHeight="false" outlineLevel="0" collapsed="false">
      <c r="A35" s="14"/>
      <c r="B35" s="21" t="str">
        <f aca="false">IF($A35="","",RaporTarihi+MIN(($A35-1)*HaftaUzunlugu,MaksTarihUfku))</f>
        <v/>
      </c>
      <c r="C35" s="21" t="str">
        <f aca="false">IF($A35="","",$B35+HaftaUzunlugu-1)</f>
        <v/>
      </c>
      <c r="D35" s="17" t="str">
        <f aca="false">IF($A35="","",SUMIFS(NAKIT_GIRISLERI!$E$6:$E$5000,NAKIT_GIRISLERI!$A$6:$A$5000,$A35))</f>
        <v/>
      </c>
      <c r="E35" s="17" t="str">
        <f aca="false">IF($A35="","",SUMIFS(NAKIT_CIKISLARI!$E$6:$E$5000,NAKIT_CIKISLARI!$A$6:$A$5000,$A35))</f>
        <v/>
      </c>
      <c r="F35" s="17" t="str">
        <f aca="false">IF($A35="","",$D35-$E35)</f>
        <v/>
      </c>
      <c r="G35" s="17" t="str">
        <f aca="false">IF($A35="","",IF($A35=1,BaslangicBakiye,N($H34)))</f>
        <v/>
      </c>
      <c r="H35" s="17" t="str">
        <f aca="false">IF($A35="","",$G35+$F35)</f>
        <v/>
      </c>
      <c r="I35" s="18" t="str">
        <f aca="false">IF($A35="","",IF($H35&lt;0,"PARA BİTİYOR",IF($H35&lt;AsgariTampon,"RİSK ALTINDA","YETERLİ")))</f>
        <v/>
      </c>
      <c r="J35" s="22" t="str">
        <f aca="false">IF($A35="","",IF($H35&lt;0,"Gider ertele / tahsilat hızlandır",IF($H35&lt;AsgariTampon,"Tampon altına dikkat: kritik ödemeleri ertele","Devam et")))</f>
        <v/>
      </c>
    </row>
  </sheetData>
  <sheetProtection sheet="true" password="cc3d" objects="true" scenarios="true" deleteColumns="false" deleteRows="false"/>
  <mergeCells count="1">
    <mergeCell ref="A1:AN1"/>
  </mergeCells>
  <conditionalFormatting sqref="F6:F1000">
    <cfRule type="cellIs" priority="2" operator="lessThan" aboveAverage="0" equalAverage="0" bottom="0" percent="0" rank="0" text="" dxfId="12">
      <formula>0</formula>
    </cfRule>
    <cfRule type="cellIs" priority="3" operator="greaterThan" aboveAverage="0" equalAverage="0" bottom="0" percent="0" rank="0" text="" dxfId="10">
      <formula>0</formula>
    </cfRule>
  </conditionalFormatting>
  <conditionalFormatting sqref="G6:G1000">
    <cfRule type="cellIs" priority="4" operator="lessThan" aboveAverage="0" equalAverage="0" bottom="0" percent="0" rank="0" text="" dxfId="13">
      <formula>0</formula>
    </cfRule>
  </conditionalFormatting>
  <conditionalFormatting sqref="H6:H1000">
    <cfRule type="cellIs" priority="5" operator="lessThan" aboveAverage="0" equalAverage="0" bottom="0" percent="0" rank="0" text="" dxfId="13">
      <formula>0</formula>
    </cfRule>
    <cfRule type="cellIs" priority="6" operator="greaterThanOrEqual" aboveAverage="0" equalAverage="0" bottom="0" percent="0" rank="0" text="" dxfId="10">
      <formula>0</formula>
    </cfRule>
  </conditionalFormatting>
  <conditionalFormatting sqref="I6:I1000">
    <cfRule type="cellIs" priority="7" operator="equal" aboveAverage="0" equalAverage="0" bottom="0" percent="0" rank="0" text="" dxfId="10">
      <formula>"YETERLİ"</formula>
    </cfRule>
    <cfRule type="cellIs" priority="8" operator="equal" aboveAverage="0" equalAverage="0" bottom="0" percent="0" rank="0" text="" dxfId="11">
      <formula>"RİSK ALTINDA"</formula>
    </cfRule>
    <cfRule type="cellIs" priority="9" operator="equal" aboveAverage="0" equalAverage="0" bottom="0" percent="0" rank="0" text="" dxfId="13">
      <formula>"PARA BİTİYOR"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8"/>
    <col collapsed="false" customWidth="true" hidden="false" outlineLevel="0" max="3" min="3" style="0" width="95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5" t="s">
        <v>82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</row>
    <row r="4" customFormat="false" ht="15" hidden="false" customHeight="false" outlineLevel="0" collapsed="false">
      <c r="A4" s="26" t="s">
        <v>83</v>
      </c>
    </row>
    <row r="5" customFormat="false" ht="15" hidden="false" customHeight="false" outlineLevel="0" collapsed="false">
      <c r="A5" s="27" t="s">
        <v>84</v>
      </c>
      <c r="B5" s="28" t="n">
        <f aca="false">IFERROR(COUNTIFS(tblGiris[Hafta Numarası],"&gt;0"),0)</f>
        <v>27</v>
      </c>
    </row>
    <row r="6" customFormat="false" ht="15" hidden="false" customHeight="false" outlineLevel="0" collapsed="false">
      <c r="A6" s="27" t="s">
        <v>85</v>
      </c>
      <c r="B6" s="28" t="n">
        <f aca="false">IFERROR(COUNTIFS(tblCikis[Hafta Numarası],"&gt;0"),0)</f>
        <v>18</v>
      </c>
    </row>
    <row r="7" customFormat="false" ht="15" hidden="false" customHeight="false" outlineLevel="0" collapsed="false">
      <c r="A7" s="27" t="s">
        <v>86</v>
      </c>
      <c r="B7" s="29" t="n">
        <f aca="false">IFERROR(SUM(tblGiris[Tutar (₺)]),0)</f>
        <v>2640000</v>
      </c>
    </row>
    <row r="8" customFormat="false" ht="15" hidden="false" customHeight="false" outlineLevel="0" collapsed="false">
      <c r="A8" s="27" t="s">
        <v>87</v>
      </c>
      <c r="B8" s="29" t="n">
        <f aca="false">IFERROR(SUM(tblCikis[Tutar (₺)]),0)</f>
        <v>1725000</v>
      </c>
    </row>
    <row r="9" customFormat="false" ht="15" hidden="false" customHeight="false" outlineLevel="0" collapsed="false">
      <c r="A9" s="27" t="s">
        <v>88</v>
      </c>
      <c r="B9" s="29" t="n">
        <f aca="false">B7-B8</f>
        <v>915000</v>
      </c>
    </row>
    <row r="10" customFormat="false" ht="15" hidden="false" customHeight="false" outlineLevel="0" collapsed="false">
      <c r="A10" s="27" t="s">
        <v>89</v>
      </c>
      <c r="B10" s="29" t="n">
        <f aca="false">KARAR_MOTORU!$B$5</f>
        <v>1415000</v>
      </c>
    </row>
    <row r="11" customFormat="false" ht="15" hidden="false" customHeight="false" outlineLevel="0" collapsed="false">
      <c r="A11" s="27" t="s">
        <v>90</v>
      </c>
      <c r="B11" s="29" t="n">
        <f aca="false">IFERROR(MIN(tblHaftaPlan[Dönem Sonu Bakiye]),0)</f>
        <v>530000</v>
      </c>
    </row>
    <row r="12" customFormat="false" ht="15" hidden="false" customHeight="false" outlineLevel="0" collapsed="false">
      <c r="A12" s="27" t="s">
        <v>91</v>
      </c>
      <c r="B12" s="29" t="n">
        <f aca="false">IFERROR(MAX(tblHaftaPlan[Dönem Sonu Bakiye]),0)</f>
        <v>1415000</v>
      </c>
    </row>
    <row r="13" customFormat="false" ht="15" hidden="false" customHeight="false" outlineLevel="0" collapsed="false">
      <c r="A13" s="27" t="s">
        <v>92</v>
      </c>
      <c r="B13" s="29" t="n">
        <f aca="false">IFERROR(AVERAGE(tblHaftaPlan[Net Akış]),0)</f>
        <v>70384.6153846154</v>
      </c>
    </row>
    <row r="14" customFormat="false" ht="15" hidden="false" customHeight="false" outlineLevel="0" collapsed="false">
      <c r="A14" s="27" t="s">
        <v>93</v>
      </c>
      <c r="B14" s="29" t="n">
        <f aca="false">IFERROR(stdev.p(tblHaftaPlan[Net Akış]),0)</f>
        <v>0</v>
      </c>
    </row>
    <row r="15" customFormat="false" ht="15" hidden="false" customHeight="false" outlineLevel="0" collapsed="false">
      <c r="A15" s="27" t="s">
        <v>94</v>
      </c>
      <c r="B15" s="28" t="n">
        <f aca="false">IFERROR(COUNTIF(tblHaftaPlan[Dönem Sonu Bakiye],"&lt;0"),0)</f>
        <v>0</v>
      </c>
    </row>
    <row r="16" customFormat="false" ht="15" hidden="false" customHeight="false" outlineLevel="0" collapsed="false">
      <c r="A16" s="27" t="s">
        <v>95</v>
      </c>
      <c r="B16" s="28" t="n">
        <f aca="false">IFERROR(COUNTIF(tblHaftaPlan[Dönem Sonu Bakiye],"&lt;"&amp;AsgariTampon),0)</f>
        <v>0</v>
      </c>
    </row>
    <row r="17" customFormat="false" ht="15" hidden="false" customHeight="false" outlineLevel="0" collapsed="false">
      <c r="A17" s="27" t="s">
        <v>96</v>
      </c>
      <c r="B17" s="29" t="n">
        <f aca="false">IFERROR(MAX(tblHaftaPlan[Toplam Çıkış]),0)</f>
        <v>255000</v>
      </c>
    </row>
    <row r="18" customFormat="false" ht="15" hidden="false" customHeight="false" outlineLevel="0" collapsed="false">
      <c r="A18" s="27" t="s">
        <v>97</v>
      </c>
      <c r="B18" s="28" t="n">
        <f aca="false">IFERROR(INDEX(tblHaftaPlan[Hafta Numarası],MATCH(B17,tblHaftaPlan[Toplam Çıkış],0)),0)</f>
        <v>3</v>
      </c>
    </row>
    <row r="19" customFormat="false" ht="15" hidden="false" customHeight="false" outlineLevel="0" collapsed="false">
      <c r="A19" s="27" t="s">
        <v>98</v>
      </c>
      <c r="B19" s="29" t="n">
        <f aca="false">IFERROR(SUMIFS(tblCikis[Tutar (₺)],tblCikis[Öncelik],"KRİTİK"),0)</f>
        <v>1240000</v>
      </c>
    </row>
    <row r="20" customFormat="false" ht="15" hidden="false" customHeight="false" outlineLevel="0" collapsed="false">
      <c r="A20" s="27" t="s">
        <v>99</v>
      </c>
      <c r="B20" s="29" t="n">
        <f aca="false">IFERROR(SUMIFS(tblCikis[Tutar (₺)],tblCikis[Öncelik],"ERTELENEBİLİR"),0)</f>
        <v>0</v>
      </c>
    </row>
    <row r="21" customFormat="false" ht="15" hidden="false" customHeight="false" outlineLevel="0" collapsed="false">
      <c r="A21" s="27" t="s">
        <v>100</v>
      </c>
      <c r="B21" s="29" t="n">
        <f aca="false">IFERROR(SUMIFS(tblGiris[Tutar (₺)],tblGiris[Güvence],"KESİN"),0)</f>
        <v>1100000</v>
      </c>
    </row>
    <row r="22" customFormat="false" ht="15" hidden="false" customHeight="false" outlineLevel="0" collapsed="false">
      <c r="A22" s="27" t="s">
        <v>101</v>
      </c>
      <c r="B22" s="29" t="n">
        <f aca="false">IFERROR(SUMIFS(tblGiris[Tutar (₺)],tblGiris[Güvence],"BELİRSİZ"),0)</f>
        <v>150000</v>
      </c>
    </row>
    <row r="23" customFormat="false" ht="15" hidden="false" customHeight="false" outlineLevel="0" collapsed="false">
      <c r="A23" s="27" t="s">
        <v>102</v>
      </c>
      <c r="B23" s="30" t="n">
        <f aca="false">IFERROR(B7/MAX(1,B8),0)</f>
        <v>1.5304347826087</v>
      </c>
    </row>
    <row r="24" customFormat="false" ht="15" hidden="false" customHeight="false" outlineLevel="0" collapsed="false">
      <c r="A24" s="27" t="s">
        <v>103</v>
      </c>
      <c r="B24" s="29" t="n">
        <f aca="false">IFERROR(SUMIFS(tblHaftaPlan[Net Akış],tblHaftaPlan[Hafta Numarası],"&lt;=6"),0)</f>
        <v>530000</v>
      </c>
    </row>
    <row r="25" customFormat="false" ht="15" hidden="false" customHeight="false" outlineLevel="0" collapsed="false">
      <c r="A25" s="27" t="s">
        <v>104</v>
      </c>
      <c r="B25" s="29" t="n">
        <f aca="false">IFERROR(SUMIFS(tblHaftaPlan[Net Akış],tblHaftaPlan[Hafta Numarası],"&gt;6"),0)</f>
        <v>385000</v>
      </c>
    </row>
    <row r="28" customFormat="false" ht="15" hidden="false" customHeight="false" outlineLevel="0" collapsed="false">
      <c r="A28" s="27" t="s">
        <v>105</v>
      </c>
      <c r="B28" s="28" t="n">
        <f aca="false">KONTROLLER!$B$14</f>
        <v>0</v>
      </c>
    </row>
    <row r="29" customFormat="false" ht="15" hidden="false" customHeight="false" outlineLevel="0" collapsed="false">
      <c r="A29" s="27" t="s">
        <v>106</v>
      </c>
      <c r="B29" s="28" t="n">
        <f aca="false">KONTROLLER!$B$15</f>
        <v>0</v>
      </c>
    </row>
    <row r="30" customFormat="false" ht="15" hidden="false" customHeight="false" outlineLevel="0" collapsed="false">
      <c r="A30" s="27" t="s">
        <v>107</v>
      </c>
      <c r="B30" s="28" t="n">
        <f aca="false">KONTROLLER!$B$16</f>
        <v>0</v>
      </c>
    </row>
    <row r="31" customFormat="false" ht="15" hidden="false" customHeight="false" outlineLevel="0" collapsed="false">
      <c r="A31" s="27" t="s">
        <v>108</v>
      </c>
      <c r="B31" s="28" t="n">
        <f aca="false">B5</f>
        <v>27</v>
      </c>
    </row>
    <row r="32" customFormat="false" ht="15" hidden="false" customHeight="false" outlineLevel="0" collapsed="false">
      <c r="A32" s="27" t="s">
        <v>109</v>
      </c>
      <c r="B32" s="28" t="n">
        <f aca="false">B6</f>
        <v>18</v>
      </c>
    </row>
    <row r="33" customFormat="false" ht="15" hidden="false" customHeight="false" outlineLevel="0" collapsed="false">
      <c r="A33" s="27" t="s">
        <v>110</v>
      </c>
      <c r="B33" s="29" t="n">
        <f aca="false">IFERROR(ABS(B7-B8-B9),0)</f>
        <v>0</v>
      </c>
    </row>
    <row r="34" customFormat="false" ht="15" hidden="false" customHeight="false" outlineLevel="0" collapsed="false">
      <c r="A34" s="27" t="s">
        <v>111</v>
      </c>
      <c r="B34" s="28" t="n">
        <f aca="false">KONTROLLER!$B$6</f>
        <v>100</v>
      </c>
    </row>
    <row r="37" customFormat="false" ht="15" hidden="false" customHeight="false" outlineLevel="0" collapsed="false">
      <c r="A37" s="26" t="s">
        <v>112</v>
      </c>
    </row>
    <row r="38" customFormat="false" ht="15" hidden="false" customHeight="false" outlineLevel="0" collapsed="false">
      <c r="A38" s="27" t="s">
        <v>113</v>
      </c>
      <c r="B38" s="28" t="n">
        <f aca="false">B15</f>
        <v>0</v>
      </c>
      <c r="C38" s="31" t="str">
        <f aca="false">_xlfn.TEXTJOIN(" | ",TRUE(),"T1: Negatif bakiye haftası "&amp;modulT1KirlikHafta,IF(modulT1KirlikHafta&gt;0,"nakit kıtlığı öngörülüyor, önlem planı kurun","kıtlık haftası öngörülmüyor"))</f>
        <v>T1: Negatif bakiye haftası 0 | kıtlık haftası öngörülmüyor</v>
      </c>
    </row>
    <row r="39" customFormat="false" ht="15" hidden="false" customHeight="false" outlineLevel="0" collapsed="false">
      <c r="A39" s="27" t="s">
        <v>114</v>
      </c>
      <c r="B39" s="29" t="n">
        <f aca="false">IFERROR(SLOPE(tblHaftaPlan[Net Akış],tblHaftaPlan[Hafta Numarası]),0)</f>
        <v>-2005.49450549451</v>
      </c>
      <c r="C39" s="31" t="str">
        <f aca="false">_xlfn.TEXTJOIN(" | ",TRUE(),"T2: Net akış eğimi "&amp;TEXT(modulT2NetAkisEgimi,"#,##0")&amp;" TL/hafta",IF(modulT2NetAkisEgimi&lt;0,"nakit dengesi kötüleşiyor, gider yapısını gözden geçirin","nakit dengesi iyileşiyor"))</f>
        <v>T2: Net akış eğimi -2.005 TL/hafta | nakit dengesi kötüleşiyor, gider yapısını gözden geçirin</v>
      </c>
    </row>
    <row r="40" customFormat="false" ht="15" hidden="false" customHeight="false" outlineLevel="0" collapsed="false">
      <c r="A40" s="27" t="s">
        <v>115</v>
      </c>
      <c r="B40" s="30" t="n">
        <f aca="false">IFERROR(B17/MAX(1,B8),0)</f>
        <v>0.147826086956522</v>
      </c>
      <c r="C40" s="31" t="str">
        <f aca="false">_xlfn.TEXTJOIN(" | ",TRUE(),"T3: En yüksek tek ödeme toplam çıkışın %"&amp;TEXT(modulT3CikisPareto*100,"0")&amp;"ı",IF(modulT3CikisPareto&gt;KritikOdemePayiEsigi,"ödemeler tek kalemde yoğun, tedarikçi koşullarını müzakere edin","ödeme dağılımı dengeli"))</f>
        <v>T3: En yüksek tek ödeme toplam çıkışın %15ı | ödeme dağılımı dengeli</v>
      </c>
    </row>
    <row r="41" customFormat="false" ht="15" hidden="false" customHeight="false" outlineLevel="0" collapsed="false">
      <c r="A41" s="27" t="s">
        <v>116</v>
      </c>
      <c r="B41" s="29" t="n">
        <f aca="false">B25-B24</f>
        <v>-145000</v>
      </c>
      <c r="C41" s="31" t="str">
        <f aca="false">_xlfn.TEXTJOIN(" | ",TRUE(),"T4: Son 7 hafta net akışı ilk 6 haftadan "&amp;TEXT(ABS(modulT4DonemFark),"#,##0")&amp;" TL farklı",IF(modulT4DonemFark&lt;0,"dönem sonuna doğru nakit baskısı artıyor","dönem sonu nakit dengesi iyileşiyor"))</f>
        <v>T4: Son 7 hafta net akışı ilk 6 haftadan 145.000 TL farklı | dönem sonuna doğru nakit baskısı artıyor</v>
      </c>
    </row>
    <row r="42" customFormat="false" ht="15" hidden="false" customHeight="false" outlineLevel="0" collapsed="false">
      <c r="A42" s="27" t="s">
        <v>117</v>
      </c>
      <c r="B42" s="29" t="n">
        <f aca="false">B33</f>
        <v>0</v>
      </c>
      <c r="C42" s="31" t="str">
        <f aca="false">_xlfn.TEXTJOIN(" | ",TRUE(),"T5: Giriş-çıkış-bakiye mutabakat farkı "&amp;TEXT(modulT5MutabakatFark,"#,##0")&amp;" TL",IF(modulT5MutabakatFark&gt;0,"kayıtlar arasında dengesizlik var, giriş/çıkış planlarını denetleyin","mutabakat uyumlu"))</f>
        <v>T5: Giriş-çıkış-bakiye mutabakat farkı 0 TL | mutabakat uyumlu</v>
      </c>
    </row>
    <row r="43" customFormat="false" ht="15" hidden="false" customHeight="false" outlineLevel="0" collapsed="false">
      <c r="A43" s="27" t="s">
        <v>118</v>
      </c>
      <c r="B43" s="30" t="n">
        <f aca="false">IFERROR(B19/MAX(1,B8),0)</f>
        <v>0.718840579710145</v>
      </c>
      <c r="C43" s="31" t="str">
        <f aca="false">_xlfn.TEXTJOIN(" | ",TRUE(),"T6: Kritik ödemeler toplam çıkışın %"&amp;TEXT(modulT6KritikOdemePayi*100,"0")&amp;"ı",IF(modulT6KritikOdemePayi&gt;KritikOdemePayiEsigi,"kritik yük yüksek, erteleme alanı dar","kritik yük yönetilebilir"))</f>
        <v>T6: Kritik ödemeler toplam çıkışın %72ı | kritik yük yüksek, erteleme alanı dar</v>
      </c>
    </row>
    <row r="44" customFormat="false" ht="15" hidden="false" customHeight="false" outlineLevel="0" collapsed="false">
      <c r="A44" s="27" t="s">
        <v>119</v>
      </c>
      <c r="B44" s="28" t="n">
        <f aca="false">IFERROR(B17/MAX(1,B13),0)</f>
        <v>3.62295081967213</v>
      </c>
      <c r="C44" s="31" t="str">
        <f aca="false">_xlfn.TEXTJOIN(" | ",TRUE(),"O1: En yüksek çıkış ortalamanın "&amp;TEXT(modulO1CikisAnomalisi,"0.0")&amp;" katı",IF(modulO1CikisAnomalisi&gt;2,"tek haftada balon ödeme var, ödeme tarihini dağıtın","haftalık çıkış dağılımı dengeli"))</f>
        <v>O1: En yüksek çıkış ortalamanın 04 katı | tek haftada balon ödeme var, ödeme tarihini dağıtın</v>
      </c>
    </row>
    <row r="45" customFormat="false" ht="15" hidden="false" customHeight="false" outlineLevel="0" collapsed="false">
      <c r="A45" s="27" t="s">
        <v>120</v>
      </c>
      <c r="B45" s="29" t="n">
        <f aca="false">IFERROR(MAX(DuyarliOran*B7,DuyarliOran*B8,DuyarliOran*B19),0)</f>
        <v>264000</v>
      </c>
      <c r="C45" s="31" t="str">
        <f aca="false">_xlfn.TEXTJOIN(" | ",TRUE(),"O2: Duyarlılık değişkenlerinin en yüksek etkisi "&amp;TEXT(modulO2TornadoZirve,"#,##0")&amp;" TL",IF(modulO2TornadoZirve&gt;AsgariTampon,"tek değişken tamponu tüketebilir, senaryoları izleyin","duyarlılık etkisi sınırlı"))</f>
        <v>O2: Duyarlılık değişkenlerinin en yüksek etkisi 264.000 TL | tek değişken tamponu tüketebilir, senaryoları izleyin</v>
      </c>
    </row>
    <row r="46" customFormat="false" ht="15" hidden="false" customHeight="false" outlineLevel="0" collapsed="false">
      <c r="A46" s="27" t="s">
        <v>121</v>
      </c>
      <c r="B46" s="29" t="n">
        <f aca="false">IFERROR(ABS(SENARYO_DUYARLILIK!$B$7-SENARYO_DUYARLILIK!$B$8),0)</f>
        <v>283000</v>
      </c>
      <c r="C46" s="31" t="str">
        <f aca="false">_xlfn.TEXTJOIN(" | ",TRUE(),"O3: İyimser-kötümser bakiye farkı "&amp;TEXT(modulO3SenaryoFark,"#,##0")&amp;" TL",IF(modulO3SenaryoFark&gt;B10*SenBelirsizlikEsigi,"senaryo belirsizliği yüksek, tahsilat güvencesini artırın","senaryo aralığı kabul edilebilir"))</f>
        <v>O3: İyimser-kötümser bakiye farkı 283.000 TL | senaryo aralığı kabul edilebilir</v>
      </c>
    </row>
    <row r="47" customFormat="false" ht="15" hidden="false" customHeight="false" outlineLevel="0" collapsed="false">
      <c r="A47" s="27" t="s">
        <v>122</v>
      </c>
      <c r="B47" s="30" t="n">
        <f aca="false">IFERROR(B9/MAX(1,B7),0)</f>
        <v>0.346590909090909</v>
      </c>
      <c r="C47" s="31" t="str">
        <f aca="false">_xlfn.TEXTJOIN(" | ",TRUE(),"O4: Gelen her 100 TL'nin "&amp;TEXT(modulO4NakitDonusum*100,"0")&amp;" TL'si dönem sonunda kalıyor",IF(modulO4NakitDonusum&lt;NakitDonusumEsigi,"nakit üretimi zayıf, maliyet yapısını yeniden kurun","nakit dönüşümü sağlıklı"))</f>
        <v>O4: Gelen her 100 TL'nin 35 TL'si dönem sonunda kalıyor | nakit dönüşümü sağlıklı</v>
      </c>
    </row>
    <row r="48" customFormat="false" ht="15" hidden="false" customHeight="false" outlineLevel="0" collapsed="false">
      <c r="A48" s="27" t="s">
        <v>123</v>
      </c>
      <c r="B48" s="29" t="n">
        <f aca="false">IFERROR(MAX(0,-B11)*KirlikMaliyetOrani*HaftaUzunlugu,0)</f>
        <v>0</v>
      </c>
      <c r="C48" s="31" t="str">
        <f aca="false">_xlfn.TEXTJOIN(" | ",TRUE(),"O5: Negatif bakiye tahmini finansman maliyeti "&amp;TEXT(modulO5KirlikMaliyeti,"#,##0")&amp;" TL",IF(modulO5KirlikMaliyeti&gt;0,"kıtlık maliyeti doğuyor, finansmanı önceden temin edin","kıtlık maliyeti yok"))</f>
        <v>O5: Negatif bakiye tahmini finansman maliyeti 0 TL | kıtlık maliyeti yok</v>
      </c>
    </row>
    <row r="49" customFormat="false" ht="15" hidden="false" customHeight="false" outlineLevel="0" collapsed="false">
      <c r="A49" s="27" t="s">
        <v>124</v>
      </c>
      <c r="B49" s="28" t="n">
        <f aca="false">IFERROR((SUMIFS(tblCikis[Tutar (₺)],tblCikis[Kalem],"MAAŞ")^2+SUMIFS(tblCikis[Tutar (₺)],tblCikis[Kalem],"KİRA")^2+SUMIFS(tblCikis[Tutar (₺)],tblCikis[Kalem],"VERGİ")^2+SUMIFS(tblCikis[Tutar (₺)],tblCikis[Kalem],"SGK")^2+SUMIFS(tblCikis[Tutar (₺)],tblCikis[Kalem],"TEDARİKÇİ")^2+SUMIFS(tblCikis[Tutar (₺)],tblCikis[Kalem],"KREDİ TAKSİTİ")^2+SUMIFS(tblCikis[Tutar (₺)],tblCikis[Kalem],"FATURA")^2+SUMIFS(tblCikis[Tutar (₺)],tblCikis[Kalem],"DİĞER")^2)/MAX(1,B8^2),0)</f>
        <v>0.236093257718967</v>
      </c>
      <c r="C49" s="31" t="str">
        <f aca="false">_xlfn.TEXTJOIN(" | ",TRUE(),"O6: Gider yoğunlaşma endeksi "&amp;TEXT(modulO6KalemHhi,"0.00")&amp;"",IF(modulO6KalemHhi&gt;YogunlasmaEsigi,"ödemeler tek kalemde yoğun, alternatif tedarikçi geliştirin","kalem dağılımı dengeli"))</f>
        <v>O6: Gider yoğunlaşma endeksi 0,24 | kalem dağılımı dengeli</v>
      </c>
    </row>
    <row r="50" customFormat="false" ht="15" hidden="false" customHeight="false" outlineLevel="0" collapsed="false">
      <c r="A50" s="27" t="s">
        <v>125</v>
      </c>
      <c r="B50" s="28" t="n">
        <f aca="false">KONTROLLER!$B$6</f>
        <v>100</v>
      </c>
      <c r="C50" s="31" t="str">
        <f aca="false">_xlfn.TEXTJOIN(" | ",TRUE(),"O8: Veri kalite skoru "&amp;TEXT(modulO8KaliteSkor,"0")&amp;"/100",IF(modulO8KaliteSkor&gt;=VeriKaliteYuksek,"girdi kalitesi yüksek","kalite düşük, girişleri tamamlayın"))</f>
        <v>O8: Veri kalite skoru 100/100 | girdi kalitesi yüksek</v>
      </c>
    </row>
    <row r="51" customFormat="false" ht="15" hidden="false" customHeight="false" outlineLevel="0" collapsed="false">
      <c r="A51" s="27" t="s">
        <v>126</v>
      </c>
      <c r="B51" s="29" t="n">
        <f aca="false">IFERROR(B10+_xlfn.FORECAST.LINEAR(PlanHaftaSayisi+TahminUfku,tblHaftaPlan[Net Akış],tblHaftaPlan[Hafta Numarası]),0)</f>
        <v>1467335.16483516</v>
      </c>
      <c r="C51" s="31" t="str">
        <f aca="false">_xlfn.TEXTJOIN(" | ",TRUE(),"I1: 14. hafta sonu bakiye tahmini "&amp;TEXT(modulI1BakiyeTahmini,"#,##0")&amp;" TL",IF(modulI1BakiyeTahmini&lt;AsgariTampon,"tahmini bakiye tamponun altında, önlem alın","tahmini bakiye tampon üzerinde"))</f>
        <v>I1: 14. hafta sonu bakiye tahmini 1.467.335 TL | tahmini bakiye tampon üzerinde</v>
      </c>
    </row>
    <row r="52" customFormat="false" ht="15" hidden="false" customHeight="false" outlineLevel="0" collapsed="false">
      <c r="A52" s="27" t="s">
        <v>127</v>
      </c>
      <c r="B52" s="29" t="n">
        <f aca="false">IFERROR(_xlfn.PERCENTILE.INC(tblHaftaPlan[Net Akış],P90Yuzdelik),0)</f>
        <v>113000</v>
      </c>
      <c r="C52" s="31" t="str">
        <f aca="false">_xlfn.TEXTJOIN(" | ",TRUE(),"I2: Haftalık net akış P90 "&amp;TEXT(modulI2NetAkisP90,"#,##0")&amp;" TL",IF(modulI2NetAkisP90&lt;0,"kötü senaryoda haftalık nakit kaybı oluşuyor","kötü senaryo bandı pozitif"))</f>
        <v>I2: Haftalık net akış P90 113.000 TL | kötü senaryo bandı pozitif</v>
      </c>
    </row>
    <row r="53" customFormat="false" ht="15" hidden="false" customHeight="false" outlineLevel="0" collapsed="false">
      <c r="A53" s="27" t="s">
        <v>128</v>
      </c>
      <c r="B53" s="29" t="n">
        <f aca="false">IFERROR(MAX(0,-B11),0)</f>
        <v>0</v>
      </c>
      <c r="C53" s="31" t="str">
        <f aca="false">_xlfn.TEXTJOIN(" | ",TRUE(),"I7: Dış finansman ihtiyacı "&amp;TEXT(modulI7NakitAcigi,"#,##0")&amp;" TL",IF(modulI7NakitAcigi&gt;0,"finansman ihtiyacı doğuyor, kredi/tahsilat önlemlerini başlatın","dış finansman ihtiyacı yok"))</f>
        <v>I7: Dış finansman ihtiyacı 0 TL | dış finansman ihtiyacı yok</v>
      </c>
    </row>
    <row r="55" customFormat="false" ht="19.5" hidden="false" customHeight="true" outlineLevel="0" collapsed="false">
      <c r="A55" s="25" t="s">
        <v>129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</row>
  </sheetData>
  <sheetProtection sheet="true" password="cc3d" objects="true" scenarios="true" deleteColumns="false" deleteRows="false"/>
  <mergeCells count="3">
    <mergeCell ref="A1:J1"/>
    <mergeCell ref="A2:AN2"/>
    <mergeCell ref="A55:AN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</cols>
  <sheetData>
    <row r="1" customFormat="false" ht="25.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32" t="s">
        <v>131</v>
      </c>
    </row>
    <row r="6" customFormat="false" ht="15" hidden="false" customHeight="false" outlineLevel="0" collapsed="false">
      <c r="A6" s="33" t="s">
        <v>111</v>
      </c>
      <c r="B6" s="34" t="n">
        <f aca="false">ROUND(100-(B14+B15+B16)*UyariPuanKesintisi,0)</f>
        <v>100</v>
      </c>
    </row>
    <row r="7" customFormat="false" ht="15" hidden="false" customHeight="false" outlineLevel="0" collapsed="false">
      <c r="A7" s="33" t="s">
        <v>75</v>
      </c>
      <c r="B7" s="35" t="str">
        <f aca="false">IF(B6&gt;=VeriKaliteYuksek,"SAĞLIKLI",IF(B6&gt;=VeriKaliteOrta,"İZLEME GEREKLİ","DÜZELTME GEREKLİ"))</f>
        <v>SAĞLIKLI</v>
      </c>
    </row>
    <row r="8" customFormat="false" ht="15" hidden="false" customHeight="false" outlineLevel="0" collapsed="false">
      <c r="A8" s="33" t="s">
        <v>132</v>
      </c>
      <c r="B8" s="35" t="str">
        <f aca="false">IF(B6&gt;=VeriKaliteYuksek,"UYGUN",IF(B6&gt;=VeriKaliteOrta,"İNCELE","DURDUR"))</f>
        <v>UYGUN</v>
      </c>
    </row>
    <row r="9" customFormat="false" ht="15" hidden="false" customHeight="false" outlineLevel="0" collapsed="false">
      <c r="A9" s="36" t="s">
        <v>133</v>
      </c>
      <c r="B9" s="34" t="n">
        <f aca="false">COUNTIFS(NAKIT_GIRISLERI!$A$6:$A$5000,"&gt;0")</f>
        <v>27</v>
      </c>
    </row>
    <row r="10" customFormat="false" ht="15" hidden="false" customHeight="false" outlineLevel="0" collapsed="false">
      <c r="A10" s="36" t="s">
        <v>134</v>
      </c>
      <c r="B10" s="34" t="n">
        <f aca="false">COUNTIFS(NAKIT_CIKISLARI!$A$6:$A$5000,"&gt;0")</f>
        <v>18</v>
      </c>
    </row>
    <row r="11" customFormat="false" ht="15" hidden="false" customHeight="false" outlineLevel="0" collapsed="false">
      <c r="A11" s="36" t="s">
        <v>86</v>
      </c>
      <c r="B11" s="37" t="n">
        <f aca="false">SUM(NAKIT_GIRISLERI!$E$6:$E$5000)</f>
        <v>2640000</v>
      </c>
    </row>
    <row r="12" customFormat="false" ht="15" hidden="false" customHeight="false" outlineLevel="0" collapsed="false">
      <c r="A12" s="36" t="s">
        <v>87</v>
      </c>
      <c r="B12" s="37" t="n">
        <f aca="false">SUM(NAKIT_CIKISLARI!$E$6:$E$5000)</f>
        <v>1725000</v>
      </c>
    </row>
    <row r="13" customFormat="false" ht="15" hidden="false" customHeight="false" outlineLevel="0" collapsed="false">
      <c r="A13" s="36" t="s">
        <v>88</v>
      </c>
      <c r="B13" s="37" t="n">
        <f aca="false">SUM(NAKIT_GIRISLERI!$E$6:$E$5000)-SUM(NAKIT_CIKISLARI!$E$6:$E$5000)</f>
        <v>915000</v>
      </c>
    </row>
    <row r="14" customFormat="false" ht="15" hidden="false" customHeight="false" outlineLevel="0" collapsed="false">
      <c r="A14" s="36" t="s">
        <v>105</v>
      </c>
      <c r="B14" s="34" t="n">
        <f aca="false">COUNTIF(NAKIT_GIRISLERI!$G$6:$G$5000,"EKSİK")+COUNTIF(NAKIT_CIKISLARI!$G$6:$G$5000,"EKSİK")</f>
        <v>0</v>
      </c>
    </row>
    <row r="15" customFormat="false" ht="15" hidden="false" customHeight="false" outlineLevel="0" collapsed="false">
      <c r="A15" s="36" t="s">
        <v>106</v>
      </c>
      <c r="B15" s="34" t="n">
        <f aca="false">COUNTIF(NAKIT_GIRISLERI!$G$6:$G$5000,"SIFIR/NEGATİF")+COUNTIF(NAKIT_CIKISLARI!$G$6:$G$5000,"SIFIR/NEGATİF")</f>
        <v>0</v>
      </c>
    </row>
    <row r="16" customFormat="false" ht="15" hidden="false" customHeight="false" outlineLevel="0" collapsed="false">
      <c r="A16" s="36" t="s">
        <v>107</v>
      </c>
      <c r="B16" s="34" t="n">
        <f aca="false">COUNTIF(NAKIT_GIRISLERI!$G$6:$G$5000,"AŞIRI TUTAR")+COUNTIF(NAKIT_CIKISLARI!$G$6:$G$5000,"AŞIRI TUTAR")</f>
        <v>0</v>
      </c>
    </row>
    <row r="17" customFormat="false" ht="15" hidden="false" customHeight="false" outlineLevel="0" collapsed="false">
      <c r="A17" s="36" t="s">
        <v>135</v>
      </c>
      <c r="B17" s="35" t="str">
        <f aca="false">IF(B14+B15+B16=0,"UYGUN","SAĞLAM DEĞİL")</f>
        <v>UYGUN</v>
      </c>
    </row>
    <row r="22" customFormat="false" ht="37.3" hidden="false" customHeight="false" outlineLevel="0" collapsed="false">
      <c r="A22" s="20" t="s">
        <v>136</v>
      </c>
    </row>
  </sheetData>
  <sheetProtection sheet="true" password="cc3d" objects="true" scenarios="true" deleteColumns="false" deleteRows="false"/>
  <mergeCells count="1">
    <mergeCell ref="A1:AN1"/>
  </mergeCells>
  <conditionalFormatting sqref="B6">
    <cfRule type="cellIs" priority="2" operator="lessThan" aboveAverage="0" equalAverage="0" bottom="0" percent="0" rank="0" text="" dxfId="13">
      <formula>50</formula>
    </cfRule>
    <cfRule type="cellIs" priority="3" operator="between" aboveAverage="0" equalAverage="0" bottom="0" percent="0" rank="0" text="" dxfId="11">
      <formula>50</formula>
      <formula>80</formula>
    </cfRule>
    <cfRule type="cellIs" priority="4" operator="greaterThanOrEqual" aboveAverage="0" equalAverage="0" bottom="0" percent="0" rank="0" text="" dxfId="10">
      <formula>80</formula>
    </cfRule>
  </conditionalFormatting>
  <conditionalFormatting sqref="B7">
    <cfRule type="cellIs" priority="5" operator="equal" aboveAverage="0" equalAverage="0" bottom="0" percent="0" rank="0" text="" dxfId="10">
      <formula>"SAĞLIKLI"</formula>
    </cfRule>
    <cfRule type="cellIs" priority="6" operator="equal" aboveAverage="0" equalAverage="0" bottom="0" percent="0" rank="0" text="" dxfId="11">
      <formula>"İZLEME GEREKLİ"</formula>
    </cfRule>
    <cfRule type="cellIs" priority="7" operator="equal" aboveAverage="0" equalAverage="0" bottom="0" percent="0" rank="0" text="" dxfId="12">
      <formula>"DÜZELTME GEREKLİ"</formula>
    </cfRule>
  </conditionalFormatting>
  <conditionalFormatting sqref="B8">
    <cfRule type="cellIs" priority="8" operator="equal" aboveAverage="0" equalAverage="0" bottom="0" percent="0" rank="0" text="" dxfId="10">
      <formula>"UYGUN"</formula>
    </cfRule>
    <cfRule type="cellIs" priority="9" operator="equal" aboveAverage="0" equalAverage="0" bottom="0" percent="0" rank="0" text="" dxfId="11">
      <formula>"İNCELE"</formula>
    </cfRule>
    <cfRule type="cellIs" priority="10" operator="equal" aboveAverage="0" equalAverage="0" bottom="0" percent="0" rank="0" text="" dxfId="13">
      <formula>"DURDUR"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52.95" hidden="false" customHeight="false" outlineLevel="0" collapsed="false">
      <c r="A3" s="38" t="s">
        <v>138</v>
      </c>
    </row>
    <row r="5" customFormat="false" ht="15" hidden="false" customHeight="false" outlineLevel="0" collapsed="false">
      <c r="A5" s="36" t="s">
        <v>89</v>
      </c>
      <c r="B5" s="37" t="n">
        <f aca="false">BaslangicBakiye+SUM(NAKIT_GIRISLERI!$E$6:$E$5000)-SUM(NAKIT_CIKISLARI!$E$6:$E$5000)</f>
        <v>1415000</v>
      </c>
    </row>
    <row r="6" customFormat="false" ht="15" hidden="false" customHeight="false" outlineLevel="0" collapsed="false">
      <c r="A6" s="36" t="s">
        <v>139</v>
      </c>
      <c r="B6" s="34" t="n">
        <f aca="false">IFERROR(_xlfn.MINIFS(HAFTALIK_PLAN!$A$6:$A$18,HAFTALIK_PLAN!$H$6:$H$18,"&lt;0"),0)</f>
        <v>0</v>
      </c>
    </row>
    <row r="7" customFormat="false" ht="15" hidden="false" customHeight="false" outlineLevel="0" collapsed="false">
      <c r="A7" s="36" t="s">
        <v>140</v>
      </c>
      <c r="B7" s="34" t="n">
        <f aca="false">IFERROR(_xlfn.MINIFS(HAFTALIK_PLAN!$A$6:$A$18,HAFTALIK_PLAN!$H$6:$H$18,"&lt;"&amp;AsgariTampon),0)</f>
        <v>0</v>
      </c>
    </row>
    <row r="8" customFormat="false" ht="15" hidden="false" customHeight="false" outlineLevel="0" collapsed="false">
      <c r="A8" s="33" t="s">
        <v>141</v>
      </c>
      <c r="B8" s="35" t="str">
        <f aca="false">IF(B18&lt;MinimumVeriSayisi,"VERİ YOK",IF(B6&gt;0,"DURDUR",IF(B7&gt;0,"İNCELE",IF(B5&gt;=AsgariTampon,"UYGUN","İNCELE"))))</f>
        <v>UYGUN</v>
      </c>
    </row>
    <row r="9" customFormat="false" ht="15" hidden="false" customHeight="false" outlineLevel="0" collapsed="false">
      <c r="A9" s="33" t="s">
        <v>142</v>
      </c>
      <c r="B9" s="35" t="str">
        <f aca="false">IF(B8="VERİ YOK","BELİRSİZ",IF(B8="DURDUR","KRİTİK",IF(B8="İNCELE","YÜKSEK","DÜŞÜK")))</f>
        <v>DÜŞÜK</v>
      </c>
    </row>
    <row r="10" customFormat="false" ht="15" hidden="false" customHeight="false" outlineLevel="0" collapsed="false">
      <c r="A10" s="33" t="s">
        <v>143</v>
      </c>
      <c r="B10" s="35" t="str">
        <f aca="false">IF(B8="VERİ YOK","Karar için yeterli giriş/çıkış kaydı girilmedi; en az "&amp;MinimumVeriSayisi&amp;" kayıt beklenir.",_xlfn.TEXTJOIN(" | ",TRUE(),"Dönem sonu bakiye "&amp;TEXT(B5,"#,##0")&amp;" TL",IF(B6&gt;0,"para "&amp;B6&amp;". haftada bitiyor","para bitiş riski yok"),IF(B7&gt;0,"tampon eşiği "&amp;B7&amp;". haftada aşılıyor","tampon korunuyor")))</f>
        <v>Dönem sonu bakiye 1.415.000 TL | para bitiş riski yok | tampon korunuyor</v>
      </c>
    </row>
    <row r="11" customFormat="false" ht="15" hidden="false" customHeight="false" outlineLevel="0" collapsed="false">
      <c r="A11" s="33" t="s">
        <v>144</v>
      </c>
      <c r="B11" s="35" t="str">
        <f aca="false">IF(B8="VERİ YOK","Önce giriş ve çıkış planlarını eksiksiz doldurun",IF(B6&gt;0,"Nakit akışı "&amp;B6&amp;". haftada tükeniyor: kritik ödemeleri erteleyin, tahsilatı hızlandırın, kısa vadeli kredi değerlendirin",IF(B7&gt;0,"Tampon eşiği aşılıyor: ertelenebilir giderleri listeleyin, tahsilat takvimini öne çekin","Plan sağlıklı: mevcut akış korunmalı")))</f>
        <v>Plan sağlıklı: mevcut akış korunmalı</v>
      </c>
    </row>
    <row r="12" customFormat="false" ht="15" hidden="false" customHeight="false" outlineLevel="0" collapsed="false">
      <c r="A12" s="36" t="s">
        <v>86</v>
      </c>
      <c r="B12" s="37" t="n">
        <f aca="false">SUM(NAKIT_GIRISLERI!$E$6:$E$5000)</f>
        <v>2640000</v>
      </c>
    </row>
    <row r="13" customFormat="false" ht="15" hidden="false" customHeight="false" outlineLevel="0" collapsed="false">
      <c r="A13" s="36" t="s">
        <v>87</v>
      </c>
      <c r="B13" s="37" t="n">
        <f aca="false">SUM(NAKIT_CIKISLARI!$E$6:$E$5000)</f>
        <v>1725000</v>
      </c>
    </row>
    <row r="14" customFormat="false" ht="15" hidden="false" customHeight="false" outlineLevel="0" collapsed="false">
      <c r="A14" s="36" t="s">
        <v>88</v>
      </c>
      <c r="B14" s="37" t="n">
        <f aca="false">B12-B13</f>
        <v>915000</v>
      </c>
    </row>
    <row r="15" customFormat="false" ht="15" hidden="false" customHeight="false" outlineLevel="0" collapsed="false">
      <c r="A15" s="36" t="s">
        <v>97</v>
      </c>
      <c r="B15" s="34" t="n">
        <f aca="false">IFERROR(INDEX(HAFTALIK_PLAN!$A$6:$A$18,MATCH(MAX(HAFTALIK_PLAN!$E$6:$E$18),HAFTALIK_PLAN!$E$6:$E$18,0)),0)</f>
        <v>3</v>
      </c>
    </row>
    <row r="16" customFormat="false" ht="15" hidden="false" customHeight="false" outlineLevel="0" collapsed="false">
      <c r="A16" s="36" t="s">
        <v>145</v>
      </c>
      <c r="B16" s="37" t="n">
        <f aca="false">SUMIFS(NAKIT_CIKISLARI!$E$6:$E$5000,NAKIT_CIKISLARI!$D$6:$D$5000,"KRİTİK")</f>
        <v>1240000</v>
      </c>
    </row>
    <row r="17" customFormat="false" ht="15" hidden="false" customHeight="false" outlineLevel="0" collapsed="false">
      <c r="A17" s="36" t="s">
        <v>146</v>
      </c>
      <c r="B17" s="37" t="n">
        <f aca="false">SUMIFS(NAKIT_CIKISLARI!$E$6:$E$5000,NAKIT_CIKISLARI!$D$6:$D$5000,"ERTELENEBİLİR")</f>
        <v>0</v>
      </c>
    </row>
    <row r="18" customFormat="false" ht="15" hidden="false" customHeight="false" outlineLevel="0" collapsed="false">
      <c r="A18" s="36" t="s">
        <v>147</v>
      </c>
      <c r="B18" s="34" t="n">
        <f aca="false">KONTROLLER!$B$9+KONTROLLER!$B$10</f>
        <v>45</v>
      </c>
    </row>
    <row r="23" customFormat="false" ht="61.15" hidden="false" customHeight="false" outlineLevel="0" collapsed="false">
      <c r="A23" s="20" t="s">
        <v>148</v>
      </c>
    </row>
  </sheetData>
  <sheetProtection sheet="true" password="cc3d" objects="true" scenarios="true" deleteColumns="false" deleteRows="false"/>
  <mergeCells count="1">
    <mergeCell ref="A1:AN1"/>
  </mergeCells>
  <conditionalFormatting sqref="B6">
    <cfRule type="cellIs" priority="2" operator="greaterThan" aboveAverage="0" equalAverage="0" bottom="0" percent="0" rank="0" text="" dxfId="13">
      <formula>0</formula>
    </cfRule>
    <cfRule type="cellIs" priority="3" operator="equal" aboveAverage="0" equalAverage="0" bottom="0" percent="0" rank="0" text="" dxfId="10">
      <formula>0</formula>
    </cfRule>
  </conditionalFormatting>
  <conditionalFormatting sqref="B7">
    <cfRule type="cellIs" priority="4" operator="greaterThan" aboveAverage="0" equalAverage="0" bottom="0" percent="0" rank="0" text="" dxfId="11">
      <formula>0</formula>
    </cfRule>
  </conditionalFormatting>
  <conditionalFormatting sqref="B8">
    <cfRule type="cellIs" priority="5" operator="equal" aboveAverage="0" equalAverage="0" bottom="0" percent="0" rank="0" text="" dxfId="10">
      <formula>"UYGUN"</formula>
    </cfRule>
    <cfRule type="cellIs" priority="6" operator="equal" aboveAverage="0" equalAverage="0" bottom="0" percent="0" rank="0" text="" dxfId="11">
      <formula>"İNCELE"</formula>
    </cfRule>
    <cfRule type="cellIs" priority="7" operator="equal" aboveAverage="0" equalAverage="0" bottom="0" percent="0" rank="0" text="" dxfId="13">
      <formula>"DURDUR"</formula>
    </cfRule>
  </conditionalFormatting>
  <conditionalFormatting sqref="B9">
    <cfRule type="cellIs" priority="8" operator="equal" aboveAverage="0" equalAverage="0" bottom="0" percent="0" rank="0" text="" dxfId="12">
      <formula>"KRİTİK"</formula>
    </cfRule>
    <cfRule type="cellIs" priority="9" operator="equal" aboveAverage="0" equalAverage="0" bottom="0" percent="0" rank="0" text="" dxfId="11">
      <formula>"YÜKSEK"</formula>
    </cfRule>
    <cfRule type="cellIs" priority="10" operator="equal" aboveAverage="0" equalAverage="0" bottom="0" percent="0" rank="0" text="" dxfId="15">
      <formula>"ORTA"</formula>
    </cfRule>
    <cfRule type="cellIs" priority="11" operator="equal" aboveAverage="0" equalAverage="0" bottom="0" percent="0" rank="0" text="" dxfId="10">
      <formula>"DÜŞÜK"</formula>
    </cfRule>
  </conditionalFormatting>
  <conditionalFormatting sqref="B13">
    <cfRule type="cellIs" priority="12" operator="lessThan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4" style="0" width="20"/>
    <col collapsed="false" customWidth="true" hidden="false" outlineLevel="0" max="11" min="5" style="0" width="16"/>
  </cols>
  <sheetData>
    <row r="1" customFormat="false" ht="25.5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7.35" hidden="false" customHeight="false" outlineLevel="0" collapsed="false">
      <c r="A3" s="39" t="s">
        <v>150</v>
      </c>
    </row>
    <row r="5" customFormat="false" ht="15" hidden="false" customHeight="false" outlineLevel="0" collapsed="false">
      <c r="A5" s="33" t="s">
        <v>74</v>
      </c>
      <c r="B5" s="37" t="n">
        <f aca="false">KARAR_MOTORU!$B$5</f>
        <v>1415000</v>
      </c>
      <c r="D5" s="40" t="s">
        <v>151</v>
      </c>
    </row>
    <row r="6" customFormat="false" ht="15" hidden="false" customHeight="true" outlineLevel="0" collapsed="false">
      <c r="A6" s="33" t="s">
        <v>88</v>
      </c>
      <c r="B6" s="37" t="n">
        <f aca="false">KARAR_MOTORU!$B$14</f>
        <v>915000</v>
      </c>
      <c r="D6" s="41" t="s">
        <v>152</v>
      </c>
      <c r="E6" s="41"/>
      <c r="F6" s="41"/>
      <c r="G6" s="41"/>
      <c r="H6" s="41"/>
      <c r="I6" s="41"/>
      <c r="J6" s="41"/>
      <c r="K6" s="41"/>
    </row>
    <row r="7" customFormat="false" ht="15" hidden="false" customHeight="false" outlineLevel="0" collapsed="false">
      <c r="A7" s="33" t="s">
        <v>139</v>
      </c>
      <c r="B7" s="35" t="str">
        <f aca="false">IF(KARAR_MOTORU!$B$6&gt;0,KARAR_MOTORU!$B$6&amp;". hafta","Yok")</f>
        <v>Yok</v>
      </c>
      <c r="D7" s="41"/>
      <c r="E7" s="41"/>
      <c r="F7" s="41"/>
      <c r="G7" s="41"/>
      <c r="H7" s="41"/>
      <c r="I7" s="41"/>
      <c r="J7" s="41"/>
      <c r="K7" s="41"/>
    </row>
    <row r="8" customFormat="false" ht="15" hidden="false" customHeight="false" outlineLevel="0" collapsed="false">
      <c r="A8" s="33" t="s">
        <v>140</v>
      </c>
      <c r="B8" s="35" t="str">
        <f aca="false">IF(KARAR_MOTORU!$B$7&gt;0,KARAR_MOTORU!$B$7&amp;". hafta","Yok")</f>
        <v>Yok</v>
      </c>
    </row>
    <row r="9" customFormat="false" ht="15" hidden="false" customHeight="false" outlineLevel="0" collapsed="false">
      <c r="A9" s="33" t="s">
        <v>141</v>
      </c>
      <c r="B9" s="35" t="str">
        <f aca="false">KARAR_MOTORU!$B$8</f>
        <v>UYGUN</v>
      </c>
    </row>
    <row r="10" customFormat="false" ht="15" hidden="false" customHeight="false" outlineLevel="0" collapsed="false">
      <c r="A10" s="33" t="s">
        <v>142</v>
      </c>
      <c r="B10" s="35" t="str">
        <f aca="false">KARAR_MOTORU!$B$9</f>
        <v>DÜŞÜK</v>
      </c>
    </row>
    <row r="11" customFormat="false" ht="15" hidden="false" customHeight="false" outlineLevel="0" collapsed="false">
      <c r="A11" s="33" t="s">
        <v>143</v>
      </c>
      <c r="B11" s="35" t="str">
        <f aca="false">KARAR_MOTORU!$B$10</f>
        <v>Dönem sonu bakiye 1.415.000 TL | para bitiş riski yok | tampon korunuyor</v>
      </c>
    </row>
    <row r="12" customFormat="false" ht="15" hidden="false" customHeight="false" outlineLevel="0" collapsed="false">
      <c r="A12" s="33" t="s">
        <v>86</v>
      </c>
      <c r="B12" s="37" t="n">
        <f aca="false">KARAR_MOTORU!$B$12</f>
        <v>2640000</v>
      </c>
    </row>
    <row r="13" customFormat="false" ht="15" hidden="false" customHeight="false" outlineLevel="0" collapsed="false">
      <c r="A13" s="33" t="s">
        <v>87</v>
      </c>
      <c r="B13" s="37" t="n">
        <f aca="false">KARAR_MOTORU!$B$13</f>
        <v>1725000</v>
      </c>
    </row>
    <row r="14" customFormat="false" ht="15" hidden="false" customHeight="false" outlineLevel="0" collapsed="false">
      <c r="A14" s="33" t="s">
        <v>147</v>
      </c>
      <c r="B14" s="34" t="n">
        <f aca="false">KARAR_MOTORU!$B$18</f>
        <v>45</v>
      </c>
    </row>
    <row r="15" customFormat="false" ht="15" hidden="false" customHeight="false" outlineLevel="0" collapsed="false">
      <c r="A15" s="33" t="s">
        <v>111</v>
      </c>
      <c r="B15" s="34" t="n">
        <f aca="false">KONTROLLER!$B$6</f>
        <v>100</v>
      </c>
    </row>
    <row r="16" customFormat="false" ht="15" hidden="false" customHeight="false" outlineLevel="0" collapsed="false">
      <c r="A16" s="33" t="s">
        <v>144</v>
      </c>
      <c r="B16" s="35" t="str">
        <f aca="false">KARAR_MOTORU!$B$11</f>
        <v>Plan sağlıklı: mevcut akış korunmalı</v>
      </c>
    </row>
  </sheetData>
  <sheetProtection sheet="true" password="cc3d" objects="true" scenarios="true" deleteColumns="false" deleteRows="false"/>
  <mergeCells count="2">
    <mergeCell ref="A1:AN1"/>
    <mergeCell ref="D6:K7"/>
  </mergeCells>
  <conditionalFormatting sqref="B6">
    <cfRule type="cellIs" priority="2" operator="lessThan" aboveAverage="0" equalAverage="0" bottom="0" percent="0" rank="0" text="" dxfId="13">
      <formula>0</formula>
    </cfRule>
  </conditionalFormatting>
  <conditionalFormatting sqref="E6">
    <cfRule type="cellIs" priority="3" operator="lessThan" aboveAverage="0" equalAverage="0" bottom="0" percent="0" rank="0" text="" dxfId="12">
      <formula>0</formula>
    </cfRule>
  </conditionalFormatting>
  <conditionalFormatting sqref="H6">
    <cfRule type="cellIs" priority="4" operator="lessThan" aboveAverage="0" equalAverage="0" bottom="0" percent="0" rank="0" text="" dxfId="12">
      <formula>0</formula>
    </cfRule>
  </conditionalFormatting>
  <conditionalFormatting sqref="B9">
    <cfRule type="cellIs" priority="5" operator="equal" aboveAverage="0" equalAverage="0" bottom="0" percent="0" rank="0" text="" dxfId="10">
      <formula>"UYGUN"</formula>
    </cfRule>
    <cfRule type="cellIs" priority="6" operator="equal" aboveAverage="0" equalAverage="0" bottom="0" percent="0" rank="0" text="" dxfId="11">
      <formula>"İNCELE"</formula>
    </cfRule>
    <cfRule type="cellIs" priority="7" operator="equal" aboveAverage="0" equalAverage="0" bottom="0" percent="0" rank="0" text="" dxfId="13">
      <formula>"DURDUR"</formula>
    </cfRule>
  </conditionalFormatting>
  <conditionalFormatting sqref="B25">
    <cfRule type="cellIs" priority="8" operator="lessThan" aboveAverage="0" equalAverage="0" bottom="0" percent="0" rank="0" text="" dxfId="12">
      <formula>50</formula>
    </cfRule>
    <cfRule type="cellIs" priority="9" operator="between" aboveAverage="0" equalAverage="0" bottom="0" percent="0" rank="0" text="" dxfId="11">
      <formula>50</formula>
      <formula>80</formula>
    </cfRule>
    <cfRule type="cellIs" priority="10" operator="greaterThanOrEqual" aboveAverage="0" equalAverage="0" bottom="0" percent="0" rank="0" text="" dxfId="10">
      <formula>80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&amp;L13 Haftalık Nakit Akışı ve Ödeme Planlama Sistemi — PANO&amp;CExcelArşiv&amp;RSayfa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20"/>
  </cols>
  <sheetData>
    <row r="1" customFormat="false" ht="25.5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32" t="s">
        <v>154</v>
      </c>
    </row>
    <row r="5" customFormat="false" ht="15" hidden="false" customHeight="false" outlineLevel="0" collapsed="false">
      <c r="A5" s="36" t="s">
        <v>155</v>
      </c>
      <c r="B5" s="37" t="n">
        <f aca="false">KARAR_MOTORU!$B$5</f>
        <v>1415000</v>
      </c>
    </row>
    <row r="6" customFormat="false" ht="15" hidden="false" customHeight="false" outlineLevel="0" collapsed="false">
      <c r="A6" s="36" t="s">
        <v>156</v>
      </c>
      <c r="B6" s="42" t="n">
        <v>0.1</v>
      </c>
    </row>
    <row r="7" customFormat="false" ht="15" hidden="false" customHeight="false" outlineLevel="0" collapsed="false">
      <c r="A7" s="36" t="s">
        <v>157</v>
      </c>
      <c r="B7" s="37" t="n">
        <f aca="false">B5*(1+B6)</f>
        <v>1556500</v>
      </c>
    </row>
    <row r="8" customFormat="false" ht="15" hidden="false" customHeight="false" outlineLevel="0" collapsed="false">
      <c r="A8" s="36" t="s">
        <v>158</v>
      </c>
      <c r="B8" s="37" t="n">
        <f aca="false">B5*(1-B6)</f>
        <v>1273500</v>
      </c>
    </row>
    <row r="9" customFormat="false" ht="15" hidden="false" customHeight="false" outlineLevel="0" collapsed="false">
      <c r="A9" s="36" t="s">
        <v>159</v>
      </c>
      <c r="B9" s="42" t="n">
        <v>0.1</v>
      </c>
    </row>
    <row r="10" customFormat="false" ht="15" hidden="false" customHeight="false" outlineLevel="0" collapsed="false">
      <c r="A10" s="36" t="s">
        <v>160</v>
      </c>
      <c r="B10" s="37" t="n">
        <f aca="false">B5*(1-B9)</f>
        <v>1273500</v>
      </c>
    </row>
    <row r="11" customFormat="false" ht="15" hidden="false" customHeight="false" outlineLevel="0" collapsed="false">
      <c r="A11" s="36" t="s">
        <v>161</v>
      </c>
      <c r="B11" s="42" t="n">
        <v>0.1</v>
      </c>
    </row>
    <row r="12" customFormat="false" ht="15" hidden="false" customHeight="false" outlineLevel="0" collapsed="false">
      <c r="A12" s="36" t="s">
        <v>162</v>
      </c>
      <c r="B12" s="37" t="n">
        <f aca="false">B5*(1-B11)</f>
        <v>1273500</v>
      </c>
    </row>
    <row r="14" customFormat="false" ht="15" hidden="false" customHeight="false" outlineLevel="0" collapsed="false">
      <c r="A14" s="43" t="s">
        <v>163</v>
      </c>
    </row>
    <row r="15" customFormat="false" ht="15" hidden="false" customHeight="false" outlineLevel="0" collapsed="false">
      <c r="A15" s="23" t="s">
        <v>164</v>
      </c>
      <c r="B15" s="23" t="s">
        <v>165</v>
      </c>
      <c r="C15" s="23" t="s">
        <v>166</v>
      </c>
      <c r="D15" s="23" t="s">
        <v>167</v>
      </c>
    </row>
    <row r="16" customFormat="false" ht="15" hidden="false" customHeight="false" outlineLevel="0" collapsed="false">
      <c r="A16" s="36" t="s">
        <v>168</v>
      </c>
      <c r="B16" s="44" t="n">
        <f aca="false">B6</f>
        <v>0.1</v>
      </c>
      <c r="C16" s="17" t="n">
        <f aca="false">B5*B16</f>
        <v>141500</v>
      </c>
      <c r="D16" s="17" t="n">
        <f aca="false">B5+B16</f>
        <v>1415000.1</v>
      </c>
    </row>
    <row r="17" customFormat="false" ht="15" hidden="false" customHeight="false" outlineLevel="0" collapsed="false">
      <c r="A17" s="36" t="s">
        <v>169</v>
      </c>
      <c r="B17" s="44" t="n">
        <f aca="false">B9</f>
        <v>0.1</v>
      </c>
      <c r="C17" s="17" t="n">
        <f aca="false">-B5*B17</f>
        <v>-141500</v>
      </c>
      <c r="D17" s="17" t="n">
        <f aca="false">B5+B17</f>
        <v>1415000.1</v>
      </c>
    </row>
    <row r="18" customFormat="false" ht="15" hidden="false" customHeight="false" outlineLevel="0" collapsed="false">
      <c r="A18" s="36" t="s">
        <v>170</v>
      </c>
      <c r="B18" s="44" t="n">
        <f aca="false">B11</f>
        <v>0.1</v>
      </c>
      <c r="C18" s="17" t="n">
        <f aca="false">-B5*B18</f>
        <v>-141500</v>
      </c>
      <c r="D18" s="17" t="n">
        <f aca="false">B5+B18</f>
        <v>1415000.1</v>
      </c>
    </row>
    <row r="19" customFormat="false" ht="15" hidden="false" customHeight="false" outlineLevel="0" collapsed="false">
      <c r="A19" s="36" t="s">
        <v>171</v>
      </c>
      <c r="B19" s="44" t="n">
        <f aca="false">-B6</f>
        <v>-0.1</v>
      </c>
      <c r="C19" s="17" t="n">
        <f aca="false">B5*B19</f>
        <v>-141500</v>
      </c>
      <c r="D19" s="17" t="n">
        <f aca="false">B5+B19</f>
        <v>1414999.9</v>
      </c>
    </row>
    <row r="21" customFormat="false" ht="49.25" hidden="false" customHeight="false" outlineLevel="0" collapsed="false">
      <c r="A21" s="20" t="s">
        <v>172</v>
      </c>
    </row>
  </sheetData>
  <sheetProtection sheet="true" password="cc3d" objects="true" scenarios="true" deleteColumns="false" deleteRows="false"/>
  <mergeCells count="1">
    <mergeCell ref="A1:AN1"/>
  </mergeCells>
  <conditionalFormatting sqref="B5">
    <cfRule type="cellIs" priority="2" operator="lessThan" aboveAverage="0" equalAverage="0" bottom="0" percent="0" rank="0" text="" dxfId="13">
      <formula>0</formula>
    </cfRule>
  </conditionalFormatting>
  <conditionalFormatting sqref="B7">
    <cfRule type="cellIs" priority="3" operator="lessThan" aboveAverage="0" equalAverage="0" bottom="0" percent="0" rank="0" text="" dxfId="13">
      <formula>0</formula>
    </cfRule>
  </conditionalFormatting>
  <conditionalFormatting sqref="B9">
    <cfRule type="cellIs" priority="4" operator="lessThan" aboveAverage="0" equalAverage="0" bottom="0" percent="0" rank="0" text="" dxfId="13">
      <formula>0</formula>
    </cfRule>
  </conditionalFormatting>
  <conditionalFormatting sqref="E6:E17">
    <cfRule type="cellIs" priority="5" operator="lessThan" aboveAverage="0" equalAverage="0" bottom="0" percent="0" rank="0" text="" dxfId="12">
      <formula>0</formula>
    </cfRule>
    <cfRule type="cellIs" priority="6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</cols>
  <sheetData>
    <row r="1" customFormat="false" ht="25.5" hidden="false" customHeight="true" outlineLevel="0" collapsed="false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9.7" hidden="false" customHeight="false" outlineLevel="0" collapsed="false">
      <c r="A3" s="7" t="s">
        <v>174</v>
      </c>
    </row>
    <row r="4" customFormat="false" ht="15" hidden="false" customHeight="false" outlineLevel="0" collapsed="false">
      <c r="A4" s="36" t="s">
        <v>175</v>
      </c>
      <c r="B4" s="45" t="n">
        <f aca="false">RaporTarihi</f>
        <v>46244</v>
      </c>
    </row>
    <row r="5" customFormat="false" ht="15" hidden="false" customHeight="false" outlineLevel="0" collapsed="false">
      <c r="A5" s="36" t="s">
        <v>176</v>
      </c>
      <c r="B5" s="18" t="str">
        <f aca="false">FirmaUnvan</f>
        <v>Örnek Anadolu Üretim ve Ticaret A.Ş.</v>
      </c>
    </row>
    <row r="6" customFormat="false" ht="15" hidden="false" customHeight="false" outlineLevel="0" collapsed="false">
      <c r="A6" s="36" t="s">
        <v>177</v>
      </c>
      <c r="B6" s="18" t="str">
        <f aca="false">RaporHazirlayan</f>
        <v>Finans Direktörü</v>
      </c>
    </row>
    <row r="8" customFormat="false" ht="15" hidden="false" customHeight="false" outlineLevel="0" collapsed="false">
      <c r="A8" s="43" t="s">
        <v>178</v>
      </c>
    </row>
    <row r="9" customFormat="false" ht="15" hidden="false" customHeight="false" outlineLevel="0" collapsed="false">
      <c r="A9" s="36" t="s">
        <v>89</v>
      </c>
      <c r="B9" s="37" t="n">
        <f aca="false">KARAR_MOTORU!$B$5</f>
        <v>1415000</v>
      </c>
    </row>
    <row r="10" customFormat="false" ht="15" hidden="false" customHeight="false" outlineLevel="0" collapsed="false">
      <c r="A10" s="36" t="s">
        <v>88</v>
      </c>
      <c r="B10" s="17" t="n">
        <f aca="false">KARAR_MOTORU!$B$14</f>
        <v>915000</v>
      </c>
    </row>
    <row r="11" customFormat="false" ht="15" hidden="false" customHeight="false" outlineLevel="0" collapsed="false">
      <c r="A11" s="36" t="s">
        <v>139</v>
      </c>
      <c r="B11" s="18" t="str">
        <f aca="false">IF(KARAR_MOTORU!$B$6&gt;0,KARAR_MOTORU!$B$6&amp;". hafta","Yok")</f>
        <v>Yok</v>
      </c>
    </row>
    <row r="12" customFormat="false" ht="15" hidden="false" customHeight="false" outlineLevel="0" collapsed="false">
      <c r="A12" s="36" t="s">
        <v>141</v>
      </c>
      <c r="B12" s="35" t="str">
        <f aca="false">KARAR_MOTORU!$B$8</f>
        <v>UYGUN</v>
      </c>
    </row>
    <row r="13" customFormat="false" ht="15" hidden="false" customHeight="false" outlineLevel="0" collapsed="false">
      <c r="A13" s="36" t="s">
        <v>142</v>
      </c>
      <c r="B13" s="35" t="str">
        <f aca="false">KARAR_MOTORU!$B$9</f>
        <v>DÜŞÜK</v>
      </c>
    </row>
    <row r="14" customFormat="false" ht="15" hidden="false" customHeight="false" outlineLevel="0" collapsed="false">
      <c r="A14" s="36" t="s">
        <v>144</v>
      </c>
      <c r="B14" s="46" t="str">
        <f aca="false">KARAR_MOTORU!$B$11</f>
        <v>Plan sağlıklı: mevcut akış korunmalı</v>
      </c>
    </row>
    <row r="15" customFormat="false" ht="41.75" hidden="false" customHeight="false" outlineLevel="0" collapsed="false">
      <c r="A15" s="36" t="s">
        <v>143</v>
      </c>
      <c r="B15" s="46" t="str">
        <f aca="false">KARAR_MOTORU!$B$10</f>
        <v>Dönem sonu bakiye 1.415.000 TL | para bitiş riski yok | tampon korunuyor</v>
      </c>
    </row>
    <row r="16" customFormat="false" ht="15" hidden="false" customHeight="false" outlineLevel="0" collapsed="false">
      <c r="A16" s="43" t="s">
        <v>179</v>
      </c>
    </row>
    <row r="17" customFormat="false" ht="28.35" hidden="false" customHeight="false" outlineLevel="0" collapsed="false">
      <c r="A17" s="36" t="s">
        <v>180</v>
      </c>
    </row>
    <row r="18" customFormat="false" ht="28.35" hidden="false" customHeight="false" outlineLevel="0" collapsed="false">
      <c r="A18" s="36" t="s">
        <v>181</v>
      </c>
    </row>
    <row r="19" customFormat="false" ht="28.35" hidden="false" customHeight="false" outlineLevel="0" collapsed="false">
      <c r="A19" s="36" t="s">
        <v>182</v>
      </c>
    </row>
    <row r="21" customFormat="false" ht="25.35" hidden="false" customHeight="false" outlineLevel="0" collapsed="false">
      <c r="A21" s="20" t="s">
        <v>183</v>
      </c>
    </row>
  </sheetData>
  <sheetProtection sheet="true" password="cc3d" objects="true" scenarios="true" deleteColumns="false" deleteRows="false"/>
  <mergeCells count="1">
    <mergeCell ref="A1:AN1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&amp;L13 Haftalık Nakit Akışı ve Ödeme Planlama Sistemi — RAPOR&amp;CExcelArşiv&amp;RSayfa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91" hidden="false" customHeight="false" outlineLevel="0" collapsed="false">
      <c r="A3" s="10" t="s">
        <v>185</v>
      </c>
    </row>
    <row r="5" customFormat="false" ht="30" hidden="false" customHeight="true" outlineLevel="0" collapsed="false">
      <c r="A5" s="11" t="s">
        <v>29</v>
      </c>
      <c r="B5" s="11" t="s">
        <v>186</v>
      </c>
      <c r="C5" s="11" t="s">
        <v>33</v>
      </c>
      <c r="D5" s="11" t="s">
        <v>187</v>
      </c>
      <c r="E5" s="11" t="s">
        <v>188</v>
      </c>
    </row>
    <row r="6" customFormat="false" ht="15" hidden="false" customHeight="false" outlineLevel="0" collapsed="false">
      <c r="A6" s="47" t="n">
        <v>1</v>
      </c>
      <c r="B6" s="48" t="s">
        <v>189</v>
      </c>
      <c r="C6" s="49" t="n">
        <v>85000</v>
      </c>
      <c r="D6" s="48" t="s">
        <v>37</v>
      </c>
      <c r="E6" s="9" t="s">
        <v>38</v>
      </c>
    </row>
    <row r="7" customFormat="false" ht="15" hidden="false" customHeight="false" outlineLevel="0" collapsed="false">
      <c r="A7" s="47" t="n">
        <v>1</v>
      </c>
      <c r="B7" s="48" t="s">
        <v>190</v>
      </c>
      <c r="C7" s="49" t="n">
        <v>130000</v>
      </c>
      <c r="D7" s="48" t="s">
        <v>52</v>
      </c>
      <c r="E7" s="9" t="s">
        <v>51</v>
      </c>
    </row>
    <row r="8" customFormat="false" ht="15" hidden="false" customHeight="false" outlineLevel="0" collapsed="false">
      <c r="A8" s="47" t="n">
        <v>2</v>
      </c>
      <c r="B8" s="48" t="s">
        <v>189</v>
      </c>
      <c r="C8" s="49" t="n">
        <v>95000</v>
      </c>
      <c r="D8" s="48" t="s">
        <v>37</v>
      </c>
      <c r="E8" s="9" t="s">
        <v>38</v>
      </c>
    </row>
    <row r="9" customFormat="false" ht="15" hidden="false" customHeight="false" outlineLevel="0" collapsed="false">
      <c r="A9" s="47" t="n">
        <v>2</v>
      </c>
      <c r="B9" s="48" t="s">
        <v>190</v>
      </c>
      <c r="C9" s="49" t="n">
        <v>90000</v>
      </c>
      <c r="D9" s="48" t="s">
        <v>55</v>
      </c>
      <c r="E9" s="9" t="s">
        <v>57</v>
      </c>
    </row>
    <row r="10" customFormat="false" ht="15" hidden="false" customHeight="false" outlineLevel="0" collapsed="false">
      <c r="A10" s="47" t="n">
        <v>3</v>
      </c>
      <c r="B10" s="48" t="s">
        <v>189</v>
      </c>
      <c r="C10" s="49" t="n">
        <v>80000</v>
      </c>
      <c r="D10" s="48" t="s">
        <v>37</v>
      </c>
      <c r="E10" s="9" t="s">
        <v>38</v>
      </c>
    </row>
    <row r="11" customFormat="false" ht="15" hidden="false" customHeight="false" outlineLevel="0" collapsed="false">
      <c r="A11" s="47" t="n">
        <v>3</v>
      </c>
      <c r="B11" s="48" t="s">
        <v>190</v>
      </c>
      <c r="C11" s="49" t="n">
        <v>180000</v>
      </c>
      <c r="D11" s="48" t="s">
        <v>52</v>
      </c>
      <c r="E11" s="9" t="s">
        <v>59</v>
      </c>
    </row>
  </sheetData>
  <sheetProtection sheet="true" password="cc3d" objects="true" scenarios="true" deleteColumns="false" deleteRows="false"/>
  <mergeCells count="1">
    <mergeCell ref="A1:A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25.5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32" t="s">
        <v>192</v>
      </c>
    </row>
    <row r="5" customFormat="false" ht="30" hidden="false" customHeight="true" outlineLevel="0" collapsed="false">
      <c r="A5" s="11" t="s">
        <v>193</v>
      </c>
      <c r="B5" s="11" t="s">
        <v>194</v>
      </c>
      <c r="C5" s="11" t="s">
        <v>75</v>
      </c>
    </row>
    <row r="6" customFormat="false" ht="15" hidden="false" customHeight="false" outlineLevel="0" collapsed="false">
      <c r="A6" s="36" t="s">
        <v>86</v>
      </c>
      <c r="B6" s="17" t="n">
        <f aca="false">SUM(NAKIT_GIRISLERI!$E$6:$E$5000)</f>
        <v>2640000</v>
      </c>
      <c r="C6" s="18" t="str">
        <f aca="false">IF(B6="","EKSİK","KONTROL EDİLDİ")</f>
        <v>KONTROL EDİLDİ</v>
      </c>
    </row>
    <row r="7" customFormat="false" ht="15" hidden="false" customHeight="false" outlineLevel="0" collapsed="false">
      <c r="A7" s="36" t="s">
        <v>87</v>
      </c>
      <c r="B7" s="17" t="n">
        <f aca="false">SUM(NAKIT_CIKISLARI!$E$6:$E$5000)</f>
        <v>1725000</v>
      </c>
      <c r="C7" s="18" t="str">
        <f aca="false">IF(B7="","EKSİK","KONTROL EDİLDİ")</f>
        <v>KONTROL EDİLDİ</v>
      </c>
    </row>
    <row r="8" customFormat="false" ht="15" hidden="false" customHeight="false" outlineLevel="0" collapsed="false">
      <c r="A8" s="36" t="s">
        <v>88</v>
      </c>
      <c r="B8" s="17" t="n">
        <f aca="false">SUM(NAKIT_GIRISLERI!$E$6:$E$5000)-SUM(NAKIT_CIKISLARI!$E$6:$E$5000)</f>
        <v>915000</v>
      </c>
      <c r="C8" s="18" t="str">
        <f aca="false">IF(B8="","EKSİK","KONTROL EDİLDİ")</f>
        <v>KONTROL EDİLDİ</v>
      </c>
    </row>
    <row r="9" customFormat="false" ht="15" hidden="false" customHeight="false" outlineLevel="0" collapsed="false">
      <c r="A9" s="36" t="s">
        <v>111</v>
      </c>
      <c r="B9" s="24" t="n">
        <f aca="false">KONTROLLER!$B$6</f>
        <v>100</v>
      </c>
      <c r="C9" s="18" t="str">
        <f aca="false">IF(B9="","EKSİK","KONTROL EDİLDİ")</f>
        <v>KONTROL EDİLDİ</v>
      </c>
    </row>
    <row r="10" customFormat="false" ht="15" hidden="false" customHeight="false" outlineLevel="0" collapsed="false">
      <c r="A10" s="36" t="s">
        <v>74</v>
      </c>
      <c r="B10" s="17" t="n">
        <f aca="false">KARAR_MOTORU!$B$5</f>
        <v>1415000</v>
      </c>
      <c r="C10" s="18" t="str">
        <f aca="false">IF(B10="","EKSİK","KONTROL EDİLDİ")</f>
        <v>KONTROL EDİLDİ</v>
      </c>
    </row>
    <row r="11" customFormat="false" ht="15" hidden="false" customHeight="false" outlineLevel="0" collapsed="false">
      <c r="A11" s="36" t="s">
        <v>139</v>
      </c>
      <c r="B11" s="24" t="n">
        <f aca="false">KARAR_MOTORU!$B$6</f>
        <v>0</v>
      </c>
      <c r="C11" s="18" t="str">
        <f aca="false">IF(B11="","EKSİK","KONTROL EDİLDİ")</f>
        <v>KONTROL EDİLDİ</v>
      </c>
    </row>
    <row r="12" customFormat="false" ht="15" hidden="false" customHeight="false" outlineLevel="0" collapsed="false">
      <c r="A12" s="36" t="s">
        <v>195</v>
      </c>
      <c r="B12" s="18" t="str">
        <f aca="false">KARAR_MOTORU!$B$8</f>
        <v>UYGUN</v>
      </c>
      <c r="C12" s="18" t="str">
        <f aca="false">IF(B12="","EKSİK","KONTROL EDİLDİ")</f>
        <v>KONTROL EDİLDİ</v>
      </c>
    </row>
    <row r="16" customFormat="false" ht="25.35" hidden="false" customHeight="false" outlineLevel="0" collapsed="false">
      <c r="A16" s="20" t="s">
        <v>196</v>
      </c>
    </row>
  </sheetData>
  <sheetProtection sheet="true" password="cc3d" objects="true" scenarios="true" deleteColumns="false" deleteRows="false"/>
  <mergeCells count="1">
    <mergeCell ref="A1:A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32" t="s">
        <v>198</v>
      </c>
    </row>
    <row r="5" customFormat="false" ht="30" hidden="false" customHeight="true" outlineLevel="0" collapsed="false">
      <c r="A5" s="11" t="s">
        <v>199</v>
      </c>
      <c r="B5" s="11" t="s">
        <v>200</v>
      </c>
      <c r="C5" s="11" t="s">
        <v>36</v>
      </c>
    </row>
    <row r="6" customFormat="false" ht="15" hidden="false" customHeight="false" outlineLevel="0" collapsed="false">
      <c r="A6" s="48" t="s">
        <v>201</v>
      </c>
      <c r="B6" s="48" t="s">
        <v>202</v>
      </c>
      <c r="C6" s="9" t="s">
        <v>203</v>
      </c>
    </row>
  </sheetData>
  <sheetProtection sheet="true" password="cc3d" objects="true" scenarios="true" deleteColumns="false" deleteRows="false"/>
  <mergeCells count="1">
    <mergeCell ref="A1:A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3" style="0" width="20"/>
    <col collapsed="false" customWidth="true" hidden="false" outlineLevel="0" max="5" min="5" style="0" width="16"/>
    <col collapsed="false" customWidth="true" hidden="false" outlineLevel="0" max="7" min="7" style="0" width="18"/>
  </cols>
  <sheetData>
    <row r="1" customFormat="false" ht="25.5" hidden="false" customHeight="true" outlineLevel="0" collapsed="false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32" t="s">
        <v>205</v>
      </c>
    </row>
    <row r="5" customFormat="false" ht="15" hidden="false" customHeight="false" outlineLevel="0" collapsed="false">
      <c r="A5" s="23" t="s">
        <v>31</v>
      </c>
      <c r="C5" s="23" t="s">
        <v>32</v>
      </c>
      <c r="E5" s="23" t="s">
        <v>49</v>
      </c>
      <c r="G5" s="23" t="s">
        <v>50</v>
      </c>
    </row>
    <row r="6" customFormat="false" ht="15" hidden="false" customHeight="false" outlineLevel="0" collapsed="false">
      <c r="A6" s="48" t="s">
        <v>37</v>
      </c>
      <c r="C6" s="9" t="s">
        <v>38</v>
      </c>
      <c r="E6" s="9" t="s">
        <v>51</v>
      </c>
      <c r="G6" s="48" t="s">
        <v>52</v>
      </c>
    </row>
    <row r="7" customFormat="false" ht="15" hidden="false" customHeight="false" outlineLevel="0" collapsed="false">
      <c r="A7" s="48" t="s">
        <v>40</v>
      </c>
      <c r="C7" s="9" t="s">
        <v>41</v>
      </c>
      <c r="E7" s="9" t="s">
        <v>54</v>
      </c>
      <c r="G7" s="48" t="s">
        <v>55</v>
      </c>
    </row>
    <row r="8" customFormat="false" ht="15" hidden="false" customHeight="false" outlineLevel="0" collapsed="false">
      <c r="A8" s="48" t="s">
        <v>43</v>
      </c>
      <c r="C8" s="9" t="s">
        <v>44</v>
      </c>
      <c r="E8" s="9" t="s">
        <v>59</v>
      </c>
      <c r="G8" s="48" t="s">
        <v>206</v>
      </c>
    </row>
    <row r="9" customFormat="false" ht="15" hidden="false" customHeight="false" outlineLevel="0" collapsed="false">
      <c r="C9" s="9" t="s">
        <v>207</v>
      </c>
      <c r="E9" s="9" t="s">
        <v>61</v>
      </c>
      <c r="G9" s="48" t="s">
        <v>208</v>
      </c>
    </row>
    <row r="10" customFormat="false" ht="15" hidden="false" customHeight="false" outlineLevel="0" collapsed="false">
      <c r="C10" s="9" t="s">
        <v>209</v>
      </c>
      <c r="E10" s="9" t="s">
        <v>57</v>
      </c>
    </row>
    <row r="11" customFormat="false" ht="15" hidden="false" customHeight="false" outlineLevel="0" collapsed="false">
      <c r="E11" s="9" t="s">
        <v>63</v>
      </c>
    </row>
    <row r="12" customFormat="false" ht="15" hidden="false" customHeight="false" outlineLevel="0" collapsed="false">
      <c r="E12" s="9" t="s">
        <v>210</v>
      </c>
    </row>
    <row r="13" customFormat="false" ht="15" hidden="false" customHeight="false" outlineLevel="0" collapsed="false">
      <c r="E13" s="9" t="s">
        <v>209</v>
      </c>
    </row>
  </sheetData>
  <sheetProtection sheet="true" password="cc3d" objects="true" scenarios="true" deleteColumns="false" deleteRows="false"/>
  <mergeCells count="1">
    <mergeCell ref="A1:A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56"/>
    <col collapsed="false" customWidth="true" hidden="false" outlineLevel="0" max="5" min="5" style="0" width="20"/>
    <col collapsed="false" customWidth="true" hidden="false" outlineLevel="0" max="7" min="6" style="0" width="14"/>
  </cols>
  <sheetData>
    <row r="1" customFormat="false" ht="25.5" hidden="false" customHeight="true" outlineLevel="0" collapsed="false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5" t="s">
        <v>212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</row>
    <row r="4" customFormat="false" ht="15" hidden="false" customHeight="false" outlineLevel="0" collapsed="false">
      <c r="A4" s="26" t="s">
        <v>213</v>
      </c>
    </row>
    <row r="5" customFormat="false" ht="15" hidden="false" customHeight="false" outlineLevel="0" collapsed="false">
      <c r="A5" s="27" t="s">
        <v>214</v>
      </c>
      <c r="B5" s="50" t="s">
        <v>215</v>
      </c>
      <c r="E5" s="51" t="s">
        <v>36</v>
      </c>
    </row>
    <row r="6" customFormat="false" ht="15" hidden="false" customHeight="false" outlineLevel="0" collapsed="false">
      <c r="A6" s="27" t="s">
        <v>175</v>
      </c>
      <c r="B6" s="13" t="n">
        <v>46244</v>
      </c>
      <c r="E6" s="51" t="s">
        <v>36</v>
      </c>
    </row>
    <row r="7" customFormat="false" ht="15" hidden="false" customHeight="false" outlineLevel="0" collapsed="false">
      <c r="A7" s="27" t="s">
        <v>216</v>
      </c>
      <c r="B7" s="50" t="s">
        <v>217</v>
      </c>
      <c r="E7" s="51" t="s">
        <v>36</v>
      </c>
    </row>
    <row r="8" customFormat="false" ht="15" hidden="false" customHeight="false" outlineLevel="0" collapsed="false">
      <c r="A8" s="27" t="s">
        <v>218</v>
      </c>
      <c r="B8" s="50" t="s">
        <v>201</v>
      </c>
      <c r="E8" s="51" t="s">
        <v>36</v>
      </c>
    </row>
    <row r="9" customFormat="false" ht="15" hidden="false" customHeight="false" outlineLevel="0" collapsed="false">
      <c r="A9" s="27" t="s">
        <v>219</v>
      </c>
      <c r="B9" s="50" t="s">
        <v>220</v>
      </c>
      <c r="E9" s="51" t="s">
        <v>36</v>
      </c>
    </row>
    <row r="10" customFormat="false" ht="15" hidden="false" customHeight="false" outlineLevel="0" collapsed="false">
      <c r="A10" s="27" t="s">
        <v>221</v>
      </c>
      <c r="B10" s="50" t="s">
        <v>222</v>
      </c>
      <c r="E10" s="51" t="s">
        <v>36</v>
      </c>
    </row>
    <row r="12" customFormat="false" ht="15" hidden="false" customHeight="false" outlineLevel="0" collapsed="false">
      <c r="A12" s="26" t="s">
        <v>223</v>
      </c>
    </row>
    <row r="13" customFormat="false" ht="15" hidden="false" customHeight="false" outlineLevel="0" collapsed="false">
      <c r="A13" s="52" t="s">
        <v>224</v>
      </c>
      <c r="B13" s="52" t="s">
        <v>225</v>
      </c>
      <c r="C13" s="52" t="s">
        <v>226</v>
      </c>
      <c r="D13" s="52" t="s">
        <v>227</v>
      </c>
      <c r="E13" s="52" t="s">
        <v>228</v>
      </c>
      <c r="F13" s="52" t="s">
        <v>229</v>
      </c>
      <c r="G13" s="52" t="s">
        <v>230</v>
      </c>
    </row>
    <row r="14" customFormat="false" ht="15" hidden="false" customHeight="false" outlineLevel="0" collapsed="false">
      <c r="A14" s="36" t="s">
        <v>231</v>
      </c>
      <c r="B14" s="16" t="n">
        <v>500000</v>
      </c>
      <c r="C14" s="36" t="s">
        <v>232</v>
      </c>
      <c r="D14" s="36" t="s">
        <v>233</v>
      </c>
      <c r="E14" s="36" t="s">
        <v>234</v>
      </c>
      <c r="F14" s="36" t="s">
        <v>235</v>
      </c>
      <c r="G14" s="36" t="s">
        <v>235</v>
      </c>
    </row>
    <row r="15" customFormat="false" ht="15" hidden="false" customHeight="false" outlineLevel="0" collapsed="false">
      <c r="A15" s="36" t="s">
        <v>236</v>
      </c>
      <c r="B15" s="16" t="n">
        <v>50000</v>
      </c>
      <c r="C15" s="36" t="s">
        <v>232</v>
      </c>
      <c r="D15" s="36" t="s">
        <v>237</v>
      </c>
      <c r="E15" s="36" t="s">
        <v>238</v>
      </c>
      <c r="F15" s="36" t="s">
        <v>235</v>
      </c>
      <c r="G15" s="36" t="s">
        <v>235</v>
      </c>
    </row>
    <row r="16" customFormat="false" ht="15" hidden="false" customHeight="false" outlineLevel="0" collapsed="false">
      <c r="A16" s="36" t="s">
        <v>239</v>
      </c>
      <c r="B16" s="53" t="n">
        <v>7</v>
      </c>
      <c r="C16" s="36" t="s">
        <v>240</v>
      </c>
      <c r="D16" s="36" t="s">
        <v>241</v>
      </c>
      <c r="E16" s="36" t="s">
        <v>242</v>
      </c>
      <c r="F16" s="36" t="s">
        <v>235</v>
      </c>
      <c r="G16" s="36" t="s">
        <v>235</v>
      </c>
    </row>
    <row r="17" customFormat="false" ht="15" hidden="false" customHeight="false" outlineLevel="0" collapsed="false">
      <c r="A17" s="36" t="s">
        <v>243</v>
      </c>
      <c r="B17" s="53" t="n">
        <v>80</v>
      </c>
      <c r="C17" s="36" t="s">
        <v>244</v>
      </c>
      <c r="D17" s="36" t="s">
        <v>245</v>
      </c>
      <c r="E17" s="36" t="s">
        <v>238</v>
      </c>
      <c r="F17" s="36" t="s">
        <v>235</v>
      </c>
      <c r="G17" s="36" t="s">
        <v>235</v>
      </c>
    </row>
    <row r="18" customFormat="false" ht="15" hidden="false" customHeight="false" outlineLevel="0" collapsed="false">
      <c r="A18" s="36" t="s">
        <v>246</v>
      </c>
      <c r="B18" s="53" t="n">
        <v>60</v>
      </c>
      <c r="C18" s="36" t="s">
        <v>244</v>
      </c>
      <c r="D18" s="36" t="s">
        <v>247</v>
      </c>
      <c r="E18" s="36" t="s">
        <v>238</v>
      </c>
      <c r="F18" s="36" t="s">
        <v>235</v>
      </c>
      <c r="G18" s="36" t="s">
        <v>235</v>
      </c>
    </row>
    <row r="19" customFormat="false" ht="15" hidden="false" customHeight="false" outlineLevel="0" collapsed="false">
      <c r="A19" s="36" t="s">
        <v>248</v>
      </c>
      <c r="B19" s="53" t="n">
        <v>5</v>
      </c>
      <c r="C19" s="36" t="s">
        <v>244</v>
      </c>
      <c r="D19" s="36" t="s">
        <v>249</v>
      </c>
      <c r="E19" s="36" t="s">
        <v>238</v>
      </c>
      <c r="F19" s="36" t="s">
        <v>235</v>
      </c>
      <c r="G19" s="36" t="s">
        <v>235</v>
      </c>
    </row>
    <row r="20" customFormat="false" ht="15" hidden="false" customHeight="false" outlineLevel="0" collapsed="false">
      <c r="A20" s="36" t="s">
        <v>250</v>
      </c>
      <c r="B20" s="16" t="n">
        <v>500000</v>
      </c>
      <c r="C20" s="36" t="s">
        <v>232</v>
      </c>
      <c r="D20" s="36" t="s">
        <v>251</v>
      </c>
      <c r="E20" s="36" t="s">
        <v>238</v>
      </c>
      <c r="F20" s="36" t="s">
        <v>235</v>
      </c>
      <c r="G20" s="36" t="s">
        <v>235</v>
      </c>
    </row>
    <row r="21" customFormat="false" ht="15" hidden="false" customHeight="false" outlineLevel="0" collapsed="false">
      <c r="A21" s="36" t="s">
        <v>252</v>
      </c>
      <c r="B21" s="16" t="n">
        <v>500000</v>
      </c>
      <c r="C21" s="36" t="s">
        <v>232</v>
      </c>
      <c r="D21" s="36" t="s">
        <v>253</v>
      </c>
      <c r="E21" s="36" t="s">
        <v>238</v>
      </c>
      <c r="F21" s="36" t="s">
        <v>235</v>
      </c>
      <c r="G21" s="36" t="s">
        <v>235</v>
      </c>
    </row>
    <row r="22" customFormat="false" ht="15" hidden="false" customHeight="false" outlineLevel="0" collapsed="false">
      <c r="A22" s="36" t="s">
        <v>254</v>
      </c>
      <c r="B22" s="54" t="n">
        <v>0.1</v>
      </c>
      <c r="C22" s="36" t="s">
        <v>255</v>
      </c>
      <c r="D22" s="36" t="s">
        <v>256</v>
      </c>
      <c r="E22" s="36" t="s">
        <v>238</v>
      </c>
      <c r="F22" s="36" t="s">
        <v>235</v>
      </c>
      <c r="G22" s="36" t="s">
        <v>235</v>
      </c>
    </row>
    <row r="23" customFormat="false" ht="15" hidden="false" customHeight="false" outlineLevel="0" collapsed="false">
      <c r="A23" s="36" t="s">
        <v>257</v>
      </c>
      <c r="B23" s="53" t="n">
        <v>6</v>
      </c>
      <c r="C23" s="36" t="s">
        <v>258</v>
      </c>
      <c r="D23" s="36" t="s">
        <v>259</v>
      </c>
      <c r="E23" s="36" t="s">
        <v>238</v>
      </c>
      <c r="F23" s="36" t="s">
        <v>235</v>
      </c>
      <c r="G23" s="36" t="s">
        <v>235</v>
      </c>
    </row>
    <row r="24" customFormat="false" ht="15" hidden="false" customHeight="false" outlineLevel="0" collapsed="false">
      <c r="A24" s="36" t="s">
        <v>260</v>
      </c>
      <c r="B24" s="54" t="n">
        <v>0.002</v>
      </c>
      <c r="C24" s="36" t="s">
        <v>255</v>
      </c>
      <c r="D24" s="36" t="s">
        <v>261</v>
      </c>
      <c r="E24" s="36" t="s">
        <v>238</v>
      </c>
      <c r="F24" s="36" t="s">
        <v>235</v>
      </c>
      <c r="G24" s="36" t="s">
        <v>235</v>
      </c>
    </row>
    <row r="25" customFormat="false" ht="15" hidden="false" customHeight="false" outlineLevel="0" collapsed="false">
      <c r="A25" s="36" t="s">
        <v>262</v>
      </c>
      <c r="B25" s="53" t="n">
        <v>3</v>
      </c>
      <c r="C25" s="36" t="s">
        <v>263</v>
      </c>
      <c r="D25" s="36" t="s">
        <v>264</v>
      </c>
      <c r="E25" s="36" t="s">
        <v>242</v>
      </c>
      <c r="F25" s="36" t="s">
        <v>235</v>
      </c>
      <c r="G25" s="36" t="s">
        <v>235</v>
      </c>
    </row>
    <row r="26" customFormat="false" ht="15" hidden="false" customHeight="false" outlineLevel="0" collapsed="false">
      <c r="A26" s="36" t="s">
        <v>265</v>
      </c>
      <c r="B26" s="53" t="n">
        <v>13</v>
      </c>
      <c r="C26" s="36" t="s">
        <v>263</v>
      </c>
      <c r="D26" s="36" t="s">
        <v>266</v>
      </c>
      <c r="E26" s="36" t="s">
        <v>242</v>
      </c>
      <c r="F26" s="36" t="s">
        <v>235</v>
      </c>
      <c r="G26" s="36" t="s">
        <v>235</v>
      </c>
    </row>
    <row r="27" customFormat="false" ht="15" hidden="false" customHeight="false" outlineLevel="0" collapsed="false">
      <c r="A27" s="36" t="s">
        <v>267</v>
      </c>
      <c r="B27" s="54" t="n">
        <v>0.3</v>
      </c>
      <c r="C27" s="36" t="s">
        <v>255</v>
      </c>
      <c r="D27" s="36" t="s">
        <v>268</v>
      </c>
      <c r="E27" s="36" t="s">
        <v>238</v>
      </c>
      <c r="F27" s="36" t="s">
        <v>235</v>
      </c>
      <c r="G27" s="36" t="s">
        <v>235</v>
      </c>
    </row>
    <row r="28" customFormat="false" ht="28.35" hidden="false" customHeight="false" outlineLevel="0" collapsed="false">
      <c r="A28" s="36" t="s">
        <v>269</v>
      </c>
      <c r="B28" s="53" t="n">
        <v>3000</v>
      </c>
      <c r="C28" s="36" t="s">
        <v>240</v>
      </c>
      <c r="D28" s="36" t="s">
        <v>270</v>
      </c>
      <c r="E28" s="36" t="s">
        <v>242</v>
      </c>
      <c r="F28" s="36" t="s">
        <v>235</v>
      </c>
      <c r="G28" s="36" t="s">
        <v>235</v>
      </c>
    </row>
    <row r="29" customFormat="false" ht="28.35" hidden="false" customHeight="false" outlineLevel="0" collapsed="false">
      <c r="A29" s="36" t="s">
        <v>271</v>
      </c>
      <c r="B29" s="54" t="n">
        <v>0.2</v>
      </c>
      <c r="C29" s="36" t="s">
        <v>255</v>
      </c>
      <c r="D29" s="36" t="s">
        <v>272</v>
      </c>
      <c r="E29" s="36" t="s">
        <v>238</v>
      </c>
      <c r="F29" s="36" t="s">
        <v>235</v>
      </c>
      <c r="G29" s="36" t="s">
        <v>235</v>
      </c>
    </row>
    <row r="30" customFormat="false" ht="28.35" hidden="false" customHeight="false" outlineLevel="0" collapsed="false">
      <c r="A30" s="36" t="s">
        <v>273</v>
      </c>
      <c r="B30" s="54" t="n">
        <v>0.1</v>
      </c>
      <c r="C30" s="36" t="s">
        <v>255</v>
      </c>
      <c r="D30" s="36" t="s">
        <v>274</v>
      </c>
      <c r="E30" s="36" t="s">
        <v>238</v>
      </c>
      <c r="F30" s="36" t="s">
        <v>235</v>
      </c>
      <c r="G30" s="36" t="s">
        <v>235</v>
      </c>
    </row>
    <row r="31" customFormat="false" ht="28.35" hidden="false" customHeight="false" outlineLevel="0" collapsed="false">
      <c r="A31" s="36" t="s">
        <v>275</v>
      </c>
      <c r="B31" s="54" t="n">
        <v>0.5</v>
      </c>
      <c r="C31" s="36" t="s">
        <v>255</v>
      </c>
      <c r="D31" s="36" t="s">
        <v>276</v>
      </c>
      <c r="E31" s="36" t="s">
        <v>238</v>
      </c>
      <c r="F31" s="36" t="s">
        <v>235</v>
      </c>
      <c r="G31" s="36" t="s">
        <v>235</v>
      </c>
    </row>
    <row r="32" customFormat="false" ht="15" hidden="false" customHeight="false" outlineLevel="0" collapsed="false">
      <c r="A32" s="36" t="s">
        <v>277</v>
      </c>
      <c r="B32" s="54" t="n">
        <v>0.9</v>
      </c>
      <c r="C32" s="36" t="s">
        <v>255</v>
      </c>
      <c r="D32" s="36" t="s">
        <v>278</v>
      </c>
      <c r="E32" s="36" t="s">
        <v>242</v>
      </c>
      <c r="F32" s="36" t="s">
        <v>235</v>
      </c>
      <c r="G32" s="36" t="s">
        <v>235</v>
      </c>
    </row>
  </sheetData>
  <sheetProtection sheet="true" password="cc3d" objects="true" scenarios="true" deleteColumns="false" deleteRows="false"/>
  <mergeCells count="2">
    <mergeCell ref="A1:J1"/>
    <mergeCell ref="A2:A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25.5" hidden="false" customHeight="true" outlineLevel="0" collapsed="false">
      <c r="A1" s="1" t="s">
        <v>279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15" hidden="false" customHeight="false" outlineLevel="0" collapsed="false">
      <c r="A3" s="32" t="s">
        <v>280</v>
      </c>
    </row>
    <row r="5" customFormat="false" ht="15" hidden="false" customHeight="false" outlineLevel="0" collapsed="false">
      <c r="A5" s="43" t="s">
        <v>281</v>
      </c>
    </row>
    <row r="6" customFormat="false" ht="25.5" hidden="false" customHeight="true" outlineLevel="0" collapsed="false">
      <c r="A6" s="41" t="s">
        <v>282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</row>
    <row r="7" customFormat="false" ht="15" hidden="false" customHeight="false" outlineLevel="0" collapsed="false">
      <c r="A7" s="43" t="s">
        <v>283</v>
      </c>
    </row>
    <row r="8" customFormat="false" ht="25.5" hidden="false" customHeight="true" outlineLevel="0" collapsed="false">
      <c r="A8" s="41" t="s">
        <v>284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</row>
    <row r="9" customFormat="false" ht="15" hidden="false" customHeight="false" outlineLevel="0" collapsed="false">
      <c r="A9" s="43" t="s">
        <v>285</v>
      </c>
    </row>
    <row r="10" customFormat="false" ht="25.5" hidden="false" customHeight="true" outlineLevel="0" collapsed="false">
      <c r="A10" s="41" t="s">
        <v>286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</row>
    <row r="11" customFormat="false" ht="15" hidden="false" customHeight="false" outlineLevel="0" collapsed="false">
      <c r="A11" s="43" t="s">
        <v>287</v>
      </c>
    </row>
    <row r="12" customFormat="false" ht="25.5" hidden="false" customHeight="true" outlineLevel="0" collapsed="false">
      <c r="A12" s="41" t="s">
        <v>288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</row>
    <row r="13" customFormat="false" ht="15" hidden="false" customHeight="false" outlineLevel="0" collapsed="false">
      <c r="A13" s="43" t="s">
        <v>289</v>
      </c>
    </row>
    <row r="14" customFormat="false" ht="25.5" hidden="false" customHeight="true" outlineLevel="0" collapsed="false">
      <c r="A14" s="41" t="s">
        <v>290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</row>
    <row r="15" customFormat="false" ht="15" hidden="false" customHeight="false" outlineLevel="0" collapsed="false">
      <c r="A15" s="43" t="s">
        <v>291</v>
      </c>
    </row>
    <row r="16" customFormat="false" ht="25.5" hidden="false" customHeight="true" outlineLevel="0" collapsed="false">
      <c r="A16" s="41" t="s">
        <v>292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</row>
    <row r="17" customFormat="false" ht="15" hidden="false" customHeight="false" outlineLevel="0" collapsed="false">
      <c r="A17" s="43" t="s">
        <v>293</v>
      </c>
    </row>
    <row r="18" customFormat="false" ht="25.5" hidden="false" customHeight="true" outlineLevel="0" collapsed="false">
      <c r="A18" s="41" t="s">
        <v>294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</row>
    <row r="19" customFormat="false" ht="15" hidden="false" customHeight="false" outlineLevel="0" collapsed="false">
      <c r="A19" s="43" t="s">
        <v>295</v>
      </c>
    </row>
    <row r="20" customFormat="false" ht="25.5" hidden="false" customHeight="true" outlineLevel="0" collapsed="false">
      <c r="A20" s="41" t="s">
        <v>296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</row>
    <row r="21" customFormat="false" ht="15" hidden="false" customHeight="false" outlineLevel="0" collapsed="false">
      <c r="A21" s="43" t="s">
        <v>297</v>
      </c>
    </row>
    <row r="22" customFormat="false" ht="25.5" hidden="false" customHeight="true" outlineLevel="0" collapsed="false">
      <c r="A22" s="41" t="s">
        <v>298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</row>
    <row r="24" customFormat="false" ht="15" hidden="false" customHeight="false" outlineLevel="0" collapsed="false">
      <c r="A24" s="43" t="s">
        <v>299</v>
      </c>
    </row>
    <row r="25" customFormat="false" ht="15" hidden="false" customHeight="true" outlineLevel="0" collapsed="false">
      <c r="A25" s="41" t="s">
        <v>300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</row>
    <row r="26" customFormat="false" ht="15" hidden="false" customHeight="true" outlineLevel="0" collapsed="false">
      <c r="A26" s="41" t="s">
        <v>301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</row>
    <row r="27" customFormat="false" ht="15" hidden="false" customHeight="true" outlineLevel="0" collapsed="false">
      <c r="A27" s="41" t="s">
        <v>302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</row>
    <row r="28" customFormat="false" ht="15" hidden="false" customHeight="true" outlineLevel="0" collapsed="false">
      <c r="A28" s="41" t="s">
        <v>303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</row>
    <row r="30" customFormat="false" ht="15" hidden="false" customHeight="false" outlineLevel="0" collapsed="false">
      <c r="A30" s="43" t="s">
        <v>304</v>
      </c>
    </row>
    <row r="31" customFormat="false" ht="25.5" hidden="false" customHeight="true" outlineLevel="0" collapsed="false">
      <c r="A31" s="41" t="s">
        <v>305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</row>
    <row r="32" customFormat="false" ht="25.5" hidden="false" customHeight="true" outlineLevel="0" collapsed="false">
      <c r="A32" s="41" t="s">
        <v>306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</row>
    <row r="33" customFormat="false" ht="25.5" hidden="false" customHeight="true" outlineLevel="0" collapsed="false">
      <c r="A33" s="41" t="s">
        <v>307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</row>
    <row r="36" customFormat="false" ht="15" hidden="false" customHeight="false" outlineLevel="0" collapsed="false">
      <c r="A36" s="43" t="s">
        <v>23</v>
      </c>
    </row>
    <row r="37" customFormat="false" ht="25.5" hidden="false" customHeight="true" outlineLevel="0" collapsed="false">
      <c r="A37" s="41" t="s">
        <v>308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</row>
    <row r="38" customFormat="false" ht="25.5" hidden="false" customHeight="true" outlineLevel="0" collapsed="false">
      <c r="A38" s="41" t="s">
        <v>309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</row>
    <row r="39" customFormat="false" ht="25.5" hidden="false" customHeight="true" outlineLevel="0" collapsed="false">
      <c r="A39" s="41" t="s">
        <v>26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</row>
    <row r="40" customFormat="false" ht="25.5" hidden="false" customHeight="true" outlineLevel="0" collapsed="false">
      <c r="A40" s="41" t="s">
        <v>310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</row>
  </sheetData>
  <sheetProtection sheet="true" password="cc3d" objects="true" scenarios="true" deleteColumns="false" deleteRows="false"/>
  <mergeCells count="21">
    <mergeCell ref="A1:AN1"/>
    <mergeCell ref="A6:BH6"/>
    <mergeCell ref="A8:BH8"/>
    <mergeCell ref="A10:BH10"/>
    <mergeCell ref="A12:BH12"/>
    <mergeCell ref="A14:BH14"/>
    <mergeCell ref="A16:BH16"/>
    <mergeCell ref="A18:BH18"/>
    <mergeCell ref="A20:BH20"/>
    <mergeCell ref="A22:BH22"/>
    <mergeCell ref="A25:BH25"/>
    <mergeCell ref="A26:BH26"/>
    <mergeCell ref="A27:BH27"/>
    <mergeCell ref="A28:BH28"/>
    <mergeCell ref="A31:BH31"/>
    <mergeCell ref="A32:BH32"/>
    <mergeCell ref="A33:BH33"/>
    <mergeCell ref="A37:BH37"/>
    <mergeCell ref="A38:BH38"/>
    <mergeCell ref="A39:BH39"/>
    <mergeCell ref="A40:B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2026-08-10T01:35:08Z</dcterms:created>
  <dc:creator>openpyxl</dc:creator>
  <dc:description/>
  <dc:language>tr-TR</dc:language>
  <cp:lastModifiedBy/>
  <dcterms:modified xsi:type="dcterms:W3CDTF">2026-08-10T01:35:08Z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