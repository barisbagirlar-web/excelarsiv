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CALISANLAR" sheetId="3" state="visible" r:id="rId5"/>
    <sheet name="MOTOR" sheetId="4" state="visible" r:id="rId6"/>
    <sheet name="KONTROL" sheetId="5" state="visible" r:id="rId7"/>
    <sheet name="KARAR" sheetId="6" state="visible" r:id="rId8"/>
    <sheet name="PANO" sheetId="7" state="visible" r:id="rId9"/>
    <sheet name="SENARYO_DUYARLILIK" sheetId="8" state="visible" r:id="rId10"/>
    <sheet name="RAPOR" sheetId="9" state="visible" r:id="rId11"/>
    <sheet name="ORNEK_VERI" sheetId="10" state="visible" r:id="rId12"/>
    <sheet name="DEGISIKLIK_KAYDI" sheetId="11" state="visible" r:id="rId13"/>
    <sheet name="LISTELER" sheetId="12" state="visible" r:id="rId14"/>
    <sheet name="AYARLAR" sheetId="13" state="visible" r:id="rId15"/>
    <sheet name="KILAVUZ" sheetId="14" state="visible" r:id="rId16"/>
  </sheets>
  <definedNames>
    <definedName function="false" hidden="false" localSheetId="6" name="_xlnm.Print_Area" vbProcedure="false">PANO!$A$1:$V$34</definedName>
    <definedName function="false" hidden="false" localSheetId="8" name="_xlnm.Print_Area" vbProcedure="false">RAPOR!$A$1:$V$40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CalisanAdedi" vbProcedure="false">MOTOR!$B$20</definedName>
    <definedName function="false" hidden="false" name="AylikBrutUcretYuku" vbProcedure="false">MOTOR!$B$16</definedName>
    <definedName function="false" hidden="false" name="ButceFarki" vbProcedure="false">MOTOR!$B$19</definedName>
    <definedName function="false" hidden="false" name="ButceKullanimEsik" vbProcedure="false">AYARLAR!$C$23</definedName>
    <definedName function="false" hidden="false" name="ButceKullanimOrani" vbProcedure="false">MOTOR!$B$18</definedName>
    <definedName function="false" hidden="false" name="CikarmaButceEsik" vbProcedure="false">AYARLAR!$C$22</definedName>
    <definedName function="false" hidden="false" name="degerKazanim" vbProcedure="false">MOTOR!$B$41</definedName>
    <definedName function="false" hidden="false" name="degerKazanimOran" vbProcedure="false">MOTOR!$B$42</definedName>
    <definedName function="false" hidden="false" name="DurumKontrol" vbProcedure="false">KONTROL!$B$24</definedName>
    <definedName function="false" hidden="false" name="DuyarliDegisim" vbProcedure="false">AYARLAR!$C$31</definedName>
    <definedName function="false" hidden="false" name="EnYuksekCalisanMaliyeti" vbProcedure="false">MOTOR!$B$13</definedName>
    <definedName function="false" hidden="false" name="FAIL_Sayisi" vbProcedure="false">KONTROL!$B$20</definedName>
    <definedName function="false" hidden="false" name="firmaUnvani" vbProcedure="false">AYARLAR!$C$6</definedName>
    <definedName function="false" hidden="false" name="IhbarEsik1Gun" vbProcedure="false">AYARLAR!$C$14</definedName>
    <definedName function="false" hidden="false" name="IhbarEsik2Gun" vbProcedure="false">AYARLAR!$C$15</definedName>
    <definedName function="false" hidden="false" name="IhbarEsik3Gun" vbProcedure="false">AYARLAR!$C$16</definedName>
    <definedName function="false" hidden="false" name="IhbarSure1" vbProcedure="false">AYARLAR!$C$10</definedName>
    <definedName function="false" hidden="false" name="IhbarSure2" vbProcedure="false">AYARLAR!$C$11</definedName>
    <definedName function="false" hidden="false" name="IhbarSure3" vbProcedure="false">AYARLAR!$C$12</definedName>
    <definedName function="false" hidden="false" name="IhbarSure4" vbProcedure="false">AYARLAR!$C$13</definedName>
    <definedName function="false" hidden="false" name="IskontoOrani" vbProcedure="false">AYARLAR!$C$35</definedName>
    <definedName function="false" hidden="false" name="IzinEsik1" vbProcedure="false">AYARLAR!$C$20</definedName>
    <definedName function="false" hidden="false" name="IzinEsik2" vbProcedure="false">AYARLAR!$C$21</definedName>
    <definedName function="false" hidden="false" name="IzinHakki1" vbProcedure="false">AYARLAR!$C$17</definedName>
    <definedName function="false" hidden="false" name="IzinHakki2" vbProcedure="false">AYARLAR!$C$18</definedName>
    <definedName function="false" hidden="false" name="IzinHakki3" vbProcedure="false">AYARLAR!$C$19</definedName>
    <definedName function="false" hidden="false" name="IzinKullanimOrani" vbProcedure="false">MOTOR!$B$21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idemTavan" vbProcedure="false">AYARLAR!$C$8</definedName>
    <definedName function="false" hidden="false" name="KidemYilEsik" vbProcedure="false">AYARLAR!$C$24</definedName>
    <definedName function="false" hidden="false" name="ListeMetin" vbProcedure="false">LISTELER!$A$6:$A$7</definedName>
    <definedName function="false" hidden="false" name="ListeUcretTuru" vbProcedure="false">LISTELER!$A$6:$A$7</definedName>
    <definedName function="false" hidden="false" name="MaliyetYogunlasmaOrani" vbProcedure="false">MOTOR!$B$14</definedName>
    <definedName function="false" hidden="false" name="modulI1TahminOrta" vbProcedure="false">MOTOR!$B$37</definedName>
    <definedName function="false" hidden="false" name="modulI1TahminYorum" vbProcedure="false">MOTOR!$C$56</definedName>
    <definedName function="false" hidden="false" name="modulI2MaliyetP90" vbProcedure="false">MOTOR!$B$38</definedName>
    <definedName function="false" hidden="false" name="modulI2MaliyetP90Yorum" vbProcedure="false">MOTOR!$C$57</definedName>
    <definedName function="false" hidden="false" name="modulI3MaliyetNpv" vbProcedure="false">MOTOR!$B$39</definedName>
    <definedName function="false" hidden="false" name="modulI3MaliyetNpvYorum" vbProcedure="false">MOTOR!$C$58</definedName>
    <definedName function="false" hidden="false" name="modulI7ButceAcikKopru" vbProcedure="false">MOTOR!$B$40</definedName>
    <definedName function="false" hidden="false" name="modulI7ButceAcikYorum" vbProcedure="false">MOTOR!$C$59</definedName>
    <definedName function="false" hidden="false" name="modulO1AnomaliOran" vbProcedure="false">MOTOR!$B$31</definedName>
    <definedName function="false" hidden="false" name="modulO1AnomaliYorum" vbProcedure="false">MOTOR!$C$50</definedName>
    <definedName function="false" hidden="false" name="modulO2TornadoYorum" vbProcedure="false">MOTOR!$C$51</definedName>
    <definedName function="false" hidden="false" name="modulO2TornadoZirve" vbProcedure="false">MOTOR!$B$32</definedName>
    <definedName function="false" hidden="false" name="modulO3SenaryoBazFark" vbProcedure="false">MOTOR!$B$33</definedName>
    <definedName function="false" hidden="false" name="modulO3SenaryoYorum" vbProcedure="false">MOTOR!$C$52</definedName>
    <definedName function="false" hidden="false" name="modulO4OrtalamaKidemAy" vbProcedure="false">MOTOR!$B$34</definedName>
    <definedName function="false" hidden="false" name="modulO4OrtalamaKidemYorum" vbProcedure="false">MOTOR!$C$53</definedName>
    <definedName function="false" hidden="false" name="modulO6MaliyetHhi" vbProcedure="false">MOTOR!$B$35</definedName>
    <definedName function="false" hidden="false" name="modulO6MaliyetHhiYorum" vbProcedure="false">MOTOR!$C$54</definedName>
    <definedName function="false" hidden="false" name="modulO8KaliteSkoru" vbProcedure="false">MOTOR!$B$36</definedName>
    <definedName function="false" hidden="false" name="modulO8KaliteYorum" vbProcedure="false">MOTOR!$C$55</definedName>
    <definedName function="false" hidden="false" name="modulT1CalisanYasOrt" vbProcedure="false">MOTOR!$B$26</definedName>
    <definedName function="false" hidden="false" name="modulT1CalisanYasYorum" vbProcedure="false">MOTOR!$C$45</definedName>
    <definedName function="false" hidden="false" name="modulT2UcretEgim" vbProcedure="false">MOTOR!$B$27</definedName>
    <definedName function="false" hidden="false" name="modulT2UcretEgimYorum" vbProcedure="false">MOTOR!$C$46</definedName>
    <definedName function="false" hidden="false" name="modulT3MaliyetParetoPay" vbProcedure="false">MOTOR!$B$28</definedName>
    <definedName function="false" hidden="false" name="modulT3MaliyetParetoYorum" vbProcedure="false">MOTOR!$C$47</definedName>
    <definedName function="false" hidden="false" name="modulT5ButceMutabakat" vbProcedure="false">MOTOR!$B$29</definedName>
    <definedName function="false" hidden="false" name="modulT5ButceMutabakatYorum" vbProcedure="false">MOTOR!$C$48</definedName>
    <definedName function="false" hidden="false" name="modulT6KidemPay" vbProcedure="false">MOTOR!$B$30</definedName>
    <definedName function="false" hidden="false" name="modulT6KidemPayYorum" vbProcedure="false">MOTOR!$C$49</definedName>
    <definedName function="false" hidden="false" name="OrtalamaGunlukUcret" vbProcedure="false">MOTOR!$B$12</definedName>
    <definedName function="false" hidden="false" name="OrtalamaIhbarGunu" vbProcedure="false">MOTOR!$B$15</definedName>
    <definedName function="false" hidden="false" name="OrtalamaKidemYil" vbProcedure="false">MOTOR!$B$11</definedName>
    <definedName function="false" hidden="false" name="P90Kuantil" vbProcedure="false">AYARLAR!$C$33</definedName>
    <definedName function="false" hidden="false" name="ParetoEsikOran" vbProcedure="false">AYARLAR!$C$32</definedName>
    <definedName function="false" hidden="false" name="PASS_Sayisi" vbProcedure="false">KONTROL!$B$19</definedName>
    <definedName function="false" hidden="false" name="raporTarihi" vbProcedure="false">AYARLAR!$C$7</definedName>
    <definedName function="false" hidden="false" name="SenaryoIyimserKat" vbProcedure="false">AYARLAR!$C$30</definedName>
    <definedName function="false" hidden="false" name="SenaryoKotumserKat" vbProcedure="false">AYARLAR!$C$29</definedName>
    <definedName function="false" hidden="false" name="TahminBantOrani" vbProcedure="false">AYARLAR!$C$34</definedName>
    <definedName function="false" hidden="false" name="ToplamCalisanSayisi" vbProcedure="false">MOTOR!$B$6</definedName>
    <definedName function="false" hidden="false" name="ToplamCikarmaMaliyeti" vbProcedure="false">MOTOR!$B$10</definedName>
    <definedName function="false" hidden="false" name="ToplamIhbar" vbProcedure="false">MOTOR!$B$8</definedName>
    <definedName function="false" hidden="false" name="ToplamIzinUcreti" vbProcedure="false">MOTOR!$B$9</definedName>
    <definedName function="false" hidden="false" name="ToplamKidem" vbProcedure="false">MOTOR!$B$7</definedName>
    <definedName function="false" hidden="false" name="UcretAnomaliZEsik" vbProcedure="false">AYARLAR!$C$25</definedName>
    <definedName function="false" hidden="false" name="UcretGunSayisi" vbProcedure="false">AYARLAR!$C$9</definedName>
    <definedName function="false" hidden="false" name="VeriKaliteIyiEsik" vbProcedure="false">AYARLAR!$C$26</definedName>
    <definedName function="false" hidden="false" name="VeriKaliteOrtaEsik" vbProcedure="false">AYARLAR!$C$27</definedName>
    <definedName function="false" hidden="false" name="VeriKaliteSeviyesi" vbProcedure="false">KONTROL!$B$22</definedName>
    <definedName function="false" hidden="false" name="VeriKaliteSkoru" vbProcedure="false">KONTROL!$B$21</definedName>
    <definedName function="false" hidden="false" name="VeriKaliteUyariCeza" vbProcedure="false">AYARLAR!$C$28</definedName>
    <definedName function="false" hidden="false" name="YillikIscilikYuku" vbProcedure="false">MOTOR!$B$17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Toplam Çalışan Sayısı | Neden önemli: Çıkarma hesaplanan çalışan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Kıdem Tazminatı | Neden önemli: Tüm çalışanların kıdem tazminatı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İhbar Tazminatı | Neden önemli: Tüm çalışanların ihbar tazminatı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Toplam İzin Ücreti | Neden önemli: Kullanılmamış yıllık izin ücreti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Çıkarma Maliyeti | Neden önemli: Kıdem + ihbar + izin ücreti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Ortalama Kıdem Yılı | Neden önemli: Çalışanların ortalama kıdem süresi (yıl).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Ortalama Günlük Ücret | Neden önemli: Tüm çalışanların ortalama günlük ücreti.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En Yüksek Çalışan Maliyeti | Neden önemli: Tek çalışan için en yüksek çıkarma maliyeti.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Maliyet Yoğunlaşma Oranı | Neden önemli: En yüksek maliyetli çalışanın toplam içindeki payı.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Ortalama İhbar Günü | Neden önemli: Ortalama bildirim süresi (gün).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Aylık Brüt Ücret Yükü | Neden önemli: Mevcut kadronun aylık brüt ücret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Yıllık İşçilik Yükü | Neden önemli: Yıllık brüt ücret yükü (12 ay varsayımı).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Çıkarma Bütçesi Kullanım Oranı | Neden önemli: Toplam maliyetin çıkarma bütçesine oranı.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Bütçe Farkı | Neden önemli: Bütçe ile toplam maliyet arasındaki fark.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Anomali Çalışan Adedi | Neden önemli: Ortalamadan |Z|&gt;eşik sapan ücretli çalışan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İzin Kullanım Oranı | Neden önemli: Kullanılmamış izin oranı (ödenmesi gereken kısım).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T1: Çalışan Zaman Kapsamı | Neden önemli: En erken giriş ile en geç çıkış arası gün sayısı.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T2: Ücret Eğilimi (çalışan başına) | Neden önemli: Ücretlerin çalışan sırasına göre değişim eğilimi.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T3: En Yüksek Maliyetli Çalışanın Payı | Neden önemli: Toplam maliyetin tek çalışanda yoğunlaşma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T5: Bütçe Mutabakat Farkı | Neden önemli: Bütçe ile hesaplanan maliyet arasındaki fark.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T6: Kıdem Tazminatının Maliyet İçindeki Payı | Neden önemli: Kıdem tazminatının toplam maliyete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O1: Anomali Oranı | Neden önemli: Z eşiğini aşan ücretli çalışanların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O2: En Etkili Değişken (Tornado) | Neden önemli: Toplam maliyeti en çok etkileyen değişken.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O3: Baz Senaryo Maliyeti | Neden önemli: Baz senaryoda hesaplanan toplam maliyet.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O4: Ortalama Kıdem (Ay) | Neden önemli: Ortalama kıdem süresi (ay).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O6: Maliyet Yoğunlaşması (HHI) | Neden önemli: Maliyetin tek çalışanda yoğunlaşma endeksi.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O8: Veri Kalite Skoru | Neden önemli: Giriş kalitesi skoru.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I1: Maliyet Tahmin Orta Noktası | Neden önemli: Maliyet trendinden bir sonraki çalışan projeksiyonu.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I2: Çalışan Maliyeti P90 | Neden önemli: Çalışan maliyetlerinin yüzde 90 alt sınırı.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I3: Maliyet Yükü Net Bugünkü Değeri | Neden önemli: İskonto edilmiş çıkarma maliyeti toplamı.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I7: Bütçe Açığı Köprüsü (Ek Kaynak İhtiyacı) | Neden önemli: Bütçe açığını kapatmak için gereken ek kaynak.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Değer Ölçer: Toplam Yük | Neden önemli: Tespit edilen toplam çıkarma maliyeti.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Değer Ölçer: Bütçe Aşımı | Neden önemli: Bütçenin aşılan kısmı.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Çalışan Adı Boş | Neden önemli: Çalışan adı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İşe Giriş Tarihi Boş | Neden önemli: İşe giriş tarihi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Brüt Ücret Boş/Sıfır | Neden önemli: Brüt ücret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Çıkış Tarihi Eksik | Neden önemli: İşten çıkış tarihi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Çalışan Kaydı Yok | Neden önemli: Çalışan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Toplam Maliyet Bütçeyi Aşıyor | Neden önemli: Çıkarma maliyeti bütçeyi aşmış.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Ortalama Kıdem Yüksek | Neden önemli: Ortalama kıdem eşik üstünde.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Ücret Anomalisi Var | Neden önemli: Anomali ücretli çalışan var.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İzin Kullanımı Girilmemiş | Neden önemli: Kullanılmamış izin var.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Kıdem Tazminatı Tavanı Kontrolü | Neden önemli: Tavanı aşan ücretler tavanla sınırlandı.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firmaUnvani | Neden önemli: Rapor başlığında görünen firma adı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raporTarihi | Neden önemli: Dosyadaki tek tarih kaynağı; tüm rapor tarihleri buradan okunur.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KidemTavan | Neden önemli: Kıdem tazminatı aylık tavanı; yıllık Resmi Gazete duyurusundan güncellenir.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UcretGunSayisi | Neden önemli: Aylık ücretin günlük karşılığı için bölünen gün sayısı.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IhbarSure1 | Neden önemli: Kıdem 6 aydan az: bildirim süresi (2 hafta).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IhbarSure2 | Neden önemli: Kıdem 6 ay-1,5 yıl: bildirim süresi (4 hafta).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IhbarSure3 | Neden önemli: Kıdem 1,5-3 yıl: bildirim süresi (6 hafta).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IhbarSure4 | Neden önemli: Kıdem 3 yıldan fazla: bildirim süresi (8 hafta).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IhbarEsik1Gun | Neden önemli: İhbar 2. kademe geçiş kıdem eşiği (6 ay).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IhbarEsik2Gun | Neden önemli: İhbar 3. kademe geçiş kıdem eşiği (1,5 yıl).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IhbarEsik3Gun | Neden önemli: İhbar 4. kademe geçiş kıdem eşiği (3 yıl).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IzinHakki1 | Neden önemli: Kıdem 1-5 yıl: yıllık izin hakkı.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IzinHakki2 | Neden önemli: Kıdem 5-15 yıl: yıllık izin hakkı.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IzinHakki3 | Neden önemli: Kıdem 15 yıl ve üzeri: yıllık izin hakkı.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IzinEsik1 | Neden önemli: İzin 2. kademe geçiş kıdem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IzinEsik2 | Neden önemli: İzin 3. kademe geçiş kıdem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CikarmaButceEsik | Neden önemli: Çıkarma maliyeti bütçe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ButceKullanimEsik | Neden önemli: Bütçe kullanım oranı uyarı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KidemYilEsik | Neden önemli: Ortalama kıdem uyarı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UcretAnomaliZEsik | Neden önemli: Ücret anomali |Z|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VeriKaliteIyiEsik | Neden önemli: Kalite skoru iyi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VeriKaliteOrtaEsik | Neden önemli: Kalite skoru orta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VeriKaliteUyariCeza | Neden önemli: Her WARN için skor cezası.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SenaryoKotumserKat | Neden önemli: Kötümser senaryo ücret/çalışan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SenaryoIyimserKat | Neden önemli: İyimser senaryo ücret/çalışan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DuyarliDegisim | Neden önemli: Tornado analizinde değişim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ParetoEsikOran | Neden önemli: Maliyet yoğunlaşması yüksek kabul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P90Kuantil | Neden önemli: Yüzdelik dağılım analizinde P90 kuantil değeri.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TahminBantOrani | Neden önemli: Maliyet tahmin aralığı bant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IskontoOrani | Neden önemli: Maliyet yükü net bugünkü değer hesabında iskonto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1</xdr:col>
                <xdr:colOff>177</xdr:colOff>
                <xdr:row>7</xdr:row>
                <xdr:rowOff>38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<sst xmlns="http://schemas.openxmlformats.org/spreadsheetml/2006/main" count="483" uniqueCount="321">
  <si>
    <t xml:space="preserve">KIDEM–İHBAR YÜKÜ VE PERSONEL ÇIKARMA MALİYETİ HESAPLAYICI</t>
  </si>
  <si>
    <t xml:space="preserve">Personel çıkarma kararınızın maliyetini tam ve mevzuata uygun hesaplayın.</t>
  </si>
  <si>
    <t xml:space="preserve">Kıdem tazminatı (1475 s. md.14), ihbar tazminatı (4857 s. md.17) ve kullanılmamış yıllık izin ücreti (4857 s. md.53) her çalışan için otomatik hesaplanır. Toplam çıkarma maliyeti bütçeyle karşılaştırılır; UYGUN / İNCELE / DURDUR kararı üretilir.</t>
  </si>
  <si>
    <t xml:space="preserve">1. CALISANLAR sayfasına çalışan bilgilerini ve brüt ücretleri girin.</t>
  </si>
  <si>
    <t xml:space="preserve">2. Kıdem, ihbar, izin ve toplam maliyet formülle hesaplanır; MOTOR ve PANO sonuçları gösterir.</t>
  </si>
  <si>
    <t xml:space="preserve">3. KARAR sayfasında maliyet-bütçe uyumu ve aksiyonları okuyun.</t>
  </si>
  <si>
    <t xml:space="preserve">Bu dosya karar destek aracıdır; iş hukuku veya mali müşavirlik danışmanlığı yerine geçmez. Kıdem tazminatı tavanı yıllık Resmi Gazete duyurusuyla güncellenir; AYARLAR'dan takip edilmelidir.</t>
  </si>
  <si>
    <t xml:space="preserve">ExcelArşiv</t>
  </si>
  <si>
    <t xml:space="preserve">Rev 1.0 | 2026-08-09 | Lisans: Tek kullanıcı</t>
  </si>
  <si>
    <t xml:space="preserve">Nasıl kullanılır?</t>
  </si>
  <si>
    <t xml:space="preserve">1. AYARLAR sayfasından kıdem tazminatı tavanını (yıllık Resmi Gazete), bütçe eşiğini ve diğer parametreleri kontrol edin.</t>
  </si>
  <si>
    <t xml:space="preserve">2. CALISANLAR sayfasına her çalışan için ad, işe giriş, işten çıkış, brüt ücret ve ücret türünü girin.</t>
  </si>
  <si>
    <t xml:space="preserve">3. Kıdem yıl/gün, kıdem tazminatı, ihbar gün/tazminatı ve izin ücreti formülle hesaplanır.</t>
  </si>
  <si>
    <t xml:space="preserve">4. Kullanılan izin gününü sarı hücreye girin; kalan izin ücreti otomatik düşer.</t>
  </si>
  <si>
    <t xml:space="preserve">5. KARAR sayfası toplam çıkarma maliyetini bütçeyle karşılaştırır; UYGUN / İNCELE / DURDUR kararı üretir.</t>
  </si>
  <si>
    <t xml:space="preserve">6. PANO ve RAPOR sayfaları yönetici özetini ve yazdırılabilir raporu sunar.</t>
  </si>
  <si>
    <t xml:space="preserve">7. SENARYO_DUYARLILIK sayfası ücret/çalışan değişiminde maliyet ve kararı üretir.</t>
  </si>
  <si>
    <t xml:space="preserve">Sık yapılan hatalar</t>
  </si>
  <si>
    <t xml:space="preserve">Kıdem tazminatı tavanını güncel tutmamak — tavanı aşan ücretlerde fazla hesaplama yapılır.</t>
  </si>
  <si>
    <t xml:space="preserve">İşten çıkış tarihini boş bırakmak — kıdem hesabı hatalı olur; aktif çalışanlar için çıkış tarihi gerekmezse satır silinir.</t>
  </si>
  <si>
    <t xml:space="preserve">Ücret türünü yanlış seçmek (Aylık/Günlük) — günlük ücret hesabı 30'a bölme ile bozulur.</t>
  </si>
  <si>
    <t xml:space="preserve">Kullanılan izin gününü girmemek — izin ücreti hak edilen tutarın tamamı üzerinden hesaplanır.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</si>
  <si>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</si>
  <si>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</si>
  <si>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CALISANLAR — KIDEM–İHBAR YÜKÜ VE PERSONEL ÇIKARMA MALİYETİ HESAPLAYICI</t>
  </si>
  <si>
    <t xml:space="preserve">Çalışanlar, Kıdem ve Çıkarma Maliyeti</t>
  </si>
  <si>
    <t xml:space="preserve">Çalışan Adı</t>
  </si>
  <si>
    <t xml:space="preserve">İşe Giriş Tarihi</t>
  </si>
  <si>
    <t xml:space="preserve">İşten Çıkış Tarihi</t>
  </si>
  <si>
    <t xml:space="preserve">Brüt Ücret (₺)</t>
  </si>
  <si>
    <t xml:space="preserve">Ücret Türü</t>
  </si>
  <si>
    <t xml:space="preserve">Günlük Ücret (₺)</t>
  </si>
  <si>
    <t xml:space="preserve">Kıdem Yıl</t>
  </si>
  <si>
    <t xml:space="preserve">Kıdem Gün</t>
  </si>
  <si>
    <t xml:space="preserve">Kıdem Tazminatı (₺)</t>
  </si>
  <si>
    <t xml:space="preserve">İhbar Gün</t>
  </si>
  <si>
    <t xml:space="preserve">İhbar Tazminatı (₺)</t>
  </si>
  <si>
    <t xml:space="preserve">İzin Hakkı (Gün)</t>
  </si>
  <si>
    <t xml:space="preserve">Kullanılan İzin (Gün)</t>
  </si>
  <si>
    <t xml:space="preserve">Toplam Çıkarma Maliyeti (₺)</t>
  </si>
  <si>
    <t xml:space="preserve">Ahmet Yılmaz</t>
  </si>
  <si>
    <t xml:space="preserve">Aylık</t>
  </si>
  <si>
    <t xml:space="preserve">Ayşe Kaya</t>
  </si>
  <si>
    <t xml:space="preserve">Mehmet Demir</t>
  </si>
  <si>
    <t xml:space="preserve">Günlük</t>
  </si>
  <si>
    <t xml:space="preserve">Zeynep Çelik</t>
  </si>
  <si>
    <t xml:space="preserve">Mustafa Aydın</t>
  </si>
  <si>
    <t xml:space="preserve">Elif Şahin</t>
  </si>
  <si>
    <t xml:space="preserve">Hasan Yıldız</t>
  </si>
  <si>
    <t xml:space="preserve">Fatma Arslan</t>
  </si>
  <si>
    <t xml:space="preserve">Günlük ücret, kıdem, kıdem/ihbar/izin ve toplam maliyet formülle üretilir; sarı hücreler giriştir.</t>
  </si>
  <si>
    <t xml:space="preserve">MOTOR — KIDEM–İHBAR YÜKÜ VE PERSONEL ÇIKARMA MALİYETİ HESAPLAYICI</t>
  </si>
  <si>
    <t xml:space="preserve">Hesaplama Motoru — Kıdem, İhbar, İzin ve Maliyet</t>
  </si>
  <si>
    <t xml:space="preserve">Toplam Çalışan Sayısı</t>
  </si>
  <si>
    <t xml:space="preserve">Toplam Kıdem Tazminatı</t>
  </si>
  <si>
    <t xml:space="preserve">Toplam İhbar Tazminatı</t>
  </si>
  <si>
    <t xml:space="preserve">Toplam İzin Ücreti</t>
  </si>
  <si>
    <t xml:space="preserve">Toplam Çıkarma Maliyeti</t>
  </si>
  <si>
    <t xml:space="preserve">Ortalama Kıdem Yılı</t>
  </si>
  <si>
    <t xml:space="preserve">Ortalama Günlük Ücret</t>
  </si>
  <si>
    <t xml:space="preserve">En Yüksek Çalışan Maliyeti</t>
  </si>
  <si>
    <t xml:space="preserve">Maliyet Yoğunlaşma Oranı</t>
  </si>
  <si>
    <t xml:space="preserve">Ortalama İhbar Günü</t>
  </si>
  <si>
    <t xml:space="preserve">Aylık Brüt Ücret Yükü</t>
  </si>
  <si>
    <t xml:space="preserve">Yıllık İşçilik Yükü</t>
  </si>
  <si>
    <t xml:space="preserve">Çıkarma Bütçesi Kullanım Oranı</t>
  </si>
  <si>
    <t xml:space="preserve">Bütçe Farkı</t>
  </si>
  <si>
    <t xml:space="preserve">Anomali Çalışan Adedi</t>
  </si>
  <si>
    <t xml:space="preserve">İzin Kullanım Oranı</t>
  </si>
  <si>
    <t xml:space="preserve">Analitik Modül Hesapları</t>
  </si>
  <si>
    <t xml:space="preserve">Modül T1: Çalışan Zaman Kapsamı</t>
  </si>
  <si>
    <t xml:space="preserve">Modül T2: Ücret Eğilimi (çalışan başına)</t>
  </si>
  <si>
    <t xml:space="preserve">Modül T3: En Yüksek Maliyetli Çalışanın Payı</t>
  </si>
  <si>
    <t xml:space="preserve">Modül T5: Bütçe Mutabakat Farkı</t>
  </si>
  <si>
    <t xml:space="preserve">Modül T6: Kıdem Tazminatının Maliyet İçindeki Payı</t>
  </si>
  <si>
    <t xml:space="preserve">Modül O1: Anomali Oranı</t>
  </si>
  <si>
    <t xml:space="preserve">Modül O2: En Etkili Değişken (Tornado)</t>
  </si>
  <si>
    <t xml:space="preserve">Modül O3: Baz Senaryo Maliyeti</t>
  </si>
  <si>
    <t xml:space="preserve">Modül O4: Ortalama Kıdem (Ay)</t>
  </si>
  <si>
    <t xml:space="preserve">Modül O6: Maliyet Yoğunlaşması (HHI)</t>
  </si>
  <si>
    <t xml:space="preserve">Modül O8: Veri Kalite Skoru</t>
  </si>
  <si>
    <t xml:space="preserve">Modül I1: Maliyet Tahmin Orta Noktası</t>
  </si>
  <si>
    <t xml:space="preserve">Modül I2: Çalışan Maliyeti P90</t>
  </si>
  <si>
    <t xml:space="preserve">Modül I3: Maliyet Yükü Net Bugünkü Değeri</t>
  </si>
  <si>
    <t xml:space="preserve">Modül I7: Bütçe Açığı Köprüsü (Ek Kaynak İhtiyacı)</t>
  </si>
  <si>
    <t xml:space="preserve">Değer Ölçer: Toplam Yük</t>
  </si>
  <si>
    <t xml:space="preserve">Değer Ölçer: Bütçe Aşımı</t>
  </si>
  <si>
    <t xml:space="preserve">Modül Makine Yorumları</t>
  </si>
  <si>
    <t xml:space="preserve">T1 Zaman Kapsamı</t>
  </si>
  <si>
    <t xml:space="preserve">T2 Ücret Eğilimi</t>
  </si>
  <si>
    <t xml:space="preserve">T3 Pareto Maliyet Payı</t>
  </si>
  <si>
    <t xml:space="preserve">T5 Bütçe Mutabakatı</t>
  </si>
  <si>
    <t xml:space="preserve">T6 Kıdem Maliyet Payı</t>
  </si>
  <si>
    <t xml:space="preserve">O1 Anomali Oranı</t>
  </si>
  <si>
    <t xml:space="preserve">O2 Tornado Zirve</t>
  </si>
  <si>
    <t xml:space="preserve">O3 Senaryo Baz Maliyet</t>
  </si>
  <si>
    <t xml:space="preserve">O4 Ortalama Kıdem Ay</t>
  </si>
  <si>
    <t xml:space="preserve">O6 Yoğunlaşma HHI</t>
  </si>
  <si>
    <t xml:space="preserve">O8 Veri Kalite Skoru</t>
  </si>
  <si>
    <t xml:space="preserve">I1 Tahmin Orta</t>
  </si>
  <si>
    <t xml:space="preserve">I2 Yüzdelik P90</t>
  </si>
  <si>
    <t xml:space="preserve">I3 Maliyet NPV</t>
  </si>
  <si>
    <t xml:space="preserve">I7 Bütçe Açığı Köprüsü</t>
  </si>
  <si>
    <t xml:space="preserve">Tüm hesaplar tablolardan ve AYARLAR'daki oranlardan beslenir; gömülü sabit yoktur.</t>
  </si>
  <si>
    <t xml:space="preserve">KONTROL — KIDEM–İHBAR YÜKÜ VE PERSONEL ÇIKARMA MALİYETİ HESAPLAYICI</t>
  </si>
  <si>
    <t xml:space="preserve">Veri Kalitesi ve Sağlık Kontrolü</t>
  </si>
  <si>
    <t xml:space="preserve">A. GİRİŞ TAMLIK KONTROLÜ</t>
  </si>
  <si>
    <t xml:space="preserve">Çalışan Adı Boş</t>
  </si>
  <si>
    <t xml:space="preserve">İşe Giriş Tarihi Boş</t>
  </si>
  <si>
    <t xml:space="preserve">Brüt Ücret Boş/Sıfır</t>
  </si>
  <si>
    <t xml:space="preserve">Çıkış Tarihi Eksik</t>
  </si>
  <si>
    <t xml:space="preserve">Çalışan Kaydı Yok</t>
  </si>
  <si>
    <t xml:space="preserve">Toplam Maliyet Bütçeyi Aşıyor</t>
  </si>
  <si>
    <t xml:space="preserve">Ortalama Kıdem Yüksek</t>
  </si>
  <si>
    <t xml:space="preserve">Ücret Anomalisi Var</t>
  </si>
  <si>
    <t xml:space="preserve">İzin Kullanımı Girilmemiş</t>
  </si>
  <si>
    <t xml:space="preserve">Kıdem Tazminatı Tavanı Kontrolü</t>
  </si>
  <si>
    <t xml:space="preserve">B. SKOR VE SAĞLIK</t>
  </si>
  <si>
    <t xml:space="preserve">PASS Sayısı</t>
  </si>
  <si>
    <t xml:space="preserve">FAIL Sayısı</t>
  </si>
  <si>
    <t xml:space="preserve">Veri Kalite Skoru (0-100)</t>
  </si>
  <si>
    <t xml:space="preserve">Güven Seviyesi</t>
  </si>
  <si>
    <t xml:space="preserve">Durum</t>
  </si>
  <si>
    <t xml:space="preserve">Skor ve sağlık durumu formülle üretilir; sahte veri yoktur.</t>
  </si>
  <si>
    <t xml:space="preserve">KARAR — KIDEM–İHBAR YÜKÜ VE PERSONEL ÇIKARMA MALİYETİ HESAPLAYICI</t>
  </si>
  <si>
    <t xml:space="preserve">Karar Motoru</t>
  </si>
  <si>
    <t xml:space="preserve">ÇIKARMA MALİYETİ ÖZETİ</t>
  </si>
  <si>
    <t xml:space="preserve">Çıkarma Bütçesi</t>
  </si>
  <si>
    <t xml:space="preserve">Bütçe Kullanım Oranı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</si>
  <si>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</si>
  <si>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</si>
  <si>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</si>
  <si>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</si>
  <si>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KIDEM–İHBAR YÜKÜ VE PERSONEL ÇIKARMA MALİYETİ HESAPLAYICI</t>
  </si>
  <si>
    <t xml:space="preserve">Yönetici Özeti</t>
  </si>
  <si>
    <t xml:space="preserve">TOPLAM ÇIKARMA MALİYETİ</t>
  </si>
  <si>
    <t xml:space="preserve">BÜTÇE KULLANIM ORANI</t>
  </si>
  <si>
    <t xml:space="preserve">ORTALAMA KIDEM YILI</t>
  </si>
  <si>
    <t xml:space="preserve">Toplam Çalışan</t>
  </si>
  <si>
    <t xml:space="preserve">Veri Kalite Skoru</t>
  </si>
  <si>
    <t xml:space="preserve">EN KRİTİK 3 İÇGÖRÜ</t>
  </si>
  <si>
    <t xml:space="preserve">Maliyet Dağılımı</t>
  </si>
  <si>
    <t xml:space="preserve">Kıdem</t>
  </si>
  <si>
    <t xml:space="preserve">İhbar</t>
  </si>
  <si>
    <t xml:space="preserve">İzin</t>
  </si>
  <si>
    <t xml:space="preserve">Bütçe vs Maliyet</t>
  </si>
  <si>
    <t xml:space="preserve">Bütçe</t>
  </si>
  <si>
    <t xml:space="preserve">Maliyet</t>
  </si>
  <si>
    <t xml:space="preserve">Bütçe Kullanım ve Kalan Kapasite</t>
  </si>
  <si>
    <t xml:space="preserve">Kullanım</t>
  </si>
  <si>
    <t xml:space="preserve">Kalan Kapasite</t>
  </si>
  <si>
    <t xml:space="preserve">Tahmin Aralığı</t>
  </si>
  <si>
    <t xml:space="preserve">Alt Bant</t>
  </si>
  <si>
    <t xml:space="preserve">Orta (Tahmin)</t>
  </si>
  <si>
    <t xml:space="preserve">Üst Bant</t>
  </si>
  <si>
    <t xml:space="preserve">SENARYO DUYARLILIK — KIDEM–İHBAR YÜKÜ VE PERSONEL ÇIKARMA MALİYETİ HESAPLAYICI</t>
  </si>
  <si>
    <t xml:space="preserve">Senaryo ve Duyarlılık Analizi</t>
  </si>
  <si>
    <t xml:space="preserve">A. SENARYO MOTORU</t>
  </si>
  <si>
    <t xml:space="preserve">Senaryo</t>
  </si>
  <si>
    <t xml:space="preserve">Ücret Çarpanı</t>
  </si>
  <si>
    <t xml:space="preserve">Çalışan Çarpanı</t>
  </si>
  <si>
    <t xml:space="preserve">Toplam Maliyet (₺)</t>
  </si>
  <si>
    <t xml:space="preserve">Bütçe Kullanımı</t>
  </si>
  <si>
    <t xml:space="preserve">İzin Ücreti (₺)</t>
  </si>
  <si>
    <t xml:space="preserve">Karar</t>
  </si>
  <si>
    <t xml:space="preserve">KÖTÜMSER</t>
  </si>
  <si>
    <t xml:space="preserve">BAZ</t>
  </si>
  <si>
    <t xml:space="preserve">İYİMSER</t>
  </si>
  <si>
    <t xml:space="preserve">B. TORNADO / DUYARLILIK</t>
  </si>
  <si>
    <t xml:space="preserve">Değişken</t>
  </si>
  <si>
    <t xml:space="preserve">Alt (-%5)</t>
  </si>
  <si>
    <t xml:space="preserve">Baz</t>
  </si>
  <si>
    <t xml:space="preserve">Üst (+%5)</t>
  </si>
  <si>
    <t xml:space="preserve">Maliyet Alt</t>
  </si>
  <si>
    <t xml:space="preserve">Maliyet Üst</t>
  </si>
  <si>
    <t xml:space="preserve">Etki (puan)</t>
  </si>
  <si>
    <t xml:space="preserve">Ücret Seviyesi</t>
  </si>
  <si>
    <t xml:space="preserve">Çalışan Sayısı</t>
  </si>
  <si>
    <t xml:space="preserve">C. EŞİK / KIRILIM ANALİZİ</t>
  </si>
  <si>
    <t xml:space="preserve">Kırılım: Maliyeti Bütçeye Çeken Ücret Azaltımı</t>
  </si>
  <si>
    <t xml:space="preserve">Bütçe Kullanım Oranı - Eşik Farkı</t>
  </si>
  <si>
    <t xml:space="preserve">Değer Ölçer: Toplam Maliyet + Bütçe Aşımı</t>
  </si>
  <si>
    <t xml:space="preserve">Senaryo çarpanları ve duyarlılık oranı AYARLAR'dan gelir.</t>
  </si>
  <si>
    <t xml:space="preserve">KIDEM–İHBAR YÜKÜ VE ÇIKARMA MALİYETİ RAPORU</t>
  </si>
  <si>
    <t xml:space="preserve">1. ÖZET</t>
  </si>
  <si>
    <t xml:space="preserve">2. KARAR GEREKÇESİ</t>
  </si>
  <si>
    <t xml:space="preserve">3. VARSAYIMLAR</t>
  </si>
  <si>
    <t xml:space="preserve">• Kıdem tazminatı tavanı yıllık Resmi Gazete duyurusundan AYARLAR'a işlenir; dosya yalnızca oradan okur.</t>
  </si>
  <si>
    <t xml:space="preserve">• İhbar süreleri 4857 s. Kanun md.17 kıdem dilimlerinden (2/4/6/8 hafta) formülle seçilir.</t>
  </si>
  <si>
    <t xml:space="preserve">• Yıllık izin hakkı 4857 s. Kanun md.53 çalışma yılına göre (14/20/26 gün) belirlenir.</t>
  </si>
  <si>
    <t xml:space="preserve">• Kullanılmamış izin ücreti hak edilen izin günü eksi kullanılan izin günü ile günlük ücretin çarpımıdır.</t>
  </si>
  <si>
    <t xml:space="preserve">• Toplam çıkarma maliyeti; kıdem + ihbar + kullanılmamış izin ücretinden oluşur; diğer ödemeler (SGK eksik prim, kıdem avansı) dahil değildir.</t>
  </si>
  <si>
    <t xml:space="preserve">4. UYARILAR</t>
  </si>
  <si>
    <t xml:space="preserve">5. ÖNERİLEN AKSİYONLAR</t>
  </si>
  <si>
    <t xml:space="preserve">Bu rapor karar destek çıktısıdır; iş hukuku veya mali müşavirlik danışmanlığı yerine geçmez.</t>
  </si>
  <si>
    <t xml:space="preserve">ORNEK VERI — KIDEM–İHBAR YÜKÜ VE PERSONEL ÇIKARMA MALİYETİ HESAPLAYICI</t>
  </si>
  <si>
    <t xml:space="preserve">Örnek Veri ve İçe Aktarma Yapısı</t>
  </si>
  <si>
    <t xml:space="preserve">Bu sayfa otomasyon ve içe aktarma için yapıdır; çalışan satırlarını CSV/Excel'den kopyalayabilirsiniz.</t>
  </si>
  <si>
    <t xml:space="preserve">Kullanılan İzin</t>
  </si>
  <si>
    <t xml:space="preserve">Örnek veri giriş sayfalarını beslemek için değil, yapıyı göstermek içindir.</t>
  </si>
  <si>
    <t xml:space="preserve">DEGISIKLIK KAYDI — KIDEM–İHBAR YÜKÜ VE PERSONEL ÇIKARMA MALİYETİ HESAPLAYICI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</si>
  <si>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</si>
  <si>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</si>
  <si>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</si>
  <si>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</si>
  <si>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09.08.2026</t>
  </si>
  <si>
    <t xml:space="preserve">1.0</t>
  </si>
  <si>
    <t xml:space="preserve">İlk sürüm: 1475 md.14 kıdem tazminatı (tavan sınırlı), 4857 md.17 ihbar süreleri, 4857 md.53 izin hakkı ve toplam çıkarma maliyeti.</t>
  </si>
  <si>
    <t xml:space="preserve">Sürüm izi ve lisans bilgisi KAPAK sayfasında da yer alır.</t>
  </si>
  <si>
    <t xml:space="preserve">LISTELER — KIDEM–İHBAR YÜKÜ VE PERSONEL ÇIKARMA MALİYETİ HESAPLAYICI</t>
  </si>
  <si>
    <t xml:space="preserve">Açılır Liste Kaynakları</t>
  </si>
  <si>
    <t xml:space="preserve">Listeler AYARLAR sayfasındaki ayarlarla birlikte doğrulama aralıklarını besler.</t>
  </si>
  <si>
    <t xml:space="preserve">AYARLAR — KIDEM–İHBAR YÜKÜ VE PERSONEL ÇIKARMA MALİYETİ HESAPLAYICI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</si>
  <si>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</si>
  <si>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</si>
  <si>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</si>
  <si>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</si>
  <si>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</si>
  <si>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Birim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</si>
  <si>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</si>
  <si>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</si>
  <si>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</si>
  <si>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</si>
  <si>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</si>
  <si>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</si>
  <si>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Şirket A.Ş.</t>
  </si>
  <si>
    <t xml:space="preserve">metin</t>
  </si>
  <si>
    <t xml:space="preserve">Rapor başlığında görünen firma adı</t>
  </si>
  <si>
    <t xml:space="preserve">Kullanıcı</t>
  </si>
  <si>
    <t xml:space="preserve">raporTarihi</t>
  </si>
  <si>
    <t xml:space="preserve">tarih</t>
  </si>
  <si>
    <t xml:space="preserve">Dosyadaki tek tarih kaynağı; tüm rapor tarihleri buradan okunur.</t>
  </si>
  <si>
    <t xml:space="preserve">KidemTavan</t>
  </si>
  <si>
    <t xml:space="preserve">₺</t>
  </si>
  <si>
    <t xml:space="preserve">Kıdem tazminatı aylık tavanı; yıllık Resmi Gazete duyurusundan güncellenir.</t>
  </si>
  <si>
    <t xml:space="preserve">Hazine ve Maliye Bakanlığı duyurusu (yıllık); güncel değer kullanıcı doğrulamalı</t>
  </si>
  <si>
    <t xml:space="preserve">UcretGunSayisi</t>
  </si>
  <si>
    <t xml:space="preserve">gün</t>
  </si>
  <si>
    <t xml:space="preserve">Aylık ücretin günlük karşılığı için bölünen gün sayısı.</t>
  </si>
  <si>
    <t xml:space="preserve">1475 s. Kanun md.14 uygulaması</t>
  </si>
  <si>
    <t xml:space="preserve">01.09.1971</t>
  </si>
  <si>
    <t xml:space="preserve">IhbarSure1</t>
  </si>
  <si>
    <t xml:space="preserve">Kıdem 6 aydan az: bildirim süresi (2 hafta).</t>
  </si>
  <si>
    <t xml:space="preserve">4857 s. Kanun md.17</t>
  </si>
  <si>
    <t xml:space="preserve">10.06.2003</t>
  </si>
  <si>
    <t xml:space="preserve">IhbarSure2</t>
  </si>
  <si>
    <t xml:space="preserve">Kıdem 6 ay-1,5 yıl: bildirim süresi (4 hafta).</t>
  </si>
  <si>
    <t xml:space="preserve">IhbarSure3</t>
  </si>
  <si>
    <t xml:space="preserve">Kıdem 1,5-3 yıl: bildirim süresi (6 hafta).</t>
  </si>
  <si>
    <t xml:space="preserve">IhbarSure4</t>
  </si>
  <si>
    <t xml:space="preserve">Kıdem 3 yıldan fazla: bildirim süresi (8 hafta).</t>
  </si>
  <si>
    <t xml:space="preserve">IhbarEsik1Gun</t>
  </si>
  <si>
    <t xml:space="preserve">İhbar 2. kademe geçiş kıdem eşiği (6 ay).</t>
  </si>
  <si>
    <t xml:space="preserve">IhbarEsik2Gun</t>
  </si>
  <si>
    <t xml:space="preserve">İhbar 3. kademe geçiş kıdem eşiği (1,5 yıl).</t>
  </si>
  <si>
    <t xml:space="preserve">IhbarEsik3Gun</t>
  </si>
  <si>
    <t xml:space="preserve">İhbar 4. kademe geçiş kıdem eşiği (3 yıl).</t>
  </si>
  <si>
    <t xml:space="preserve">IzinHakki1</t>
  </si>
  <si>
    <t xml:space="preserve">Kıdem 1-5 yıl: yıllık izin hakkı.</t>
  </si>
  <si>
    <t xml:space="preserve">4857 s. Kanun md.53</t>
  </si>
  <si>
    <t xml:space="preserve">IzinHakki2</t>
  </si>
  <si>
    <t xml:space="preserve">Kıdem 5-15 yıl: yıllık izin hakkı.</t>
  </si>
  <si>
    <t xml:space="preserve">IzinHakki3</t>
  </si>
  <si>
    <t xml:space="preserve">Kıdem 15 yıl ve üzeri: yıllık izin hakkı.</t>
  </si>
  <si>
    <t xml:space="preserve">IzinEsik1</t>
  </si>
  <si>
    <t xml:space="preserve">yıl</t>
  </si>
  <si>
    <t xml:space="preserve">İzin 2. kademe geçiş kıdem eşiği.</t>
  </si>
  <si>
    <t xml:space="preserve">IzinEsik2</t>
  </si>
  <si>
    <t xml:space="preserve">İzin 3. kademe geçiş kıdem eşiği.</t>
  </si>
  <si>
    <t xml:space="preserve">Eşik</t>
  </si>
  <si>
    <t xml:space="preserve">CikarmaButceEsik</t>
  </si>
  <si>
    <t xml:space="preserve">Çıkarma maliyeti bütçe eşiği.</t>
  </si>
  <si>
    <t xml:space="preserve">Varsayım</t>
  </si>
  <si>
    <t xml:space="preserve">ButceKullanimEsik</t>
  </si>
  <si>
    <t xml:space="preserve">oran</t>
  </si>
  <si>
    <t xml:space="preserve">Bütçe kullanım oranı uyarı eşiği.</t>
  </si>
  <si>
    <t xml:space="preserve">KidemYilEsik</t>
  </si>
  <si>
    <t xml:space="preserve">Ortalama kıdem uyarı eşiği.</t>
  </si>
  <si>
    <t xml:space="preserve">UcretAnomaliZEsik</t>
  </si>
  <si>
    <t xml:space="preserve">Ücret anomali |Z| eşiği.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</si>
  <si>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</si>
  <si>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</si>
  <si>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</si>
  <si>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</si>
  <si>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</si>
  <si>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</si>
  <si>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</si>
  <si>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SenaryoKotumserKat</t>
  </si>
  <si>
    <t xml:space="preserve">Kötümser senaryo ücret/çalışan çarpanı.</t>
  </si>
  <si>
    <t xml:space="preserve">SenaryoIyimserKat</t>
  </si>
  <si>
    <t xml:space="preserve">İyimser senaryo ücret/çalışan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</si>
  <si>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</si>
  <si>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</si>
  <si>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</si>
  <si>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</si>
  <si>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Maliyet yoğunlaşması yüksek kabul eşiği.</t>
  </si>
  <si>
    <t xml:space="preserve">Tahmin</t>
  </si>
  <si>
    <t xml:space="preserve">P90Kuantil</t>
  </si>
  <si>
    <t xml:space="preserve">Yüzdelik dağılım analizinde P90 kuantil değeri.</t>
  </si>
  <si>
    <t xml:space="preserve">TahminBantOrani</t>
  </si>
  <si>
    <t xml:space="preserve">Maliyet tahmin aralığı bant oranı.</t>
  </si>
  <si>
    <t xml:space="preserve">Nakit</t>
  </si>
  <si>
    <t xml:space="preserve">IskontoOrani</t>
  </si>
  <si>
    <t xml:space="preserve">Maliyet yükü net bugünkü değer hesabında iskonto oranı.</t>
  </si>
  <si>
    <t xml:space="preserve">Not: raporTarihi dışında TODAY()/NOW() gibi volatil fonksiyon kullanılmaz.</t>
  </si>
  <si>
    <t xml:space="preserve">Gelişmiş ayarlar; ana kullanıcının değiştirmesi gerekmez.</t>
  </si>
  <si>
    <t xml:space="preserve">KILAVUZ — KIDEM–İHBAR YÜKÜ VE PERSONEL ÇIKARMA MALİYETİ HESAPLAYICI</t>
  </si>
  <si>
    <t xml:space="preserve">Kullanım Kılavuzu</t>
  </si>
  <si>
    <t xml:space="preserve">1. Ne yapar?</t>
  </si>
  <si>
    <t xml:space="preserve">2. Hangi sayfa sırasıyla gidilir?</t>
  </si>
  <si>
    <t xml:space="preserve">3. Sarı hücreler ne demek?</t>
  </si>
  <si>
    <t xml:space="preserve">4. Kıdem tazminatı nasıl hesaplanır?</t>
  </si>
  <si>
    <t xml:space="preserve">5. İhbar süresi nasıl belirlenir?</t>
  </si>
  <si>
    <t xml:space="preserve">6. İzin ücreti nasıl hesaplanır?</t>
  </si>
  <si>
    <t xml:space="preserve">7. Karar nasıl okunur?</t>
  </si>
  <si>
    <t xml:space="preserve">8. Güvenlik ve KVKK</t>
  </si>
  <si>
    <t xml:space="preserve">9. Kaynaklar ve varsayımlar</t>
  </si>
  <si>
    <t xml:space="preserve">10. Ortam beyanı</t>
  </si>
  <si>
    <t xml:space="preserve">11. Yasal çekince</t>
  </si>
  <si>
    <t xml:space="preserve">Bu araç karar destek amaçlıdır; iş hukuku ve mali müşavirlik danışmanlığı yerine geçmez. Kıdem tazminatı tavanı, ihbar süreleri ve izin hakları her dosyada güncel mevzuattan teyit edilmelidir.</t>
  </si>
  <si>
    <t xml:space="preserve">ExcelArşiv | Kıdem–İhbar Yükü ve Personel Çıkarma Maliyeti Hesaplayıcı | Rev 1.0 | 2026-08-09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</si>
</sst>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₺ &quot;#,##0;[RED]&quot;(₺ &quot;#,##0\);\-"/>
    <numFmt numFmtId="167" formatCode="#,##0"/>
    <numFmt numFmtId="168" formatCode="0.0%;[RED]\(0.0%\);\-"/>
    <numFmt numFmtId="169" formatCode="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sz val="10"/>
      <color rgb="FF006100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sz val="9"/>
      <color rgb="FF1F4E79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B3261E"/>
      <name val="Segoe UI"/>
      <family val="0"/>
      <charset val="1"/>
    </font>
    <font>
      <sz val="8"/>
      <color rgb="FF595959"/>
      <name val="Segoe UI"/>
      <family val="0"/>
      <charset val="1"/>
    </font>
    <font>
      <sz val="10"/>
      <color rgb="FF595959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EEF2F7"/>
        <bgColor rgb="FFF2F2F2"/>
      </patternFill>
    </fill>
    <fill>
      <patternFill patternType="solid">
        <fgColor rgb="FFF2F2F2"/>
        <bgColor rgb="FFEEF2F7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Kıdem / İhbar / İzin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PANO!C20</c:f>
              <c:strCache>
                <c:ptCount val="1"/>
                <c:pt idx="0">
                  <c:v>₺ 6.005.055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PANO!$B$20:$B$22</c:f>
              <c:strCache>
                <c:ptCount val="3"/>
                <c:pt idx="0">
                  <c:v>Kıdem</c:v>
                </c:pt>
                <c:pt idx="1">
                  <c:v>İhbar</c:v>
                </c:pt>
                <c:pt idx="2">
                  <c:v>İzin</c:v>
                </c:pt>
              </c:strCache>
            </c:strRef>
          </c:cat>
          <c:val>
            <c:numRef>
              <c:f>PANO!$C$21:$C$22</c:f>
              <c:numCache>
                <c:formatCode>"₺ "#,##0;[RED]"(₺ "#,##0\);\-</c:formatCode>
                <c:ptCount val="2"/>
                <c:pt idx="0">
                  <c:v>724267</c:v>
                </c:pt>
                <c:pt idx="1">
                  <c:v>162467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Bütçe Kullanımı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PANO!C23</c:f>
              <c:strCache>
                <c:ptCount val="1"/>
                <c:pt idx="0">
                  <c:v>₺ 500.000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PANO!$B$23:$B$24</c:f>
              <c:strCache>
                <c:ptCount val="2"/>
                <c:pt idx="0">
                  <c:v>Bütçe</c:v>
                </c:pt>
                <c:pt idx="1">
                  <c:v>Maliyet</c:v>
                </c:pt>
              </c:strCache>
            </c:strRef>
          </c:cat>
          <c:val>
            <c:numRef>
              <c:f>PANO!$C$24</c:f>
              <c:numCache>
                <c:formatCode>"₺ "#,##0;[RED]"(₺ "#,##0\);\-</c:formatCode>
                <c:ptCount val="1"/>
                <c:pt idx="0">
                  <c:v>6891788</c:v>
                </c:pt>
              </c:numCache>
            </c:numRef>
          </c:val>
        </c:ser>
        <c:gapWidth val="150"/>
        <c:overlap val="0"/>
        <c:axId val="17870915"/>
        <c:axId val="37893871"/>
      </c:barChart>
      <c:catAx>
        <c:axId val="17870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93871"/>
        <c:crosses val="autoZero"/>
        <c:auto val="1"/>
        <c:lblAlgn val="ctr"/>
        <c:lblOffset val="100"/>
        <c:noMultiLvlLbl val="0"/>
      </c:catAx>
      <c:valAx>
        <c:axId val="37893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709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Bütçe Kullanımı ve Kalan Kapasite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PANO!C26</c:f>
              <c:strCache>
                <c:ptCount val="1"/>
                <c:pt idx="0">
                  <c:v>1378,4%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PANO!$B$26:$B$27</c:f>
              <c:strCache>
                <c:ptCount val="2"/>
                <c:pt idx="0">
                  <c:v>Kullanım</c:v>
                </c:pt>
                <c:pt idx="1">
                  <c:v>Kalan Kapasite</c:v>
                </c:pt>
              </c:strCache>
            </c:strRef>
          </c:cat>
          <c:val>
            <c:numRef>
              <c:f>PANO!$C$27</c:f>
              <c:numCache>
                <c:formatCode>0.0%;[RED]\(0.0%\);\-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41413979"/>
        <c:axId val="29063189"/>
      </c:barChart>
      <c:catAx>
        <c:axId val="41413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063189"/>
        <c:crosses val="autoZero"/>
        <c:auto val="1"/>
        <c:lblAlgn val="ctr"/>
        <c:lblOffset val="100"/>
        <c:noMultiLvlLbl val="0"/>
      </c:catAx>
      <c:valAx>
        <c:axId val="29063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139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Sonraki Çalışan Tahmini (aralık)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PANO!C30</c:f>
              <c:strCache>
                <c:ptCount val="1"/>
                <c:pt idx="0">
                  <c:v>₺ 845.666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PANO!$B$30:$B$32</c:f>
              <c:strCache>
                <c:ptCount val="3"/>
                <c:pt idx="0">
                  <c:v>Alt Bant</c:v>
                </c:pt>
                <c:pt idx="1">
                  <c:v>Orta (Tahmin)</c:v>
                </c:pt>
                <c:pt idx="2">
                  <c:v>Üst Bant</c:v>
                </c:pt>
              </c:strCache>
            </c:strRef>
          </c:cat>
          <c:val>
            <c:numRef>
              <c:f>PANO!$C$31:$C$32</c:f>
              <c:numCache>
                <c:formatCode>"₺ "#,##0;[RED]"(₺ "#,##0\);\-</c:formatCode>
                <c:ptCount val="2"/>
                <c:pt idx="0">
                  <c:v>939628.848662753</c:v>
                </c:pt>
                <c:pt idx="1">
                  <c:v>1033591.73352903</c:v>
                </c:pt>
              </c:numCache>
            </c:numRef>
          </c:val>
        </c:ser>
        <c:gapWidth val="150"/>
        <c:overlap val="0"/>
        <c:axId val="53513972"/>
        <c:axId val="46759499"/>
      </c:barChart>
      <c:catAx>
        <c:axId val="53513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59499"/>
        <c:crosses val="autoZero"/>
        <c:auto val="1"/>
        <c:lblAlgn val="ctr"/>
        <c:lblOffset val="100"/>
        <c:noMultiLvlLbl val="0"/>
      </c:catAx>
      <c:valAx>
        <c:axId val="46759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5139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Toplam Maliyetleri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SENARYO_DUYARLILIK!D7</c:f>
              <c:strCache>
                <c:ptCount val="1"/>
                <c:pt idx="0">
                  <c:v>₺ 12.701.096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SENARYO_DUYARLILIK!$D$8:$D$9</c:f>
              <c:numCache>
                <c:formatCode>"₺ "#,##0;[RED]"(₺ "#,##0\);\-</c:formatCode>
                <c:ptCount val="2"/>
                <c:pt idx="0">
                  <c:v>6891788</c:v>
                </c:pt>
                <c:pt idx="1">
                  <c:v>5582348.28</c:v>
                </c:pt>
              </c:numCache>
            </c:numRef>
          </c:val>
        </c:ser>
        <c:gapWidth val="150"/>
        <c:overlap val="0"/>
        <c:axId val="52492389"/>
        <c:axId val="42684039"/>
      </c:barChart>
      <c:catAx>
        <c:axId val="52492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84039"/>
        <c:crosses val="autoZero"/>
        <c:auto val="1"/>
        <c:lblAlgn val="ctr"/>
        <c:lblOffset val="100"/>
        <c:noMultiLvlLbl val="0"/>
      </c:catAx>
      <c:valAx>
        <c:axId val="42684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923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Maliyet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SENARYO_DUYARLILIK!G13</c:f>
              <c:strCache>
                <c:ptCount val="1"/>
                <c:pt idx="0">
                  <c:v>137,8%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SENARYO_DUYARLILIK!$A$13:$A$14</c:f>
              <c:strCache>
                <c:ptCount val="2"/>
                <c:pt idx="0">
                  <c:v>Ücret Seviyesi</c:v>
                </c:pt>
                <c:pt idx="1">
                  <c:v>Çalışan Sayısı</c:v>
                </c:pt>
              </c:strCache>
            </c:strRef>
          </c:cat>
          <c:val>
            <c:numRef>
              <c:f>SENARYO_DUYARLILIK!$G$14</c:f>
              <c:numCache>
                <c:formatCode>0.0%;[RED]\(0.0%\);\-</c:formatCode>
                <c:ptCount val="1"/>
                <c:pt idx="0">
                  <c:v>1.3783576</c:v>
                </c:pt>
              </c:numCache>
            </c:numRef>
          </c:val>
        </c:ser>
        <c:gapWidth val="150"/>
        <c:overlap val="0"/>
        <c:axId val="72136862"/>
        <c:axId val="40228840"/>
      </c:barChart>
      <c:catAx>
        <c:axId val="72136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228840"/>
        <c:crosses val="autoZero"/>
        <c:auto val="1"/>
        <c:lblAlgn val="ctr"/>
        <c:lblOffset val="100"/>
        <c:noMultiLvlLbl val="0"/>
      </c:catAx>
      <c:valAx>
        <c:axId val="40228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368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Bütçe Kullanımları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SENARYO_DUYARLILIK!E7</c:f>
              <c:strCache>
                <c:ptCount val="1"/>
                <c:pt idx="0">
                  <c:v>2540,2%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SENARYO_DUYARLILIK!$E$8:$E$9</c:f>
              <c:numCache>
                <c:formatCode>0.0%;[RED]\(0.0%\);\-</c:formatCode>
                <c:ptCount val="2"/>
                <c:pt idx="0">
                  <c:v>13.783576</c:v>
                </c:pt>
                <c:pt idx="1">
                  <c:v>11.16469656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40139"/>
        <c:axId val="90149417"/>
      </c:lineChart>
      <c:catAx>
        <c:axId val="214401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49417"/>
        <c:crosses val="autoZero"/>
        <c:auto val="1"/>
        <c:lblAlgn val="ctr"/>
        <c:lblOffset val="100"/>
        <c:noMultiLvlLbl val="0"/>
      </c:catAx>
      <c:valAx>
        <c:axId val="90149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4401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10</xdr:col>
      <xdr:colOff>290520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6061680" y="37972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399240</xdr:colOff>
      <xdr:row>37</xdr:row>
      <xdr:rowOff>22320</xdr:rowOff>
    </xdr:to>
    <xdr:graphicFrame>
      <xdr:nvGraphicFramePr>
        <xdr:cNvPr id="2" name="Chart 2"/>
        <xdr:cNvGraphicFramePr/>
      </xdr:nvGraphicFramePr>
      <xdr:xfrm>
        <a:off x="6061680" y="43689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399240</xdr:colOff>
      <xdr:row>40</xdr:row>
      <xdr:rowOff>21960</xdr:rowOff>
    </xdr:to>
    <xdr:graphicFrame>
      <xdr:nvGraphicFramePr>
        <xdr:cNvPr id="3" name="Chart 3"/>
        <xdr:cNvGraphicFramePr/>
      </xdr:nvGraphicFramePr>
      <xdr:xfrm>
        <a:off x="6061680" y="49402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29</xdr:row>
      <xdr:rowOff>0</xdr:rowOff>
    </xdr:from>
    <xdr:to>
      <xdr:col>11</xdr:col>
      <xdr:colOff>399240</xdr:colOff>
      <xdr:row>44</xdr:row>
      <xdr:rowOff>22320</xdr:rowOff>
    </xdr:to>
    <xdr:graphicFrame>
      <xdr:nvGraphicFramePr>
        <xdr:cNvPr id="4" name="Chart 4"/>
        <xdr:cNvGraphicFramePr/>
      </xdr:nvGraphicFramePr>
      <xdr:xfrm>
        <a:off x="6061680" y="5702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147600</xdr:colOff>
      <xdr:row>19</xdr:row>
      <xdr:rowOff>1080</xdr:rowOff>
    </xdr:to>
    <xdr:graphicFrame>
      <xdr:nvGraphicFramePr>
        <xdr:cNvPr id="5" name="Chart 1"/>
        <xdr:cNvGraphicFramePr/>
      </xdr:nvGraphicFramePr>
      <xdr:xfrm>
        <a:off x="10479240" y="895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38880</xdr:colOff>
      <xdr:row>31</xdr:row>
      <xdr:rowOff>155520</xdr:rowOff>
    </xdr:to>
    <xdr:graphicFrame>
      <xdr:nvGraphicFramePr>
        <xdr:cNvPr id="6" name="Chart 2"/>
        <xdr:cNvGraphicFramePr/>
      </xdr:nvGraphicFramePr>
      <xdr:xfrm>
        <a:off x="10479240" y="3753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38880</xdr:colOff>
      <xdr:row>43</xdr:row>
      <xdr:rowOff>21960</xdr:rowOff>
    </xdr:to>
    <xdr:graphicFrame>
      <xdr:nvGraphicFramePr>
        <xdr:cNvPr id="7" name="Chart 3"/>
        <xdr:cNvGraphicFramePr/>
      </xdr:nvGraphicFramePr>
      <xdr:xfrm>
        <a:off x="10479240" y="590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lisan" displayName="tblCalisan" ref="A5:N1004" headerRowCount="1" totalsRowCount="0" totalsRowShown="0">
  <tableColumns count="14">
    <tableColumn id="1" name="Çalışan Adı"/>
    <tableColumn id="2" name="İşe Giriş Tarihi"/>
    <tableColumn id="3" name="İşten Çıkış Tarihi"/>
    <tableColumn id="4" name="Brüt Ücret (₺)"/>
    <tableColumn id="5" name="Ücret Türü"/>
    <tableColumn id="6" name="Günlük Ücret (₺)">
      <calculatedColumnFormula>=IF(OR($A6="",$D6=""),"",IF($E6="Günlük",$D6,$D6/UcretGunSayisi))</calculatedColumnFormula>
    </tableColumn>
    <tableColumn id="7" name="Kıdem Yıl">
      <calculatedColumnFormula>=IF(OR($A6="",$B6="",$C6=""),"",IFERROR(MAX(0,DATEDIF($B6,$C6,"Y")),0))</calculatedColumnFormula>
    </tableColumn>
    <tableColumn id="8" name="Kıdem Gün">
      <calculatedColumnFormula>=IF(OR($A6="",$B6="",$C6=""),"",IFERROR(MAX(0,DATEDIF($B6,$C6,"D")),0))</calculatedColumnFormula>
    </tableColumn>
    <tableColumn id="9" name="Kıdem Tazminatı (₺)">
      <calculatedColumnFormula>=IF(OR($F6="",$G6="",$H6=""),"",IFERROR(MIN($F6*UcretGunSayisi,KidemTavan)*(IFERROR($G6,0)+IFERROR($H6,0)/365),0))</calculatedColumnFormula>
    </tableColumn>
    <tableColumn id="10" name="İhbar Gün">
      <calculatedColumnFormula>=IF(OR($H6="",$C6=""),"",IFERROR(IF($H6&lt;IhbarEsik1Gun,IhbarSure1,IF($H6&lt;IhbarEsik2Gun,IhbarSure2,IF($H6&lt;IhbarEsik3Gun,IhbarSure3,IhbarSure4))),0))</calculatedColumnFormula>
    </tableColumn>
    <tableColumn id="11" name="İhbar Tazminatı (₺)">
      <calculatedColumnFormula>=IF(OR($F6="",$J6=""),"",IFERROR(MAX(0,$F6*$J6),0))</calculatedColumnFormula>
    </tableColumn>
    <tableColumn id="12" name="İzin Hakkı (Gün)">
      <calculatedColumnFormula>=IF(OR($G6="",$C6=""),"",IFERROR(IF($G6&gt;=IzinEsik2,IzinHakki3,IF($G6&gt;=IzinEsik1,IzinHakki2,IzinHakki1)),0))</calculatedColumnFormula>
    </tableColumn>
    <tableColumn id="13" name="Kullanılan İzin (Gün)"/>
    <tableColumn id="14" name="Toplam Çıkarma Maliyeti (₺)">
      <calculatedColumnFormula>=IF(OR($I6="",$K6="",$L6="",$M6=""),"",IFERROR(MAX(0,$I6+$K6+IFERROR(MAX(0,$L6-$M6),0)*$F6),0))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18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customFormat="false" ht="30" hidden="false" customHeight="true" outlineLevel="0" collapsed="false">
      <c r="A5" s="14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</row>
    <row r="6" customFormat="false" ht="15" hidden="false" customHeight="false" outlineLevel="0" collapsed="false">
      <c r="A6" s="15" t="s">
        <v>40</v>
      </c>
      <c r="B6" s="16" t="n">
        <v>43891</v>
      </c>
      <c r="C6" s="16" t="n">
        <v>46235</v>
      </c>
      <c r="D6" s="17" t="n">
        <v>45000</v>
      </c>
      <c r="E6" s="15" t="s">
        <v>41</v>
      </c>
      <c r="F6" s="18" t="n">
        <f aca="false">IF(OR($A6="",$D6=""),"",IF($E6="Günlük",$D6,$D6/UcretGunSayisi))</f>
        <v>1500</v>
      </c>
      <c r="G6" s="19" t="n">
        <f aca="false">IF(OR($A6="",$B6="",$C6=""),"",IFERROR(MAX(0,DATEDIF($B6,$C6,"Y")),0))</f>
        <v>6</v>
      </c>
      <c r="H6" s="19" t="n">
        <f aca="false">IF(OR($A6="",$B6="",$C6=""),"",IFERROR(MAX(0,DATEDIF($B6,$C6,"D")),0))</f>
        <v>2344</v>
      </c>
      <c r="I6" s="18" t="n">
        <f aca="false">IF(OR($F6="",$G6="",$H6=""),"",IFERROR(MIN($F6*UcretGunSayisi,KidemTavan)*(IFERROR($G6,0)+IFERROR($H6,0)/365),0))</f>
        <v>558986.301369863</v>
      </c>
      <c r="J6" s="19" t="n">
        <f aca="false">IF(OR($H6="",$C6=""),"",IFERROR(IF($H6&lt;IhbarEsik1Gun,IhbarSure1,IF($H6&lt;IhbarEsik2Gun,IhbarSure2,IF($H6&lt;IhbarEsik3Gun,IhbarSure3,IhbarSure4))),0))</f>
        <v>56</v>
      </c>
      <c r="K6" s="18" t="n">
        <f aca="false">IF(OR($F6="",$J6=""),"",IFERROR(MAX(0,$F6*$J6),0))</f>
        <v>84000</v>
      </c>
      <c r="L6" s="19" t="n">
        <f aca="false">IF(OR($G6="",$C6=""),"",IFERROR(IF($G6&gt;=IzinEsik2,IzinHakki3,IF($G6&gt;=IzinEsik1,IzinHakki2,IzinHakki1)),0))</f>
        <v>20</v>
      </c>
      <c r="M6" s="20" t="n">
        <v>5</v>
      </c>
      <c r="N6" s="18" t="n">
        <f aca="false">IF(OR($I6="",$K6="",$L6="",$M6=""),"",IFERROR(MAX(0,$I6+$K6+IFERROR(MAX(0,$L6-$M6),0)*$F6),0))</f>
        <v>665486.301369863</v>
      </c>
    </row>
    <row r="7" customFormat="false" ht="15" hidden="false" customHeight="false" outlineLevel="0" collapsed="false">
      <c r="A7" s="15" t="s">
        <v>42</v>
      </c>
      <c r="B7" s="16" t="n">
        <v>42156</v>
      </c>
      <c r="C7" s="16" t="n">
        <v>46266</v>
      </c>
      <c r="D7" s="17" t="n">
        <v>55000</v>
      </c>
      <c r="E7" s="15" t="s">
        <v>41</v>
      </c>
      <c r="F7" s="18" t="n">
        <f aca="false">IF(OR($A7="",$D7=""),"",IF($E7="Günlük",$D7,$D7/UcretGunSayisi))</f>
        <v>1833.33333333333</v>
      </c>
      <c r="G7" s="19" t="n">
        <f aca="false">IF(OR($A7="",$B7="",$C7=""),"",IFERROR(MAX(0,DATEDIF($B7,$C7,"Y")),0))</f>
        <v>11</v>
      </c>
      <c r="H7" s="19" t="n">
        <f aca="false">IF(OR($A7="",$B7="",$C7=""),"",IFERROR(MAX(0,DATEDIF($B7,$C7,"D")),0))</f>
        <v>4110</v>
      </c>
      <c r="I7" s="18" t="n">
        <f aca="false">IF(OR($F7="",$G7="",$H7=""),"",IFERROR(MIN($F7*UcretGunSayisi,KidemTavan)*(IFERROR($G7,0)+IFERROR($H7,0)/365),0))</f>
        <v>1001712.32876712</v>
      </c>
      <c r="J7" s="19" t="n">
        <f aca="false">IF(OR($H7="",$C7=""),"",IFERROR(IF($H7&lt;IhbarEsik1Gun,IhbarSure1,IF($H7&lt;IhbarEsik2Gun,IhbarSure2,IF($H7&lt;IhbarEsik3Gun,IhbarSure3,IhbarSure4))),0))</f>
        <v>56</v>
      </c>
      <c r="K7" s="18" t="n">
        <f aca="false">IF(OR($F7="",$J7=""),"",IFERROR(MAX(0,$F7*$J7),0))</f>
        <v>102666.666666667</v>
      </c>
      <c r="L7" s="19" t="n">
        <f aca="false">IF(OR($G7="",$C7=""),"",IFERROR(IF($G7&gt;=IzinEsik2,IzinHakki3,IF($G7&gt;=IzinEsik1,IzinHakki2,IzinHakki1)),0))</f>
        <v>20</v>
      </c>
      <c r="M7" s="20" t="n">
        <v>8</v>
      </c>
      <c r="N7" s="18" t="n">
        <f aca="false">IF(OR($I7="",$K7="",$L7="",$M7=""),"",IFERROR(MAX(0,$I7+$K7+IFERROR(MAX(0,$L7-$M7),0)*$F7),0))</f>
        <v>1126378.99543379</v>
      </c>
    </row>
    <row r="8" customFormat="false" ht="15" hidden="false" customHeight="false" outlineLevel="0" collapsed="false">
      <c r="A8" s="15" t="s">
        <v>43</v>
      </c>
      <c r="B8" s="16" t="n">
        <v>44576</v>
      </c>
      <c r="C8" s="16" t="n">
        <v>46218</v>
      </c>
      <c r="D8" s="17" t="n">
        <v>1800</v>
      </c>
      <c r="E8" s="15" t="s">
        <v>44</v>
      </c>
      <c r="F8" s="18" t="n">
        <f aca="false">IF(OR($A8="",$D8=""),"",IF($E8="Günlük",$D8,$D8/UcretGunSayisi))</f>
        <v>1800</v>
      </c>
      <c r="G8" s="19" t="n">
        <f aca="false">IF(OR($A8="",$B8="",$C8=""),"",IFERROR(MAX(0,DATEDIF($B8,$C8,"Y")),0))</f>
        <v>4</v>
      </c>
      <c r="H8" s="19" t="n">
        <f aca="false">IF(OR($A8="",$B8="",$C8=""),"",IFERROR(MAX(0,DATEDIF($B8,$C8,"D")),0))</f>
        <v>1642</v>
      </c>
      <c r="I8" s="18" t="n">
        <f aca="false">IF(OR($F8="",$G8="",$H8=""),"",IFERROR(MIN($F8*UcretGunSayisi,KidemTavan)*(IFERROR($G8,0)+IFERROR($H8,0)/365),0))</f>
        <v>382438.356164384</v>
      </c>
      <c r="J8" s="19" t="n">
        <f aca="false">IF(OR($H8="",$C8=""),"",IFERROR(IF($H8&lt;IhbarEsik1Gun,IhbarSure1,IF($H8&lt;IhbarEsik2Gun,IhbarSure2,IF($H8&lt;IhbarEsik3Gun,IhbarSure3,IhbarSure4))),0))</f>
        <v>56</v>
      </c>
      <c r="K8" s="18" t="n">
        <f aca="false">IF(OR($F8="",$J8=""),"",IFERROR(MAX(0,$F8*$J8),0))</f>
        <v>100800</v>
      </c>
      <c r="L8" s="19" t="n">
        <f aca="false">IF(OR($G8="",$C8=""),"",IFERROR(IF($G8&gt;=IzinEsik2,IzinHakki3,IF($G8&gt;=IzinEsik1,IzinHakki2,IzinHakki1)),0))</f>
        <v>14</v>
      </c>
      <c r="M8" s="20" t="n">
        <v>2</v>
      </c>
      <c r="N8" s="18" t="n">
        <f aca="false">IF(OR($I8="",$K8="",$L8="",$M8=""),"",IFERROR(MAX(0,$I8+$K8+IFERROR(MAX(0,$L8-$M8),0)*$F8),0))</f>
        <v>504838.356164384</v>
      </c>
    </row>
    <row r="9" customFormat="false" ht="15" hidden="false" customHeight="false" outlineLevel="0" collapsed="false">
      <c r="A9" s="15" t="s">
        <v>45</v>
      </c>
      <c r="B9" s="16" t="n">
        <v>43191</v>
      </c>
      <c r="C9" s="16" t="n">
        <v>46296</v>
      </c>
      <c r="D9" s="17" t="n">
        <v>40000</v>
      </c>
      <c r="E9" s="15" t="s">
        <v>41</v>
      </c>
      <c r="F9" s="18" t="n">
        <f aca="false">IF(OR($A9="",$D9=""),"",IF($E9="Günlük",$D9,$D9/UcretGunSayisi))</f>
        <v>1333.33333333333</v>
      </c>
      <c r="G9" s="19" t="n">
        <f aca="false">IF(OR($A9="",$B9="",$C9=""),"",IFERROR(MAX(0,DATEDIF($B9,$C9,"Y")),0))</f>
        <v>8</v>
      </c>
      <c r="H9" s="19" t="n">
        <f aca="false">IF(OR($A9="",$B9="",$C9=""),"",IFERROR(MAX(0,DATEDIF($B9,$C9,"D")),0))</f>
        <v>3105</v>
      </c>
      <c r="I9" s="18" t="n">
        <f aca="false">IF(OR($F9="",$G9="",$H9=""),"",IFERROR(MIN($F9*UcretGunSayisi,KidemTavan)*(IFERROR($G9,0)+IFERROR($H9,0)/365),0))</f>
        <v>660273.97260274</v>
      </c>
      <c r="J9" s="19" t="n">
        <f aca="false">IF(OR($H9="",$C9=""),"",IFERROR(IF($H9&lt;IhbarEsik1Gun,IhbarSure1,IF($H9&lt;IhbarEsik2Gun,IhbarSure2,IF($H9&lt;IhbarEsik3Gun,IhbarSure3,IhbarSure4))),0))</f>
        <v>56</v>
      </c>
      <c r="K9" s="18" t="n">
        <f aca="false">IF(OR($F9="",$J9=""),"",IFERROR(MAX(0,$F9*$J9),0))</f>
        <v>74666.6666666667</v>
      </c>
      <c r="L9" s="19" t="n">
        <f aca="false">IF(OR($G9="",$C9=""),"",IFERROR(IF($G9&gt;=IzinEsik2,IzinHakki3,IF($G9&gt;=IzinEsik1,IzinHakki2,IzinHakki1)),0))</f>
        <v>20</v>
      </c>
      <c r="M9" s="20" t="n">
        <v>10</v>
      </c>
      <c r="N9" s="18" t="n">
        <f aca="false">IF(OR($I9="",$K9="",$L9="",$M9=""),"",IFERROR(MAX(0,$I9+$K9+IFERROR(MAX(0,$L9-$M9),0)*$F9),0))</f>
        <v>748273.97260274</v>
      </c>
    </row>
    <row r="10" customFormat="false" ht="15" hidden="false" customHeight="false" outlineLevel="0" collapsed="false">
      <c r="A10" s="15" t="s">
        <v>46</v>
      </c>
      <c r="B10" s="16" t="n">
        <v>40210</v>
      </c>
      <c r="C10" s="16" t="n">
        <v>46249</v>
      </c>
      <c r="D10" s="17" t="n">
        <v>60000</v>
      </c>
      <c r="E10" s="15" t="s">
        <v>41</v>
      </c>
      <c r="F10" s="18" t="n">
        <f aca="false">IF(OR($A10="",$D10=""),"",IF($E10="Günlük",$D10,$D10/UcretGunSayisi))</f>
        <v>2000</v>
      </c>
      <c r="G10" s="19" t="n">
        <f aca="false">IF(OR($A10="",$B10="",$C10=""),"",IFERROR(MAX(0,DATEDIF($B10,$C10,"Y")),0))</f>
        <v>16</v>
      </c>
      <c r="H10" s="19" t="n">
        <f aca="false">IF(OR($A10="",$B10="",$C10=""),"",IFERROR(MAX(0,DATEDIF($B10,$C10,"D")),0))</f>
        <v>6039</v>
      </c>
      <c r="I10" s="18" t="n">
        <f aca="false">IF(OR($F10="",$G10="",$H10=""),"",IFERROR(MIN($F10*UcretGunSayisi,KidemTavan)*(IFERROR($G10,0)+IFERROR($H10,0)/365),0))</f>
        <v>1464534.24657534</v>
      </c>
      <c r="J10" s="19" t="n">
        <f aca="false">IF(OR($H10="",$C10=""),"",IFERROR(IF($H10&lt;IhbarEsik1Gun,IhbarSure1,IF($H10&lt;IhbarEsik2Gun,IhbarSure2,IF($H10&lt;IhbarEsik3Gun,IhbarSure3,IhbarSure4))),0))</f>
        <v>56</v>
      </c>
      <c r="K10" s="18" t="n">
        <f aca="false">IF(OR($F10="",$J10=""),"",IFERROR(MAX(0,$F10*$J10),0))</f>
        <v>112000</v>
      </c>
      <c r="L10" s="19" t="n">
        <f aca="false">IF(OR($G10="",$C10=""),"",IFERROR(IF($G10&gt;=IzinEsik2,IzinHakki3,IF($G10&gt;=IzinEsik1,IzinHakki2,IzinHakki1)),0))</f>
        <v>26</v>
      </c>
      <c r="M10" s="20" t="n">
        <v>12</v>
      </c>
      <c r="N10" s="18" t="n">
        <f aca="false">IF(OR($I10="",$K10="",$L10="",$M10=""),"",IFERROR(MAX(0,$I10+$K10+IFERROR(MAX(0,$L10-$M10),0)*$F10),0))</f>
        <v>1604534.24657534</v>
      </c>
    </row>
    <row r="11" customFormat="false" ht="15" hidden="false" customHeight="false" outlineLevel="0" collapsed="false">
      <c r="A11" s="15" t="s">
        <v>47</v>
      </c>
      <c r="B11" s="16" t="n">
        <v>44440</v>
      </c>
      <c r="C11" s="16" t="n">
        <v>46327</v>
      </c>
      <c r="D11" s="17" t="n">
        <v>35000</v>
      </c>
      <c r="E11" s="15" t="s">
        <v>41</v>
      </c>
      <c r="F11" s="18" t="n">
        <f aca="false">IF(OR($A11="",$D11=""),"",IF($E11="Günlük",$D11,$D11/UcretGunSayisi))</f>
        <v>1166.66666666667</v>
      </c>
      <c r="G11" s="19" t="n">
        <f aca="false">IF(OR($A11="",$B11="",$C11=""),"",IFERROR(MAX(0,DATEDIF($B11,$C11,"Y")),0))</f>
        <v>5</v>
      </c>
      <c r="H11" s="19" t="n">
        <f aca="false">IF(OR($A11="",$B11="",$C11=""),"",IFERROR(MAX(0,DATEDIF($B11,$C11,"D")),0))</f>
        <v>1887</v>
      </c>
      <c r="I11" s="18" t="n">
        <f aca="false">IF(OR($F11="",$G11="",$H11=""),"",IFERROR(MIN($F11*UcretGunSayisi,KidemTavan)*(IFERROR($G11,0)+IFERROR($H11,0)/365),0))</f>
        <v>355945.205479452</v>
      </c>
      <c r="J11" s="19" t="n">
        <f aca="false">IF(OR($H11="",$C11=""),"",IFERROR(IF($H11&lt;IhbarEsik1Gun,IhbarSure1,IF($H11&lt;IhbarEsik2Gun,IhbarSure2,IF($H11&lt;IhbarEsik3Gun,IhbarSure3,IhbarSure4))),0))</f>
        <v>56</v>
      </c>
      <c r="K11" s="18" t="n">
        <f aca="false">IF(OR($F11="",$J11=""),"",IFERROR(MAX(0,$F11*$J11),0))</f>
        <v>65333.3333333333</v>
      </c>
      <c r="L11" s="19" t="n">
        <f aca="false">IF(OR($G11="",$C11=""),"",IFERROR(IF($G11&gt;=IzinEsik2,IzinHakki3,IF($G11&gt;=IzinEsik1,IzinHakki2,IzinHakki1)),0))</f>
        <v>20</v>
      </c>
      <c r="M11" s="20" t="n">
        <v>3</v>
      </c>
      <c r="N11" s="18" t="n">
        <f aca="false">IF(OR($I11="",$K11="",$L11="",$M11=""),"",IFERROR(MAX(0,$I11+$K11+IFERROR(MAX(0,$L11-$M11),0)*$F11),0))</f>
        <v>441111.872146119</v>
      </c>
    </row>
    <row r="12" customFormat="false" ht="15" hidden="false" customHeight="false" outlineLevel="0" collapsed="false">
      <c r="A12" s="15" t="s">
        <v>48</v>
      </c>
      <c r="B12" s="16" t="n">
        <v>43647</v>
      </c>
      <c r="C12" s="16" t="n">
        <v>46280</v>
      </c>
      <c r="D12" s="17" t="n">
        <v>1700</v>
      </c>
      <c r="E12" s="15" t="s">
        <v>44</v>
      </c>
      <c r="F12" s="18" t="n">
        <f aca="false">IF(OR($A12="",$D12=""),"",IF($E12="Günlük",$D12,$D12/UcretGunSayisi))</f>
        <v>1700</v>
      </c>
      <c r="G12" s="19" t="n">
        <f aca="false">IF(OR($A12="",$B12="",$C12=""),"",IFERROR(MAX(0,DATEDIF($B12,$C12,"Y")),0))</f>
        <v>7</v>
      </c>
      <c r="H12" s="19" t="n">
        <f aca="false">IF(OR($A12="",$B12="",$C12=""),"",IFERROR(MAX(0,DATEDIF($B12,$C12,"D")),0))</f>
        <v>2633</v>
      </c>
      <c r="I12" s="18" t="n">
        <f aca="false">IF(OR($F12="",$G12="",$H12=""),"",IFERROR(MIN($F12*UcretGunSayisi,KidemTavan)*(IFERROR($G12,0)+IFERROR($H12,0)/365),0))</f>
        <v>639616.438356164</v>
      </c>
      <c r="J12" s="19" t="n">
        <f aca="false">IF(OR($H12="",$C12=""),"",IFERROR(IF($H12&lt;IhbarEsik1Gun,IhbarSure1,IF($H12&lt;IhbarEsik2Gun,IhbarSure2,IF($H12&lt;IhbarEsik3Gun,IhbarSure3,IhbarSure4))),0))</f>
        <v>56</v>
      </c>
      <c r="K12" s="18" t="n">
        <f aca="false">IF(OR($F12="",$J12=""),"",IFERROR(MAX(0,$F12*$J12),0))</f>
        <v>95200</v>
      </c>
      <c r="L12" s="19" t="n">
        <f aca="false">IF(OR($G12="",$C12=""),"",IFERROR(IF($G12&gt;=IzinEsik2,IzinHakki3,IF($G12&gt;=IzinEsik1,IzinHakki2,IzinHakki1)),0))</f>
        <v>20</v>
      </c>
      <c r="M12" s="20" t="n">
        <v>4</v>
      </c>
      <c r="N12" s="18" t="n">
        <f aca="false">IF(OR($I12="",$K12="",$L12="",$M12=""),"",IFERROR(MAX(0,$I12+$K12+IFERROR(MAX(0,$L12-$M12),0)*$F12),0))</f>
        <v>762016.438356164</v>
      </c>
    </row>
    <row r="13" customFormat="false" ht="15" hidden="false" customHeight="false" outlineLevel="0" collapsed="false">
      <c r="A13" s="15" t="s">
        <v>49</v>
      </c>
      <c r="B13" s="16" t="n">
        <v>42370</v>
      </c>
      <c r="C13" s="16" t="n">
        <v>46357</v>
      </c>
      <c r="D13" s="17" t="n">
        <v>48000</v>
      </c>
      <c r="E13" s="15" t="s">
        <v>41</v>
      </c>
      <c r="F13" s="18" t="n">
        <f aca="false">IF(OR($A13="",$D13=""),"",IF($E13="Günlük",$D13,$D13/UcretGunSayisi))</f>
        <v>1600</v>
      </c>
      <c r="G13" s="19" t="n">
        <f aca="false">IF(OR($A13="",$B13="",$C13=""),"",IFERROR(MAX(0,DATEDIF($B13,$C13,"Y")),0))</f>
        <v>10</v>
      </c>
      <c r="H13" s="19" t="n">
        <f aca="false">IF(OR($A13="",$B13="",$C13=""),"",IFERROR(MAX(0,DATEDIF($B13,$C13,"D")),0))</f>
        <v>3987</v>
      </c>
      <c r="I13" s="18" t="n">
        <f aca="false">IF(OR($F13="",$G13="",$H13=""),"",IFERROR(MIN($F13*UcretGunSayisi,KidemTavan)*(IFERROR($G13,0)+IFERROR($H13,0)/365),0))</f>
        <v>941547.94520548</v>
      </c>
      <c r="J13" s="19" t="n">
        <f aca="false">IF(OR($H13="",$C13=""),"",IFERROR(IF($H13&lt;IhbarEsik1Gun,IhbarSure1,IF($H13&lt;IhbarEsik2Gun,IhbarSure2,IF($H13&lt;IhbarEsik3Gun,IhbarSure3,IhbarSure4))),0))</f>
        <v>56</v>
      </c>
      <c r="K13" s="18" t="n">
        <f aca="false">IF(OR($F13="",$J13=""),"",IFERROR(MAX(0,$F13*$J13),0))</f>
        <v>89600</v>
      </c>
      <c r="L13" s="19" t="n">
        <f aca="false">IF(OR($G13="",$C13=""),"",IFERROR(IF($G13&gt;=IzinEsik2,IzinHakki3,IF($G13&gt;=IzinEsik1,IzinHakki2,IzinHakki1)),0))</f>
        <v>20</v>
      </c>
      <c r="M13" s="20" t="n">
        <v>15</v>
      </c>
      <c r="N13" s="18" t="n">
        <f aca="false">IF(OR($I13="",$K13="",$L13="",$M13=""),"",IFERROR(MAX(0,$I13+$K13+IFERROR(MAX(0,$L13-$M13),0)*$F13),0))</f>
        <v>1039147.94520548</v>
      </c>
    </row>
    <row r="14" customFormat="false" ht="15" hidden="false" customHeight="false" outlineLevel="0" collapsed="false">
      <c r="A14" s="21"/>
      <c r="B14" s="22"/>
      <c r="C14" s="22"/>
      <c r="D14" s="23"/>
      <c r="E14" s="21"/>
      <c r="F14" s="24"/>
      <c r="G14" s="25"/>
      <c r="H14" s="25"/>
      <c r="I14" s="24"/>
      <c r="J14" s="25"/>
      <c r="K14" s="24"/>
      <c r="L14" s="25"/>
      <c r="M14" s="26"/>
      <c r="N14" s="24"/>
    </row>
    <row r="15" customFormat="false" ht="15" hidden="false" customHeight="false" outlineLevel="0" collapsed="false">
      <c r="A15" s="21"/>
      <c r="B15" s="22"/>
      <c r="C15" s="22"/>
      <c r="D15" s="23"/>
      <c r="E15" s="21"/>
      <c r="F15" s="24"/>
      <c r="G15" s="25"/>
      <c r="H15" s="25"/>
      <c r="I15" s="24"/>
      <c r="J15" s="25"/>
      <c r="K15" s="24"/>
      <c r="L15" s="25"/>
      <c r="M15" s="26"/>
      <c r="N15" s="24"/>
    </row>
    <row r="16" customFormat="false" ht="15" hidden="false" customHeight="false" outlineLevel="0" collapsed="false">
      <c r="A16" s="21"/>
      <c r="B16" s="22"/>
      <c r="C16" s="22"/>
      <c r="D16" s="23"/>
      <c r="E16" s="21"/>
      <c r="F16" s="24"/>
      <c r="G16" s="25"/>
      <c r="H16" s="25"/>
      <c r="I16" s="24"/>
      <c r="J16" s="25"/>
      <c r="K16" s="24"/>
      <c r="L16" s="25"/>
      <c r="M16" s="26"/>
      <c r="N16" s="24"/>
    </row>
    <row r="17" customFormat="false" ht="15" hidden="false" customHeight="false" outlineLevel="0" collapsed="false">
      <c r="A17" s="21"/>
      <c r="B17" s="22"/>
      <c r="C17" s="22"/>
      <c r="D17" s="23"/>
      <c r="E17" s="21"/>
      <c r="F17" s="24"/>
      <c r="G17" s="25"/>
      <c r="H17" s="25"/>
      <c r="I17" s="24"/>
      <c r="J17" s="25"/>
      <c r="K17" s="24"/>
      <c r="L17" s="25"/>
      <c r="M17" s="26"/>
      <c r="N17" s="24"/>
    </row>
    <row r="18" customFormat="false" ht="15" hidden="false" customHeight="false" outlineLevel="0" collapsed="false">
      <c r="A18" s="21"/>
      <c r="B18" s="22"/>
      <c r="C18" s="22"/>
      <c r="D18" s="23"/>
      <c r="E18" s="21"/>
      <c r="F18" s="24"/>
      <c r="G18" s="25"/>
      <c r="H18" s="25"/>
      <c r="I18" s="24"/>
      <c r="J18" s="25"/>
      <c r="K18" s="24"/>
      <c r="L18" s="25"/>
      <c r="M18" s="26"/>
      <c r="N18" s="24"/>
    </row>
    <row r="19" customFormat="false" ht="15" hidden="false" customHeight="false" outlineLevel="0" collapsed="false">
      <c r="A19" s="21"/>
      <c r="B19" s="22"/>
      <c r="C19" s="22"/>
      <c r="D19" s="23"/>
      <c r="E19" s="21"/>
      <c r="F19" s="24"/>
      <c r="G19" s="25"/>
      <c r="H19" s="25"/>
      <c r="I19" s="24"/>
      <c r="J19" s="25"/>
      <c r="K19" s="24"/>
      <c r="L19" s="25"/>
      <c r="M19" s="26"/>
      <c r="N19" s="24"/>
    </row>
    <row r="20" customFormat="false" ht="15" hidden="false" customHeight="false" outlineLevel="0" collapsed="false">
      <c r="A20" s="21"/>
      <c r="B20" s="22"/>
      <c r="C20" s="22"/>
      <c r="D20" s="23"/>
      <c r="E20" s="21"/>
      <c r="F20" s="24"/>
      <c r="G20" s="25"/>
      <c r="H20" s="25"/>
      <c r="I20" s="24"/>
      <c r="J20" s="25"/>
      <c r="K20" s="24"/>
      <c r="L20" s="25"/>
      <c r="M20" s="26"/>
      <c r="N20" s="24"/>
    </row>
    <row r="21" customFormat="false" ht="15" hidden="false" customHeight="false" outlineLevel="0" collapsed="false">
      <c r="A21" s="21"/>
      <c r="B21" s="22"/>
      <c r="C21" s="22"/>
      <c r="D21" s="23"/>
      <c r="E21" s="21"/>
      <c r="F21" s="24"/>
      <c r="G21" s="25"/>
      <c r="H21" s="25"/>
      <c r="I21" s="24"/>
      <c r="J21" s="25"/>
      <c r="K21" s="24"/>
      <c r="L21" s="25"/>
      <c r="M21" s="26"/>
      <c r="N21" s="24"/>
    </row>
    <row r="22" customFormat="false" ht="15" hidden="false" customHeight="false" outlineLevel="0" collapsed="false">
      <c r="A22" s="21"/>
      <c r="B22" s="22"/>
      <c r="C22" s="22"/>
      <c r="D22" s="23"/>
      <c r="E22" s="21"/>
      <c r="F22" s="24"/>
      <c r="G22" s="25"/>
      <c r="H22" s="25"/>
      <c r="I22" s="24"/>
      <c r="J22" s="25"/>
      <c r="K22" s="24"/>
      <c r="L22" s="25"/>
      <c r="M22" s="26"/>
      <c r="N22" s="24"/>
    </row>
    <row r="23" customFormat="false" ht="15" hidden="false" customHeight="false" outlineLevel="0" collapsed="false">
      <c r="A23" s="21"/>
      <c r="B23" s="22"/>
      <c r="C23" s="22"/>
      <c r="D23" s="23"/>
      <c r="E23" s="21"/>
      <c r="F23" s="24"/>
      <c r="G23" s="25"/>
      <c r="H23" s="25"/>
      <c r="I23" s="24"/>
      <c r="J23" s="25"/>
      <c r="K23" s="24"/>
      <c r="L23" s="25"/>
      <c r="M23" s="26"/>
      <c r="N23" s="24"/>
    </row>
    <row r="24" customFormat="false" ht="15" hidden="false" customHeight="false" outlineLevel="0" collapsed="false">
      <c r="A24" s="21"/>
      <c r="B24" s="22"/>
      <c r="C24" s="22"/>
      <c r="D24" s="23"/>
      <c r="E24" s="21"/>
      <c r="F24" s="24"/>
      <c r="G24" s="25"/>
      <c r="H24" s="25"/>
      <c r="I24" s="24"/>
      <c r="J24" s="25"/>
      <c r="K24" s="24"/>
      <c r="L24" s="25"/>
      <c r="M24" s="26"/>
      <c r="N24" s="24"/>
    </row>
    <row r="25" customFormat="false" ht="15" hidden="false" customHeight="false" outlineLevel="0" collapsed="false">
      <c r="A25" s="21"/>
      <c r="B25" s="22"/>
      <c r="C25" s="22"/>
      <c r="D25" s="23"/>
      <c r="E25" s="21"/>
      <c r="F25" s="24"/>
      <c r="G25" s="25"/>
      <c r="H25" s="25"/>
      <c r="I25" s="24"/>
      <c r="J25" s="25"/>
      <c r="K25" s="24"/>
      <c r="L25" s="25"/>
      <c r="M25" s="26"/>
      <c r="N25" s="24"/>
    </row>
    <row r="26" customFormat="false" ht="15" hidden="false" customHeight="false" outlineLevel="0" collapsed="false">
      <c r="A26" s="21"/>
      <c r="B26" s="22"/>
      <c r="C26" s="22"/>
      <c r="D26" s="23"/>
      <c r="E26" s="21"/>
      <c r="F26" s="24"/>
      <c r="G26" s="25"/>
      <c r="H26" s="25"/>
      <c r="I26" s="24"/>
      <c r="J26" s="25"/>
      <c r="K26" s="24"/>
      <c r="L26" s="25"/>
      <c r="M26" s="26"/>
      <c r="N26" s="24"/>
    </row>
    <row r="27" customFormat="false" ht="15" hidden="false" customHeight="false" outlineLevel="0" collapsed="false">
      <c r="A27" s="21"/>
      <c r="B27" s="22"/>
      <c r="C27" s="22"/>
      <c r="D27" s="23"/>
      <c r="E27" s="21"/>
      <c r="F27" s="24"/>
      <c r="G27" s="25"/>
      <c r="H27" s="25"/>
      <c r="I27" s="24"/>
      <c r="J27" s="25"/>
      <c r="K27" s="24"/>
      <c r="L27" s="25"/>
      <c r="M27" s="26"/>
      <c r="N27" s="24"/>
    </row>
    <row r="28" customFormat="false" ht="15" hidden="false" customHeight="false" outlineLevel="0" collapsed="false">
      <c r="A28" s="21"/>
      <c r="B28" s="22"/>
      <c r="C28" s="22"/>
      <c r="D28" s="23"/>
      <c r="E28" s="21"/>
      <c r="F28" s="24"/>
      <c r="G28" s="25"/>
      <c r="H28" s="25"/>
      <c r="I28" s="24"/>
      <c r="J28" s="25"/>
      <c r="K28" s="24"/>
      <c r="L28" s="25"/>
      <c r="M28" s="26"/>
      <c r="N28" s="24"/>
    </row>
    <row r="29" customFormat="false" ht="15" hidden="false" customHeight="false" outlineLevel="0" collapsed="false">
      <c r="A29" s="21"/>
      <c r="B29" s="22"/>
      <c r="C29" s="22"/>
      <c r="D29" s="23"/>
      <c r="E29" s="21"/>
      <c r="F29" s="24"/>
      <c r="G29" s="25"/>
      <c r="H29" s="25"/>
      <c r="I29" s="24"/>
      <c r="J29" s="25"/>
      <c r="K29" s="24"/>
      <c r="L29" s="25"/>
      <c r="M29" s="26"/>
      <c r="N29" s="24"/>
    </row>
    <row r="30" customFormat="false" ht="15" hidden="false" customHeight="false" outlineLevel="0" collapsed="false">
      <c r="A30" s="21"/>
      <c r="B30" s="22"/>
      <c r="C30" s="22"/>
      <c r="D30" s="23"/>
      <c r="E30" s="21"/>
      <c r="F30" s="24"/>
      <c r="G30" s="25"/>
      <c r="H30" s="25"/>
      <c r="I30" s="24"/>
      <c r="J30" s="25"/>
      <c r="K30" s="24"/>
      <c r="L30" s="25"/>
      <c r="M30" s="26"/>
      <c r="N30" s="24"/>
    </row>
    <row r="31" customFormat="false" ht="15" hidden="false" customHeight="false" outlineLevel="0" collapsed="false">
      <c r="A31" s="21"/>
      <c r="B31" s="22"/>
      <c r="C31" s="22"/>
      <c r="D31" s="23"/>
      <c r="E31" s="21"/>
      <c r="F31" s="24"/>
      <c r="G31" s="25"/>
      <c r="H31" s="25"/>
      <c r="I31" s="24"/>
      <c r="J31" s="25"/>
      <c r="K31" s="24"/>
      <c r="L31" s="25"/>
      <c r="M31" s="26"/>
      <c r="N31" s="24"/>
    </row>
    <row r="32" customFormat="false" ht="15" hidden="false" customHeight="false" outlineLevel="0" collapsed="false">
      <c r="A32" s="21"/>
      <c r="B32" s="22"/>
      <c r="C32" s="22"/>
      <c r="D32" s="23"/>
      <c r="E32" s="21"/>
      <c r="F32" s="24"/>
      <c r="G32" s="25"/>
      <c r="H32" s="25"/>
      <c r="I32" s="24"/>
      <c r="J32" s="25"/>
      <c r="K32" s="24"/>
      <c r="L32" s="25"/>
      <c r="M32" s="26"/>
      <c r="N32" s="24"/>
    </row>
    <row r="33" customFormat="false" ht="15" hidden="false" customHeight="false" outlineLevel="0" collapsed="false">
      <c r="A33" s="21"/>
      <c r="B33" s="22"/>
      <c r="C33" s="22"/>
      <c r="D33" s="23"/>
      <c r="E33" s="21"/>
      <c r="F33" s="24"/>
      <c r="G33" s="25"/>
      <c r="H33" s="25"/>
      <c r="I33" s="24"/>
      <c r="J33" s="25"/>
      <c r="K33" s="24"/>
      <c r="L33" s="25"/>
      <c r="M33" s="26"/>
      <c r="N33" s="24"/>
    </row>
    <row r="34" customFormat="false" ht="15" hidden="false" customHeight="false" outlineLevel="0" collapsed="false">
      <c r="A34" s="21"/>
      <c r="B34" s="22"/>
      <c r="C34" s="22"/>
      <c r="D34" s="23"/>
      <c r="E34" s="21"/>
      <c r="F34" s="24"/>
      <c r="G34" s="25"/>
      <c r="H34" s="25"/>
      <c r="I34" s="24"/>
      <c r="J34" s="25"/>
      <c r="K34" s="24"/>
      <c r="L34" s="25"/>
      <c r="M34" s="26"/>
      <c r="N34" s="24"/>
    </row>
    <row r="35" customFormat="false" ht="15" hidden="false" customHeight="false" outlineLevel="0" collapsed="false">
      <c r="A35" s="21"/>
      <c r="B35" s="22"/>
      <c r="C35" s="22"/>
      <c r="D35" s="23"/>
      <c r="E35" s="21"/>
      <c r="F35" s="24"/>
      <c r="G35" s="25"/>
      <c r="H35" s="25"/>
      <c r="I35" s="24"/>
      <c r="J35" s="25"/>
      <c r="K35" s="24"/>
      <c r="L35" s="25"/>
      <c r="M35" s="26"/>
      <c r="N35" s="24"/>
    </row>
    <row r="36" customFormat="false" ht="15" hidden="false" customHeight="false" outlineLevel="0" collapsed="false">
      <c r="A36" s="21"/>
      <c r="B36" s="22"/>
      <c r="C36" s="22"/>
      <c r="D36" s="23"/>
      <c r="E36" s="21"/>
      <c r="F36" s="24"/>
      <c r="G36" s="25"/>
      <c r="H36" s="25"/>
      <c r="I36" s="24"/>
      <c r="J36" s="25"/>
      <c r="K36" s="24"/>
      <c r="L36" s="25"/>
      <c r="M36" s="26"/>
      <c r="N36" s="24"/>
    </row>
    <row r="37" customFormat="false" ht="15" hidden="false" customHeight="false" outlineLevel="0" collapsed="false">
      <c r="A37" s="21"/>
      <c r="B37" s="22"/>
      <c r="C37" s="22"/>
      <c r="D37" s="23"/>
      <c r="E37" s="21"/>
      <c r="F37" s="24"/>
      <c r="G37" s="25"/>
      <c r="H37" s="25"/>
      <c r="I37" s="24"/>
      <c r="J37" s="25"/>
      <c r="K37" s="24"/>
      <c r="L37" s="25"/>
      <c r="M37" s="26"/>
      <c r="N37" s="24"/>
    </row>
    <row r="38" customFormat="false" ht="15" hidden="false" customHeight="false" outlineLevel="0" collapsed="false">
      <c r="A38" s="21"/>
      <c r="B38" s="22"/>
      <c r="C38" s="22"/>
      <c r="D38" s="23"/>
      <c r="E38" s="21"/>
      <c r="F38" s="24"/>
      <c r="G38" s="25"/>
      <c r="H38" s="25"/>
      <c r="I38" s="24"/>
      <c r="J38" s="25"/>
      <c r="K38" s="24"/>
      <c r="L38" s="25"/>
      <c r="M38" s="26"/>
      <c r="N38" s="24"/>
    </row>
    <row r="39" customFormat="false" ht="15" hidden="false" customHeight="false" outlineLevel="0" collapsed="false">
      <c r="A39" s="21"/>
      <c r="B39" s="22"/>
      <c r="C39" s="22"/>
      <c r="D39" s="23"/>
      <c r="E39" s="21"/>
      <c r="F39" s="24"/>
      <c r="G39" s="25"/>
      <c r="H39" s="25"/>
      <c r="I39" s="24"/>
      <c r="J39" s="25"/>
      <c r="K39" s="24"/>
      <c r="L39" s="25"/>
      <c r="M39" s="26"/>
      <c r="N39" s="24"/>
    </row>
    <row r="40" customFormat="false" ht="15" hidden="false" customHeight="false" outlineLevel="0" collapsed="false">
      <c r="A40" s="21"/>
      <c r="B40" s="22"/>
      <c r="C40" s="22"/>
      <c r="D40" s="23"/>
      <c r="E40" s="21"/>
      <c r="F40" s="24"/>
      <c r="G40" s="25"/>
      <c r="H40" s="25"/>
      <c r="I40" s="24"/>
      <c r="J40" s="25"/>
      <c r="K40" s="24"/>
      <c r="L40" s="25"/>
      <c r="M40" s="26"/>
      <c r="N40" s="24"/>
    </row>
    <row r="41" customFormat="false" ht="15" hidden="false" customHeight="false" outlineLevel="0" collapsed="false">
      <c r="A41" s="21"/>
      <c r="B41" s="22"/>
      <c r="C41" s="22"/>
      <c r="D41" s="23"/>
      <c r="E41" s="21"/>
      <c r="F41" s="24"/>
      <c r="G41" s="25"/>
      <c r="H41" s="25"/>
      <c r="I41" s="24"/>
      <c r="J41" s="25"/>
      <c r="K41" s="24"/>
      <c r="L41" s="25"/>
      <c r="M41" s="26"/>
      <c r="N41" s="24"/>
    </row>
    <row r="42" customFormat="false" ht="15" hidden="false" customHeight="false" outlineLevel="0" collapsed="false">
      <c r="A42" s="21"/>
      <c r="B42" s="22"/>
      <c r="C42" s="22"/>
      <c r="D42" s="23"/>
      <c r="E42" s="21"/>
      <c r="F42" s="24"/>
      <c r="G42" s="25"/>
      <c r="H42" s="25"/>
      <c r="I42" s="24"/>
      <c r="J42" s="25"/>
      <c r="K42" s="24"/>
      <c r="L42" s="25"/>
      <c r="M42" s="26"/>
      <c r="N42" s="24"/>
    </row>
    <row r="43" customFormat="false" ht="15" hidden="false" customHeight="false" outlineLevel="0" collapsed="false">
      <c r="A43" s="21"/>
      <c r="B43" s="22"/>
      <c r="C43" s="22"/>
      <c r="D43" s="23"/>
      <c r="E43" s="21"/>
      <c r="F43" s="24"/>
      <c r="G43" s="25"/>
      <c r="H43" s="25"/>
      <c r="I43" s="24"/>
      <c r="J43" s="25"/>
      <c r="K43" s="24"/>
      <c r="L43" s="25"/>
      <c r="M43" s="26"/>
      <c r="N43" s="24"/>
    </row>
    <row r="44" customFormat="false" ht="15" hidden="false" customHeight="false" outlineLevel="0" collapsed="false">
      <c r="A44" s="21"/>
      <c r="B44" s="22"/>
      <c r="C44" s="22"/>
      <c r="D44" s="23"/>
      <c r="E44" s="21"/>
      <c r="F44" s="24"/>
      <c r="G44" s="25"/>
      <c r="H44" s="25"/>
      <c r="I44" s="24"/>
      <c r="J44" s="25"/>
      <c r="K44" s="24"/>
      <c r="L44" s="25"/>
      <c r="M44" s="26"/>
      <c r="N44" s="24"/>
    </row>
    <row r="45" customFormat="false" ht="15" hidden="false" customHeight="false" outlineLevel="0" collapsed="false">
      <c r="A45" s="21"/>
      <c r="B45" s="22"/>
      <c r="C45" s="22"/>
      <c r="D45" s="23"/>
      <c r="E45" s="21"/>
      <c r="F45" s="24"/>
      <c r="G45" s="25"/>
      <c r="H45" s="25"/>
      <c r="I45" s="24"/>
      <c r="J45" s="25"/>
      <c r="K45" s="24"/>
      <c r="L45" s="25"/>
      <c r="M45" s="26"/>
      <c r="N45" s="24"/>
    </row>
    <row r="46" customFormat="false" ht="15" hidden="false" customHeight="false" outlineLevel="0" collapsed="false">
      <c r="A46" s="21"/>
      <c r="B46" s="22"/>
      <c r="C46" s="22"/>
      <c r="D46" s="23"/>
      <c r="E46" s="21"/>
      <c r="F46" s="24"/>
      <c r="G46" s="25"/>
      <c r="H46" s="25"/>
      <c r="I46" s="24"/>
      <c r="J46" s="25"/>
      <c r="K46" s="24"/>
      <c r="L46" s="25"/>
      <c r="M46" s="26"/>
      <c r="N46" s="24"/>
    </row>
    <row r="47" customFormat="false" ht="15" hidden="false" customHeight="false" outlineLevel="0" collapsed="false">
      <c r="A47" s="21"/>
      <c r="B47" s="22"/>
      <c r="C47" s="22"/>
      <c r="D47" s="23"/>
      <c r="E47" s="21"/>
      <c r="F47" s="24"/>
      <c r="G47" s="25"/>
      <c r="H47" s="25"/>
      <c r="I47" s="24"/>
      <c r="J47" s="25"/>
      <c r="K47" s="24"/>
      <c r="L47" s="25"/>
      <c r="M47" s="26"/>
      <c r="N47" s="24"/>
    </row>
    <row r="48" customFormat="false" ht="15" hidden="false" customHeight="false" outlineLevel="0" collapsed="false">
      <c r="A48" s="21"/>
      <c r="B48" s="22"/>
      <c r="C48" s="22"/>
      <c r="D48" s="23"/>
      <c r="E48" s="21"/>
      <c r="F48" s="24"/>
      <c r="G48" s="25"/>
      <c r="H48" s="25"/>
      <c r="I48" s="24"/>
      <c r="J48" s="25"/>
      <c r="K48" s="24"/>
      <c r="L48" s="25"/>
      <c r="M48" s="26"/>
      <c r="N48" s="24"/>
    </row>
    <row r="49" customFormat="false" ht="15" hidden="false" customHeight="false" outlineLevel="0" collapsed="false">
      <c r="A49" s="21"/>
      <c r="B49" s="22"/>
      <c r="C49" s="22"/>
      <c r="D49" s="23"/>
      <c r="E49" s="21"/>
      <c r="F49" s="24"/>
      <c r="G49" s="25"/>
      <c r="H49" s="25"/>
      <c r="I49" s="24"/>
      <c r="J49" s="25"/>
      <c r="K49" s="24"/>
      <c r="L49" s="25"/>
      <c r="M49" s="26"/>
      <c r="N49" s="24"/>
    </row>
    <row r="50" customFormat="false" ht="15" hidden="false" customHeight="false" outlineLevel="0" collapsed="false">
      <c r="A50" s="21"/>
      <c r="B50" s="22"/>
      <c r="C50" s="22"/>
      <c r="D50" s="23"/>
      <c r="E50" s="21"/>
      <c r="F50" s="24"/>
      <c r="G50" s="25"/>
      <c r="H50" s="25"/>
      <c r="I50" s="24"/>
      <c r="J50" s="25"/>
      <c r="K50" s="24"/>
      <c r="L50" s="25"/>
      <c r="M50" s="26"/>
      <c r="N50" s="24"/>
    </row>
    <row r="51" customFormat="false" ht="15" hidden="false" customHeight="false" outlineLevel="0" collapsed="false">
      <c r="A51" s="21"/>
      <c r="B51" s="22"/>
      <c r="C51" s="22"/>
      <c r="D51" s="23"/>
      <c r="E51" s="21"/>
      <c r="F51" s="24"/>
      <c r="G51" s="25"/>
      <c r="H51" s="25"/>
      <c r="I51" s="24"/>
      <c r="J51" s="25"/>
      <c r="K51" s="24"/>
      <c r="L51" s="25"/>
      <c r="M51" s="26"/>
      <c r="N51" s="24"/>
    </row>
    <row r="52" customFormat="false" ht="15" hidden="false" customHeight="false" outlineLevel="0" collapsed="false">
      <c r="A52" s="21"/>
      <c r="B52" s="22"/>
      <c r="C52" s="22"/>
      <c r="D52" s="23"/>
      <c r="E52" s="21"/>
      <c r="F52" s="24"/>
      <c r="G52" s="25"/>
      <c r="H52" s="25"/>
      <c r="I52" s="24"/>
      <c r="J52" s="25"/>
      <c r="K52" s="24"/>
      <c r="L52" s="25"/>
      <c r="M52" s="26"/>
      <c r="N52" s="24"/>
    </row>
    <row r="53" customFormat="false" ht="15" hidden="false" customHeight="false" outlineLevel="0" collapsed="false">
      <c r="A53" s="21"/>
      <c r="B53" s="22"/>
      <c r="C53" s="22"/>
      <c r="D53" s="23"/>
      <c r="E53" s="21"/>
      <c r="F53" s="24"/>
      <c r="G53" s="25"/>
      <c r="H53" s="25"/>
      <c r="I53" s="24"/>
      <c r="J53" s="25"/>
      <c r="K53" s="24"/>
      <c r="L53" s="25"/>
      <c r="M53" s="26"/>
      <c r="N53" s="24"/>
    </row>
    <row r="54" customFormat="false" ht="15" hidden="false" customHeight="false" outlineLevel="0" collapsed="false">
      <c r="A54" s="21"/>
      <c r="B54" s="22"/>
      <c r="C54" s="22"/>
      <c r="D54" s="23"/>
      <c r="E54" s="21"/>
      <c r="F54" s="24"/>
      <c r="G54" s="25"/>
      <c r="H54" s="25"/>
      <c r="I54" s="24"/>
      <c r="J54" s="25"/>
      <c r="K54" s="24"/>
      <c r="L54" s="25"/>
      <c r="M54" s="26"/>
      <c r="N54" s="24"/>
    </row>
    <row r="55" customFormat="false" ht="15" hidden="false" customHeight="false" outlineLevel="0" collapsed="false">
      <c r="A55" s="21"/>
      <c r="B55" s="22"/>
      <c r="C55" s="22"/>
      <c r="D55" s="23"/>
      <c r="E55" s="21"/>
      <c r="F55" s="24"/>
      <c r="G55" s="25"/>
      <c r="H55" s="25"/>
      <c r="I55" s="24"/>
      <c r="J55" s="25"/>
      <c r="K55" s="24"/>
      <c r="L55" s="25"/>
      <c r="M55" s="26"/>
      <c r="N55" s="24"/>
    </row>
    <row r="56" customFormat="false" ht="15" hidden="false" customHeight="false" outlineLevel="0" collapsed="false">
      <c r="A56" s="21"/>
      <c r="B56" s="22"/>
      <c r="C56" s="22"/>
      <c r="D56" s="23"/>
      <c r="E56" s="21"/>
      <c r="F56" s="24"/>
      <c r="G56" s="25"/>
      <c r="H56" s="25"/>
      <c r="I56" s="24"/>
      <c r="J56" s="25"/>
      <c r="K56" s="24"/>
      <c r="L56" s="25"/>
      <c r="M56" s="26"/>
      <c r="N56" s="24"/>
    </row>
    <row r="57" customFormat="false" ht="15" hidden="false" customHeight="false" outlineLevel="0" collapsed="false">
      <c r="A57" s="21"/>
      <c r="B57" s="22"/>
      <c r="C57" s="22"/>
      <c r="D57" s="23"/>
      <c r="E57" s="21"/>
      <c r="F57" s="24"/>
      <c r="G57" s="25"/>
      <c r="H57" s="25"/>
      <c r="I57" s="24"/>
      <c r="J57" s="25"/>
      <c r="K57" s="24"/>
      <c r="L57" s="25"/>
      <c r="M57" s="26"/>
      <c r="N57" s="24"/>
    </row>
    <row r="58" customFormat="false" ht="15" hidden="false" customHeight="false" outlineLevel="0" collapsed="false">
      <c r="A58" s="21"/>
      <c r="B58" s="22"/>
      <c r="C58" s="22"/>
      <c r="D58" s="23"/>
      <c r="E58" s="21"/>
      <c r="F58" s="24"/>
      <c r="G58" s="25"/>
      <c r="H58" s="25"/>
      <c r="I58" s="24"/>
      <c r="J58" s="25"/>
      <c r="K58" s="24"/>
      <c r="L58" s="25"/>
      <c r="M58" s="26"/>
      <c r="N58" s="24"/>
    </row>
    <row r="59" customFormat="false" ht="15" hidden="false" customHeight="false" outlineLevel="0" collapsed="false">
      <c r="A59" s="21"/>
      <c r="B59" s="22"/>
      <c r="C59" s="22"/>
      <c r="D59" s="23"/>
      <c r="E59" s="21"/>
      <c r="F59" s="24"/>
      <c r="G59" s="25"/>
      <c r="H59" s="25"/>
      <c r="I59" s="24"/>
      <c r="J59" s="25"/>
      <c r="K59" s="24"/>
      <c r="L59" s="25"/>
      <c r="M59" s="26"/>
      <c r="N59" s="24"/>
    </row>
    <row r="60" customFormat="false" ht="15" hidden="false" customHeight="false" outlineLevel="0" collapsed="false">
      <c r="A60" s="21"/>
      <c r="B60" s="22"/>
      <c r="C60" s="22"/>
      <c r="D60" s="23"/>
      <c r="E60" s="21"/>
      <c r="F60" s="24"/>
      <c r="G60" s="25"/>
      <c r="H60" s="25"/>
      <c r="I60" s="24"/>
      <c r="J60" s="25"/>
      <c r="K60" s="24"/>
      <c r="L60" s="25"/>
      <c r="M60" s="26"/>
      <c r="N60" s="24"/>
    </row>
    <row r="61" customFormat="false" ht="15" hidden="false" customHeight="false" outlineLevel="0" collapsed="false">
      <c r="A61" s="21"/>
      <c r="B61" s="22"/>
      <c r="C61" s="22"/>
      <c r="D61" s="23"/>
      <c r="E61" s="21"/>
      <c r="F61" s="24"/>
      <c r="G61" s="25"/>
      <c r="H61" s="25"/>
      <c r="I61" s="24"/>
      <c r="J61" s="25"/>
      <c r="K61" s="24"/>
      <c r="L61" s="25"/>
      <c r="M61" s="26"/>
      <c r="N61" s="24"/>
    </row>
    <row r="62" customFormat="false" ht="15" hidden="false" customHeight="false" outlineLevel="0" collapsed="false">
      <c r="A62" s="21"/>
      <c r="B62" s="22"/>
      <c r="C62" s="22"/>
      <c r="D62" s="23"/>
      <c r="E62" s="21"/>
      <c r="F62" s="24"/>
      <c r="G62" s="25"/>
      <c r="H62" s="25"/>
      <c r="I62" s="24"/>
      <c r="J62" s="25"/>
      <c r="K62" s="24"/>
      <c r="L62" s="25"/>
      <c r="M62" s="26"/>
      <c r="N62" s="24"/>
    </row>
    <row r="63" customFormat="false" ht="15" hidden="false" customHeight="false" outlineLevel="0" collapsed="false">
      <c r="A63" s="21"/>
      <c r="B63" s="22"/>
      <c r="C63" s="22"/>
      <c r="D63" s="23"/>
      <c r="E63" s="21"/>
      <c r="F63" s="24"/>
      <c r="G63" s="25"/>
      <c r="H63" s="25"/>
      <c r="I63" s="24"/>
      <c r="J63" s="25"/>
      <c r="K63" s="24"/>
      <c r="L63" s="25"/>
      <c r="M63" s="26"/>
      <c r="N63" s="24"/>
    </row>
    <row r="64" customFormat="false" ht="15" hidden="false" customHeight="false" outlineLevel="0" collapsed="false">
      <c r="A64" s="21"/>
      <c r="B64" s="22"/>
      <c r="C64" s="22"/>
      <c r="D64" s="23"/>
      <c r="E64" s="21"/>
      <c r="F64" s="24"/>
      <c r="G64" s="25"/>
      <c r="H64" s="25"/>
      <c r="I64" s="24"/>
      <c r="J64" s="25"/>
      <c r="K64" s="24"/>
      <c r="L64" s="25"/>
      <c r="M64" s="26"/>
      <c r="N64" s="24"/>
    </row>
    <row r="65" customFormat="false" ht="15" hidden="false" customHeight="false" outlineLevel="0" collapsed="false">
      <c r="A65" s="21"/>
      <c r="B65" s="22"/>
      <c r="C65" s="22"/>
      <c r="D65" s="23"/>
      <c r="E65" s="21"/>
      <c r="F65" s="24"/>
      <c r="G65" s="25"/>
      <c r="H65" s="25"/>
      <c r="I65" s="24"/>
      <c r="J65" s="25"/>
      <c r="K65" s="24"/>
      <c r="L65" s="25"/>
      <c r="M65" s="26"/>
      <c r="N65" s="24"/>
    </row>
    <row r="66" customFormat="false" ht="15" hidden="false" customHeight="false" outlineLevel="0" collapsed="false">
      <c r="A66" s="21"/>
      <c r="B66" s="22"/>
      <c r="C66" s="22"/>
      <c r="D66" s="23"/>
      <c r="E66" s="21"/>
      <c r="F66" s="24"/>
      <c r="G66" s="25"/>
      <c r="H66" s="25"/>
      <c r="I66" s="24"/>
      <c r="J66" s="25"/>
      <c r="K66" s="24"/>
      <c r="L66" s="25"/>
      <c r="M66" s="26"/>
      <c r="N66" s="24"/>
    </row>
    <row r="67" customFormat="false" ht="15" hidden="false" customHeight="false" outlineLevel="0" collapsed="false">
      <c r="A67" s="21"/>
      <c r="B67" s="22"/>
      <c r="C67" s="22"/>
      <c r="D67" s="23"/>
      <c r="E67" s="21"/>
      <c r="F67" s="24"/>
      <c r="G67" s="25"/>
      <c r="H67" s="25"/>
      <c r="I67" s="24"/>
      <c r="J67" s="25"/>
      <c r="K67" s="24"/>
      <c r="L67" s="25"/>
      <c r="M67" s="26"/>
      <c r="N67" s="24"/>
    </row>
    <row r="68" customFormat="false" ht="15" hidden="false" customHeight="false" outlineLevel="0" collapsed="false">
      <c r="A68" s="21"/>
      <c r="B68" s="22"/>
      <c r="C68" s="22"/>
      <c r="D68" s="23"/>
      <c r="E68" s="21"/>
      <c r="F68" s="24"/>
      <c r="G68" s="25"/>
      <c r="H68" s="25"/>
      <c r="I68" s="24"/>
      <c r="J68" s="25"/>
      <c r="K68" s="24"/>
      <c r="L68" s="25"/>
      <c r="M68" s="26"/>
      <c r="N68" s="24"/>
    </row>
    <row r="69" customFormat="false" ht="15" hidden="false" customHeight="false" outlineLevel="0" collapsed="false">
      <c r="A69" s="21"/>
      <c r="B69" s="22"/>
      <c r="C69" s="22"/>
      <c r="D69" s="23"/>
      <c r="E69" s="21"/>
      <c r="F69" s="24"/>
      <c r="G69" s="25"/>
      <c r="H69" s="25"/>
      <c r="I69" s="24"/>
      <c r="J69" s="25"/>
      <c r="K69" s="24"/>
      <c r="L69" s="25"/>
      <c r="M69" s="26"/>
      <c r="N69" s="24"/>
    </row>
    <row r="70" customFormat="false" ht="15" hidden="false" customHeight="false" outlineLevel="0" collapsed="false">
      <c r="A70" s="21"/>
      <c r="B70" s="22"/>
      <c r="C70" s="22"/>
      <c r="D70" s="23"/>
      <c r="E70" s="21"/>
      <c r="F70" s="24"/>
      <c r="G70" s="25"/>
      <c r="H70" s="25"/>
      <c r="I70" s="24"/>
      <c r="J70" s="25"/>
      <c r="K70" s="24"/>
      <c r="L70" s="25"/>
      <c r="M70" s="26"/>
      <c r="N70" s="24"/>
    </row>
    <row r="71" customFormat="false" ht="15" hidden="false" customHeight="false" outlineLevel="0" collapsed="false">
      <c r="A71" s="21"/>
      <c r="B71" s="22"/>
      <c r="C71" s="22"/>
      <c r="D71" s="23"/>
      <c r="E71" s="21"/>
      <c r="F71" s="24"/>
      <c r="G71" s="25"/>
      <c r="H71" s="25"/>
      <c r="I71" s="24"/>
      <c r="J71" s="25"/>
      <c r="K71" s="24"/>
      <c r="L71" s="25"/>
      <c r="M71" s="26"/>
      <c r="N71" s="24"/>
    </row>
    <row r="72" customFormat="false" ht="15" hidden="false" customHeight="false" outlineLevel="0" collapsed="false">
      <c r="A72" s="21"/>
      <c r="B72" s="22"/>
      <c r="C72" s="22"/>
      <c r="D72" s="23"/>
      <c r="E72" s="21"/>
      <c r="F72" s="24"/>
      <c r="G72" s="25"/>
      <c r="H72" s="25"/>
      <c r="I72" s="24"/>
      <c r="J72" s="25"/>
      <c r="K72" s="24"/>
      <c r="L72" s="25"/>
      <c r="M72" s="26"/>
      <c r="N72" s="24"/>
    </row>
    <row r="73" customFormat="false" ht="15" hidden="false" customHeight="false" outlineLevel="0" collapsed="false">
      <c r="A73" s="21"/>
      <c r="B73" s="22"/>
      <c r="C73" s="22"/>
      <c r="D73" s="23"/>
      <c r="E73" s="21"/>
      <c r="F73" s="24"/>
      <c r="G73" s="25"/>
      <c r="H73" s="25"/>
      <c r="I73" s="24"/>
      <c r="J73" s="25"/>
      <c r="K73" s="24"/>
      <c r="L73" s="25"/>
      <c r="M73" s="26"/>
      <c r="N73" s="24"/>
    </row>
    <row r="74" customFormat="false" ht="15" hidden="false" customHeight="false" outlineLevel="0" collapsed="false">
      <c r="A74" s="21"/>
      <c r="B74" s="22"/>
      <c r="C74" s="22"/>
      <c r="D74" s="23"/>
      <c r="E74" s="21"/>
      <c r="F74" s="24"/>
      <c r="G74" s="25"/>
      <c r="H74" s="25"/>
      <c r="I74" s="24"/>
      <c r="J74" s="25"/>
      <c r="K74" s="24"/>
      <c r="L74" s="25"/>
      <c r="M74" s="26"/>
      <c r="N74" s="24"/>
    </row>
    <row r="75" customFormat="false" ht="15" hidden="false" customHeight="false" outlineLevel="0" collapsed="false">
      <c r="A75" s="21"/>
      <c r="B75" s="22"/>
      <c r="C75" s="22"/>
      <c r="D75" s="23"/>
      <c r="E75" s="21"/>
      <c r="F75" s="24"/>
      <c r="G75" s="25"/>
      <c r="H75" s="25"/>
      <c r="I75" s="24"/>
      <c r="J75" s="25"/>
      <c r="K75" s="24"/>
      <c r="L75" s="25"/>
      <c r="M75" s="26"/>
      <c r="N75" s="24"/>
    </row>
    <row r="76" customFormat="false" ht="15" hidden="false" customHeight="false" outlineLevel="0" collapsed="false">
      <c r="A76" s="21"/>
      <c r="B76" s="22"/>
      <c r="C76" s="22"/>
      <c r="D76" s="23"/>
      <c r="E76" s="21"/>
      <c r="F76" s="24"/>
      <c r="G76" s="25"/>
      <c r="H76" s="25"/>
      <c r="I76" s="24"/>
      <c r="J76" s="25"/>
      <c r="K76" s="24"/>
      <c r="L76" s="25"/>
      <c r="M76" s="26"/>
      <c r="N76" s="24"/>
    </row>
    <row r="77" customFormat="false" ht="15" hidden="false" customHeight="false" outlineLevel="0" collapsed="false">
      <c r="A77" s="21"/>
      <c r="B77" s="22"/>
      <c r="C77" s="22"/>
      <c r="D77" s="23"/>
      <c r="E77" s="21"/>
      <c r="F77" s="24"/>
      <c r="G77" s="25"/>
      <c r="H77" s="25"/>
      <c r="I77" s="24"/>
      <c r="J77" s="25"/>
      <c r="K77" s="24"/>
      <c r="L77" s="25"/>
      <c r="M77" s="26"/>
      <c r="N77" s="24"/>
    </row>
    <row r="78" customFormat="false" ht="15" hidden="false" customHeight="false" outlineLevel="0" collapsed="false">
      <c r="A78" s="21"/>
      <c r="B78" s="22"/>
      <c r="C78" s="22"/>
      <c r="D78" s="23"/>
      <c r="E78" s="21"/>
      <c r="F78" s="24"/>
      <c r="G78" s="25"/>
      <c r="H78" s="25"/>
      <c r="I78" s="24"/>
      <c r="J78" s="25"/>
      <c r="K78" s="24"/>
      <c r="L78" s="25"/>
      <c r="M78" s="26"/>
      <c r="N78" s="24"/>
    </row>
    <row r="79" customFormat="false" ht="15" hidden="false" customHeight="false" outlineLevel="0" collapsed="false">
      <c r="A79" s="21"/>
      <c r="B79" s="22"/>
      <c r="C79" s="22"/>
      <c r="D79" s="23"/>
      <c r="E79" s="21"/>
      <c r="F79" s="24"/>
      <c r="G79" s="25"/>
      <c r="H79" s="25"/>
      <c r="I79" s="24"/>
      <c r="J79" s="25"/>
      <c r="K79" s="24"/>
      <c r="L79" s="25"/>
      <c r="M79" s="26"/>
      <c r="N79" s="24"/>
    </row>
    <row r="80" customFormat="false" ht="15" hidden="false" customHeight="false" outlineLevel="0" collapsed="false">
      <c r="A80" s="21"/>
      <c r="B80" s="22"/>
      <c r="C80" s="22"/>
      <c r="D80" s="23"/>
      <c r="E80" s="21"/>
      <c r="F80" s="24"/>
      <c r="G80" s="25"/>
      <c r="H80" s="25"/>
      <c r="I80" s="24"/>
      <c r="J80" s="25"/>
      <c r="K80" s="24"/>
      <c r="L80" s="25"/>
      <c r="M80" s="26"/>
      <c r="N80" s="24"/>
    </row>
    <row r="81" customFormat="false" ht="15" hidden="false" customHeight="false" outlineLevel="0" collapsed="false">
      <c r="A81" s="21"/>
      <c r="B81" s="22"/>
      <c r="C81" s="22"/>
      <c r="D81" s="23"/>
      <c r="E81" s="21"/>
      <c r="F81" s="24"/>
      <c r="G81" s="25"/>
      <c r="H81" s="25"/>
      <c r="I81" s="24"/>
      <c r="J81" s="25"/>
      <c r="K81" s="24"/>
      <c r="L81" s="25"/>
      <c r="M81" s="26"/>
      <c r="N81" s="24"/>
    </row>
    <row r="82" customFormat="false" ht="15" hidden="false" customHeight="false" outlineLevel="0" collapsed="false">
      <c r="A82" s="21"/>
      <c r="B82" s="22"/>
      <c r="C82" s="22"/>
      <c r="D82" s="23"/>
      <c r="E82" s="21"/>
      <c r="F82" s="24"/>
      <c r="G82" s="25"/>
      <c r="H82" s="25"/>
      <c r="I82" s="24"/>
      <c r="J82" s="25"/>
      <c r="K82" s="24"/>
      <c r="L82" s="25"/>
      <c r="M82" s="26"/>
      <c r="N82" s="24"/>
    </row>
    <row r="83" customFormat="false" ht="15" hidden="false" customHeight="false" outlineLevel="0" collapsed="false">
      <c r="A83" s="21"/>
      <c r="B83" s="22"/>
      <c r="C83" s="22"/>
      <c r="D83" s="23"/>
      <c r="E83" s="21"/>
      <c r="F83" s="24"/>
      <c r="G83" s="25"/>
      <c r="H83" s="25"/>
      <c r="I83" s="24"/>
      <c r="J83" s="25"/>
      <c r="K83" s="24"/>
      <c r="L83" s="25"/>
      <c r="M83" s="26"/>
      <c r="N83" s="24"/>
    </row>
    <row r="84" customFormat="false" ht="15" hidden="false" customHeight="false" outlineLevel="0" collapsed="false">
      <c r="A84" s="21"/>
      <c r="B84" s="22"/>
      <c r="C84" s="22"/>
      <c r="D84" s="23"/>
      <c r="E84" s="21"/>
      <c r="F84" s="24"/>
      <c r="G84" s="25"/>
      <c r="H84" s="25"/>
      <c r="I84" s="24"/>
      <c r="J84" s="25"/>
      <c r="K84" s="24"/>
      <c r="L84" s="25"/>
      <c r="M84" s="26"/>
      <c r="N84" s="24"/>
    </row>
    <row r="85" customFormat="false" ht="15" hidden="false" customHeight="false" outlineLevel="0" collapsed="false">
      <c r="A85" s="21"/>
      <c r="B85" s="22"/>
      <c r="C85" s="22"/>
      <c r="D85" s="23"/>
      <c r="E85" s="21"/>
      <c r="F85" s="24"/>
      <c r="G85" s="25"/>
      <c r="H85" s="25"/>
      <c r="I85" s="24"/>
      <c r="J85" s="25"/>
      <c r="K85" s="24"/>
      <c r="L85" s="25"/>
      <c r="M85" s="26"/>
      <c r="N85" s="24"/>
    </row>
    <row r="86" customFormat="false" ht="15" hidden="false" customHeight="false" outlineLevel="0" collapsed="false">
      <c r="A86" s="21"/>
      <c r="B86" s="22"/>
      <c r="C86" s="22"/>
      <c r="D86" s="23"/>
      <c r="E86" s="21"/>
      <c r="F86" s="24"/>
      <c r="G86" s="25"/>
      <c r="H86" s="25"/>
      <c r="I86" s="24"/>
      <c r="J86" s="25"/>
      <c r="K86" s="24"/>
      <c r="L86" s="25"/>
      <c r="M86" s="26"/>
      <c r="N86" s="24"/>
    </row>
    <row r="87" customFormat="false" ht="15" hidden="false" customHeight="false" outlineLevel="0" collapsed="false">
      <c r="A87" s="21"/>
      <c r="B87" s="22"/>
      <c r="C87" s="22"/>
      <c r="D87" s="23"/>
      <c r="E87" s="21"/>
      <c r="F87" s="24"/>
      <c r="G87" s="25"/>
      <c r="H87" s="25"/>
      <c r="I87" s="24"/>
      <c r="J87" s="25"/>
      <c r="K87" s="24"/>
      <c r="L87" s="25"/>
      <c r="M87" s="26"/>
      <c r="N87" s="24"/>
    </row>
    <row r="88" customFormat="false" ht="15" hidden="false" customHeight="false" outlineLevel="0" collapsed="false">
      <c r="A88" s="21"/>
      <c r="B88" s="22"/>
      <c r="C88" s="22"/>
      <c r="D88" s="23"/>
      <c r="E88" s="21"/>
      <c r="F88" s="24"/>
      <c r="G88" s="25"/>
      <c r="H88" s="25"/>
      <c r="I88" s="24"/>
      <c r="J88" s="25"/>
      <c r="K88" s="24"/>
      <c r="L88" s="25"/>
      <c r="M88" s="26"/>
      <c r="N88" s="24"/>
    </row>
    <row r="89" customFormat="false" ht="15" hidden="false" customHeight="false" outlineLevel="0" collapsed="false">
      <c r="A89" s="21"/>
      <c r="B89" s="22"/>
      <c r="C89" s="22"/>
      <c r="D89" s="23"/>
      <c r="E89" s="21"/>
      <c r="F89" s="24"/>
      <c r="G89" s="25"/>
      <c r="H89" s="25"/>
      <c r="I89" s="24"/>
      <c r="J89" s="25"/>
      <c r="K89" s="24"/>
      <c r="L89" s="25"/>
      <c r="M89" s="26"/>
      <c r="N89" s="24"/>
    </row>
    <row r="90" customFormat="false" ht="15" hidden="false" customHeight="false" outlineLevel="0" collapsed="false">
      <c r="A90" s="21"/>
      <c r="B90" s="22"/>
      <c r="C90" s="22"/>
      <c r="D90" s="23"/>
      <c r="E90" s="21"/>
      <c r="F90" s="24"/>
      <c r="G90" s="25"/>
      <c r="H90" s="25"/>
      <c r="I90" s="24"/>
      <c r="J90" s="25"/>
      <c r="K90" s="24"/>
      <c r="L90" s="25"/>
      <c r="M90" s="26"/>
      <c r="N90" s="24"/>
    </row>
    <row r="91" customFormat="false" ht="15" hidden="false" customHeight="false" outlineLevel="0" collapsed="false">
      <c r="A91" s="21"/>
      <c r="B91" s="22"/>
      <c r="C91" s="22"/>
      <c r="D91" s="23"/>
      <c r="E91" s="21"/>
      <c r="F91" s="24"/>
      <c r="G91" s="25"/>
      <c r="H91" s="25"/>
      <c r="I91" s="24"/>
      <c r="J91" s="25"/>
      <c r="K91" s="24"/>
      <c r="L91" s="25"/>
      <c r="M91" s="26"/>
      <c r="N91" s="24"/>
    </row>
    <row r="92" customFormat="false" ht="15" hidden="false" customHeight="false" outlineLevel="0" collapsed="false">
      <c r="A92" s="21"/>
      <c r="B92" s="22"/>
      <c r="C92" s="22"/>
      <c r="D92" s="23"/>
      <c r="E92" s="21"/>
      <c r="F92" s="24"/>
      <c r="G92" s="25"/>
      <c r="H92" s="25"/>
      <c r="I92" s="24"/>
      <c r="J92" s="25"/>
      <c r="K92" s="24"/>
      <c r="L92" s="25"/>
      <c r="M92" s="26"/>
      <c r="N92" s="24"/>
    </row>
    <row r="93" customFormat="false" ht="15" hidden="false" customHeight="false" outlineLevel="0" collapsed="false">
      <c r="A93" s="21"/>
      <c r="B93" s="22"/>
      <c r="C93" s="22"/>
      <c r="D93" s="23"/>
      <c r="E93" s="21"/>
      <c r="F93" s="24"/>
      <c r="G93" s="25"/>
      <c r="H93" s="25"/>
      <c r="I93" s="24"/>
      <c r="J93" s="25"/>
      <c r="K93" s="24"/>
      <c r="L93" s="25"/>
      <c r="M93" s="26"/>
      <c r="N93" s="24"/>
    </row>
    <row r="94" customFormat="false" ht="15" hidden="false" customHeight="false" outlineLevel="0" collapsed="false">
      <c r="A94" s="21"/>
      <c r="B94" s="22"/>
      <c r="C94" s="22"/>
      <c r="D94" s="23"/>
      <c r="E94" s="21"/>
      <c r="F94" s="24"/>
      <c r="G94" s="25"/>
      <c r="H94" s="25"/>
      <c r="I94" s="24"/>
      <c r="J94" s="25"/>
      <c r="K94" s="24"/>
      <c r="L94" s="25"/>
      <c r="M94" s="26"/>
      <c r="N94" s="24"/>
    </row>
    <row r="95" customFormat="false" ht="15" hidden="false" customHeight="false" outlineLevel="0" collapsed="false">
      <c r="A95" s="21"/>
      <c r="B95" s="22"/>
      <c r="C95" s="22"/>
      <c r="D95" s="23"/>
      <c r="E95" s="21"/>
      <c r="F95" s="24"/>
      <c r="G95" s="25"/>
      <c r="H95" s="25"/>
      <c r="I95" s="24"/>
      <c r="J95" s="25"/>
      <c r="K95" s="24"/>
      <c r="L95" s="25"/>
      <c r="M95" s="26"/>
      <c r="N95" s="24"/>
    </row>
    <row r="96" customFormat="false" ht="15" hidden="false" customHeight="false" outlineLevel="0" collapsed="false">
      <c r="A96" s="21"/>
      <c r="B96" s="22"/>
      <c r="C96" s="22"/>
      <c r="D96" s="23"/>
      <c r="E96" s="21"/>
      <c r="F96" s="24"/>
      <c r="G96" s="25"/>
      <c r="H96" s="25"/>
      <c r="I96" s="24"/>
      <c r="J96" s="25"/>
      <c r="K96" s="24"/>
      <c r="L96" s="25"/>
      <c r="M96" s="26"/>
      <c r="N96" s="24"/>
    </row>
    <row r="97" customFormat="false" ht="15" hidden="false" customHeight="false" outlineLevel="0" collapsed="false">
      <c r="A97" s="21"/>
      <c r="B97" s="22"/>
      <c r="C97" s="22"/>
      <c r="D97" s="23"/>
      <c r="E97" s="21"/>
      <c r="F97" s="24"/>
      <c r="G97" s="25"/>
      <c r="H97" s="25"/>
      <c r="I97" s="24"/>
      <c r="J97" s="25"/>
      <c r="K97" s="24"/>
      <c r="L97" s="25"/>
      <c r="M97" s="26"/>
      <c r="N97" s="24"/>
    </row>
    <row r="98" customFormat="false" ht="15" hidden="false" customHeight="false" outlineLevel="0" collapsed="false">
      <c r="A98" s="21"/>
      <c r="B98" s="22"/>
      <c r="C98" s="22"/>
      <c r="D98" s="23"/>
      <c r="E98" s="21"/>
      <c r="F98" s="24"/>
      <c r="G98" s="25"/>
      <c r="H98" s="25"/>
      <c r="I98" s="24"/>
      <c r="J98" s="25"/>
      <c r="K98" s="24"/>
      <c r="L98" s="25"/>
      <c r="M98" s="26"/>
      <c r="N98" s="24"/>
    </row>
    <row r="99" customFormat="false" ht="15" hidden="false" customHeight="false" outlineLevel="0" collapsed="false">
      <c r="A99" s="21"/>
      <c r="B99" s="22"/>
      <c r="C99" s="22"/>
      <c r="D99" s="23"/>
      <c r="E99" s="21"/>
      <c r="F99" s="24"/>
      <c r="G99" s="25"/>
      <c r="H99" s="25"/>
      <c r="I99" s="24"/>
      <c r="J99" s="25"/>
      <c r="K99" s="24"/>
      <c r="L99" s="25"/>
      <c r="M99" s="26"/>
      <c r="N99" s="24"/>
    </row>
    <row r="100" customFormat="false" ht="15" hidden="false" customHeight="false" outlineLevel="0" collapsed="false">
      <c r="A100" s="21"/>
      <c r="B100" s="22"/>
      <c r="C100" s="22"/>
      <c r="D100" s="23"/>
      <c r="E100" s="21"/>
      <c r="F100" s="24"/>
      <c r="G100" s="25"/>
      <c r="H100" s="25"/>
      <c r="I100" s="24"/>
      <c r="J100" s="25"/>
      <c r="K100" s="24"/>
      <c r="L100" s="25"/>
      <c r="M100" s="26"/>
      <c r="N100" s="24"/>
    </row>
    <row r="101" customFormat="false" ht="15" hidden="false" customHeight="false" outlineLevel="0" collapsed="false">
      <c r="A101" s="21"/>
      <c r="B101" s="22"/>
      <c r="C101" s="22"/>
      <c r="D101" s="23"/>
      <c r="E101" s="21"/>
      <c r="F101" s="24"/>
      <c r="G101" s="25"/>
      <c r="H101" s="25"/>
      <c r="I101" s="24"/>
      <c r="J101" s="25"/>
      <c r="K101" s="24"/>
      <c r="L101" s="25"/>
      <c r="M101" s="26"/>
      <c r="N101" s="24"/>
    </row>
    <row r="102" customFormat="false" ht="15" hidden="false" customHeight="false" outlineLevel="0" collapsed="false">
      <c r="A102" s="21"/>
      <c r="B102" s="22"/>
      <c r="C102" s="22"/>
      <c r="D102" s="23"/>
      <c r="E102" s="21"/>
      <c r="F102" s="24"/>
      <c r="G102" s="25"/>
      <c r="H102" s="25"/>
      <c r="I102" s="24"/>
      <c r="J102" s="25"/>
      <c r="K102" s="24"/>
      <c r="L102" s="25"/>
      <c r="M102" s="26"/>
      <c r="N102" s="24"/>
    </row>
    <row r="103" customFormat="false" ht="15" hidden="false" customHeight="false" outlineLevel="0" collapsed="false">
      <c r="A103" s="21"/>
      <c r="B103" s="22"/>
      <c r="C103" s="22"/>
      <c r="D103" s="23"/>
      <c r="E103" s="21"/>
      <c r="F103" s="24"/>
      <c r="G103" s="25"/>
      <c r="H103" s="25"/>
      <c r="I103" s="24"/>
      <c r="J103" s="25"/>
      <c r="K103" s="24"/>
      <c r="L103" s="25"/>
      <c r="M103" s="26"/>
      <c r="N103" s="24"/>
    </row>
    <row r="104" customFormat="false" ht="15" hidden="false" customHeight="false" outlineLevel="0" collapsed="false">
      <c r="A104" s="21"/>
      <c r="B104" s="22"/>
      <c r="C104" s="22"/>
      <c r="D104" s="23"/>
      <c r="E104" s="21"/>
      <c r="F104" s="24"/>
      <c r="G104" s="25"/>
      <c r="H104" s="25"/>
      <c r="I104" s="24"/>
      <c r="J104" s="25"/>
      <c r="K104" s="24"/>
      <c r="L104" s="25"/>
      <c r="M104" s="26"/>
      <c r="N104" s="24"/>
    </row>
    <row r="105" customFormat="false" ht="15" hidden="false" customHeight="false" outlineLevel="0" collapsed="false">
      <c r="A105" s="21"/>
      <c r="B105" s="22"/>
      <c r="C105" s="22"/>
      <c r="D105" s="23"/>
      <c r="E105" s="21"/>
      <c r="F105" s="24"/>
      <c r="G105" s="25"/>
      <c r="H105" s="25"/>
      <c r="I105" s="24"/>
      <c r="J105" s="25"/>
      <c r="K105" s="24"/>
      <c r="L105" s="25"/>
      <c r="M105" s="26"/>
      <c r="N105" s="24"/>
    </row>
    <row r="106" customFormat="false" ht="15" hidden="false" customHeight="false" outlineLevel="0" collapsed="false">
      <c r="A106" s="21"/>
      <c r="B106" s="22"/>
      <c r="C106" s="22"/>
      <c r="D106" s="23"/>
      <c r="E106" s="21"/>
      <c r="F106" s="24"/>
      <c r="G106" s="25"/>
      <c r="H106" s="25"/>
      <c r="I106" s="24"/>
      <c r="J106" s="25"/>
      <c r="K106" s="24"/>
      <c r="L106" s="25"/>
      <c r="M106" s="26"/>
      <c r="N106" s="24"/>
    </row>
    <row r="107" customFormat="false" ht="15" hidden="false" customHeight="false" outlineLevel="0" collapsed="false">
      <c r="A107" s="21"/>
      <c r="B107" s="22"/>
      <c r="C107" s="22"/>
      <c r="D107" s="23"/>
      <c r="E107" s="21"/>
      <c r="F107" s="24"/>
      <c r="G107" s="25"/>
      <c r="H107" s="25"/>
      <c r="I107" s="24"/>
      <c r="J107" s="25"/>
      <c r="K107" s="24"/>
      <c r="L107" s="25"/>
      <c r="M107" s="26"/>
      <c r="N107" s="24"/>
    </row>
    <row r="108" customFormat="false" ht="15" hidden="false" customHeight="false" outlineLevel="0" collapsed="false">
      <c r="A108" s="21"/>
      <c r="B108" s="22"/>
      <c r="C108" s="22"/>
      <c r="D108" s="23"/>
      <c r="E108" s="21"/>
      <c r="F108" s="24"/>
      <c r="G108" s="25"/>
      <c r="H108" s="25"/>
      <c r="I108" s="24"/>
      <c r="J108" s="25"/>
      <c r="K108" s="24"/>
      <c r="L108" s="25"/>
      <c r="M108" s="26"/>
      <c r="N108" s="24"/>
    </row>
    <row r="109" customFormat="false" ht="15" hidden="false" customHeight="false" outlineLevel="0" collapsed="false">
      <c r="A109" s="21"/>
      <c r="B109" s="22"/>
      <c r="C109" s="22"/>
      <c r="D109" s="23"/>
      <c r="E109" s="21"/>
      <c r="F109" s="24"/>
      <c r="G109" s="25"/>
      <c r="H109" s="25"/>
      <c r="I109" s="24"/>
      <c r="J109" s="25"/>
      <c r="K109" s="24"/>
      <c r="L109" s="25"/>
      <c r="M109" s="26"/>
      <c r="N109" s="24"/>
    </row>
    <row r="110" customFormat="false" ht="15" hidden="false" customHeight="false" outlineLevel="0" collapsed="false">
      <c r="A110" s="21"/>
      <c r="B110" s="22"/>
      <c r="C110" s="22"/>
      <c r="D110" s="23"/>
      <c r="E110" s="21"/>
      <c r="F110" s="24"/>
      <c r="G110" s="25"/>
      <c r="H110" s="25"/>
      <c r="I110" s="24"/>
      <c r="J110" s="25"/>
      <c r="K110" s="24"/>
      <c r="L110" s="25"/>
      <c r="M110" s="26"/>
      <c r="N110" s="24"/>
    </row>
    <row r="111" customFormat="false" ht="15" hidden="false" customHeight="false" outlineLevel="0" collapsed="false">
      <c r="A111" s="21"/>
      <c r="B111" s="22"/>
      <c r="C111" s="22"/>
      <c r="D111" s="23"/>
      <c r="E111" s="21"/>
      <c r="F111" s="24"/>
      <c r="G111" s="25"/>
      <c r="H111" s="25"/>
      <c r="I111" s="24"/>
      <c r="J111" s="25"/>
      <c r="K111" s="24"/>
      <c r="L111" s="25"/>
      <c r="M111" s="26"/>
      <c r="N111" s="24"/>
    </row>
    <row r="112" customFormat="false" ht="15" hidden="false" customHeight="false" outlineLevel="0" collapsed="false">
      <c r="A112" s="21"/>
      <c r="B112" s="22"/>
      <c r="C112" s="22"/>
      <c r="D112" s="23"/>
      <c r="E112" s="21"/>
      <c r="F112" s="24"/>
      <c r="G112" s="25"/>
      <c r="H112" s="25"/>
      <c r="I112" s="24"/>
      <c r="J112" s="25"/>
      <c r="K112" s="24"/>
      <c r="L112" s="25"/>
      <c r="M112" s="26"/>
      <c r="N112" s="24"/>
    </row>
    <row r="113" customFormat="false" ht="15" hidden="false" customHeight="false" outlineLevel="0" collapsed="false">
      <c r="A113" s="21"/>
      <c r="B113" s="22"/>
      <c r="C113" s="22"/>
      <c r="D113" s="23"/>
      <c r="E113" s="21"/>
      <c r="F113" s="24"/>
      <c r="G113" s="25"/>
      <c r="H113" s="25"/>
      <c r="I113" s="24"/>
      <c r="J113" s="25"/>
      <c r="K113" s="24"/>
      <c r="L113" s="25"/>
      <c r="M113" s="26"/>
      <c r="N113" s="24"/>
    </row>
    <row r="114" customFormat="false" ht="15" hidden="false" customHeight="false" outlineLevel="0" collapsed="false">
      <c r="A114" s="21"/>
      <c r="B114" s="22"/>
      <c r="C114" s="22"/>
      <c r="D114" s="23"/>
      <c r="E114" s="21"/>
      <c r="F114" s="24"/>
      <c r="G114" s="25"/>
      <c r="H114" s="25"/>
      <c r="I114" s="24"/>
      <c r="J114" s="25"/>
      <c r="K114" s="24"/>
      <c r="L114" s="25"/>
      <c r="M114" s="26"/>
      <c r="N114" s="24"/>
    </row>
    <row r="115" customFormat="false" ht="15" hidden="false" customHeight="false" outlineLevel="0" collapsed="false">
      <c r="A115" s="21"/>
      <c r="B115" s="22"/>
      <c r="C115" s="22"/>
      <c r="D115" s="23"/>
      <c r="E115" s="21"/>
      <c r="F115" s="24"/>
      <c r="G115" s="25"/>
      <c r="H115" s="25"/>
      <c r="I115" s="24"/>
      <c r="J115" s="25"/>
      <c r="K115" s="24"/>
      <c r="L115" s="25"/>
      <c r="M115" s="26"/>
      <c r="N115" s="24"/>
    </row>
    <row r="116" customFormat="false" ht="15" hidden="false" customHeight="false" outlineLevel="0" collapsed="false">
      <c r="A116" s="21"/>
      <c r="B116" s="22"/>
      <c r="C116" s="22"/>
      <c r="D116" s="23"/>
      <c r="E116" s="21"/>
      <c r="F116" s="24"/>
      <c r="G116" s="25"/>
      <c r="H116" s="25"/>
      <c r="I116" s="24"/>
      <c r="J116" s="25"/>
      <c r="K116" s="24"/>
      <c r="L116" s="25"/>
      <c r="M116" s="26"/>
      <c r="N116" s="24"/>
    </row>
    <row r="117" customFormat="false" ht="15" hidden="false" customHeight="false" outlineLevel="0" collapsed="false">
      <c r="A117" s="21"/>
      <c r="B117" s="22"/>
      <c r="C117" s="22"/>
      <c r="D117" s="23"/>
      <c r="E117" s="21"/>
      <c r="F117" s="24"/>
      <c r="G117" s="25"/>
      <c r="H117" s="25"/>
      <c r="I117" s="24"/>
      <c r="J117" s="25"/>
      <c r="K117" s="24"/>
      <c r="L117" s="25"/>
      <c r="M117" s="26"/>
      <c r="N117" s="24"/>
    </row>
    <row r="118" customFormat="false" ht="15" hidden="false" customHeight="false" outlineLevel="0" collapsed="false">
      <c r="A118" s="21"/>
      <c r="B118" s="22"/>
      <c r="C118" s="22"/>
      <c r="D118" s="23"/>
      <c r="E118" s="21"/>
      <c r="F118" s="24"/>
      <c r="G118" s="25"/>
      <c r="H118" s="25"/>
      <c r="I118" s="24"/>
      <c r="J118" s="25"/>
      <c r="K118" s="24"/>
      <c r="L118" s="25"/>
      <c r="M118" s="26"/>
      <c r="N118" s="24"/>
    </row>
    <row r="119" customFormat="false" ht="15" hidden="false" customHeight="false" outlineLevel="0" collapsed="false">
      <c r="A119" s="21"/>
      <c r="B119" s="22"/>
      <c r="C119" s="22"/>
      <c r="D119" s="23"/>
      <c r="E119" s="21"/>
      <c r="F119" s="24"/>
      <c r="G119" s="25"/>
      <c r="H119" s="25"/>
      <c r="I119" s="24"/>
      <c r="J119" s="25"/>
      <c r="K119" s="24"/>
      <c r="L119" s="25"/>
      <c r="M119" s="26"/>
      <c r="N119" s="24"/>
    </row>
    <row r="120" customFormat="false" ht="15" hidden="false" customHeight="false" outlineLevel="0" collapsed="false">
      <c r="A120" s="21"/>
      <c r="B120" s="22"/>
      <c r="C120" s="22"/>
      <c r="D120" s="23"/>
      <c r="E120" s="21"/>
      <c r="F120" s="24"/>
      <c r="G120" s="25"/>
      <c r="H120" s="25"/>
      <c r="I120" s="24"/>
      <c r="J120" s="25"/>
      <c r="K120" s="24"/>
      <c r="L120" s="25"/>
      <c r="M120" s="26"/>
      <c r="N120" s="24"/>
    </row>
    <row r="121" customFormat="false" ht="15" hidden="false" customHeight="false" outlineLevel="0" collapsed="false">
      <c r="A121" s="21"/>
      <c r="B121" s="22"/>
      <c r="C121" s="22"/>
      <c r="D121" s="23"/>
      <c r="E121" s="21"/>
      <c r="F121" s="24"/>
      <c r="G121" s="25"/>
      <c r="H121" s="25"/>
      <c r="I121" s="24"/>
      <c r="J121" s="25"/>
      <c r="K121" s="24"/>
      <c r="L121" s="25"/>
      <c r="M121" s="26"/>
      <c r="N121" s="24"/>
    </row>
    <row r="122" customFormat="false" ht="15" hidden="false" customHeight="false" outlineLevel="0" collapsed="false">
      <c r="A122" s="21"/>
      <c r="B122" s="22"/>
      <c r="C122" s="22"/>
      <c r="D122" s="23"/>
      <c r="E122" s="21"/>
      <c r="F122" s="24"/>
      <c r="G122" s="25"/>
      <c r="H122" s="25"/>
      <c r="I122" s="24"/>
      <c r="J122" s="25"/>
      <c r="K122" s="24"/>
      <c r="L122" s="25"/>
      <c r="M122" s="26"/>
      <c r="N122" s="24"/>
    </row>
    <row r="123" customFormat="false" ht="15" hidden="false" customHeight="false" outlineLevel="0" collapsed="false">
      <c r="A123" s="21"/>
      <c r="B123" s="22"/>
      <c r="C123" s="22"/>
      <c r="D123" s="23"/>
      <c r="E123" s="21"/>
      <c r="F123" s="24"/>
      <c r="G123" s="25"/>
      <c r="H123" s="25"/>
      <c r="I123" s="24"/>
      <c r="J123" s="25"/>
      <c r="K123" s="24"/>
      <c r="L123" s="25"/>
      <c r="M123" s="26"/>
      <c r="N123" s="24"/>
    </row>
    <row r="124" customFormat="false" ht="15" hidden="false" customHeight="false" outlineLevel="0" collapsed="false">
      <c r="A124" s="21"/>
      <c r="B124" s="22"/>
      <c r="C124" s="22"/>
      <c r="D124" s="23"/>
      <c r="E124" s="21"/>
      <c r="F124" s="24"/>
      <c r="G124" s="25"/>
      <c r="H124" s="25"/>
      <c r="I124" s="24"/>
      <c r="J124" s="25"/>
      <c r="K124" s="24"/>
      <c r="L124" s="25"/>
      <c r="M124" s="26"/>
      <c r="N124" s="24"/>
    </row>
    <row r="125" customFormat="false" ht="15" hidden="false" customHeight="false" outlineLevel="0" collapsed="false">
      <c r="A125" s="21"/>
      <c r="B125" s="22"/>
      <c r="C125" s="22"/>
      <c r="D125" s="23"/>
      <c r="E125" s="21"/>
      <c r="F125" s="24"/>
      <c r="G125" s="25"/>
      <c r="H125" s="25"/>
      <c r="I125" s="24"/>
      <c r="J125" s="25"/>
      <c r="K125" s="24"/>
      <c r="L125" s="25"/>
      <c r="M125" s="26"/>
      <c r="N125" s="24"/>
    </row>
    <row r="126" customFormat="false" ht="15" hidden="false" customHeight="false" outlineLevel="0" collapsed="false">
      <c r="A126" s="21"/>
      <c r="B126" s="22"/>
      <c r="C126" s="22"/>
      <c r="D126" s="23"/>
      <c r="E126" s="21"/>
      <c r="F126" s="24"/>
      <c r="G126" s="25"/>
      <c r="H126" s="25"/>
      <c r="I126" s="24"/>
      <c r="J126" s="25"/>
      <c r="K126" s="24"/>
      <c r="L126" s="25"/>
      <c r="M126" s="26"/>
      <c r="N126" s="24"/>
    </row>
    <row r="127" customFormat="false" ht="15" hidden="false" customHeight="false" outlineLevel="0" collapsed="false">
      <c r="A127" s="21"/>
      <c r="B127" s="22"/>
      <c r="C127" s="22"/>
      <c r="D127" s="23"/>
      <c r="E127" s="21"/>
      <c r="F127" s="24"/>
      <c r="G127" s="25"/>
      <c r="H127" s="25"/>
      <c r="I127" s="24"/>
      <c r="J127" s="25"/>
      <c r="K127" s="24"/>
      <c r="L127" s="25"/>
      <c r="M127" s="26"/>
      <c r="N127" s="24"/>
    </row>
    <row r="128" customFormat="false" ht="15" hidden="false" customHeight="false" outlineLevel="0" collapsed="false">
      <c r="A128" s="21"/>
      <c r="B128" s="22"/>
      <c r="C128" s="22"/>
      <c r="D128" s="23"/>
      <c r="E128" s="21"/>
      <c r="F128" s="24"/>
      <c r="G128" s="25"/>
      <c r="H128" s="25"/>
      <c r="I128" s="24"/>
      <c r="J128" s="25"/>
      <c r="K128" s="24"/>
      <c r="L128" s="25"/>
      <c r="M128" s="26"/>
      <c r="N128" s="24"/>
    </row>
    <row r="129" customFormat="false" ht="15" hidden="false" customHeight="false" outlineLevel="0" collapsed="false">
      <c r="A129" s="21"/>
      <c r="B129" s="22"/>
      <c r="C129" s="22"/>
      <c r="D129" s="23"/>
      <c r="E129" s="21"/>
      <c r="F129" s="24"/>
      <c r="G129" s="25"/>
      <c r="H129" s="25"/>
      <c r="I129" s="24"/>
      <c r="J129" s="25"/>
      <c r="K129" s="24"/>
      <c r="L129" s="25"/>
      <c r="M129" s="26"/>
      <c r="N129" s="24"/>
    </row>
    <row r="130" customFormat="false" ht="15" hidden="false" customHeight="false" outlineLevel="0" collapsed="false">
      <c r="A130" s="21"/>
      <c r="B130" s="22"/>
      <c r="C130" s="22"/>
      <c r="D130" s="23"/>
      <c r="E130" s="21"/>
      <c r="F130" s="24"/>
      <c r="G130" s="25"/>
      <c r="H130" s="25"/>
      <c r="I130" s="24"/>
      <c r="J130" s="25"/>
      <c r="K130" s="24"/>
      <c r="L130" s="25"/>
      <c r="M130" s="26"/>
      <c r="N130" s="24"/>
    </row>
    <row r="131" customFormat="false" ht="15" hidden="false" customHeight="false" outlineLevel="0" collapsed="false">
      <c r="A131" s="21"/>
      <c r="B131" s="22"/>
      <c r="C131" s="22"/>
      <c r="D131" s="23"/>
      <c r="E131" s="21"/>
      <c r="F131" s="24"/>
      <c r="G131" s="25"/>
      <c r="H131" s="25"/>
      <c r="I131" s="24"/>
      <c r="J131" s="25"/>
      <c r="K131" s="24"/>
      <c r="L131" s="25"/>
      <c r="M131" s="26"/>
      <c r="N131" s="24"/>
    </row>
    <row r="132" customFormat="false" ht="15" hidden="false" customHeight="false" outlineLevel="0" collapsed="false">
      <c r="A132" s="21"/>
      <c r="B132" s="22"/>
      <c r="C132" s="22"/>
      <c r="D132" s="23"/>
      <c r="E132" s="21"/>
      <c r="F132" s="24"/>
      <c r="G132" s="25"/>
      <c r="H132" s="25"/>
      <c r="I132" s="24"/>
      <c r="J132" s="25"/>
      <c r="K132" s="24"/>
      <c r="L132" s="25"/>
      <c r="M132" s="26"/>
      <c r="N132" s="24"/>
    </row>
    <row r="133" customFormat="false" ht="15" hidden="false" customHeight="false" outlineLevel="0" collapsed="false">
      <c r="A133" s="21"/>
      <c r="B133" s="22"/>
      <c r="C133" s="22"/>
      <c r="D133" s="23"/>
      <c r="E133" s="21"/>
      <c r="F133" s="24"/>
      <c r="G133" s="25"/>
      <c r="H133" s="25"/>
      <c r="I133" s="24"/>
      <c r="J133" s="25"/>
      <c r="K133" s="24"/>
      <c r="L133" s="25"/>
      <c r="M133" s="26"/>
      <c r="N133" s="24"/>
    </row>
    <row r="134" customFormat="false" ht="15" hidden="false" customHeight="false" outlineLevel="0" collapsed="false">
      <c r="A134" s="21"/>
      <c r="B134" s="22"/>
      <c r="C134" s="22"/>
      <c r="D134" s="23"/>
      <c r="E134" s="21"/>
      <c r="F134" s="24"/>
      <c r="G134" s="25"/>
      <c r="H134" s="25"/>
      <c r="I134" s="24"/>
      <c r="J134" s="25"/>
      <c r="K134" s="24"/>
      <c r="L134" s="25"/>
      <c r="M134" s="26"/>
      <c r="N134" s="24"/>
    </row>
    <row r="135" customFormat="false" ht="15" hidden="false" customHeight="false" outlineLevel="0" collapsed="false">
      <c r="A135" s="21"/>
      <c r="B135" s="22"/>
      <c r="C135" s="22"/>
      <c r="D135" s="23"/>
      <c r="E135" s="21"/>
      <c r="F135" s="24"/>
      <c r="G135" s="25"/>
      <c r="H135" s="25"/>
      <c r="I135" s="24"/>
      <c r="J135" s="25"/>
      <c r="K135" s="24"/>
      <c r="L135" s="25"/>
      <c r="M135" s="26"/>
      <c r="N135" s="24"/>
    </row>
    <row r="136" customFormat="false" ht="15" hidden="false" customHeight="false" outlineLevel="0" collapsed="false">
      <c r="A136" s="21"/>
      <c r="B136" s="22"/>
      <c r="C136" s="22"/>
      <c r="D136" s="23"/>
      <c r="E136" s="21"/>
      <c r="F136" s="24"/>
      <c r="G136" s="25"/>
      <c r="H136" s="25"/>
      <c r="I136" s="24"/>
      <c r="J136" s="25"/>
      <c r="K136" s="24"/>
      <c r="L136" s="25"/>
      <c r="M136" s="26"/>
      <c r="N136" s="24"/>
    </row>
    <row r="137" customFormat="false" ht="15" hidden="false" customHeight="false" outlineLevel="0" collapsed="false">
      <c r="A137" s="21"/>
      <c r="B137" s="22"/>
      <c r="C137" s="22"/>
      <c r="D137" s="23"/>
      <c r="E137" s="21"/>
      <c r="F137" s="24"/>
      <c r="G137" s="25"/>
      <c r="H137" s="25"/>
      <c r="I137" s="24"/>
      <c r="J137" s="25"/>
      <c r="K137" s="24"/>
      <c r="L137" s="25"/>
      <c r="M137" s="26"/>
      <c r="N137" s="24"/>
    </row>
    <row r="138" customFormat="false" ht="15" hidden="false" customHeight="false" outlineLevel="0" collapsed="false">
      <c r="A138" s="21"/>
      <c r="B138" s="22"/>
      <c r="C138" s="22"/>
      <c r="D138" s="23"/>
      <c r="E138" s="21"/>
      <c r="F138" s="24"/>
      <c r="G138" s="25"/>
      <c r="H138" s="25"/>
      <c r="I138" s="24"/>
      <c r="J138" s="25"/>
      <c r="K138" s="24"/>
      <c r="L138" s="25"/>
      <c r="M138" s="26"/>
      <c r="N138" s="24"/>
    </row>
    <row r="139" customFormat="false" ht="15" hidden="false" customHeight="false" outlineLevel="0" collapsed="false">
      <c r="A139" s="21"/>
      <c r="B139" s="22"/>
      <c r="C139" s="22"/>
      <c r="D139" s="23"/>
      <c r="E139" s="21"/>
      <c r="F139" s="24"/>
      <c r="G139" s="25"/>
      <c r="H139" s="25"/>
      <c r="I139" s="24"/>
      <c r="J139" s="25"/>
      <c r="K139" s="24"/>
      <c r="L139" s="25"/>
      <c r="M139" s="26"/>
      <c r="N139" s="24"/>
    </row>
    <row r="140" customFormat="false" ht="15" hidden="false" customHeight="false" outlineLevel="0" collapsed="false">
      <c r="A140" s="21"/>
      <c r="B140" s="22"/>
      <c r="C140" s="22"/>
      <c r="D140" s="23"/>
      <c r="E140" s="21"/>
      <c r="F140" s="24"/>
      <c r="G140" s="25"/>
      <c r="H140" s="25"/>
      <c r="I140" s="24"/>
      <c r="J140" s="25"/>
      <c r="K140" s="24"/>
      <c r="L140" s="25"/>
      <c r="M140" s="26"/>
      <c r="N140" s="24"/>
    </row>
    <row r="141" customFormat="false" ht="15" hidden="false" customHeight="false" outlineLevel="0" collapsed="false">
      <c r="A141" s="21"/>
      <c r="B141" s="22"/>
      <c r="C141" s="22"/>
      <c r="D141" s="23"/>
      <c r="E141" s="21"/>
      <c r="F141" s="24"/>
      <c r="G141" s="25"/>
      <c r="H141" s="25"/>
      <c r="I141" s="24"/>
      <c r="J141" s="25"/>
      <c r="K141" s="24"/>
      <c r="L141" s="25"/>
      <c r="M141" s="26"/>
      <c r="N141" s="24"/>
    </row>
    <row r="142" customFormat="false" ht="15" hidden="false" customHeight="false" outlineLevel="0" collapsed="false">
      <c r="A142" s="21"/>
      <c r="B142" s="22"/>
      <c r="C142" s="22"/>
      <c r="D142" s="23"/>
      <c r="E142" s="21"/>
      <c r="F142" s="24"/>
      <c r="G142" s="25"/>
      <c r="H142" s="25"/>
      <c r="I142" s="24"/>
      <c r="J142" s="25"/>
      <c r="K142" s="24"/>
      <c r="L142" s="25"/>
      <c r="M142" s="26"/>
      <c r="N142" s="24"/>
    </row>
    <row r="143" customFormat="false" ht="15" hidden="false" customHeight="false" outlineLevel="0" collapsed="false">
      <c r="A143" s="21"/>
      <c r="B143" s="22"/>
      <c r="C143" s="22"/>
      <c r="D143" s="23"/>
      <c r="E143" s="21"/>
      <c r="F143" s="24"/>
      <c r="G143" s="25"/>
      <c r="H143" s="25"/>
      <c r="I143" s="24"/>
      <c r="J143" s="25"/>
      <c r="K143" s="24"/>
      <c r="L143" s="25"/>
      <c r="M143" s="26"/>
      <c r="N143" s="24"/>
    </row>
    <row r="144" customFormat="false" ht="15" hidden="false" customHeight="false" outlineLevel="0" collapsed="false">
      <c r="A144" s="21"/>
      <c r="B144" s="22"/>
      <c r="C144" s="22"/>
      <c r="D144" s="23"/>
      <c r="E144" s="21"/>
      <c r="F144" s="24"/>
      <c r="G144" s="25"/>
      <c r="H144" s="25"/>
      <c r="I144" s="24"/>
      <c r="J144" s="25"/>
      <c r="K144" s="24"/>
      <c r="L144" s="25"/>
      <c r="M144" s="26"/>
      <c r="N144" s="24"/>
    </row>
    <row r="145" customFormat="false" ht="15" hidden="false" customHeight="false" outlineLevel="0" collapsed="false">
      <c r="A145" s="21"/>
      <c r="B145" s="22"/>
      <c r="C145" s="22"/>
      <c r="D145" s="23"/>
      <c r="E145" s="21"/>
      <c r="F145" s="24"/>
      <c r="G145" s="25"/>
      <c r="H145" s="25"/>
      <c r="I145" s="24"/>
      <c r="J145" s="25"/>
      <c r="K145" s="24"/>
      <c r="L145" s="25"/>
      <c r="M145" s="26"/>
      <c r="N145" s="24"/>
    </row>
    <row r="146" customFormat="false" ht="15" hidden="false" customHeight="false" outlineLevel="0" collapsed="false">
      <c r="A146" s="21"/>
      <c r="B146" s="22"/>
      <c r="C146" s="22"/>
      <c r="D146" s="23"/>
      <c r="E146" s="21"/>
      <c r="F146" s="24"/>
      <c r="G146" s="25"/>
      <c r="H146" s="25"/>
      <c r="I146" s="24"/>
      <c r="J146" s="25"/>
      <c r="K146" s="24"/>
      <c r="L146" s="25"/>
      <c r="M146" s="26"/>
      <c r="N146" s="24"/>
    </row>
    <row r="147" customFormat="false" ht="15" hidden="false" customHeight="false" outlineLevel="0" collapsed="false">
      <c r="A147" s="21"/>
      <c r="B147" s="22"/>
      <c r="C147" s="22"/>
      <c r="D147" s="23"/>
      <c r="E147" s="21"/>
      <c r="F147" s="24"/>
      <c r="G147" s="25"/>
      <c r="H147" s="25"/>
      <c r="I147" s="24"/>
      <c r="J147" s="25"/>
      <c r="K147" s="24"/>
      <c r="L147" s="25"/>
      <c r="M147" s="26"/>
      <c r="N147" s="24"/>
    </row>
    <row r="148" customFormat="false" ht="15" hidden="false" customHeight="false" outlineLevel="0" collapsed="false">
      <c r="A148" s="21"/>
      <c r="B148" s="22"/>
      <c r="C148" s="22"/>
      <c r="D148" s="23"/>
      <c r="E148" s="21"/>
      <c r="F148" s="24"/>
      <c r="G148" s="25"/>
      <c r="H148" s="25"/>
      <c r="I148" s="24"/>
      <c r="J148" s="25"/>
      <c r="K148" s="24"/>
      <c r="L148" s="25"/>
      <c r="M148" s="26"/>
      <c r="N148" s="24"/>
    </row>
    <row r="149" customFormat="false" ht="15" hidden="false" customHeight="false" outlineLevel="0" collapsed="false">
      <c r="A149" s="21"/>
      <c r="B149" s="22"/>
      <c r="C149" s="22"/>
      <c r="D149" s="23"/>
      <c r="E149" s="21"/>
      <c r="F149" s="24"/>
      <c r="G149" s="25"/>
      <c r="H149" s="25"/>
      <c r="I149" s="24"/>
      <c r="J149" s="25"/>
      <c r="K149" s="24"/>
      <c r="L149" s="25"/>
      <c r="M149" s="26"/>
      <c r="N149" s="24"/>
    </row>
    <row r="150" customFormat="false" ht="15" hidden="false" customHeight="false" outlineLevel="0" collapsed="false">
      <c r="A150" s="21"/>
      <c r="B150" s="22"/>
      <c r="C150" s="22"/>
      <c r="D150" s="23"/>
      <c r="E150" s="21"/>
      <c r="F150" s="24"/>
      <c r="G150" s="25"/>
      <c r="H150" s="25"/>
      <c r="I150" s="24"/>
      <c r="J150" s="25"/>
      <c r="K150" s="24"/>
      <c r="L150" s="25"/>
      <c r="M150" s="26"/>
      <c r="N150" s="24"/>
    </row>
    <row r="151" customFormat="false" ht="15" hidden="false" customHeight="false" outlineLevel="0" collapsed="false">
      <c r="A151" s="21"/>
      <c r="B151" s="22"/>
      <c r="C151" s="22"/>
      <c r="D151" s="23"/>
      <c r="E151" s="21"/>
      <c r="F151" s="24"/>
      <c r="G151" s="25"/>
      <c r="H151" s="25"/>
      <c r="I151" s="24"/>
      <c r="J151" s="25"/>
      <c r="K151" s="24"/>
      <c r="L151" s="25"/>
      <c r="M151" s="26"/>
      <c r="N151" s="24"/>
    </row>
    <row r="152" customFormat="false" ht="15" hidden="false" customHeight="false" outlineLevel="0" collapsed="false">
      <c r="A152" s="21"/>
      <c r="B152" s="22"/>
      <c r="C152" s="22"/>
      <c r="D152" s="23"/>
      <c r="E152" s="21"/>
      <c r="F152" s="24"/>
      <c r="G152" s="25"/>
      <c r="H152" s="25"/>
      <c r="I152" s="24"/>
      <c r="J152" s="25"/>
      <c r="K152" s="24"/>
      <c r="L152" s="25"/>
      <c r="M152" s="26"/>
      <c r="N152" s="24"/>
    </row>
    <row r="153" customFormat="false" ht="15" hidden="false" customHeight="false" outlineLevel="0" collapsed="false">
      <c r="A153" s="21"/>
      <c r="B153" s="22"/>
      <c r="C153" s="22"/>
      <c r="D153" s="23"/>
      <c r="E153" s="21"/>
      <c r="F153" s="24"/>
      <c r="G153" s="25"/>
      <c r="H153" s="25"/>
      <c r="I153" s="24"/>
      <c r="J153" s="25"/>
      <c r="K153" s="24"/>
      <c r="L153" s="25"/>
      <c r="M153" s="26"/>
      <c r="N153" s="24"/>
    </row>
    <row r="154" customFormat="false" ht="15" hidden="false" customHeight="false" outlineLevel="0" collapsed="false">
      <c r="A154" s="21"/>
      <c r="B154" s="22"/>
      <c r="C154" s="22"/>
      <c r="D154" s="23"/>
      <c r="E154" s="21"/>
      <c r="F154" s="24"/>
      <c r="G154" s="25"/>
      <c r="H154" s="25"/>
      <c r="I154" s="24"/>
      <c r="J154" s="25"/>
      <c r="K154" s="24"/>
      <c r="L154" s="25"/>
      <c r="M154" s="26"/>
      <c r="N154" s="24"/>
    </row>
    <row r="155" customFormat="false" ht="15" hidden="false" customHeight="false" outlineLevel="0" collapsed="false">
      <c r="A155" s="21"/>
      <c r="B155" s="22"/>
      <c r="C155" s="22"/>
      <c r="D155" s="23"/>
      <c r="E155" s="21"/>
      <c r="F155" s="24"/>
      <c r="G155" s="25"/>
      <c r="H155" s="25"/>
      <c r="I155" s="24"/>
      <c r="J155" s="25"/>
      <c r="K155" s="24"/>
      <c r="L155" s="25"/>
      <c r="M155" s="26"/>
      <c r="N155" s="24"/>
    </row>
    <row r="156" customFormat="false" ht="15" hidden="false" customHeight="false" outlineLevel="0" collapsed="false">
      <c r="A156" s="21"/>
      <c r="B156" s="22"/>
      <c r="C156" s="22"/>
      <c r="D156" s="23"/>
      <c r="E156" s="21"/>
      <c r="F156" s="24"/>
      <c r="G156" s="25"/>
      <c r="H156" s="25"/>
      <c r="I156" s="24"/>
      <c r="J156" s="25"/>
      <c r="K156" s="24"/>
      <c r="L156" s="25"/>
      <c r="M156" s="26"/>
      <c r="N156" s="24"/>
    </row>
    <row r="157" customFormat="false" ht="15" hidden="false" customHeight="false" outlineLevel="0" collapsed="false">
      <c r="A157" s="21"/>
      <c r="B157" s="22"/>
      <c r="C157" s="22"/>
      <c r="D157" s="23"/>
      <c r="E157" s="21"/>
      <c r="F157" s="24"/>
      <c r="G157" s="25"/>
      <c r="H157" s="25"/>
      <c r="I157" s="24"/>
      <c r="J157" s="25"/>
      <c r="K157" s="24"/>
      <c r="L157" s="25"/>
      <c r="M157" s="26"/>
      <c r="N157" s="24"/>
    </row>
    <row r="158" customFormat="false" ht="15" hidden="false" customHeight="false" outlineLevel="0" collapsed="false">
      <c r="A158" s="21"/>
      <c r="B158" s="22"/>
      <c r="C158" s="22"/>
      <c r="D158" s="23"/>
      <c r="E158" s="21"/>
      <c r="F158" s="24"/>
      <c r="G158" s="25"/>
      <c r="H158" s="25"/>
      <c r="I158" s="24"/>
      <c r="J158" s="25"/>
      <c r="K158" s="24"/>
      <c r="L158" s="25"/>
      <c r="M158" s="26"/>
      <c r="N158" s="24"/>
    </row>
    <row r="159" customFormat="false" ht="15" hidden="false" customHeight="false" outlineLevel="0" collapsed="false">
      <c r="A159" s="21"/>
      <c r="B159" s="22"/>
      <c r="C159" s="22"/>
      <c r="D159" s="23"/>
      <c r="E159" s="21"/>
      <c r="F159" s="24"/>
      <c r="G159" s="25"/>
      <c r="H159" s="25"/>
      <c r="I159" s="24"/>
      <c r="J159" s="25"/>
      <c r="K159" s="24"/>
      <c r="L159" s="25"/>
      <c r="M159" s="26"/>
      <c r="N159" s="24"/>
    </row>
    <row r="160" customFormat="false" ht="15" hidden="false" customHeight="false" outlineLevel="0" collapsed="false">
      <c r="A160" s="21"/>
      <c r="B160" s="22"/>
      <c r="C160" s="22"/>
      <c r="D160" s="23"/>
      <c r="E160" s="21"/>
      <c r="F160" s="24"/>
      <c r="G160" s="25"/>
      <c r="H160" s="25"/>
      <c r="I160" s="24"/>
      <c r="J160" s="25"/>
      <c r="K160" s="24"/>
      <c r="L160" s="25"/>
      <c r="M160" s="26"/>
      <c r="N160" s="24"/>
    </row>
    <row r="161" customFormat="false" ht="15" hidden="false" customHeight="false" outlineLevel="0" collapsed="false">
      <c r="A161" s="21"/>
      <c r="B161" s="22"/>
      <c r="C161" s="22"/>
      <c r="D161" s="23"/>
      <c r="E161" s="21"/>
      <c r="F161" s="24"/>
      <c r="G161" s="25"/>
      <c r="H161" s="25"/>
      <c r="I161" s="24"/>
      <c r="J161" s="25"/>
      <c r="K161" s="24"/>
      <c r="L161" s="25"/>
      <c r="M161" s="26"/>
      <c r="N161" s="24"/>
    </row>
    <row r="162" customFormat="false" ht="15" hidden="false" customHeight="false" outlineLevel="0" collapsed="false">
      <c r="A162" s="21"/>
      <c r="B162" s="22"/>
      <c r="C162" s="22"/>
      <c r="D162" s="23"/>
      <c r="E162" s="21"/>
      <c r="F162" s="24"/>
      <c r="G162" s="25"/>
      <c r="H162" s="25"/>
      <c r="I162" s="24"/>
      <c r="J162" s="25"/>
      <c r="K162" s="24"/>
      <c r="L162" s="25"/>
      <c r="M162" s="26"/>
      <c r="N162" s="24"/>
    </row>
    <row r="163" customFormat="false" ht="15" hidden="false" customHeight="false" outlineLevel="0" collapsed="false">
      <c r="A163" s="21"/>
      <c r="B163" s="22"/>
      <c r="C163" s="22"/>
      <c r="D163" s="23"/>
      <c r="E163" s="21"/>
      <c r="F163" s="24"/>
      <c r="G163" s="25"/>
      <c r="H163" s="25"/>
      <c r="I163" s="24"/>
      <c r="J163" s="25"/>
      <c r="K163" s="24"/>
      <c r="L163" s="25"/>
      <c r="M163" s="26"/>
      <c r="N163" s="24"/>
    </row>
    <row r="164" customFormat="false" ht="15" hidden="false" customHeight="false" outlineLevel="0" collapsed="false">
      <c r="A164" s="21"/>
      <c r="B164" s="22"/>
      <c r="C164" s="22"/>
      <c r="D164" s="23"/>
      <c r="E164" s="21"/>
      <c r="F164" s="24"/>
      <c r="G164" s="25"/>
      <c r="H164" s="25"/>
      <c r="I164" s="24"/>
      <c r="J164" s="25"/>
      <c r="K164" s="24"/>
      <c r="L164" s="25"/>
      <c r="M164" s="26"/>
      <c r="N164" s="24"/>
    </row>
    <row r="165" customFormat="false" ht="15" hidden="false" customHeight="false" outlineLevel="0" collapsed="false">
      <c r="A165" s="21"/>
      <c r="B165" s="22"/>
      <c r="C165" s="22"/>
      <c r="D165" s="23"/>
      <c r="E165" s="21"/>
      <c r="F165" s="24"/>
      <c r="G165" s="25"/>
      <c r="H165" s="25"/>
      <c r="I165" s="24"/>
      <c r="J165" s="25"/>
      <c r="K165" s="24"/>
      <c r="L165" s="25"/>
      <c r="M165" s="26"/>
      <c r="N165" s="24"/>
    </row>
    <row r="166" customFormat="false" ht="15" hidden="false" customHeight="false" outlineLevel="0" collapsed="false">
      <c r="A166" s="21"/>
      <c r="B166" s="22"/>
      <c r="C166" s="22"/>
      <c r="D166" s="23"/>
      <c r="E166" s="21"/>
      <c r="F166" s="24"/>
      <c r="G166" s="25"/>
      <c r="H166" s="25"/>
      <c r="I166" s="24"/>
      <c r="J166" s="25"/>
      <c r="K166" s="24"/>
      <c r="L166" s="25"/>
      <c r="M166" s="26"/>
      <c r="N166" s="24"/>
    </row>
    <row r="167" customFormat="false" ht="15" hidden="false" customHeight="false" outlineLevel="0" collapsed="false">
      <c r="A167" s="21"/>
      <c r="B167" s="22"/>
      <c r="C167" s="22"/>
      <c r="D167" s="23"/>
      <c r="E167" s="21"/>
      <c r="F167" s="24"/>
      <c r="G167" s="25"/>
      <c r="H167" s="25"/>
      <c r="I167" s="24"/>
      <c r="J167" s="25"/>
      <c r="K167" s="24"/>
      <c r="L167" s="25"/>
      <c r="M167" s="26"/>
      <c r="N167" s="24"/>
    </row>
    <row r="168" customFormat="false" ht="15" hidden="false" customHeight="false" outlineLevel="0" collapsed="false">
      <c r="A168" s="21"/>
      <c r="B168" s="22"/>
      <c r="C168" s="22"/>
      <c r="D168" s="23"/>
      <c r="E168" s="21"/>
      <c r="F168" s="24"/>
      <c r="G168" s="25"/>
      <c r="H168" s="25"/>
      <c r="I168" s="24"/>
      <c r="J168" s="25"/>
      <c r="K168" s="24"/>
      <c r="L168" s="25"/>
      <c r="M168" s="26"/>
      <c r="N168" s="24"/>
    </row>
    <row r="169" customFormat="false" ht="15" hidden="false" customHeight="false" outlineLevel="0" collapsed="false">
      <c r="A169" s="21"/>
      <c r="B169" s="22"/>
      <c r="C169" s="22"/>
      <c r="D169" s="23"/>
      <c r="E169" s="21"/>
      <c r="F169" s="24"/>
      <c r="G169" s="25"/>
      <c r="H169" s="25"/>
      <c r="I169" s="24"/>
      <c r="J169" s="25"/>
      <c r="K169" s="24"/>
      <c r="L169" s="25"/>
      <c r="M169" s="26"/>
      <c r="N169" s="24"/>
    </row>
    <row r="170" customFormat="false" ht="15" hidden="false" customHeight="false" outlineLevel="0" collapsed="false">
      <c r="A170" s="21"/>
      <c r="B170" s="22"/>
      <c r="C170" s="22"/>
      <c r="D170" s="23"/>
      <c r="E170" s="21"/>
      <c r="F170" s="24"/>
      <c r="G170" s="25"/>
      <c r="H170" s="25"/>
      <c r="I170" s="24"/>
      <c r="J170" s="25"/>
      <c r="K170" s="24"/>
      <c r="L170" s="25"/>
      <c r="M170" s="26"/>
      <c r="N170" s="24"/>
    </row>
    <row r="171" customFormat="false" ht="15" hidden="false" customHeight="false" outlineLevel="0" collapsed="false">
      <c r="A171" s="21"/>
      <c r="B171" s="22"/>
      <c r="C171" s="22"/>
      <c r="D171" s="23"/>
      <c r="E171" s="21"/>
      <c r="F171" s="24"/>
      <c r="G171" s="25"/>
      <c r="H171" s="25"/>
      <c r="I171" s="24"/>
      <c r="J171" s="25"/>
      <c r="K171" s="24"/>
      <c r="L171" s="25"/>
      <c r="M171" s="26"/>
      <c r="N171" s="24"/>
    </row>
    <row r="172" customFormat="false" ht="15" hidden="false" customHeight="false" outlineLevel="0" collapsed="false">
      <c r="A172" s="21"/>
      <c r="B172" s="22"/>
      <c r="C172" s="22"/>
      <c r="D172" s="23"/>
      <c r="E172" s="21"/>
      <c r="F172" s="24"/>
      <c r="G172" s="25"/>
      <c r="H172" s="25"/>
      <c r="I172" s="24"/>
      <c r="J172" s="25"/>
      <c r="K172" s="24"/>
      <c r="L172" s="25"/>
      <c r="M172" s="26"/>
      <c r="N172" s="24"/>
    </row>
    <row r="173" customFormat="false" ht="15" hidden="false" customHeight="false" outlineLevel="0" collapsed="false">
      <c r="A173" s="21"/>
      <c r="B173" s="22"/>
      <c r="C173" s="22"/>
      <c r="D173" s="23"/>
      <c r="E173" s="21"/>
      <c r="F173" s="24"/>
      <c r="G173" s="25"/>
      <c r="H173" s="25"/>
      <c r="I173" s="24"/>
      <c r="J173" s="25"/>
      <c r="K173" s="24"/>
      <c r="L173" s="25"/>
      <c r="M173" s="26"/>
      <c r="N173" s="24"/>
    </row>
    <row r="174" customFormat="false" ht="15" hidden="false" customHeight="false" outlineLevel="0" collapsed="false">
      <c r="A174" s="21"/>
      <c r="B174" s="22"/>
      <c r="C174" s="22"/>
      <c r="D174" s="23"/>
      <c r="E174" s="21"/>
      <c r="F174" s="24"/>
      <c r="G174" s="25"/>
      <c r="H174" s="25"/>
      <c r="I174" s="24"/>
      <c r="J174" s="25"/>
      <c r="K174" s="24"/>
      <c r="L174" s="25"/>
      <c r="M174" s="26"/>
      <c r="N174" s="24"/>
    </row>
    <row r="175" customFormat="false" ht="15" hidden="false" customHeight="false" outlineLevel="0" collapsed="false">
      <c r="A175" s="21"/>
      <c r="B175" s="22"/>
      <c r="C175" s="22"/>
      <c r="D175" s="23"/>
      <c r="E175" s="21"/>
      <c r="F175" s="24"/>
      <c r="G175" s="25"/>
      <c r="H175" s="25"/>
      <c r="I175" s="24"/>
      <c r="J175" s="25"/>
      <c r="K175" s="24"/>
      <c r="L175" s="25"/>
      <c r="M175" s="26"/>
      <c r="N175" s="24"/>
    </row>
    <row r="176" customFormat="false" ht="15" hidden="false" customHeight="false" outlineLevel="0" collapsed="false">
      <c r="A176" s="21"/>
      <c r="B176" s="22"/>
      <c r="C176" s="22"/>
      <c r="D176" s="23"/>
      <c r="E176" s="21"/>
      <c r="F176" s="24"/>
      <c r="G176" s="25"/>
      <c r="H176" s="25"/>
      <c r="I176" s="24"/>
      <c r="J176" s="25"/>
      <c r="K176" s="24"/>
      <c r="L176" s="25"/>
      <c r="M176" s="26"/>
      <c r="N176" s="24"/>
    </row>
    <row r="177" customFormat="false" ht="15" hidden="false" customHeight="false" outlineLevel="0" collapsed="false">
      <c r="A177" s="21"/>
      <c r="B177" s="22"/>
      <c r="C177" s="22"/>
      <c r="D177" s="23"/>
      <c r="E177" s="21"/>
      <c r="F177" s="24"/>
      <c r="G177" s="25"/>
      <c r="H177" s="25"/>
      <c r="I177" s="24"/>
      <c r="J177" s="25"/>
      <c r="K177" s="24"/>
      <c r="L177" s="25"/>
      <c r="M177" s="26"/>
      <c r="N177" s="24"/>
    </row>
    <row r="178" customFormat="false" ht="15" hidden="false" customHeight="false" outlineLevel="0" collapsed="false">
      <c r="A178" s="21"/>
      <c r="B178" s="22"/>
      <c r="C178" s="22"/>
      <c r="D178" s="23"/>
      <c r="E178" s="21"/>
      <c r="F178" s="24"/>
      <c r="G178" s="25"/>
      <c r="H178" s="25"/>
      <c r="I178" s="24"/>
      <c r="J178" s="25"/>
      <c r="K178" s="24"/>
      <c r="L178" s="25"/>
      <c r="M178" s="26"/>
      <c r="N178" s="24"/>
    </row>
    <row r="179" customFormat="false" ht="15" hidden="false" customHeight="false" outlineLevel="0" collapsed="false">
      <c r="A179" s="21"/>
      <c r="B179" s="22"/>
      <c r="C179" s="22"/>
      <c r="D179" s="23"/>
      <c r="E179" s="21"/>
      <c r="F179" s="24"/>
      <c r="G179" s="25"/>
      <c r="H179" s="25"/>
      <c r="I179" s="24"/>
      <c r="J179" s="25"/>
      <c r="K179" s="24"/>
      <c r="L179" s="25"/>
      <c r="M179" s="26"/>
      <c r="N179" s="24"/>
    </row>
    <row r="180" customFormat="false" ht="15" hidden="false" customHeight="false" outlineLevel="0" collapsed="false">
      <c r="A180" s="21"/>
      <c r="B180" s="22"/>
      <c r="C180" s="22"/>
      <c r="D180" s="23"/>
      <c r="E180" s="21"/>
      <c r="F180" s="24"/>
      <c r="G180" s="25"/>
      <c r="H180" s="25"/>
      <c r="I180" s="24"/>
      <c r="J180" s="25"/>
      <c r="K180" s="24"/>
      <c r="L180" s="25"/>
      <c r="M180" s="26"/>
      <c r="N180" s="24"/>
    </row>
    <row r="181" customFormat="false" ht="15" hidden="false" customHeight="false" outlineLevel="0" collapsed="false">
      <c r="A181" s="21"/>
      <c r="B181" s="22"/>
      <c r="C181" s="22"/>
      <c r="D181" s="23"/>
      <c r="E181" s="21"/>
      <c r="F181" s="24"/>
      <c r="G181" s="25"/>
      <c r="H181" s="25"/>
      <c r="I181" s="24"/>
      <c r="J181" s="25"/>
      <c r="K181" s="24"/>
      <c r="L181" s="25"/>
      <c r="M181" s="26"/>
      <c r="N181" s="24"/>
    </row>
    <row r="182" customFormat="false" ht="15" hidden="false" customHeight="false" outlineLevel="0" collapsed="false">
      <c r="A182" s="21"/>
      <c r="B182" s="22"/>
      <c r="C182" s="22"/>
      <c r="D182" s="23"/>
      <c r="E182" s="21"/>
      <c r="F182" s="24"/>
      <c r="G182" s="25"/>
      <c r="H182" s="25"/>
      <c r="I182" s="24"/>
      <c r="J182" s="25"/>
      <c r="K182" s="24"/>
      <c r="L182" s="25"/>
      <c r="M182" s="26"/>
      <c r="N182" s="24"/>
    </row>
    <row r="183" customFormat="false" ht="15" hidden="false" customHeight="false" outlineLevel="0" collapsed="false">
      <c r="A183" s="21"/>
      <c r="B183" s="22"/>
      <c r="C183" s="22"/>
      <c r="D183" s="23"/>
      <c r="E183" s="21"/>
      <c r="F183" s="24"/>
      <c r="G183" s="25"/>
      <c r="H183" s="25"/>
      <c r="I183" s="24"/>
      <c r="J183" s="25"/>
      <c r="K183" s="24"/>
      <c r="L183" s="25"/>
      <c r="M183" s="26"/>
      <c r="N183" s="24"/>
    </row>
    <row r="184" customFormat="false" ht="15" hidden="false" customHeight="false" outlineLevel="0" collapsed="false">
      <c r="A184" s="21"/>
      <c r="B184" s="22"/>
      <c r="C184" s="22"/>
      <c r="D184" s="23"/>
      <c r="E184" s="21"/>
      <c r="F184" s="24"/>
      <c r="G184" s="25"/>
      <c r="H184" s="25"/>
      <c r="I184" s="24"/>
      <c r="J184" s="25"/>
      <c r="K184" s="24"/>
      <c r="L184" s="25"/>
      <c r="M184" s="26"/>
      <c r="N184" s="24"/>
    </row>
    <row r="185" customFormat="false" ht="15" hidden="false" customHeight="false" outlineLevel="0" collapsed="false">
      <c r="A185" s="21"/>
      <c r="B185" s="22"/>
      <c r="C185" s="22"/>
      <c r="D185" s="23"/>
      <c r="E185" s="21"/>
      <c r="F185" s="24"/>
      <c r="G185" s="25"/>
      <c r="H185" s="25"/>
      <c r="I185" s="24"/>
      <c r="J185" s="25"/>
      <c r="K185" s="24"/>
      <c r="L185" s="25"/>
      <c r="M185" s="26"/>
      <c r="N185" s="24"/>
    </row>
    <row r="186" customFormat="false" ht="15" hidden="false" customHeight="false" outlineLevel="0" collapsed="false">
      <c r="A186" s="21"/>
      <c r="B186" s="22"/>
      <c r="C186" s="22"/>
      <c r="D186" s="23"/>
      <c r="E186" s="21"/>
      <c r="F186" s="24"/>
      <c r="G186" s="25"/>
      <c r="H186" s="25"/>
      <c r="I186" s="24"/>
      <c r="J186" s="25"/>
      <c r="K186" s="24"/>
      <c r="L186" s="25"/>
      <c r="M186" s="26"/>
      <c r="N186" s="24"/>
    </row>
    <row r="187" customFormat="false" ht="15" hidden="false" customHeight="false" outlineLevel="0" collapsed="false">
      <c r="A187" s="21"/>
      <c r="B187" s="22"/>
      <c r="C187" s="22"/>
      <c r="D187" s="23"/>
      <c r="E187" s="21"/>
      <c r="F187" s="24"/>
      <c r="G187" s="25"/>
      <c r="H187" s="25"/>
      <c r="I187" s="24"/>
      <c r="J187" s="25"/>
      <c r="K187" s="24"/>
      <c r="L187" s="25"/>
      <c r="M187" s="26"/>
      <c r="N187" s="24"/>
    </row>
    <row r="188" customFormat="false" ht="15" hidden="false" customHeight="false" outlineLevel="0" collapsed="false">
      <c r="A188" s="21"/>
      <c r="B188" s="22"/>
      <c r="C188" s="22"/>
      <c r="D188" s="23"/>
      <c r="E188" s="21"/>
      <c r="F188" s="24"/>
      <c r="G188" s="25"/>
      <c r="H188" s="25"/>
      <c r="I188" s="24"/>
      <c r="J188" s="25"/>
      <c r="K188" s="24"/>
      <c r="L188" s="25"/>
      <c r="M188" s="26"/>
      <c r="N188" s="24"/>
    </row>
    <row r="189" customFormat="false" ht="15" hidden="false" customHeight="false" outlineLevel="0" collapsed="false">
      <c r="A189" s="21"/>
      <c r="B189" s="22"/>
      <c r="C189" s="22"/>
      <c r="D189" s="23"/>
      <c r="E189" s="21"/>
      <c r="F189" s="24"/>
      <c r="G189" s="25"/>
      <c r="H189" s="25"/>
      <c r="I189" s="24"/>
      <c r="J189" s="25"/>
      <c r="K189" s="24"/>
      <c r="L189" s="25"/>
      <c r="M189" s="26"/>
      <c r="N189" s="24"/>
    </row>
    <row r="190" customFormat="false" ht="15" hidden="false" customHeight="false" outlineLevel="0" collapsed="false">
      <c r="A190" s="21"/>
      <c r="B190" s="22"/>
      <c r="C190" s="22"/>
      <c r="D190" s="23"/>
      <c r="E190" s="21"/>
      <c r="F190" s="24"/>
      <c r="G190" s="25"/>
      <c r="H190" s="25"/>
      <c r="I190" s="24"/>
      <c r="J190" s="25"/>
      <c r="K190" s="24"/>
      <c r="L190" s="25"/>
      <c r="M190" s="26"/>
      <c r="N190" s="24"/>
    </row>
    <row r="191" customFormat="false" ht="15" hidden="false" customHeight="false" outlineLevel="0" collapsed="false">
      <c r="A191" s="21"/>
      <c r="B191" s="22"/>
      <c r="C191" s="22"/>
      <c r="D191" s="23"/>
      <c r="E191" s="21"/>
      <c r="F191" s="24"/>
      <c r="G191" s="25"/>
      <c r="H191" s="25"/>
      <c r="I191" s="24"/>
      <c r="J191" s="25"/>
      <c r="K191" s="24"/>
      <c r="L191" s="25"/>
      <c r="M191" s="26"/>
      <c r="N191" s="24"/>
    </row>
    <row r="192" customFormat="false" ht="15" hidden="false" customHeight="false" outlineLevel="0" collapsed="false">
      <c r="A192" s="21"/>
      <c r="B192" s="22"/>
      <c r="C192" s="22"/>
      <c r="D192" s="23"/>
      <c r="E192" s="21"/>
      <c r="F192" s="24"/>
      <c r="G192" s="25"/>
      <c r="H192" s="25"/>
      <c r="I192" s="24"/>
      <c r="J192" s="25"/>
      <c r="K192" s="24"/>
      <c r="L192" s="25"/>
      <c r="M192" s="26"/>
      <c r="N192" s="24"/>
    </row>
    <row r="193" customFormat="false" ht="15" hidden="false" customHeight="false" outlineLevel="0" collapsed="false">
      <c r="A193" s="21"/>
      <c r="B193" s="22"/>
      <c r="C193" s="22"/>
      <c r="D193" s="23"/>
      <c r="E193" s="21"/>
      <c r="F193" s="24"/>
      <c r="G193" s="25"/>
      <c r="H193" s="25"/>
      <c r="I193" s="24"/>
      <c r="J193" s="25"/>
      <c r="K193" s="24"/>
      <c r="L193" s="25"/>
      <c r="M193" s="26"/>
      <c r="N193" s="24"/>
    </row>
    <row r="194" customFormat="false" ht="15" hidden="false" customHeight="false" outlineLevel="0" collapsed="false">
      <c r="A194" s="21"/>
      <c r="B194" s="22"/>
      <c r="C194" s="22"/>
      <c r="D194" s="23"/>
      <c r="E194" s="21"/>
      <c r="F194" s="24"/>
      <c r="G194" s="25"/>
      <c r="H194" s="25"/>
      <c r="I194" s="24"/>
      <c r="J194" s="25"/>
      <c r="K194" s="24"/>
      <c r="L194" s="25"/>
      <c r="M194" s="26"/>
      <c r="N194" s="24"/>
    </row>
    <row r="195" customFormat="false" ht="15" hidden="false" customHeight="false" outlineLevel="0" collapsed="false">
      <c r="A195" s="21"/>
      <c r="B195" s="22"/>
      <c r="C195" s="22"/>
      <c r="D195" s="23"/>
      <c r="E195" s="21"/>
      <c r="F195" s="24"/>
      <c r="G195" s="25"/>
      <c r="H195" s="25"/>
      <c r="I195" s="24"/>
      <c r="J195" s="25"/>
      <c r="K195" s="24"/>
      <c r="L195" s="25"/>
      <c r="M195" s="26"/>
      <c r="N195" s="24"/>
    </row>
    <row r="196" customFormat="false" ht="15" hidden="false" customHeight="false" outlineLevel="0" collapsed="false">
      <c r="A196" s="21"/>
      <c r="B196" s="22"/>
      <c r="C196" s="22"/>
      <c r="D196" s="23"/>
      <c r="E196" s="21"/>
      <c r="F196" s="24"/>
      <c r="G196" s="25"/>
      <c r="H196" s="25"/>
      <c r="I196" s="24"/>
      <c r="J196" s="25"/>
      <c r="K196" s="24"/>
      <c r="L196" s="25"/>
      <c r="M196" s="26"/>
      <c r="N196" s="24"/>
    </row>
    <row r="197" customFormat="false" ht="15" hidden="false" customHeight="false" outlineLevel="0" collapsed="false">
      <c r="A197" s="21"/>
      <c r="B197" s="22"/>
      <c r="C197" s="22"/>
      <c r="D197" s="23"/>
      <c r="E197" s="21"/>
      <c r="F197" s="24"/>
      <c r="G197" s="25"/>
      <c r="H197" s="25"/>
      <c r="I197" s="24"/>
      <c r="J197" s="25"/>
      <c r="K197" s="24"/>
      <c r="L197" s="25"/>
      <c r="M197" s="26"/>
      <c r="N197" s="24"/>
    </row>
    <row r="198" customFormat="false" ht="15" hidden="false" customHeight="false" outlineLevel="0" collapsed="false">
      <c r="A198" s="21"/>
      <c r="B198" s="22"/>
      <c r="C198" s="22"/>
      <c r="D198" s="23"/>
      <c r="E198" s="21"/>
      <c r="F198" s="24"/>
      <c r="G198" s="25"/>
      <c r="H198" s="25"/>
      <c r="I198" s="24"/>
      <c r="J198" s="25"/>
      <c r="K198" s="24"/>
      <c r="L198" s="25"/>
      <c r="M198" s="26"/>
      <c r="N198" s="24"/>
    </row>
    <row r="199" customFormat="false" ht="15" hidden="false" customHeight="false" outlineLevel="0" collapsed="false">
      <c r="A199" s="21"/>
      <c r="B199" s="22"/>
      <c r="C199" s="22"/>
      <c r="D199" s="23"/>
      <c r="E199" s="21"/>
      <c r="F199" s="24"/>
      <c r="G199" s="25"/>
      <c r="H199" s="25"/>
      <c r="I199" s="24"/>
      <c r="J199" s="25"/>
      <c r="K199" s="24"/>
      <c r="L199" s="25"/>
      <c r="M199" s="26"/>
      <c r="N199" s="24"/>
    </row>
    <row r="200" customFormat="false" ht="15" hidden="false" customHeight="false" outlineLevel="0" collapsed="false">
      <c r="A200" s="21"/>
      <c r="B200" s="22"/>
      <c r="C200" s="22"/>
      <c r="D200" s="23"/>
      <c r="E200" s="21"/>
      <c r="F200" s="24"/>
      <c r="G200" s="25"/>
      <c r="H200" s="25"/>
      <c r="I200" s="24"/>
      <c r="J200" s="25"/>
      <c r="K200" s="24"/>
      <c r="L200" s="25"/>
      <c r="M200" s="26"/>
      <c r="N200" s="24"/>
    </row>
    <row r="201" customFormat="false" ht="15" hidden="false" customHeight="false" outlineLevel="0" collapsed="false">
      <c r="A201" s="21"/>
      <c r="B201" s="22"/>
      <c r="C201" s="22"/>
      <c r="D201" s="23"/>
      <c r="E201" s="21"/>
      <c r="F201" s="24"/>
      <c r="G201" s="25"/>
      <c r="H201" s="25"/>
      <c r="I201" s="24"/>
      <c r="J201" s="25"/>
      <c r="K201" s="24"/>
      <c r="L201" s="25"/>
      <c r="M201" s="26"/>
      <c r="N201" s="24"/>
    </row>
    <row r="202" customFormat="false" ht="15" hidden="false" customHeight="false" outlineLevel="0" collapsed="false">
      <c r="A202" s="21"/>
      <c r="B202" s="22"/>
      <c r="C202" s="22"/>
      <c r="D202" s="23"/>
      <c r="E202" s="21"/>
      <c r="F202" s="24"/>
      <c r="G202" s="25"/>
      <c r="H202" s="25"/>
      <c r="I202" s="24"/>
      <c r="J202" s="25"/>
      <c r="K202" s="24"/>
      <c r="L202" s="25"/>
      <c r="M202" s="26"/>
      <c r="N202" s="24"/>
    </row>
    <row r="203" customFormat="false" ht="15" hidden="false" customHeight="false" outlineLevel="0" collapsed="false">
      <c r="A203" s="21"/>
      <c r="B203" s="22"/>
      <c r="C203" s="22"/>
      <c r="D203" s="23"/>
      <c r="E203" s="21"/>
      <c r="F203" s="24"/>
      <c r="G203" s="25"/>
      <c r="H203" s="25"/>
      <c r="I203" s="24"/>
      <c r="J203" s="25"/>
      <c r="K203" s="24"/>
      <c r="L203" s="25"/>
      <c r="M203" s="26"/>
      <c r="N203" s="24"/>
    </row>
    <row r="204" customFormat="false" ht="15" hidden="false" customHeight="false" outlineLevel="0" collapsed="false">
      <c r="A204" s="21"/>
      <c r="B204" s="22"/>
      <c r="C204" s="22"/>
      <c r="D204" s="23"/>
      <c r="E204" s="21"/>
      <c r="F204" s="24"/>
      <c r="G204" s="25"/>
      <c r="H204" s="25"/>
      <c r="I204" s="24"/>
      <c r="J204" s="25"/>
      <c r="K204" s="24"/>
      <c r="L204" s="25"/>
      <c r="M204" s="26"/>
      <c r="N204" s="24"/>
    </row>
    <row r="205" customFormat="false" ht="15" hidden="false" customHeight="false" outlineLevel="0" collapsed="false">
      <c r="A205" s="21"/>
      <c r="B205" s="22"/>
      <c r="C205" s="22"/>
      <c r="D205" s="23"/>
      <c r="E205" s="21"/>
      <c r="F205" s="24"/>
      <c r="G205" s="25"/>
      <c r="H205" s="25"/>
      <c r="I205" s="24"/>
      <c r="J205" s="25"/>
      <c r="K205" s="24"/>
      <c r="L205" s="25"/>
      <c r="M205" s="26"/>
      <c r="N205" s="24"/>
    </row>
    <row r="206" customFormat="false" ht="15" hidden="false" customHeight="false" outlineLevel="0" collapsed="false">
      <c r="A206" s="21"/>
      <c r="B206" s="22"/>
      <c r="C206" s="22"/>
      <c r="D206" s="23"/>
      <c r="E206" s="21"/>
      <c r="F206" s="24"/>
      <c r="G206" s="25"/>
      <c r="H206" s="25"/>
      <c r="I206" s="24"/>
      <c r="J206" s="25"/>
      <c r="K206" s="24"/>
      <c r="L206" s="25"/>
      <c r="M206" s="26"/>
      <c r="N206" s="24"/>
    </row>
    <row r="207" customFormat="false" ht="15" hidden="false" customHeight="false" outlineLevel="0" collapsed="false">
      <c r="A207" s="21"/>
      <c r="B207" s="22"/>
      <c r="C207" s="22"/>
      <c r="D207" s="23"/>
      <c r="E207" s="21"/>
      <c r="F207" s="24"/>
      <c r="G207" s="25"/>
      <c r="H207" s="25"/>
      <c r="I207" s="24"/>
      <c r="J207" s="25"/>
      <c r="K207" s="24"/>
      <c r="L207" s="25"/>
      <c r="M207" s="26"/>
      <c r="N207" s="24"/>
    </row>
    <row r="208" customFormat="false" ht="15" hidden="false" customHeight="false" outlineLevel="0" collapsed="false">
      <c r="A208" s="21"/>
      <c r="B208" s="22"/>
      <c r="C208" s="22"/>
      <c r="D208" s="23"/>
      <c r="E208" s="21"/>
      <c r="F208" s="24"/>
      <c r="G208" s="25"/>
      <c r="H208" s="25"/>
      <c r="I208" s="24"/>
      <c r="J208" s="25"/>
      <c r="K208" s="24"/>
      <c r="L208" s="25"/>
      <c r="M208" s="26"/>
      <c r="N208" s="24"/>
    </row>
    <row r="209" customFormat="false" ht="15" hidden="false" customHeight="false" outlineLevel="0" collapsed="false">
      <c r="A209" s="21"/>
      <c r="B209" s="22"/>
      <c r="C209" s="22"/>
      <c r="D209" s="23"/>
      <c r="E209" s="21"/>
      <c r="F209" s="24"/>
      <c r="G209" s="25"/>
      <c r="H209" s="25"/>
      <c r="I209" s="24"/>
      <c r="J209" s="25"/>
      <c r="K209" s="24"/>
      <c r="L209" s="25"/>
      <c r="M209" s="26"/>
      <c r="N209" s="24"/>
    </row>
    <row r="210" customFormat="false" ht="15" hidden="false" customHeight="false" outlineLevel="0" collapsed="false">
      <c r="A210" s="21"/>
      <c r="B210" s="22"/>
      <c r="C210" s="22"/>
      <c r="D210" s="23"/>
      <c r="E210" s="21"/>
      <c r="F210" s="24"/>
      <c r="G210" s="25"/>
      <c r="H210" s="25"/>
      <c r="I210" s="24"/>
      <c r="J210" s="25"/>
      <c r="K210" s="24"/>
      <c r="L210" s="25"/>
      <c r="M210" s="26"/>
      <c r="N210" s="24"/>
    </row>
    <row r="211" customFormat="false" ht="15" hidden="false" customHeight="false" outlineLevel="0" collapsed="false">
      <c r="A211" s="21"/>
      <c r="B211" s="22"/>
      <c r="C211" s="22"/>
      <c r="D211" s="23"/>
      <c r="E211" s="21"/>
      <c r="F211" s="24"/>
      <c r="G211" s="25"/>
      <c r="H211" s="25"/>
      <c r="I211" s="24"/>
      <c r="J211" s="25"/>
      <c r="K211" s="24"/>
      <c r="L211" s="25"/>
      <c r="M211" s="26"/>
      <c r="N211" s="24"/>
    </row>
    <row r="212" customFormat="false" ht="15" hidden="false" customHeight="false" outlineLevel="0" collapsed="false">
      <c r="A212" s="21"/>
      <c r="B212" s="22"/>
      <c r="C212" s="22"/>
      <c r="D212" s="23"/>
      <c r="E212" s="21"/>
      <c r="F212" s="24"/>
      <c r="G212" s="25"/>
      <c r="H212" s="25"/>
      <c r="I212" s="24"/>
      <c r="J212" s="25"/>
      <c r="K212" s="24"/>
      <c r="L212" s="25"/>
      <c r="M212" s="26"/>
      <c r="N212" s="24"/>
    </row>
    <row r="213" customFormat="false" ht="15" hidden="false" customHeight="false" outlineLevel="0" collapsed="false">
      <c r="A213" s="21"/>
      <c r="B213" s="22"/>
      <c r="C213" s="22"/>
      <c r="D213" s="23"/>
      <c r="E213" s="21"/>
      <c r="F213" s="24"/>
      <c r="G213" s="25"/>
      <c r="H213" s="25"/>
      <c r="I213" s="24"/>
      <c r="J213" s="25"/>
      <c r="K213" s="24"/>
      <c r="L213" s="25"/>
      <c r="M213" s="26"/>
      <c r="N213" s="24"/>
    </row>
    <row r="214" customFormat="false" ht="15" hidden="false" customHeight="false" outlineLevel="0" collapsed="false">
      <c r="A214" s="21"/>
      <c r="B214" s="22"/>
      <c r="C214" s="22"/>
      <c r="D214" s="23"/>
      <c r="E214" s="21"/>
      <c r="F214" s="24"/>
      <c r="G214" s="25"/>
      <c r="H214" s="25"/>
      <c r="I214" s="24"/>
      <c r="J214" s="25"/>
      <c r="K214" s="24"/>
      <c r="L214" s="25"/>
      <c r="M214" s="26"/>
      <c r="N214" s="24"/>
    </row>
    <row r="215" customFormat="false" ht="15" hidden="false" customHeight="false" outlineLevel="0" collapsed="false">
      <c r="A215" s="21"/>
      <c r="B215" s="22"/>
      <c r="C215" s="22"/>
      <c r="D215" s="23"/>
      <c r="E215" s="21"/>
      <c r="F215" s="24"/>
      <c r="G215" s="25"/>
      <c r="H215" s="25"/>
      <c r="I215" s="24"/>
      <c r="J215" s="25"/>
      <c r="K215" s="24"/>
      <c r="L215" s="25"/>
      <c r="M215" s="26"/>
      <c r="N215" s="24"/>
    </row>
    <row r="216" customFormat="false" ht="15" hidden="false" customHeight="false" outlineLevel="0" collapsed="false">
      <c r="A216" s="21"/>
      <c r="B216" s="22"/>
      <c r="C216" s="22"/>
      <c r="D216" s="23"/>
      <c r="E216" s="21"/>
      <c r="F216" s="24"/>
      <c r="G216" s="25"/>
      <c r="H216" s="25"/>
      <c r="I216" s="24"/>
      <c r="J216" s="25"/>
      <c r="K216" s="24"/>
      <c r="L216" s="25"/>
      <c r="M216" s="26"/>
      <c r="N216" s="24"/>
    </row>
    <row r="217" customFormat="false" ht="15" hidden="false" customHeight="false" outlineLevel="0" collapsed="false">
      <c r="A217" s="21"/>
      <c r="B217" s="22"/>
      <c r="C217" s="22"/>
      <c r="D217" s="23"/>
      <c r="E217" s="21"/>
      <c r="F217" s="24"/>
      <c r="G217" s="25"/>
      <c r="H217" s="25"/>
      <c r="I217" s="24"/>
      <c r="J217" s="25"/>
      <c r="K217" s="24"/>
      <c r="L217" s="25"/>
      <c r="M217" s="26"/>
      <c r="N217" s="24"/>
    </row>
    <row r="218" customFormat="false" ht="15" hidden="false" customHeight="false" outlineLevel="0" collapsed="false">
      <c r="A218" s="21"/>
      <c r="B218" s="22"/>
      <c r="C218" s="22"/>
      <c r="D218" s="23"/>
      <c r="E218" s="21"/>
      <c r="F218" s="24"/>
      <c r="G218" s="25"/>
      <c r="H218" s="25"/>
      <c r="I218" s="24"/>
      <c r="J218" s="25"/>
      <c r="K218" s="24"/>
      <c r="L218" s="25"/>
      <c r="M218" s="26"/>
      <c r="N218" s="24"/>
    </row>
    <row r="219" customFormat="false" ht="15" hidden="false" customHeight="false" outlineLevel="0" collapsed="false">
      <c r="A219" s="21"/>
      <c r="B219" s="22"/>
      <c r="C219" s="22"/>
      <c r="D219" s="23"/>
      <c r="E219" s="21"/>
      <c r="F219" s="24"/>
      <c r="G219" s="25"/>
      <c r="H219" s="25"/>
      <c r="I219" s="24"/>
      <c r="J219" s="25"/>
      <c r="K219" s="24"/>
      <c r="L219" s="25"/>
      <c r="M219" s="26"/>
      <c r="N219" s="24"/>
    </row>
    <row r="220" customFormat="false" ht="15" hidden="false" customHeight="false" outlineLevel="0" collapsed="false">
      <c r="A220" s="21"/>
      <c r="B220" s="22"/>
      <c r="C220" s="22"/>
      <c r="D220" s="23"/>
      <c r="E220" s="21"/>
      <c r="F220" s="24"/>
      <c r="G220" s="25"/>
      <c r="H220" s="25"/>
      <c r="I220" s="24"/>
      <c r="J220" s="25"/>
      <c r="K220" s="24"/>
      <c r="L220" s="25"/>
      <c r="M220" s="26"/>
      <c r="N220" s="24"/>
    </row>
    <row r="221" customFormat="false" ht="15" hidden="false" customHeight="false" outlineLevel="0" collapsed="false">
      <c r="A221" s="21"/>
      <c r="B221" s="22"/>
      <c r="C221" s="22"/>
      <c r="D221" s="23"/>
      <c r="E221" s="21"/>
      <c r="F221" s="24"/>
      <c r="G221" s="25"/>
      <c r="H221" s="25"/>
      <c r="I221" s="24"/>
      <c r="J221" s="25"/>
      <c r="K221" s="24"/>
      <c r="L221" s="25"/>
      <c r="M221" s="26"/>
      <c r="N221" s="24"/>
    </row>
    <row r="222" customFormat="false" ht="15" hidden="false" customHeight="false" outlineLevel="0" collapsed="false">
      <c r="A222" s="21"/>
      <c r="B222" s="22"/>
      <c r="C222" s="22"/>
      <c r="D222" s="23"/>
      <c r="E222" s="21"/>
      <c r="F222" s="24"/>
      <c r="G222" s="25"/>
      <c r="H222" s="25"/>
      <c r="I222" s="24"/>
      <c r="J222" s="25"/>
      <c r="K222" s="24"/>
      <c r="L222" s="25"/>
      <c r="M222" s="26"/>
      <c r="N222" s="24"/>
    </row>
    <row r="223" customFormat="false" ht="15" hidden="false" customHeight="false" outlineLevel="0" collapsed="false">
      <c r="A223" s="21"/>
      <c r="B223" s="22"/>
      <c r="C223" s="22"/>
      <c r="D223" s="23"/>
      <c r="E223" s="21"/>
      <c r="F223" s="24"/>
      <c r="G223" s="25"/>
      <c r="H223" s="25"/>
      <c r="I223" s="24"/>
      <c r="J223" s="25"/>
      <c r="K223" s="24"/>
      <c r="L223" s="25"/>
      <c r="M223" s="26"/>
      <c r="N223" s="24"/>
    </row>
    <row r="224" customFormat="false" ht="15" hidden="false" customHeight="false" outlineLevel="0" collapsed="false">
      <c r="A224" s="21"/>
      <c r="B224" s="22"/>
      <c r="C224" s="22"/>
      <c r="D224" s="23"/>
      <c r="E224" s="21"/>
      <c r="F224" s="24"/>
      <c r="G224" s="25"/>
      <c r="H224" s="25"/>
      <c r="I224" s="24"/>
      <c r="J224" s="25"/>
      <c r="K224" s="24"/>
      <c r="L224" s="25"/>
      <c r="M224" s="26"/>
      <c r="N224" s="24"/>
    </row>
    <row r="225" customFormat="false" ht="15" hidden="false" customHeight="false" outlineLevel="0" collapsed="false">
      <c r="A225" s="21"/>
      <c r="B225" s="22"/>
      <c r="C225" s="22"/>
      <c r="D225" s="23"/>
      <c r="E225" s="21"/>
      <c r="F225" s="24"/>
      <c r="G225" s="25"/>
      <c r="H225" s="25"/>
      <c r="I225" s="24"/>
      <c r="J225" s="25"/>
      <c r="K225" s="24"/>
      <c r="L225" s="25"/>
      <c r="M225" s="26"/>
      <c r="N225" s="24"/>
    </row>
    <row r="226" customFormat="false" ht="15" hidden="false" customHeight="false" outlineLevel="0" collapsed="false">
      <c r="A226" s="21"/>
      <c r="B226" s="22"/>
      <c r="C226" s="22"/>
      <c r="D226" s="23"/>
      <c r="E226" s="21"/>
      <c r="F226" s="24"/>
      <c r="G226" s="25"/>
      <c r="H226" s="25"/>
      <c r="I226" s="24"/>
      <c r="J226" s="25"/>
      <c r="K226" s="24"/>
      <c r="L226" s="25"/>
      <c r="M226" s="26"/>
      <c r="N226" s="24"/>
    </row>
    <row r="227" customFormat="false" ht="15" hidden="false" customHeight="false" outlineLevel="0" collapsed="false">
      <c r="A227" s="21"/>
      <c r="B227" s="22"/>
      <c r="C227" s="22"/>
      <c r="D227" s="23"/>
      <c r="E227" s="21"/>
      <c r="F227" s="24"/>
      <c r="G227" s="25"/>
      <c r="H227" s="25"/>
      <c r="I227" s="24"/>
      <c r="J227" s="25"/>
      <c r="K227" s="24"/>
      <c r="L227" s="25"/>
      <c r="M227" s="26"/>
      <c r="N227" s="24"/>
    </row>
    <row r="228" customFormat="false" ht="15" hidden="false" customHeight="false" outlineLevel="0" collapsed="false">
      <c r="A228" s="21"/>
      <c r="B228" s="22"/>
      <c r="C228" s="22"/>
      <c r="D228" s="23"/>
      <c r="E228" s="21"/>
      <c r="F228" s="24"/>
      <c r="G228" s="25"/>
      <c r="H228" s="25"/>
      <c r="I228" s="24"/>
      <c r="J228" s="25"/>
      <c r="K228" s="24"/>
      <c r="L228" s="25"/>
      <c r="M228" s="26"/>
      <c r="N228" s="24"/>
    </row>
    <row r="229" customFormat="false" ht="15" hidden="false" customHeight="false" outlineLevel="0" collapsed="false">
      <c r="A229" s="21"/>
      <c r="B229" s="22"/>
      <c r="C229" s="22"/>
      <c r="D229" s="23"/>
      <c r="E229" s="21"/>
      <c r="F229" s="24"/>
      <c r="G229" s="25"/>
      <c r="H229" s="25"/>
      <c r="I229" s="24"/>
      <c r="J229" s="25"/>
      <c r="K229" s="24"/>
      <c r="L229" s="25"/>
      <c r="M229" s="26"/>
      <c r="N229" s="24"/>
    </row>
    <row r="230" customFormat="false" ht="15" hidden="false" customHeight="false" outlineLevel="0" collapsed="false">
      <c r="A230" s="21"/>
      <c r="B230" s="22"/>
      <c r="C230" s="22"/>
      <c r="D230" s="23"/>
      <c r="E230" s="21"/>
      <c r="F230" s="24"/>
      <c r="G230" s="25"/>
      <c r="H230" s="25"/>
      <c r="I230" s="24"/>
      <c r="J230" s="25"/>
      <c r="K230" s="24"/>
      <c r="L230" s="25"/>
      <c r="M230" s="26"/>
      <c r="N230" s="24"/>
    </row>
    <row r="231" customFormat="false" ht="15" hidden="false" customHeight="false" outlineLevel="0" collapsed="false">
      <c r="A231" s="21"/>
      <c r="B231" s="22"/>
      <c r="C231" s="22"/>
      <c r="D231" s="23"/>
      <c r="E231" s="21"/>
      <c r="F231" s="24"/>
      <c r="G231" s="25"/>
      <c r="H231" s="25"/>
      <c r="I231" s="24"/>
      <c r="J231" s="25"/>
      <c r="K231" s="24"/>
      <c r="L231" s="25"/>
      <c r="M231" s="26"/>
      <c r="N231" s="24"/>
    </row>
    <row r="232" customFormat="false" ht="15" hidden="false" customHeight="false" outlineLevel="0" collapsed="false">
      <c r="A232" s="21"/>
      <c r="B232" s="22"/>
      <c r="C232" s="22"/>
      <c r="D232" s="23"/>
      <c r="E232" s="21"/>
      <c r="F232" s="24"/>
      <c r="G232" s="25"/>
      <c r="H232" s="25"/>
      <c r="I232" s="24"/>
      <c r="J232" s="25"/>
      <c r="K232" s="24"/>
      <c r="L232" s="25"/>
      <c r="M232" s="26"/>
      <c r="N232" s="24"/>
    </row>
    <row r="233" customFormat="false" ht="15" hidden="false" customHeight="false" outlineLevel="0" collapsed="false">
      <c r="A233" s="21"/>
      <c r="B233" s="22"/>
      <c r="C233" s="22"/>
      <c r="D233" s="23"/>
      <c r="E233" s="21"/>
      <c r="F233" s="24"/>
      <c r="G233" s="25"/>
      <c r="H233" s="25"/>
      <c r="I233" s="24"/>
      <c r="J233" s="25"/>
      <c r="K233" s="24"/>
      <c r="L233" s="25"/>
      <c r="M233" s="26"/>
      <c r="N233" s="24"/>
    </row>
    <row r="234" customFormat="false" ht="15" hidden="false" customHeight="false" outlineLevel="0" collapsed="false">
      <c r="A234" s="21"/>
      <c r="B234" s="22"/>
      <c r="C234" s="22"/>
      <c r="D234" s="23"/>
      <c r="E234" s="21"/>
      <c r="F234" s="24"/>
      <c r="G234" s="25"/>
      <c r="H234" s="25"/>
      <c r="I234" s="24"/>
      <c r="J234" s="25"/>
      <c r="K234" s="24"/>
      <c r="L234" s="25"/>
      <c r="M234" s="26"/>
      <c r="N234" s="24"/>
    </row>
    <row r="235" customFormat="false" ht="15" hidden="false" customHeight="false" outlineLevel="0" collapsed="false">
      <c r="A235" s="21"/>
      <c r="B235" s="22"/>
      <c r="C235" s="22"/>
      <c r="D235" s="23"/>
      <c r="E235" s="21"/>
      <c r="F235" s="24"/>
      <c r="G235" s="25"/>
      <c r="H235" s="25"/>
      <c r="I235" s="24"/>
      <c r="J235" s="25"/>
      <c r="K235" s="24"/>
      <c r="L235" s="25"/>
      <c r="M235" s="26"/>
      <c r="N235" s="24"/>
    </row>
    <row r="236" customFormat="false" ht="15" hidden="false" customHeight="false" outlineLevel="0" collapsed="false">
      <c r="A236" s="21"/>
      <c r="B236" s="22"/>
      <c r="C236" s="22"/>
      <c r="D236" s="23"/>
      <c r="E236" s="21"/>
      <c r="F236" s="24"/>
      <c r="G236" s="25"/>
      <c r="H236" s="25"/>
      <c r="I236" s="24"/>
      <c r="J236" s="25"/>
      <c r="K236" s="24"/>
      <c r="L236" s="25"/>
      <c r="M236" s="26"/>
      <c r="N236" s="24"/>
    </row>
    <row r="237" customFormat="false" ht="15" hidden="false" customHeight="false" outlineLevel="0" collapsed="false">
      <c r="A237" s="21"/>
      <c r="B237" s="22"/>
      <c r="C237" s="22"/>
      <c r="D237" s="23"/>
      <c r="E237" s="21"/>
      <c r="F237" s="24"/>
      <c r="G237" s="25"/>
      <c r="H237" s="25"/>
      <c r="I237" s="24"/>
      <c r="J237" s="25"/>
      <c r="K237" s="24"/>
      <c r="L237" s="25"/>
      <c r="M237" s="26"/>
      <c r="N237" s="24"/>
    </row>
    <row r="238" customFormat="false" ht="15" hidden="false" customHeight="false" outlineLevel="0" collapsed="false">
      <c r="A238" s="21"/>
      <c r="B238" s="22"/>
      <c r="C238" s="22"/>
      <c r="D238" s="23"/>
      <c r="E238" s="21"/>
      <c r="F238" s="24"/>
      <c r="G238" s="25"/>
      <c r="H238" s="25"/>
      <c r="I238" s="24"/>
      <c r="J238" s="25"/>
      <c r="K238" s="24"/>
      <c r="L238" s="25"/>
      <c r="M238" s="26"/>
      <c r="N238" s="24"/>
    </row>
    <row r="239" customFormat="false" ht="15" hidden="false" customHeight="false" outlineLevel="0" collapsed="false">
      <c r="A239" s="21"/>
      <c r="B239" s="22"/>
      <c r="C239" s="22"/>
      <c r="D239" s="23"/>
      <c r="E239" s="21"/>
      <c r="F239" s="24"/>
      <c r="G239" s="25"/>
      <c r="H239" s="25"/>
      <c r="I239" s="24"/>
      <c r="J239" s="25"/>
      <c r="K239" s="24"/>
      <c r="L239" s="25"/>
      <c r="M239" s="26"/>
      <c r="N239" s="24"/>
    </row>
    <row r="240" customFormat="false" ht="15" hidden="false" customHeight="false" outlineLevel="0" collapsed="false">
      <c r="A240" s="21"/>
      <c r="B240" s="22"/>
      <c r="C240" s="22"/>
      <c r="D240" s="23"/>
      <c r="E240" s="21"/>
      <c r="F240" s="24"/>
      <c r="G240" s="25"/>
      <c r="H240" s="25"/>
      <c r="I240" s="24"/>
      <c r="J240" s="25"/>
      <c r="K240" s="24"/>
      <c r="L240" s="25"/>
      <c r="M240" s="26"/>
      <c r="N240" s="24"/>
    </row>
    <row r="241" customFormat="false" ht="15" hidden="false" customHeight="false" outlineLevel="0" collapsed="false">
      <c r="A241" s="21"/>
      <c r="B241" s="22"/>
      <c r="C241" s="22"/>
      <c r="D241" s="23"/>
      <c r="E241" s="21"/>
      <c r="F241" s="24"/>
      <c r="G241" s="25"/>
      <c r="H241" s="25"/>
      <c r="I241" s="24"/>
      <c r="J241" s="25"/>
      <c r="K241" s="24"/>
      <c r="L241" s="25"/>
      <c r="M241" s="26"/>
      <c r="N241" s="24"/>
    </row>
    <row r="242" customFormat="false" ht="15" hidden="false" customHeight="false" outlineLevel="0" collapsed="false">
      <c r="A242" s="21"/>
      <c r="B242" s="22"/>
      <c r="C242" s="22"/>
      <c r="D242" s="23"/>
      <c r="E242" s="21"/>
      <c r="F242" s="24"/>
      <c r="G242" s="25"/>
      <c r="H242" s="25"/>
      <c r="I242" s="24"/>
      <c r="J242" s="25"/>
      <c r="K242" s="24"/>
      <c r="L242" s="25"/>
      <c r="M242" s="26"/>
      <c r="N242" s="24"/>
    </row>
    <row r="243" customFormat="false" ht="15" hidden="false" customHeight="false" outlineLevel="0" collapsed="false">
      <c r="A243" s="21"/>
      <c r="B243" s="22"/>
      <c r="C243" s="22"/>
      <c r="D243" s="23"/>
      <c r="E243" s="21"/>
      <c r="F243" s="24"/>
      <c r="G243" s="25"/>
      <c r="H243" s="25"/>
      <c r="I243" s="24"/>
      <c r="J243" s="25"/>
      <c r="K243" s="24"/>
      <c r="L243" s="25"/>
      <c r="M243" s="26"/>
      <c r="N243" s="24"/>
    </row>
    <row r="244" customFormat="false" ht="15" hidden="false" customHeight="false" outlineLevel="0" collapsed="false">
      <c r="A244" s="21"/>
      <c r="B244" s="22"/>
      <c r="C244" s="22"/>
      <c r="D244" s="23"/>
      <c r="E244" s="21"/>
      <c r="F244" s="24"/>
      <c r="G244" s="25"/>
      <c r="H244" s="25"/>
      <c r="I244" s="24"/>
      <c r="J244" s="25"/>
      <c r="K244" s="24"/>
      <c r="L244" s="25"/>
      <c r="M244" s="26"/>
      <c r="N244" s="24"/>
    </row>
    <row r="245" customFormat="false" ht="15" hidden="false" customHeight="false" outlineLevel="0" collapsed="false">
      <c r="A245" s="21"/>
      <c r="B245" s="22"/>
      <c r="C245" s="22"/>
      <c r="D245" s="23"/>
      <c r="E245" s="21"/>
      <c r="F245" s="24"/>
      <c r="G245" s="25"/>
      <c r="H245" s="25"/>
      <c r="I245" s="24"/>
      <c r="J245" s="25"/>
      <c r="K245" s="24"/>
      <c r="L245" s="25"/>
      <c r="M245" s="26"/>
      <c r="N245" s="24"/>
    </row>
    <row r="246" customFormat="false" ht="15" hidden="false" customHeight="false" outlineLevel="0" collapsed="false">
      <c r="A246" s="21"/>
      <c r="B246" s="22"/>
      <c r="C246" s="22"/>
      <c r="D246" s="23"/>
      <c r="E246" s="21"/>
      <c r="F246" s="24"/>
      <c r="G246" s="25"/>
      <c r="H246" s="25"/>
      <c r="I246" s="24"/>
      <c r="J246" s="25"/>
      <c r="K246" s="24"/>
      <c r="L246" s="25"/>
      <c r="M246" s="26"/>
      <c r="N246" s="24"/>
    </row>
    <row r="247" customFormat="false" ht="15" hidden="false" customHeight="false" outlineLevel="0" collapsed="false">
      <c r="A247" s="21"/>
      <c r="B247" s="22"/>
      <c r="C247" s="22"/>
      <c r="D247" s="23"/>
      <c r="E247" s="21"/>
      <c r="F247" s="24"/>
      <c r="G247" s="25"/>
      <c r="H247" s="25"/>
      <c r="I247" s="24"/>
      <c r="J247" s="25"/>
      <c r="K247" s="24"/>
      <c r="L247" s="25"/>
      <c r="M247" s="26"/>
      <c r="N247" s="24"/>
    </row>
    <row r="248" customFormat="false" ht="15" hidden="false" customHeight="false" outlineLevel="0" collapsed="false">
      <c r="A248" s="21"/>
      <c r="B248" s="22"/>
      <c r="C248" s="22"/>
      <c r="D248" s="23"/>
      <c r="E248" s="21"/>
      <c r="F248" s="24"/>
      <c r="G248" s="25"/>
      <c r="H248" s="25"/>
      <c r="I248" s="24"/>
      <c r="J248" s="25"/>
      <c r="K248" s="24"/>
      <c r="L248" s="25"/>
      <c r="M248" s="26"/>
      <c r="N248" s="24"/>
    </row>
    <row r="249" customFormat="false" ht="15" hidden="false" customHeight="false" outlineLevel="0" collapsed="false">
      <c r="A249" s="21"/>
      <c r="B249" s="22"/>
      <c r="C249" s="22"/>
      <c r="D249" s="23"/>
      <c r="E249" s="21"/>
      <c r="F249" s="24"/>
      <c r="G249" s="25"/>
      <c r="H249" s="25"/>
      <c r="I249" s="24"/>
      <c r="J249" s="25"/>
      <c r="K249" s="24"/>
      <c r="L249" s="25"/>
      <c r="M249" s="26"/>
      <c r="N249" s="24"/>
    </row>
    <row r="250" customFormat="false" ht="15" hidden="false" customHeight="false" outlineLevel="0" collapsed="false">
      <c r="A250" s="21"/>
      <c r="B250" s="22"/>
      <c r="C250" s="22"/>
      <c r="D250" s="23"/>
      <c r="E250" s="21"/>
      <c r="F250" s="24"/>
      <c r="G250" s="25"/>
      <c r="H250" s="25"/>
      <c r="I250" s="24"/>
      <c r="J250" s="25"/>
      <c r="K250" s="24"/>
      <c r="L250" s="25"/>
      <c r="M250" s="26"/>
      <c r="N250" s="24"/>
    </row>
    <row r="251" customFormat="false" ht="15" hidden="false" customHeight="false" outlineLevel="0" collapsed="false">
      <c r="A251" s="21"/>
      <c r="B251" s="22"/>
      <c r="C251" s="22"/>
      <c r="D251" s="23"/>
      <c r="E251" s="21"/>
      <c r="F251" s="24"/>
      <c r="G251" s="25"/>
      <c r="H251" s="25"/>
      <c r="I251" s="24"/>
      <c r="J251" s="25"/>
      <c r="K251" s="24"/>
      <c r="L251" s="25"/>
      <c r="M251" s="26"/>
      <c r="N251" s="24"/>
    </row>
    <row r="252" customFormat="false" ht="15" hidden="false" customHeight="false" outlineLevel="0" collapsed="false">
      <c r="A252" s="21"/>
      <c r="B252" s="22"/>
      <c r="C252" s="22"/>
      <c r="D252" s="23"/>
      <c r="E252" s="21"/>
      <c r="F252" s="24"/>
      <c r="G252" s="25"/>
      <c r="H252" s="25"/>
      <c r="I252" s="24"/>
      <c r="J252" s="25"/>
      <c r="K252" s="24"/>
      <c r="L252" s="25"/>
      <c r="M252" s="26"/>
      <c r="N252" s="24"/>
    </row>
    <row r="253" customFormat="false" ht="15" hidden="false" customHeight="false" outlineLevel="0" collapsed="false">
      <c r="A253" s="21"/>
      <c r="B253" s="22"/>
      <c r="C253" s="22"/>
      <c r="D253" s="23"/>
      <c r="E253" s="21"/>
      <c r="F253" s="24"/>
      <c r="G253" s="25"/>
      <c r="H253" s="25"/>
      <c r="I253" s="24"/>
      <c r="J253" s="25"/>
      <c r="K253" s="24"/>
      <c r="L253" s="25"/>
      <c r="M253" s="26"/>
      <c r="N253" s="24"/>
    </row>
    <row r="254" customFormat="false" ht="15" hidden="false" customHeight="false" outlineLevel="0" collapsed="false">
      <c r="A254" s="21"/>
      <c r="B254" s="22"/>
      <c r="C254" s="22"/>
      <c r="D254" s="23"/>
      <c r="E254" s="21"/>
      <c r="F254" s="24"/>
      <c r="G254" s="25"/>
      <c r="H254" s="25"/>
      <c r="I254" s="24"/>
      <c r="J254" s="25"/>
      <c r="K254" s="24"/>
      <c r="L254" s="25"/>
      <c r="M254" s="26"/>
      <c r="N254" s="24"/>
    </row>
    <row r="255" customFormat="false" ht="15" hidden="false" customHeight="false" outlineLevel="0" collapsed="false">
      <c r="A255" s="21"/>
      <c r="B255" s="22"/>
      <c r="C255" s="22"/>
      <c r="D255" s="23"/>
      <c r="E255" s="21"/>
      <c r="F255" s="24"/>
      <c r="G255" s="25"/>
      <c r="H255" s="25"/>
      <c r="I255" s="24"/>
      <c r="J255" s="25"/>
      <c r="K255" s="24"/>
      <c r="L255" s="25"/>
      <c r="M255" s="26"/>
      <c r="N255" s="24"/>
    </row>
    <row r="256" customFormat="false" ht="15" hidden="false" customHeight="false" outlineLevel="0" collapsed="false">
      <c r="A256" s="21"/>
      <c r="B256" s="22"/>
      <c r="C256" s="22"/>
      <c r="D256" s="23"/>
      <c r="E256" s="21"/>
      <c r="F256" s="24"/>
      <c r="G256" s="25"/>
      <c r="H256" s="25"/>
      <c r="I256" s="24"/>
      <c r="J256" s="25"/>
      <c r="K256" s="24"/>
      <c r="L256" s="25"/>
      <c r="M256" s="26"/>
      <c r="N256" s="24"/>
    </row>
    <row r="257" customFormat="false" ht="15" hidden="false" customHeight="false" outlineLevel="0" collapsed="false">
      <c r="A257" s="21"/>
      <c r="B257" s="22"/>
      <c r="C257" s="22"/>
      <c r="D257" s="23"/>
      <c r="E257" s="21"/>
      <c r="F257" s="24"/>
      <c r="G257" s="25"/>
      <c r="H257" s="25"/>
      <c r="I257" s="24"/>
      <c r="J257" s="25"/>
      <c r="K257" s="24"/>
      <c r="L257" s="25"/>
      <c r="M257" s="26"/>
      <c r="N257" s="24"/>
    </row>
    <row r="258" customFormat="false" ht="15" hidden="false" customHeight="false" outlineLevel="0" collapsed="false">
      <c r="A258" s="21"/>
      <c r="B258" s="22"/>
      <c r="C258" s="22"/>
      <c r="D258" s="23"/>
      <c r="E258" s="21"/>
      <c r="F258" s="24"/>
      <c r="G258" s="25"/>
      <c r="H258" s="25"/>
      <c r="I258" s="24"/>
      <c r="J258" s="25"/>
      <c r="K258" s="24"/>
      <c r="L258" s="25"/>
      <c r="M258" s="26"/>
      <c r="N258" s="24"/>
    </row>
    <row r="259" customFormat="false" ht="15" hidden="false" customHeight="false" outlineLevel="0" collapsed="false">
      <c r="A259" s="21"/>
      <c r="B259" s="22"/>
      <c r="C259" s="22"/>
      <c r="D259" s="23"/>
      <c r="E259" s="21"/>
      <c r="F259" s="24"/>
      <c r="G259" s="25"/>
      <c r="H259" s="25"/>
      <c r="I259" s="24"/>
      <c r="J259" s="25"/>
      <c r="K259" s="24"/>
      <c r="L259" s="25"/>
      <c r="M259" s="26"/>
      <c r="N259" s="24"/>
    </row>
    <row r="260" customFormat="false" ht="15" hidden="false" customHeight="false" outlineLevel="0" collapsed="false">
      <c r="A260" s="21"/>
      <c r="B260" s="22"/>
      <c r="C260" s="22"/>
      <c r="D260" s="23"/>
      <c r="E260" s="21"/>
      <c r="F260" s="24"/>
      <c r="G260" s="25"/>
      <c r="H260" s="25"/>
      <c r="I260" s="24"/>
      <c r="J260" s="25"/>
      <c r="K260" s="24"/>
      <c r="L260" s="25"/>
      <c r="M260" s="26"/>
      <c r="N260" s="24"/>
    </row>
    <row r="261" customFormat="false" ht="15" hidden="false" customHeight="false" outlineLevel="0" collapsed="false">
      <c r="A261" s="21"/>
      <c r="B261" s="22"/>
      <c r="C261" s="22"/>
      <c r="D261" s="23"/>
      <c r="E261" s="21"/>
      <c r="F261" s="24"/>
      <c r="G261" s="25"/>
      <c r="H261" s="25"/>
      <c r="I261" s="24"/>
      <c r="J261" s="25"/>
      <c r="K261" s="24"/>
      <c r="L261" s="25"/>
      <c r="M261" s="26"/>
      <c r="N261" s="24"/>
    </row>
    <row r="262" customFormat="false" ht="15" hidden="false" customHeight="false" outlineLevel="0" collapsed="false">
      <c r="A262" s="21"/>
      <c r="B262" s="22"/>
      <c r="C262" s="22"/>
      <c r="D262" s="23"/>
      <c r="E262" s="21"/>
      <c r="F262" s="24"/>
      <c r="G262" s="25"/>
      <c r="H262" s="25"/>
      <c r="I262" s="24"/>
      <c r="J262" s="25"/>
      <c r="K262" s="24"/>
      <c r="L262" s="25"/>
      <c r="M262" s="26"/>
      <c r="N262" s="24"/>
    </row>
    <row r="263" customFormat="false" ht="15" hidden="false" customHeight="false" outlineLevel="0" collapsed="false">
      <c r="A263" s="21"/>
      <c r="B263" s="22"/>
      <c r="C263" s="22"/>
      <c r="D263" s="23"/>
      <c r="E263" s="21"/>
      <c r="F263" s="24"/>
      <c r="G263" s="25"/>
      <c r="H263" s="25"/>
      <c r="I263" s="24"/>
      <c r="J263" s="25"/>
      <c r="K263" s="24"/>
      <c r="L263" s="25"/>
      <c r="M263" s="26"/>
      <c r="N263" s="24"/>
    </row>
    <row r="264" customFormat="false" ht="15" hidden="false" customHeight="false" outlineLevel="0" collapsed="false">
      <c r="A264" s="21"/>
      <c r="B264" s="22"/>
      <c r="C264" s="22"/>
      <c r="D264" s="23"/>
      <c r="E264" s="21"/>
      <c r="F264" s="24"/>
      <c r="G264" s="25"/>
      <c r="H264" s="25"/>
      <c r="I264" s="24"/>
      <c r="J264" s="25"/>
      <c r="K264" s="24"/>
      <c r="L264" s="25"/>
      <c r="M264" s="26"/>
      <c r="N264" s="24"/>
    </row>
    <row r="265" customFormat="false" ht="15" hidden="false" customHeight="false" outlineLevel="0" collapsed="false">
      <c r="A265" s="21"/>
      <c r="B265" s="22"/>
      <c r="C265" s="22"/>
      <c r="D265" s="23"/>
      <c r="E265" s="21"/>
      <c r="F265" s="24"/>
      <c r="G265" s="25"/>
      <c r="H265" s="25"/>
      <c r="I265" s="24"/>
      <c r="J265" s="25"/>
      <c r="K265" s="24"/>
      <c r="L265" s="25"/>
      <c r="M265" s="26"/>
      <c r="N265" s="24"/>
    </row>
    <row r="266" customFormat="false" ht="15" hidden="false" customHeight="false" outlineLevel="0" collapsed="false">
      <c r="A266" s="21"/>
      <c r="B266" s="22"/>
      <c r="C266" s="22"/>
      <c r="D266" s="23"/>
      <c r="E266" s="21"/>
      <c r="F266" s="24"/>
      <c r="G266" s="25"/>
      <c r="H266" s="25"/>
      <c r="I266" s="24"/>
      <c r="J266" s="25"/>
      <c r="K266" s="24"/>
      <c r="L266" s="25"/>
      <c r="M266" s="26"/>
      <c r="N266" s="24"/>
    </row>
    <row r="267" customFormat="false" ht="15" hidden="false" customHeight="false" outlineLevel="0" collapsed="false">
      <c r="A267" s="21"/>
      <c r="B267" s="22"/>
      <c r="C267" s="22"/>
      <c r="D267" s="23"/>
      <c r="E267" s="21"/>
      <c r="F267" s="24"/>
      <c r="G267" s="25"/>
      <c r="H267" s="25"/>
      <c r="I267" s="24"/>
      <c r="J267" s="25"/>
      <c r="K267" s="24"/>
      <c r="L267" s="25"/>
      <c r="M267" s="26"/>
      <c r="N267" s="24"/>
    </row>
    <row r="268" customFormat="false" ht="15" hidden="false" customHeight="false" outlineLevel="0" collapsed="false">
      <c r="A268" s="21"/>
      <c r="B268" s="22"/>
      <c r="C268" s="22"/>
      <c r="D268" s="23"/>
      <c r="E268" s="21"/>
      <c r="F268" s="24"/>
      <c r="G268" s="25"/>
      <c r="H268" s="25"/>
      <c r="I268" s="24"/>
      <c r="J268" s="25"/>
      <c r="K268" s="24"/>
      <c r="L268" s="25"/>
      <c r="M268" s="26"/>
      <c r="N268" s="24"/>
    </row>
    <row r="269" customFormat="false" ht="15" hidden="false" customHeight="false" outlineLevel="0" collapsed="false">
      <c r="A269" s="21"/>
      <c r="B269" s="22"/>
      <c r="C269" s="22"/>
      <c r="D269" s="23"/>
      <c r="E269" s="21"/>
      <c r="F269" s="24"/>
      <c r="G269" s="25"/>
      <c r="H269" s="25"/>
      <c r="I269" s="24"/>
      <c r="J269" s="25"/>
      <c r="K269" s="24"/>
      <c r="L269" s="25"/>
      <c r="M269" s="26"/>
      <c r="N269" s="24"/>
    </row>
    <row r="270" customFormat="false" ht="15" hidden="false" customHeight="false" outlineLevel="0" collapsed="false">
      <c r="A270" s="21"/>
      <c r="B270" s="22"/>
      <c r="C270" s="22"/>
      <c r="D270" s="23"/>
      <c r="E270" s="21"/>
      <c r="F270" s="24"/>
      <c r="G270" s="25"/>
      <c r="H270" s="25"/>
      <c r="I270" s="24"/>
      <c r="J270" s="25"/>
      <c r="K270" s="24"/>
      <c r="L270" s="25"/>
      <c r="M270" s="26"/>
      <c r="N270" s="24"/>
    </row>
    <row r="271" customFormat="false" ht="15" hidden="false" customHeight="false" outlineLevel="0" collapsed="false">
      <c r="A271" s="21"/>
      <c r="B271" s="22"/>
      <c r="C271" s="22"/>
      <c r="D271" s="23"/>
      <c r="E271" s="21"/>
      <c r="F271" s="24"/>
      <c r="G271" s="25"/>
      <c r="H271" s="25"/>
      <c r="I271" s="24"/>
      <c r="J271" s="25"/>
      <c r="K271" s="24"/>
      <c r="L271" s="25"/>
      <c r="M271" s="26"/>
      <c r="N271" s="24"/>
    </row>
    <row r="272" customFormat="false" ht="15" hidden="false" customHeight="false" outlineLevel="0" collapsed="false">
      <c r="A272" s="21"/>
      <c r="B272" s="22"/>
      <c r="C272" s="22"/>
      <c r="D272" s="23"/>
      <c r="E272" s="21"/>
      <c r="F272" s="24"/>
      <c r="G272" s="25"/>
      <c r="H272" s="25"/>
      <c r="I272" s="24"/>
      <c r="J272" s="25"/>
      <c r="K272" s="24"/>
      <c r="L272" s="25"/>
      <c r="M272" s="26"/>
      <c r="N272" s="24"/>
    </row>
    <row r="273" customFormat="false" ht="15" hidden="false" customHeight="false" outlineLevel="0" collapsed="false">
      <c r="A273" s="21"/>
      <c r="B273" s="22"/>
      <c r="C273" s="22"/>
      <c r="D273" s="23"/>
      <c r="E273" s="21"/>
      <c r="F273" s="24"/>
      <c r="G273" s="25"/>
      <c r="H273" s="25"/>
      <c r="I273" s="24"/>
      <c r="J273" s="25"/>
      <c r="K273" s="24"/>
      <c r="L273" s="25"/>
      <c r="M273" s="26"/>
      <c r="N273" s="24"/>
    </row>
    <row r="274" customFormat="false" ht="15" hidden="false" customHeight="false" outlineLevel="0" collapsed="false">
      <c r="A274" s="21"/>
      <c r="B274" s="22"/>
      <c r="C274" s="22"/>
      <c r="D274" s="23"/>
      <c r="E274" s="21"/>
      <c r="F274" s="24"/>
      <c r="G274" s="25"/>
      <c r="H274" s="25"/>
      <c r="I274" s="24"/>
      <c r="J274" s="25"/>
      <c r="K274" s="24"/>
      <c r="L274" s="25"/>
      <c r="M274" s="26"/>
      <c r="N274" s="24"/>
    </row>
    <row r="275" customFormat="false" ht="15" hidden="false" customHeight="false" outlineLevel="0" collapsed="false">
      <c r="A275" s="21"/>
      <c r="B275" s="22"/>
      <c r="C275" s="22"/>
      <c r="D275" s="23"/>
      <c r="E275" s="21"/>
      <c r="F275" s="24"/>
      <c r="G275" s="25"/>
      <c r="H275" s="25"/>
      <c r="I275" s="24"/>
      <c r="J275" s="25"/>
      <c r="K275" s="24"/>
      <c r="L275" s="25"/>
      <c r="M275" s="26"/>
      <c r="N275" s="24"/>
    </row>
    <row r="276" customFormat="false" ht="15" hidden="false" customHeight="false" outlineLevel="0" collapsed="false">
      <c r="A276" s="21"/>
      <c r="B276" s="22"/>
      <c r="C276" s="22"/>
      <c r="D276" s="23"/>
      <c r="E276" s="21"/>
      <c r="F276" s="24"/>
      <c r="G276" s="25"/>
      <c r="H276" s="25"/>
      <c r="I276" s="24"/>
      <c r="J276" s="25"/>
      <c r="K276" s="24"/>
      <c r="L276" s="25"/>
      <c r="M276" s="26"/>
      <c r="N276" s="24"/>
    </row>
    <row r="277" customFormat="false" ht="15" hidden="false" customHeight="false" outlineLevel="0" collapsed="false">
      <c r="A277" s="21"/>
      <c r="B277" s="22"/>
      <c r="C277" s="22"/>
      <c r="D277" s="23"/>
      <c r="E277" s="21"/>
      <c r="F277" s="24"/>
      <c r="G277" s="25"/>
      <c r="H277" s="25"/>
      <c r="I277" s="24"/>
      <c r="J277" s="25"/>
      <c r="K277" s="24"/>
      <c r="L277" s="25"/>
      <c r="M277" s="26"/>
      <c r="N277" s="24"/>
    </row>
    <row r="278" customFormat="false" ht="15" hidden="false" customHeight="false" outlineLevel="0" collapsed="false">
      <c r="A278" s="21"/>
      <c r="B278" s="22"/>
      <c r="C278" s="22"/>
      <c r="D278" s="23"/>
      <c r="E278" s="21"/>
      <c r="F278" s="24"/>
      <c r="G278" s="25"/>
      <c r="H278" s="25"/>
      <c r="I278" s="24"/>
      <c r="J278" s="25"/>
      <c r="K278" s="24"/>
      <c r="L278" s="25"/>
      <c r="M278" s="26"/>
      <c r="N278" s="24"/>
    </row>
    <row r="279" customFormat="false" ht="15" hidden="false" customHeight="false" outlineLevel="0" collapsed="false">
      <c r="A279" s="21"/>
      <c r="B279" s="22"/>
      <c r="C279" s="22"/>
      <c r="D279" s="23"/>
      <c r="E279" s="21"/>
      <c r="F279" s="24"/>
      <c r="G279" s="25"/>
      <c r="H279" s="25"/>
      <c r="I279" s="24"/>
      <c r="J279" s="25"/>
      <c r="K279" s="24"/>
      <c r="L279" s="25"/>
      <c r="M279" s="26"/>
      <c r="N279" s="24"/>
    </row>
    <row r="280" customFormat="false" ht="15" hidden="false" customHeight="false" outlineLevel="0" collapsed="false">
      <c r="A280" s="21"/>
      <c r="B280" s="22"/>
      <c r="C280" s="22"/>
      <c r="D280" s="23"/>
      <c r="E280" s="21"/>
      <c r="F280" s="24"/>
      <c r="G280" s="25"/>
      <c r="H280" s="25"/>
      <c r="I280" s="24"/>
      <c r="J280" s="25"/>
      <c r="K280" s="24"/>
      <c r="L280" s="25"/>
      <c r="M280" s="26"/>
      <c r="N280" s="24"/>
    </row>
    <row r="281" customFormat="false" ht="15" hidden="false" customHeight="false" outlineLevel="0" collapsed="false">
      <c r="A281" s="21"/>
      <c r="B281" s="22"/>
      <c r="C281" s="22"/>
      <c r="D281" s="23"/>
      <c r="E281" s="21"/>
      <c r="F281" s="24"/>
      <c r="G281" s="25"/>
      <c r="H281" s="25"/>
      <c r="I281" s="24"/>
      <c r="J281" s="25"/>
      <c r="K281" s="24"/>
      <c r="L281" s="25"/>
      <c r="M281" s="26"/>
      <c r="N281" s="24"/>
    </row>
    <row r="282" customFormat="false" ht="15" hidden="false" customHeight="false" outlineLevel="0" collapsed="false">
      <c r="A282" s="21"/>
      <c r="B282" s="22"/>
      <c r="C282" s="22"/>
      <c r="D282" s="23"/>
      <c r="E282" s="21"/>
      <c r="F282" s="24"/>
      <c r="G282" s="25"/>
      <c r="H282" s="25"/>
      <c r="I282" s="24"/>
      <c r="J282" s="25"/>
      <c r="K282" s="24"/>
      <c r="L282" s="25"/>
      <c r="M282" s="26"/>
      <c r="N282" s="24"/>
    </row>
    <row r="283" customFormat="false" ht="15" hidden="false" customHeight="false" outlineLevel="0" collapsed="false">
      <c r="A283" s="21"/>
      <c r="B283" s="22"/>
      <c r="C283" s="22"/>
      <c r="D283" s="23"/>
      <c r="E283" s="21"/>
      <c r="F283" s="24"/>
      <c r="G283" s="25"/>
      <c r="H283" s="25"/>
      <c r="I283" s="24"/>
      <c r="J283" s="25"/>
      <c r="K283" s="24"/>
      <c r="L283" s="25"/>
      <c r="M283" s="26"/>
      <c r="N283" s="24"/>
    </row>
    <row r="284" customFormat="false" ht="15" hidden="false" customHeight="false" outlineLevel="0" collapsed="false">
      <c r="A284" s="21"/>
      <c r="B284" s="22"/>
      <c r="C284" s="22"/>
      <c r="D284" s="23"/>
      <c r="E284" s="21"/>
      <c r="F284" s="24"/>
      <c r="G284" s="25"/>
      <c r="H284" s="25"/>
      <c r="I284" s="24"/>
      <c r="J284" s="25"/>
      <c r="K284" s="24"/>
      <c r="L284" s="25"/>
      <c r="M284" s="26"/>
      <c r="N284" s="24"/>
    </row>
    <row r="285" customFormat="false" ht="15" hidden="false" customHeight="false" outlineLevel="0" collapsed="false">
      <c r="A285" s="21"/>
      <c r="B285" s="22"/>
      <c r="C285" s="22"/>
      <c r="D285" s="23"/>
      <c r="E285" s="21"/>
      <c r="F285" s="24"/>
      <c r="G285" s="25"/>
      <c r="H285" s="25"/>
      <c r="I285" s="24"/>
      <c r="J285" s="25"/>
      <c r="K285" s="24"/>
      <c r="L285" s="25"/>
      <c r="M285" s="26"/>
      <c r="N285" s="24"/>
    </row>
    <row r="286" customFormat="false" ht="15" hidden="false" customHeight="false" outlineLevel="0" collapsed="false">
      <c r="A286" s="21"/>
      <c r="B286" s="22"/>
      <c r="C286" s="22"/>
      <c r="D286" s="23"/>
      <c r="E286" s="21"/>
      <c r="F286" s="24"/>
      <c r="G286" s="25"/>
      <c r="H286" s="25"/>
      <c r="I286" s="24"/>
      <c r="J286" s="25"/>
      <c r="K286" s="24"/>
      <c r="L286" s="25"/>
      <c r="M286" s="26"/>
      <c r="N286" s="24"/>
    </row>
    <row r="287" customFormat="false" ht="15" hidden="false" customHeight="false" outlineLevel="0" collapsed="false">
      <c r="A287" s="21"/>
      <c r="B287" s="22"/>
      <c r="C287" s="22"/>
      <c r="D287" s="23"/>
      <c r="E287" s="21"/>
      <c r="F287" s="24"/>
      <c r="G287" s="25"/>
      <c r="H287" s="25"/>
      <c r="I287" s="24"/>
      <c r="J287" s="25"/>
      <c r="K287" s="24"/>
      <c r="L287" s="25"/>
      <c r="M287" s="26"/>
      <c r="N287" s="24"/>
    </row>
    <row r="288" customFormat="false" ht="15" hidden="false" customHeight="false" outlineLevel="0" collapsed="false">
      <c r="A288" s="21"/>
      <c r="B288" s="22"/>
      <c r="C288" s="22"/>
      <c r="D288" s="23"/>
      <c r="E288" s="21"/>
      <c r="F288" s="24"/>
      <c r="G288" s="25"/>
      <c r="H288" s="25"/>
      <c r="I288" s="24"/>
      <c r="J288" s="25"/>
      <c r="K288" s="24"/>
      <c r="L288" s="25"/>
      <c r="M288" s="26"/>
      <c r="N288" s="24"/>
    </row>
    <row r="289" customFormat="false" ht="15" hidden="false" customHeight="false" outlineLevel="0" collapsed="false">
      <c r="A289" s="21"/>
      <c r="B289" s="22"/>
      <c r="C289" s="22"/>
      <c r="D289" s="23"/>
      <c r="E289" s="21"/>
      <c r="F289" s="24"/>
      <c r="G289" s="25"/>
      <c r="H289" s="25"/>
      <c r="I289" s="24"/>
      <c r="J289" s="25"/>
      <c r="K289" s="24"/>
      <c r="L289" s="25"/>
      <c r="M289" s="26"/>
      <c r="N289" s="24"/>
    </row>
    <row r="290" customFormat="false" ht="15" hidden="false" customHeight="false" outlineLevel="0" collapsed="false">
      <c r="A290" s="21"/>
      <c r="B290" s="22"/>
      <c r="C290" s="22"/>
      <c r="D290" s="23"/>
      <c r="E290" s="21"/>
      <c r="F290" s="24"/>
      <c r="G290" s="25"/>
      <c r="H290" s="25"/>
      <c r="I290" s="24"/>
      <c r="J290" s="25"/>
      <c r="K290" s="24"/>
      <c r="L290" s="25"/>
      <c r="M290" s="26"/>
      <c r="N290" s="24"/>
    </row>
    <row r="291" customFormat="false" ht="15" hidden="false" customHeight="false" outlineLevel="0" collapsed="false">
      <c r="A291" s="21"/>
      <c r="B291" s="22"/>
      <c r="C291" s="22"/>
      <c r="D291" s="23"/>
      <c r="E291" s="21"/>
      <c r="F291" s="24"/>
      <c r="G291" s="25"/>
      <c r="H291" s="25"/>
      <c r="I291" s="24"/>
      <c r="J291" s="25"/>
      <c r="K291" s="24"/>
      <c r="L291" s="25"/>
      <c r="M291" s="26"/>
      <c r="N291" s="24"/>
    </row>
    <row r="292" customFormat="false" ht="15" hidden="false" customHeight="false" outlineLevel="0" collapsed="false">
      <c r="A292" s="21"/>
      <c r="B292" s="22"/>
      <c r="C292" s="22"/>
      <c r="D292" s="23"/>
      <c r="E292" s="21"/>
      <c r="F292" s="24"/>
      <c r="G292" s="25"/>
      <c r="H292" s="25"/>
      <c r="I292" s="24"/>
      <c r="J292" s="25"/>
      <c r="K292" s="24"/>
      <c r="L292" s="25"/>
      <c r="M292" s="26"/>
      <c r="N292" s="24"/>
    </row>
    <row r="293" customFormat="false" ht="15" hidden="false" customHeight="false" outlineLevel="0" collapsed="false">
      <c r="A293" s="21"/>
      <c r="B293" s="22"/>
      <c r="C293" s="22"/>
      <c r="D293" s="23"/>
      <c r="E293" s="21"/>
      <c r="F293" s="24"/>
      <c r="G293" s="25"/>
      <c r="H293" s="25"/>
      <c r="I293" s="24"/>
      <c r="J293" s="25"/>
      <c r="K293" s="24"/>
      <c r="L293" s="25"/>
      <c r="M293" s="26"/>
      <c r="N293" s="24"/>
    </row>
    <row r="294" customFormat="false" ht="15" hidden="false" customHeight="false" outlineLevel="0" collapsed="false">
      <c r="A294" s="21"/>
      <c r="B294" s="22"/>
      <c r="C294" s="22"/>
      <c r="D294" s="23"/>
      <c r="E294" s="21"/>
      <c r="F294" s="24"/>
      <c r="G294" s="25"/>
      <c r="H294" s="25"/>
      <c r="I294" s="24"/>
      <c r="J294" s="25"/>
      <c r="K294" s="24"/>
      <c r="L294" s="25"/>
      <c r="M294" s="26"/>
      <c r="N294" s="24"/>
    </row>
    <row r="295" customFormat="false" ht="15" hidden="false" customHeight="false" outlineLevel="0" collapsed="false">
      <c r="A295" s="21"/>
      <c r="B295" s="22"/>
      <c r="C295" s="22"/>
      <c r="D295" s="23"/>
      <c r="E295" s="21"/>
      <c r="F295" s="24"/>
      <c r="G295" s="25"/>
      <c r="H295" s="25"/>
      <c r="I295" s="24"/>
      <c r="J295" s="25"/>
      <c r="K295" s="24"/>
      <c r="L295" s="25"/>
      <c r="M295" s="26"/>
      <c r="N295" s="24"/>
    </row>
    <row r="296" customFormat="false" ht="15" hidden="false" customHeight="false" outlineLevel="0" collapsed="false">
      <c r="A296" s="21"/>
      <c r="B296" s="22"/>
      <c r="C296" s="22"/>
      <c r="D296" s="23"/>
      <c r="E296" s="21"/>
      <c r="F296" s="24"/>
      <c r="G296" s="25"/>
      <c r="H296" s="25"/>
      <c r="I296" s="24"/>
      <c r="J296" s="25"/>
      <c r="K296" s="24"/>
      <c r="L296" s="25"/>
      <c r="M296" s="26"/>
      <c r="N296" s="24"/>
    </row>
    <row r="297" customFormat="false" ht="15" hidden="false" customHeight="false" outlineLevel="0" collapsed="false">
      <c r="A297" s="21"/>
      <c r="B297" s="22"/>
      <c r="C297" s="22"/>
      <c r="D297" s="23"/>
      <c r="E297" s="21"/>
      <c r="F297" s="24"/>
      <c r="G297" s="25"/>
      <c r="H297" s="25"/>
      <c r="I297" s="24"/>
      <c r="J297" s="25"/>
      <c r="K297" s="24"/>
      <c r="L297" s="25"/>
      <c r="M297" s="26"/>
      <c r="N297" s="24"/>
    </row>
    <row r="298" customFormat="false" ht="15" hidden="false" customHeight="false" outlineLevel="0" collapsed="false">
      <c r="A298" s="21"/>
      <c r="B298" s="22"/>
      <c r="C298" s="22"/>
      <c r="D298" s="23"/>
      <c r="E298" s="21"/>
      <c r="F298" s="24"/>
      <c r="G298" s="25"/>
      <c r="H298" s="25"/>
      <c r="I298" s="24"/>
      <c r="J298" s="25"/>
      <c r="K298" s="24"/>
      <c r="L298" s="25"/>
      <c r="M298" s="26"/>
      <c r="N298" s="24"/>
    </row>
    <row r="299" customFormat="false" ht="15" hidden="false" customHeight="false" outlineLevel="0" collapsed="false">
      <c r="A299" s="21"/>
      <c r="B299" s="22"/>
      <c r="C299" s="22"/>
      <c r="D299" s="23"/>
      <c r="E299" s="21"/>
      <c r="F299" s="24"/>
      <c r="G299" s="25"/>
      <c r="H299" s="25"/>
      <c r="I299" s="24"/>
      <c r="J299" s="25"/>
      <c r="K299" s="24"/>
      <c r="L299" s="25"/>
      <c r="M299" s="26"/>
      <c r="N299" s="24"/>
    </row>
    <row r="300" customFormat="false" ht="15" hidden="false" customHeight="false" outlineLevel="0" collapsed="false">
      <c r="A300" s="21"/>
      <c r="B300" s="22"/>
      <c r="C300" s="22"/>
      <c r="D300" s="23"/>
      <c r="E300" s="21"/>
      <c r="F300" s="24"/>
      <c r="G300" s="25"/>
      <c r="H300" s="25"/>
      <c r="I300" s="24"/>
      <c r="J300" s="25"/>
      <c r="K300" s="24"/>
      <c r="L300" s="25"/>
      <c r="M300" s="26"/>
      <c r="N300" s="24"/>
    </row>
    <row r="301" customFormat="false" ht="15" hidden="false" customHeight="false" outlineLevel="0" collapsed="false">
      <c r="A301" s="21"/>
      <c r="B301" s="22"/>
      <c r="C301" s="22"/>
      <c r="D301" s="23"/>
      <c r="E301" s="21"/>
      <c r="F301" s="24"/>
      <c r="G301" s="25"/>
      <c r="H301" s="25"/>
      <c r="I301" s="24"/>
      <c r="J301" s="25"/>
      <c r="K301" s="24"/>
      <c r="L301" s="25"/>
      <c r="M301" s="26"/>
      <c r="N301" s="24"/>
    </row>
    <row r="302" customFormat="false" ht="15" hidden="false" customHeight="false" outlineLevel="0" collapsed="false">
      <c r="A302" s="21"/>
      <c r="B302" s="22"/>
      <c r="C302" s="22"/>
      <c r="D302" s="23"/>
      <c r="E302" s="21"/>
      <c r="F302" s="24"/>
      <c r="G302" s="25"/>
      <c r="H302" s="25"/>
      <c r="I302" s="24"/>
      <c r="J302" s="25"/>
      <c r="K302" s="24"/>
      <c r="L302" s="25"/>
      <c r="M302" s="26"/>
      <c r="N302" s="24"/>
    </row>
    <row r="303" customFormat="false" ht="15" hidden="false" customHeight="false" outlineLevel="0" collapsed="false">
      <c r="A303" s="21"/>
      <c r="B303" s="22"/>
      <c r="C303" s="22"/>
      <c r="D303" s="23"/>
      <c r="E303" s="21"/>
      <c r="F303" s="24"/>
      <c r="G303" s="25"/>
      <c r="H303" s="25"/>
      <c r="I303" s="24"/>
      <c r="J303" s="25"/>
      <c r="K303" s="24"/>
      <c r="L303" s="25"/>
      <c r="M303" s="26"/>
      <c r="N303" s="24"/>
    </row>
    <row r="304" customFormat="false" ht="15" hidden="false" customHeight="false" outlineLevel="0" collapsed="false">
      <c r="A304" s="21"/>
      <c r="B304" s="22"/>
      <c r="C304" s="22"/>
      <c r="D304" s="23"/>
      <c r="E304" s="21"/>
      <c r="F304" s="24"/>
      <c r="G304" s="25"/>
      <c r="H304" s="25"/>
      <c r="I304" s="24"/>
      <c r="J304" s="25"/>
      <c r="K304" s="24"/>
      <c r="L304" s="25"/>
      <c r="M304" s="26"/>
      <c r="N304" s="24"/>
    </row>
    <row r="305" customFormat="false" ht="15" hidden="false" customHeight="false" outlineLevel="0" collapsed="false">
      <c r="A305" s="21"/>
      <c r="B305" s="22"/>
      <c r="C305" s="22"/>
      <c r="D305" s="23"/>
      <c r="E305" s="21"/>
      <c r="F305" s="24"/>
      <c r="G305" s="25"/>
      <c r="H305" s="25"/>
      <c r="I305" s="24"/>
      <c r="J305" s="25"/>
      <c r="K305" s="24"/>
      <c r="L305" s="25"/>
      <c r="M305" s="26"/>
      <c r="N305" s="24"/>
    </row>
    <row r="306" customFormat="false" ht="15" hidden="false" customHeight="false" outlineLevel="0" collapsed="false">
      <c r="A306" s="21"/>
      <c r="B306" s="22"/>
      <c r="C306" s="22"/>
      <c r="D306" s="23"/>
      <c r="E306" s="21"/>
      <c r="F306" s="24"/>
      <c r="G306" s="25"/>
      <c r="H306" s="25"/>
      <c r="I306" s="24"/>
      <c r="J306" s="25"/>
      <c r="K306" s="24"/>
      <c r="L306" s="25"/>
      <c r="M306" s="26"/>
      <c r="N306" s="24"/>
    </row>
    <row r="307" customFormat="false" ht="15" hidden="false" customHeight="false" outlineLevel="0" collapsed="false">
      <c r="A307" s="21"/>
      <c r="B307" s="22"/>
      <c r="C307" s="22"/>
      <c r="D307" s="23"/>
      <c r="E307" s="21"/>
      <c r="F307" s="24"/>
      <c r="G307" s="25"/>
      <c r="H307" s="25"/>
      <c r="I307" s="24"/>
      <c r="J307" s="25"/>
      <c r="K307" s="24"/>
      <c r="L307" s="25"/>
      <c r="M307" s="26"/>
      <c r="N307" s="24"/>
    </row>
    <row r="308" customFormat="false" ht="15" hidden="false" customHeight="false" outlineLevel="0" collapsed="false">
      <c r="A308" s="21"/>
      <c r="B308" s="22"/>
      <c r="C308" s="22"/>
      <c r="D308" s="23"/>
      <c r="E308" s="21"/>
      <c r="F308" s="24"/>
      <c r="G308" s="25"/>
      <c r="H308" s="25"/>
      <c r="I308" s="24"/>
      <c r="J308" s="25"/>
      <c r="K308" s="24"/>
      <c r="L308" s="25"/>
      <c r="M308" s="26"/>
      <c r="N308" s="24"/>
    </row>
    <row r="309" customFormat="false" ht="15" hidden="false" customHeight="false" outlineLevel="0" collapsed="false">
      <c r="A309" s="21"/>
      <c r="B309" s="22"/>
      <c r="C309" s="22"/>
      <c r="D309" s="23"/>
      <c r="E309" s="21"/>
      <c r="F309" s="24"/>
      <c r="G309" s="25"/>
      <c r="H309" s="25"/>
      <c r="I309" s="24"/>
      <c r="J309" s="25"/>
      <c r="K309" s="24"/>
      <c r="L309" s="25"/>
      <c r="M309" s="26"/>
      <c r="N309" s="24"/>
    </row>
    <row r="310" customFormat="false" ht="15" hidden="false" customHeight="false" outlineLevel="0" collapsed="false">
      <c r="A310" s="21"/>
      <c r="B310" s="22"/>
      <c r="C310" s="22"/>
      <c r="D310" s="23"/>
      <c r="E310" s="21"/>
      <c r="F310" s="24"/>
      <c r="G310" s="25"/>
      <c r="H310" s="25"/>
      <c r="I310" s="24"/>
      <c r="J310" s="25"/>
      <c r="K310" s="24"/>
      <c r="L310" s="25"/>
      <c r="M310" s="26"/>
      <c r="N310" s="24"/>
    </row>
    <row r="311" customFormat="false" ht="15" hidden="false" customHeight="false" outlineLevel="0" collapsed="false">
      <c r="A311" s="21"/>
      <c r="B311" s="22"/>
      <c r="C311" s="22"/>
      <c r="D311" s="23"/>
      <c r="E311" s="21"/>
      <c r="F311" s="24"/>
      <c r="G311" s="25"/>
      <c r="H311" s="25"/>
      <c r="I311" s="24"/>
      <c r="J311" s="25"/>
      <c r="K311" s="24"/>
      <c r="L311" s="25"/>
      <c r="M311" s="26"/>
      <c r="N311" s="24"/>
    </row>
    <row r="312" customFormat="false" ht="15" hidden="false" customHeight="false" outlineLevel="0" collapsed="false">
      <c r="A312" s="21"/>
      <c r="B312" s="22"/>
      <c r="C312" s="22"/>
      <c r="D312" s="23"/>
      <c r="E312" s="21"/>
      <c r="F312" s="24"/>
      <c r="G312" s="25"/>
      <c r="H312" s="25"/>
      <c r="I312" s="24"/>
      <c r="J312" s="25"/>
      <c r="K312" s="24"/>
      <c r="L312" s="25"/>
      <c r="M312" s="26"/>
      <c r="N312" s="24"/>
    </row>
    <row r="313" customFormat="false" ht="15" hidden="false" customHeight="false" outlineLevel="0" collapsed="false">
      <c r="A313" s="21"/>
      <c r="B313" s="22"/>
      <c r="C313" s="22"/>
      <c r="D313" s="23"/>
      <c r="E313" s="21"/>
      <c r="F313" s="24"/>
      <c r="G313" s="25"/>
      <c r="H313" s="25"/>
      <c r="I313" s="24"/>
      <c r="J313" s="25"/>
      <c r="K313" s="24"/>
      <c r="L313" s="25"/>
      <c r="M313" s="26"/>
      <c r="N313" s="24"/>
    </row>
    <row r="314" customFormat="false" ht="15" hidden="false" customHeight="false" outlineLevel="0" collapsed="false">
      <c r="A314" s="21"/>
      <c r="B314" s="22"/>
      <c r="C314" s="22"/>
      <c r="D314" s="23"/>
      <c r="E314" s="21"/>
      <c r="F314" s="24"/>
      <c r="G314" s="25"/>
      <c r="H314" s="25"/>
      <c r="I314" s="24"/>
      <c r="J314" s="25"/>
      <c r="K314" s="24"/>
      <c r="L314" s="25"/>
      <c r="M314" s="26"/>
      <c r="N314" s="24"/>
    </row>
    <row r="315" customFormat="false" ht="15" hidden="false" customHeight="false" outlineLevel="0" collapsed="false">
      <c r="A315" s="21"/>
      <c r="B315" s="22"/>
      <c r="C315" s="22"/>
      <c r="D315" s="23"/>
      <c r="E315" s="21"/>
      <c r="F315" s="24"/>
      <c r="G315" s="25"/>
      <c r="H315" s="25"/>
      <c r="I315" s="24"/>
      <c r="J315" s="25"/>
      <c r="K315" s="24"/>
      <c r="L315" s="25"/>
      <c r="M315" s="26"/>
      <c r="N315" s="24"/>
    </row>
    <row r="316" customFormat="false" ht="15" hidden="false" customHeight="false" outlineLevel="0" collapsed="false">
      <c r="A316" s="21"/>
      <c r="B316" s="22"/>
      <c r="C316" s="22"/>
      <c r="D316" s="23"/>
      <c r="E316" s="21"/>
      <c r="F316" s="24"/>
      <c r="G316" s="25"/>
      <c r="H316" s="25"/>
      <c r="I316" s="24"/>
      <c r="J316" s="25"/>
      <c r="K316" s="24"/>
      <c r="L316" s="25"/>
      <c r="M316" s="26"/>
      <c r="N316" s="24"/>
    </row>
    <row r="317" customFormat="false" ht="15" hidden="false" customHeight="false" outlineLevel="0" collapsed="false">
      <c r="A317" s="21"/>
      <c r="B317" s="22"/>
      <c r="C317" s="22"/>
      <c r="D317" s="23"/>
      <c r="E317" s="21"/>
      <c r="F317" s="24"/>
      <c r="G317" s="25"/>
      <c r="H317" s="25"/>
      <c r="I317" s="24"/>
      <c r="J317" s="25"/>
      <c r="K317" s="24"/>
      <c r="L317" s="25"/>
      <c r="M317" s="26"/>
      <c r="N317" s="24"/>
    </row>
    <row r="318" customFormat="false" ht="15" hidden="false" customHeight="false" outlineLevel="0" collapsed="false">
      <c r="A318" s="21"/>
      <c r="B318" s="22"/>
      <c r="C318" s="22"/>
      <c r="D318" s="23"/>
      <c r="E318" s="21"/>
      <c r="F318" s="24"/>
      <c r="G318" s="25"/>
      <c r="H318" s="25"/>
      <c r="I318" s="24"/>
      <c r="J318" s="25"/>
      <c r="K318" s="24"/>
      <c r="L318" s="25"/>
      <c r="M318" s="26"/>
      <c r="N318" s="24"/>
    </row>
    <row r="319" customFormat="false" ht="15" hidden="false" customHeight="false" outlineLevel="0" collapsed="false">
      <c r="A319" s="21"/>
      <c r="B319" s="22"/>
      <c r="C319" s="22"/>
      <c r="D319" s="23"/>
      <c r="E319" s="21"/>
      <c r="F319" s="24"/>
      <c r="G319" s="25"/>
      <c r="H319" s="25"/>
      <c r="I319" s="24"/>
      <c r="J319" s="25"/>
      <c r="K319" s="24"/>
      <c r="L319" s="25"/>
      <c r="M319" s="26"/>
      <c r="N319" s="24"/>
    </row>
    <row r="320" customFormat="false" ht="15" hidden="false" customHeight="false" outlineLevel="0" collapsed="false">
      <c r="A320" s="21"/>
      <c r="B320" s="22"/>
      <c r="C320" s="22"/>
      <c r="D320" s="23"/>
      <c r="E320" s="21"/>
      <c r="F320" s="24"/>
      <c r="G320" s="25"/>
      <c r="H320" s="25"/>
      <c r="I320" s="24"/>
      <c r="J320" s="25"/>
      <c r="K320" s="24"/>
      <c r="L320" s="25"/>
      <c r="M320" s="26"/>
      <c r="N320" s="24"/>
    </row>
    <row r="321" customFormat="false" ht="15" hidden="false" customHeight="false" outlineLevel="0" collapsed="false">
      <c r="A321" s="21"/>
      <c r="B321" s="22"/>
      <c r="C321" s="22"/>
      <c r="D321" s="23"/>
      <c r="E321" s="21"/>
      <c r="F321" s="24"/>
      <c r="G321" s="25"/>
      <c r="H321" s="25"/>
      <c r="I321" s="24"/>
      <c r="J321" s="25"/>
      <c r="K321" s="24"/>
      <c r="L321" s="25"/>
      <c r="M321" s="26"/>
      <c r="N321" s="24"/>
    </row>
    <row r="322" customFormat="false" ht="15" hidden="false" customHeight="false" outlineLevel="0" collapsed="false">
      <c r="A322" s="21"/>
      <c r="B322" s="22"/>
      <c r="C322" s="22"/>
      <c r="D322" s="23"/>
      <c r="E322" s="21"/>
      <c r="F322" s="24"/>
      <c r="G322" s="25"/>
      <c r="H322" s="25"/>
      <c r="I322" s="24"/>
      <c r="J322" s="25"/>
      <c r="K322" s="24"/>
      <c r="L322" s="25"/>
      <c r="M322" s="26"/>
      <c r="N322" s="24"/>
    </row>
    <row r="323" customFormat="false" ht="15" hidden="false" customHeight="false" outlineLevel="0" collapsed="false">
      <c r="A323" s="21"/>
      <c r="B323" s="22"/>
      <c r="C323" s="22"/>
      <c r="D323" s="23"/>
      <c r="E323" s="21"/>
      <c r="F323" s="24"/>
      <c r="G323" s="25"/>
      <c r="H323" s="25"/>
      <c r="I323" s="24"/>
      <c r="J323" s="25"/>
      <c r="K323" s="24"/>
      <c r="L323" s="25"/>
      <c r="M323" s="26"/>
      <c r="N323" s="24"/>
    </row>
    <row r="324" customFormat="false" ht="15" hidden="false" customHeight="false" outlineLevel="0" collapsed="false">
      <c r="A324" s="21"/>
      <c r="B324" s="22"/>
      <c r="C324" s="22"/>
      <c r="D324" s="23"/>
      <c r="E324" s="21"/>
      <c r="F324" s="24"/>
      <c r="G324" s="25"/>
      <c r="H324" s="25"/>
      <c r="I324" s="24"/>
      <c r="J324" s="25"/>
      <c r="K324" s="24"/>
      <c r="L324" s="25"/>
      <c r="M324" s="26"/>
      <c r="N324" s="24"/>
    </row>
    <row r="325" customFormat="false" ht="15" hidden="false" customHeight="false" outlineLevel="0" collapsed="false">
      <c r="A325" s="21"/>
      <c r="B325" s="22"/>
      <c r="C325" s="22"/>
      <c r="D325" s="23"/>
      <c r="E325" s="21"/>
      <c r="F325" s="24"/>
      <c r="G325" s="25"/>
      <c r="H325" s="25"/>
      <c r="I325" s="24"/>
      <c r="J325" s="25"/>
      <c r="K325" s="24"/>
      <c r="L325" s="25"/>
      <c r="M325" s="26"/>
      <c r="N325" s="24"/>
    </row>
    <row r="326" customFormat="false" ht="15" hidden="false" customHeight="false" outlineLevel="0" collapsed="false">
      <c r="A326" s="21"/>
      <c r="B326" s="22"/>
      <c r="C326" s="22"/>
      <c r="D326" s="23"/>
      <c r="E326" s="21"/>
      <c r="F326" s="24"/>
      <c r="G326" s="25"/>
      <c r="H326" s="25"/>
      <c r="I326" s="24"/>
      <c r="J326" s="25"/>
      <c r="K326" s="24"/>
      <c r="L326" s="25"/>
      <c r="M326" s="26"/>
      <c r="N326" s="24"/>
    </row>
    <row r="327" customFormat="false" ht="15" hidden="false" customHeight="false" outlineLevel="0" collapsed="false">
      <c r="A327" s="21"/>
      <c r="B327" s="22"/>
      <c r="C327" s="22"/>
      <c r="D327" s="23"/>
      <c r="E327" s="21"/>
      <c r="F327" s="24"/>
      <c r="G327" s="25"/>
      <c r="H327" s="25"/>
      <c r="I327" s="24"/>
      <c r="J327" s="25"/>
      <c r="K327" s="24"/>
      <c r="L327" s="25"/>
      <c r="M327" s="26"/>
      <c r="N327" s="24"/>
    </row>
    <row r="328" customFormat="false" ht="15" hidden="false" customHeight="false" outlineLevel="0" collapsed="false">
      <c r="A328" s="21"/>
      <c r="B328" s="22"/>
      <c r="C328" s="22"/>
      <c r="D328" s="23"/>
      <c r="E328" s="21"/>
      <c r="F328" s="24"/>
      <c r="G328" s="25"/>
      <c r="H328" s="25"/>
      <c r="I328" s="24"/>
      <c r="J328" s="25"/>
      <c r="K328" s="24"/>
      <c r="L328" s="25"/>
      <c r="M328" s="26"/>
      <c r="N328" s="24"/>
    </row>
    <row r="329" customFormat="false" ht="15" hidden="false" customHeight="false" outlineLevel="0" collapsed="false">
      <c r="A329" s="21"/>
      <c r="B329" s="22"/>
      <c r="C329" s="22"/>
      <c r="D329" s="23"/>
      <c r="E329" s="21"/>
      <c r="F329" s="24"/>
      <c r="G329" s="25"/>
      <c r="H329" s="25"/>
      <c r="I329" s="24"/>
      <c r="J329" s="25"/>
      <c r="K329" s="24"/>
      <c r="L329" s="25"/>
      <c r="M329" s="26"/>
      <c r="N329" s="24"/>
    </row>
    <row r="330" customFormat="false" ht="15" hidden="false" customHeight="false" outlineLevel="0" collapsed="false">
      <c r="A330" s="21"/>
      <c r="B330" s="22"/>
      <c r="C330" s="22"/>
      <c r="D330" s="23"/>
      <c r="E330" s="21"/>
      <c r="F330" s="24"/>
      <c r="G330" s="25"/>
      <c r="H330" s="25"/>
      <c r="I330" s="24"/>
      <c r="J330" s="25"/>
      <c r="K330" s="24"/>
      <c r="L330" s="25"/>
      <c r="M330" s="26"/>
      <c r="N330" s="24"/>
    </row>
    <row r="331" customFormat="false" ht="15" hidden="false" customHeight="false" outlineLevel="0" collapsed="false">
      <c r="A331" s="21"/>
      <c r="B331" s="22"/>
      <c r="C331" s="22"/>
      <c r="D331" s="23"/>
      <c r="E331" s="21"/>
      <c r="F331" s="24"/>
      <c r="G331" s="25"/>
      <c r="H331" s="25"/>
      <c r="I331" s="24"/>
      <c r="J331" s="25"/>
      <c r="K331" s="24"/>
      <c r="L331" s="25"/>
      <c r="M331" s="26"/>
      <c r="N331" s="24"/>
    </row>
    <row r="332" customFormat="false" ht="15" hidden="false" customHeight="false" outlineLevel="0" collapsed="false">
      <c r="A332" s="21"/>
      <c r="B332" s="22"/>
      <c r="C332" s="22"/>
      <c r="D332" s="23"/>
      <c r="E332" s="21"/>
      <c r="F332" s="24"/>
      <c r="G332" s="25"/>
      <c r="H332" s="25"/>
      <c r="I332" s="24"/>
      <c r="J332" s="25"/>
      <c r="K332" s="24"/>
      <c r="L332" s="25"/>
      <c r="M332" s="26"/>
      <c r="N332" s="24"/>
    </row>
    <row r="333" customFormat="false" ht="15" hidden="false" customHeight="false" outlineLevel="0" collapsed="false">
      <c r="A333" s="21"/>
      <c r="B333" s="22"/>
      <c r="C333" s="22"/>
      <c r="D333" s="23"/>
      <c r="E333" s="21"/>
      <c r="F333" s="24"/>
      <c r="G333" s="25"/>
      <c r="H333" s="25"/>
      <c r="I333" s="24"/>
      <c r="J333" s="25"/>
      <c r="K333" s="24"/>
      <c r="L333" s="25"/>
      <c r="M333" s="26"/>
      <c r="N333" s="24"/>
    </row>
    <row r="334" customFormat="false" ht="15" hidden="false" customHeight="false" outlineLevel="0" collapsed="false">
      <c r="A334" s="21"/>
      <c r="B334" s="22"/>
      <c r="C334" s="22"/>
      <c r="D334" s="23"/>
      <c r="E334" s="21"/>
      <c r="F334" s="24"/>
      <c r="G334" s="25"/>
      <c r="H334" s="25"/>
      <c r="I334" s="24"/>
      <c r="J334" s="25"/>
      <c r="K334" s="24"/>
      <c r="L334" s="25"/>
      <c r="M334" s="26"/>
      <c r="N334" s="24"/>
    </row>
    <row r="335" customFormat="false" ht="15" hidden="false" customHeight="false" outlineLevel="0" collapsed="false">
      <c r="A335" s="21"/>
      <c r="B335" s="22"/>
      <c r="C335" s="22"/>
      <c r="D335" s="23"/>
      <c r="E335" s="21"/>
      <c r="F335" s="24"/>
      <c r="G335" s="25"/>
      <c r="H335" s="25"/>
      <c r="I335" s="24"/>
      <c r="J335" s="25"/>
      <c r="K335" s="24"/>
      <c r="L335" s="25"/>
      <c r="M335" s="26"/>
      <c r="N335" s="24"/>
    </row>
    <row r="336" customFormat="false" ht="15" hidden="false" customHeight="false" outlineLevel="0" collapsed="false">
      <c r="A336" s="21"/>
      <c r="B336" s="22"/>
      <c r="C336" s="22"/>
      <c r="D336" s="23"/>
      <c r="E336" s="21"/>
      <c r="F336" s="24"/>
      <c r="G336" s="25"/>
      <c r="H336" s="25"/>
      <c r="I336" s="24"/>
      <c r="J336" s="25"/>
      <c r="K336" s="24"/>
      <c r="L336" s="25"/>
      <c r="M336" s="26"/>
      <c r="N336" s="24"/>
    </row>
    <row r="337" customFormat="false" ht="15" hidden="false" customHeight="false" outlineLevel="0" collapsed="false">
      <c r="A337" s="21"/>
      <c r="B337" s="22"/>
      <c r="C337" s="22"/>
      <c r="D337" s="23"/>
      <c r="E337" s="21"/>
      <c r="F337" s="24"/>
      <c r="G337" s="25"/>
      <c r="H337" s="25"/>
      <c r="I337" s="24"/>
      <c r="J337" s="25"/>
      <c r="K337" s="24"/>
      <c r="L337" s="25"/>
      <c r="M337" s="26"/>
      <c r="N337" s="24"/>
    </row>
    <row r="338" customFormat="false" ht="15" hidden="false" customHeight="false" outlineLevel="0" collapsed="false">
      <c r="A338" s="21"/>
      <c r="B338" s="22"/>
      <c r="C338" s="22"/>
      <c r="D338" s="23"/>
      <c r="E338" s="21"/>
      <c r="F338" s="24"/>
      <c r="G338" s="25"/>
      <c r="H338" s="25"/>
      <c r="I338" s="24"/>
      <c r="J338" s="25"/>
      <c r="K338" s="24"/>
      <c r="L338" s="25"/>
      <c r="M338" s="26"/>
      <c r="N338" s="24"/>
    </row>
    <row r="339" customFormat="false" ht="15" hidden="false" customHeight="false" outlineLevel="0" collapsed="false">
      <c r="A339" s="21"/>
      <c r="B339" s="22"/>
      <c r="C339" s="22"/>
      <c r="D339" s="23"/>
      <c r="E339" s="21"/>
      <c r="F339" s="24"/>
      <c r="G339" s="25"/>
      <c r="H339" s="25"/>
      <c r="I339" s="24"/>
      <c r="J339" s="25"/>
      <c r="K339" s="24"/>
      <c r="L339" s="25"/>
      <c r="M339" s="26"/>
      <c r="N339" s="24"/>
    </row>
    <row r="340" customFormat="false" ht="15" hidden="false" customHeight="false" outlineLevel="0" collapsed="false">
      <c r="A340" s="21"/>
      <c r="B340" s="22"/>
      <c r="C340" s="22"/>
      <c r="D340" s="23"/>
      <c r="E340" s="21"/>
      <c r="F340" s="24"/>
      <c r="G340" s="25"/>
      <c r="H340" s="25"/>
      <c r="I340" s="24"/>
      <c r="J340" s="25"/>
      <c r="K340" s="24"/>
      <c r="L340" s="25"/>
      <c r="M340" s="26"/>
      <c r="N340" s="24"/>
    </row>
    <row r="341" customFormat="false" ht="15" hidden="false" customHeight="false" outlineLevel="0" collapsed="false">
      <c r="A341" s="21"/>
      <c r="B341" s="22"/>
      <c r="C341" s="22"/>
      <c r="D341" s="23"/>
      <c r="E341" s="21"/>
      <c r="F341" s="24"/>
      <c r="G341" s="25"/>
      <c r="H341" s="25"/>
      <c r="I341" s="24"/>
      <c r="J341" s="25"/>
      <c r="K341" s="24"/>
      <c r="L341" s="25"/>
      <c r="M341" s="26"/>
      <c r="N341" s="24"/>
    </row>
    <row r="342" customFormat="false" ht="15" hidden="false" customHeight="false" outlineLevel="0" collapsed="false">
      <c r="A342" s="21"/>
      <c r="B342" s="22"/>
      <c r="C342" s="22"/>
      <c r="D342" s="23"/>
      <c r="E342" s="21"/>
      <c r="F342" s="24"/>
      <c r="G342" s="25"/>
      <c r="H342" s="25"/>
      <c r="I342" s="24"/>
      <c r="J342" s="25"/>
      <c r="K342" s="24"/>
      <c r="L342" s="25"/>
      <c r="M342" s="26"/>
      <c r="N342" s="24"/>
    </row>
    <row r="343" customFormat="false" ht="15" hidden="false" customHeight="false" outlineLevel="0" collapsed="false">
      <c r="A343" s="21"/>
      <c r="B343" s="22"/>
      <c r="C343" s="22"/>
      <c r="D343" s="23"/>
      <c r="E343" s="21"/>
      <c r="F343" s="24"/>
      <c r="G343" s="25"/>
      <c r="H343" s="25"/>
      <c r="I343" s="24"/>
      <c r="J343" s="25"/>
      <c r="K343" s="24"/>
      <c r="L343" s="25"/>
      <c r="M343" s="26"/>
      <c r="N343" s="24"/>
    </row>
    <row r="344" customFormat="false" ht="15" hidden="false" customHeight="false" outlineLevel="0" collapsed="false">
      <c r="A344" s="21"/>
      <c r="B344" s="22"/>
      <c r="C344" s="22"/>
      <c r="D344" s="23"/>
      <c r="E344" s="21"/>
      <c r="F344" s="24"/>
      <c r="G344" s="25"/>
      <c r="H344" s="25"/>
      <c r="I344" s="24"/>
      <c r="J344" s="25"/>
      <c r="K344" s="24"/>
      <c r="L344" s="25"/>
      <c r="M344" s="26"/>
      <c r="N344" s="24"/>
    </row>
    <row r="345" customFormat="false" ht="15" hidden="false" customHeight="false" outlineLevel="0" collapsed="false">
      <c r="A345" s="21"/>
      <c r="B345" s="22"/>
      <c r="C345" s="22"/>
      <c r="D345" s="23"/>
      <c r="E345" s="21"/>
      <c r="F345" s="24"/>
      <c r="G345" s="25"/>
      <c r="H345" s="25"/>
      <c r="I345" s="24"/>
      <c r="J345" s="25"/>
      <c r="K345" s="24"/>
      <c r="L345" s="25"/>
      <c r="M345" s="26"/>
      <c r="N345" s="24"/>
    </row>
    <row r="346" customFormat="false" ht="15" hidden="false" customHeight="false" outlineLevel="0" collapsed="false">
      <c r="A346" s="21"/>
      <c r="B346" s="22"/>
      <c r="C346" s="22"/>
      <c r="D346" s="23"/>
      <c r="E346" s="21"/>
      <c r="F346" s="24"/>
      <c r="G346" s="25"/>
      <c r="H346" s="25"/>
      <c r="I346" s="24"/>
      <c r="J346" s="25"/>
      <c r="K346" s="24"/>
      <c r="L346" s="25"/>
      <c r="M346" s="26"/>
      <c r="N346" s="24"/>
    </row>
    <row r="347" customFormat="false" ht="15" hidden="false" customHeight="false" outlineLevel="0" collapsed="false">
      <c r="A347" s="21"/>
      <c r="B347" s="22"/>
      <c r="C347" s="22"/>
      <c r="D347" s="23"/>
      <c r="E347" s="21"/>
      <c r="F347" s="24"/>
      <c r="G347" s="25"/>
      <c r="H347" s="25"/>
      <c r="I347" s="24"/>
      <c r="J347" s="25"/>
      <c r="K347" s="24"/>
      <c r="L347" s="25"/>
      <c r="M347" s="26"/>
      <c r="N347" s="24"/>
    </row>
    <row r="348" customFormat="false" ht="15" hidden="false" customHeight="false" outlineLevel="0" collapsed="false">
      <c r="A348" s="21"/>
      <c r="B348" s="22"/>
      <c r="C348" s="22"/>
      <c r="D348" s="23"/>
      <c r="E348" s="21"/>
      <c r="F348" s="24"/>
      <c r="G348" s="25"/>
      <c r="H348" s="25"/>
      <c r="I348" s="24"/>
      <c r="J348" s="25"/>
      <c r="K348" s="24"/>
      <c r="L348" s="25"/>
      <c r="M348" s="26"/>
      <c r="N348" s="24"/>
    </row>
    <row r="349" customFormat="false" ht="15" hidden="false" customHeight="false" outlineLevel="0" collapsed="false">
      <c r="A349" s="21"/>
      <c r="B349" s="22"/>
      <c r="C349" s="22"/>
      <c r="D349" s="23"/>
      <c r="E349" s="21"/>
      <c r="F349" s="24"/>
      <c r="G349" s="25"/>
      <c r="H349" s="25"/>
      <c r="I349" s="24"/>
      <c r="J349" s="25"/>
      <c r="K349" s="24"/>
      <c r="L349" s="25"/>
      <c r="M349" s="26"/>
      <c r="N349" s="24"/>
    </row>
    <row r="350" customFormat="false" ht="15" hidden="false" customHeight="false" outlineLevel="0" collapsed="false">
      <c r="A350" s="21"/>
      <c r="B350" s="22"/>
      <c r="C350" s="22"/>
      <c r="D350" s="23"/>
      <c r="E350" s="21"/>
      <c r="F350" s="24"/>
      <c r="G350" s="25"/>
      <c r="H350" s="25"/>
      <c r="I350" s="24"/>
      <c r="J350" s="25"/>
      <c r="K350" s="24"/>
      <c r="L350" s="25"/>
      <c r="M350" s="26"/>
      <c r="N350" s="24"/>
    </row>
    <row r="351" customFormat="false" ht="15" hidden="false" customHeight="false" outlineLevel="0" collapsed="false">
      <c r="A351" s="21"/>
      <c r="B351" s="22"/>
      <c r="C351" s="22"/>
      <c r="D351" s="23"/>
      <c r="E351" s="21"/>
      <c r="F351" s="24"/>
      <c r="G351" s="25"/>
      <c r="H351" s="25"/>
      <c r="I351" s="24"/>
      <c r="J351" s="25"/>
      <c r="K351" s="24"/>
      <c r="L351" s="25"/>
      <c r="M351" s="26"/>
      <c r="N351" s="24"/>
    </row>
    <row r="352" customFormat="false" ht="15" hidden="false" customHeight="false" outlineLevel="0" collapsed="false">
      <c r="A352" s="21"/>
      <c r="B352" s="22"/>
      <c r="C352" s="22"/>
      <c r="D352" s="23"/>
      <c r="E352" s="21"/>
      <c r="F352" s="24"/>
      <c r="G352" s="25"/>
      <c r="H352" s="25"/>
      <c r="I352" s="24"/>
      <c r="J352" s="25"/>
      <c r="K352" s="24"/>
      <c r="L352" s="25"/>
      <c r="M352" s="26"/>
      <c r="N352" s="24"/>
    </row>
    <row r="353" customFormat="false" ht="15" hidden="false" customHeight="false" outlineLevel="0" collapsed="false">
      <c r="A353" s="21"/>
      <c r="B353" s="22"/>
      <c r="C353" s="22"/>
      <c r="D353" s="23"/>
      <c r="E353" s="21"/>
      <c r="F353" s="24"/>
      <c r="G353" s="25"/>
      <c r="H353" s="25"/>
      <c r="I353" s="24"/>
      <c r="J353" s="25"/>
      <c r="K353" s="24"/>
      <c r="L353" s="25"/>
      <c r="M353" s="26"/>
      <c r="N353" s="24"/>
    </row>
    <row r="354" customFormat="false" ht="15" hidden="false" customHeight="false" outlineLevel="0" collapsed="false">
      <c r="A354" s="21"/>
      <c r="B354" s="22"/>
      <c r="C354" s="22"/>
      <c r="D354" s="23"/>
      <c r="E354" s="21"/>
      <c r="F354" s="24"/>
      <c r="G354" s="25"/>
      <c r="H354" s="25"/>
      <c r="I354" s="24"/>
      <c r="J354" s="25"/>
      <c r="K354" s="24"/>
      <c r="L354" s="25"/>
      <c r="M354" s="26"/>
      <c r="N354" s="24"/>
    </row>
    <row r="355" customFormat="false" ht="15" hidden="false" customHeight="false" outlineLevel="0" collapsed="false">
      <c r="A355" s="21"/>
      <c r="B355" s="22"/>
      <c r="C355" s="22"/>
      <c r="D355" s="23"/>
      <c r="E355" s="21"/>
      <c r="F355" s="24"/>
      <c r="G355" s="25"/>
      <c r="H355" s="25"/>
      <c r="I355" s="24"/>
      <c r="J355" s="25"/>
      <c r="K355" s="24"/>
      <c r="L355" s="25"/>
      <c r="M355" s="26"/>
      <c r="N355" s="24"/>
    </row>
    <row r="356" customFormat="false" ht="15" hidden="false" customHeight="false" outlineLevel="0" collapsed="false">
      <c r="A356" s="21"/>
      <c r="B356" s="22"/>
      <c r="C356" s="22"/>
      <c r="D356" s="23"/>
      <c r="E356" s="21"/>
      <c r="F356" s="24"/>
      <c r="G356" s="25"/>
      <c r="H356" s="25"/>
      <c r="I356" s="24"/>
      <c r="J356" s="25"/>
      <c r="K356" s="24"/>
      <c r="L356" s="25"/>
      <c r="M356" s="26"/>
      <c r="N356" s="24"/>
    </row>
    <row r="357" customFormat="false" ht="15" hidden="false" customHeight="false" outlineLevel="0" collapsed="false">
      <c r="A357" s="21"/>
      <c r="B357" s="22"/>
      <c r="C357" s="22"/>
      <c r="D357" s="23"/>
      <c r="E357" s="21"/>
      <c r="F357" s="24"/>
      <c r="G357" s="25"/>
      <c r="H357" s="25"/>
      <c r="I357" s="24"/>
      <c r="J357" s="25"/>
      <c r="K357" s="24"/>
      <c r="L357" s="25"/>
      <c r="M357" s="26"/>
      <c r="N357" s="24"/>
    </row>
    <row r="358" customFormat="false" ht="15" hidden="false" customHeight="false" outlineLevel="0" collapsed="false">
      <c r="A358" s="21"/>
      <c r="B358" s="22"/>
      <c r="C358" s="22"/>
      <c r="D358" s="23"/>
      <c r="E358" s="21"/>
      <c r="F358" s="24"/>
      <c r="G358" s="25"/>
      <c r="H358" s="25"/>
      <c r="I358" s="24"/>
      <c r="J358" s="25"/>
      <c r="K358" s="24"/>
      <c r="L358" s="25"/>
      <c r="M358" s="26"/>
      <c r="N358" s="24"/>
    </row>
    <row r="359" customFormat="false" ht="15" hidden="false" customHeight="false" outlineLevel="0" collapsed="false">
      <c r="A359" s="21"/>
      <c r="B359" s="22"/>
      <c r="C359" s="22"/>
      <c r="D359" s="23"/>
      <c r="E359" s="21"/>
      <c r="F359" s="24"/>
      <c r="G359" s="25"/>
      <c r="H359" s="25"/>
      <c r="I359" s="24"/>
      <c r="J359" s="25"/>
      <c r="K359" s="24"/>
      <c r="L359" s="25"/>
      <c r="M359" s="26"/>
      <c r="N359" s="24"/>
    </row>
    <row r="360" customFormat="false" ht="15" hidden="false" customHeight="false" outlineLevel="0" collapsed="false">
      <c r="A360" s="21"/>
      <c r="B360" s="22"/>
      <c r="C360" s="22"/>
      <c r="D360" s="23"/>
      <c r="E360" s="21"/>
      <c r="F360" s="24"/>
      <c r="G360" s="25"/>
      <c r="H360" s="25"/>
      <c r="I360" s="24"/>
      <c r="J360" s="25"/>
      <c r="K360" s="24"/>
      <c r="L360" s="25"/>
      <c r="M360" s="26"/>
      <c r="N360" s="24"/>
    </row>
    <row r="361" customFormat="false" ht="15" hidden="false" customHeight="false" outlineLevel="0" collapsed="false">
      <c r="A361" s="21"/>
      <c r="B361" s="22"/>
      <c r="C361" s="22"/>
      <c r="D361" s="23"/>
      <c r="E361" s="21"/>
      <c r="F361" s="24"/>
      <c r="G361" s="25"/>
      <c r="H361" s="25"/>
      <c r="I361" s="24"/>
      <c r="J361" s="25"/>
      <c r="K361" s="24"/>
      <c r="L361" s="25"/>
      <c r="M361" s="26"/>
      <c r="N361" s="24"/>
    </row>
    <row r="362" customFormat="false" ht="15" hidden="false" customHeight="false" outlineLevel="0" collapsed="false">
      <c r="A362" s="21"/>
      <c r="B362" s="22"/>
      <c r="C362" s="22"/>
      <c r="D362" s="23"/>
      <c r="E362" s="21"/>
      <c r="F362" s="24"/>
      <c r="G362" s="25"/>
      <c r="H362" s="25"/>
      <c r="I362" s="24"/>
      <c r="J362" s="25"/>
      <c r="K362" s="24"/>
      <c r="L362" s="25"/>
      <c r="M362" s="26"/>
      <c r="N362" s="24"/>
    </row>
    <row r="363" customFormat="false" ht="15" hidden="false" customHeight="false" outlineLevel="0" collapsed="false">
      <c r="A363" s="21"/>
      <c r="B363" s="22"/>
      <c r="C363" s="22"/>
      <c r="D363" s="23"/>
      <c r="E363" s="21"/>
      <c r="F363" s="24"/>
      <c r="G363" s="25"/>
      <c r="H363" s="25"/>
      <c r="I363" s="24"/>
      <c r="J363" s="25"/>
      <c r="K363" s="24"/>
      <c r="L363" s="25"/>
      <c r="M363" s="26"/>
      <c r="N363" s="24"/>
    </row>
    <row r="364" customFormat="false" ht="15" hidden="false" customHeight="false" outlineLevel="0" collapsed="false">
      <c r="A364" s="21"/>
      <c r="B364" s="22"/>
      <c r="C364" s="22"/>
      <c r="D364" s="23"/>
      <c r="E364" s="21"/>
      <c r="F364" s="24"/>
      <c r="G364" s="25"/>
      <c r="H364" s="25"/>
      <c r="I364" s="24"/>
      <c r="J364" s="25"/>
      <c r="K364" s="24"/>
      <c r="L364" s="25"/>
      <c r="M364" s="26"/>
      <c r="N364" s="24"/>
    </row>
    <row r="365" customFormat="false" ht="15" hidden="false" customHeight="false" outlineLevel="0" collapsed="false">
      <c r="A365" s="21"/>
      <c r="B365" s="22"/>
      <c r="C365" s="22"/>
      <c r="D365" s="23"/>
      <c r="E365" s="21"/>
      <c r="F365" s="24"/>
      <c r="G365" s="25"/>
      <c r="H365" s="25"/>
      <c r="I365" s="24"/>
      <c r="J365" s="25"/>
      <c r="K365" s="24"/>
      <c r="L365" s="25"/>
      <c r="M365" s="26"/>
      <c r="N365" s="24"/>
    </row>
    <row r="366" customFormat="false" ht="15" hidden="false" customHeight="false" outlineLevel="0" collapsed="false">
      <c r="A366" s="21"/>
      <c r="B366" s="22"/>
      <c r="C366" s="22"/>
      <c r="D366" s="23"/>
      <c r="E366" s="21"/>
      <c r="F366" s="24"/>
      <c r="G366" s="25"/>
      <c r="H366" s="25"/>
      <c r="I366" s="24"/>
      <c r="J366" s="25"/>
      <c r="K366" s="24"/>
      <c r="L366" s="25"/>
      <c r="M366" s="26"/>
      <c r="N366" s="24"/>
    </row>
    <row r="367" customFormat="false" ht="15" hidden="false" customHeight="false" outlineLevel="0" collapsed="false">
      <c r="A367" s="21"/>
      <c r="B367" s="22"/>
      <c r="C367" s="22"/>
      <c r="D367" s="23"/>
      <c r="E367" s="21"/>
      <c r="F367" s="24"/>
      <c r="G367" s="25"/>
      <c r="H367" s="25"/>
      <c r="I367" s="24"/>
      <c r="J367" s="25"/>
      <c r="K367" s="24"/>
      <c r="L367" s="25"/>
      <c r="M367" s="26"/>
      <c r="N367" s="24"/>
    </row>
    <row r="368" customFormat="false" ht="15" hidden="false" customHeight="false" outlineLevel="0" collapsed="false">
      <c r="A368" s="21"/>
      <c r="B368" s="22"/>
      <c r="C368" s="22"/>
      <c r="D368" s="23"/>
      <c r="E368" s="21"/>
      <c r="F368" s="24"/>
      <c r="G368" s="25"/>
      <c r="H368" s="25"/>
      <c r="I368" s="24"/>
      <c r="J368" s="25"/>
      <c r="K368" s="24"/>
      <c r="L368" s="25"/>
      <c r="M368" s="26"/>
      <c r="N368" s="24"/>
    </row>
    <row r="369" customFormat="false" ht="15" hidden="false" customHeight="false" outlineLevel="0" collapsed="false">
      <c r="A369" s="21"/>
      <c r="B369" s="22"/>
      <c r="C369" s="22"/>
      <c r="D369" s="23"/>
      <c r="E369" s="21"/>
      <c r="F369" s="24"/>
      <c r="G369" s="25"/>
      <c r="H369" s="25"/>
      <c r="I369" s="24"/>
      <c r="J369" s="25"/>
      <c r="K369" s="24"/>
      <c r="L369" s="25"/>
      <c r="M369" s="26"/>
      <c r="N369" s="24"/>
    </row>
    <row r="370" customFormat="false" ht="15" hidden="false" customHeight="false" outlineLevel="0" collapsed="false">
      <c r="A370" s="21"/>
      <c r="B370" s="22"/>
      <c r="C370" s="22"/>
      <c r="D370" s="23"/>
      <c r="E370" s="21"/>
      <c r="F370" s="24"/>
      <c r="G370" s="25"/>
      <c r="H370" s="25"/>
      <c r="I370" s="24"/>
      <c r="J370" s="25"/>
      <c r="K370" s="24"/>
      <c r="L370" s="25"/>
      <c r="M370" s="26"/>
      <c r="N370" s="24"/>
    </row>
    <row r="371" customFormat="false" ht="15" hidden="false" customHeight="false" outlineLevel="0" collapsed="false">
      <c r="A371" s="21"/>
      <c r="B371" s="22"/>
      <c r="C371" s="22"/>
      <c r="D371" s="23"/>
      <c r="E371" s="21"/>
      <c r="F371" s="24"/>
      <c r="G371" s="25"/>
      <c r="H371" s="25"/>
      <c r="I371" s="24"/>
      <c r="J371" s="25"/>
      <c r="K371" s="24"/>
      <c r="L371" s="25"/>
      <c r="M371" s="26"/>
      <c r="N371" s="24"/>
    </row>
    <row r="372" customFormat="false" ht="15" hidden="false" customHeight="false" outlineLevel="0" collapsed="false">
      <c r="A372" s="21"/>
      <c r="B372" s="22"/>
      <c r="C372" s="22"/>
      <c r="D372" s="23"/>
      <c r="E372" s="21"/>
      <c r="F372" s="24"/>
      <c r="G372" s="25"/>
      <c r="H372" s="25"/>
      <c r="I372" s="24"/>
      <c r="J372" s="25"/>
      <c r="K372" s="24"/>
      <c r="L372" s="25"/>
      <c r="M372" s="26"/>
      <c r="N372" s="24"/>
    </row>
    <row r="373" customFormat="false" ht="15" hidden="false" customHeight="false" outlineLevel="0" collapsed="false">
      <c r="A373" s="21"/>
      <c r="B373" s="22"/>
      <c r="C373" s="22"/>
      <c r="D373" s="23"/>
      <c r="E373" s="21"/>
      <c r="F373" s="24"/>
      <c r="G373" s="25"/>
      <c r="H373" s="25"/>
      <c r="I373" s="24"/>
      <c r="J373" s="25"/>
      <c r="K373" s="24"/>
      <c r="L373" s="25"/>
      <c r="M373" s="26"/>
      <c r="N373" s="24"/>
    </row>
    <row r="374" customFormat="false" ht="15" hidden="false" customHeight="false" outlineLevel="0" collapsed="false">
      <c r="A374" s="21"/>
      <c r="B374" s="22"/>
      <c r="C374" s="22"/>
      <c r="D374" s="23"/>
      <c r="E374" s="21"/>
      <c r="F374" s="24"/>
      <c r="G374" s="25"/>
      <c r="H374" s="25"/>
      <c r="I374" s="24"/>
      <c r="J374" s="25"/>
      <c r="K374" s="24"/>
      <c r="L374" s="25"/>
      <c r="M374" s="26"/>
      <c r="N374" s="24"/>
    </row>
    <row r="375" customFormat="false" ht="15" hidden="false" customHeight="false" outlineLevel="0" collapsed="false">
      <c r="A375" s="21"/>
      <c r="B375" s="22"/>
      <c r="C375" s="22"/>
      <c r="D375" s="23"/>
      <c r="E375" s="21"/>
      <c r="F375" s="24"/>
      <c r="G375" s="25"/>
      <c r="H375" s="25"/>
      <c r="I375" s="24"/>
      <c r="J375" s="25"/>
      <c r="K375" s="24"/>
      <c r="L375" s="25"/>
      <c r="M375" s="26"/>
      <c r="N375" s="24"/>
    </row>
    <row r="376" customFormat="false" ht="15" hidden="false" customHeight="false" outlineLevel="0" collapsed="false">
      <c r="A376" s="21"/>
      <c r="B376" s="22"/>
      <c r="C376" s="22"/>
      <c r="D376" s="23"/>
      <c r="E376" s="21"/>
      <c r="F376" s="24"/>
      <c r="G376" s="25"/>
      <c r="H376" s="25"/>
      <c r="I376" s="24"/>
      <c r="J376" s="25"/>
      <c r="K376" s="24"/>
      <c r="L376" s="25"/>
      <c r="M376" s="26"/>
      <c r="N376" s="24"/>
    </row>
    <row r="377" customFormat="false" ht="15" hidden="false" customHeight="false" outlineLevel="0" collapsed="false">
      <c r="A377" s="21"/>
      <c r="B377" s="22"/>
      <c r="C377" s="22"/>
      <c r="D377" s="23"/>
      <c r="E377" s="21"/>
      <c r="F377" s="24"/>
      <c r="G377" s="25"/>
      <c r="H377" s="25"/>
      <c r="I377" s="24"/>
      <c r="J377" s="25"/>
      <c r="K377" s="24"/>
      <c r="L377" s="25"/>
      <c r="M377" s="26"/>
      <c r="N377" s="24"/>
    </row>
    <row r="378" customFormat="false" ht="15" hidden="false" customHeight="false" outlineLevel="0" collapsed="false">
      <c r="A378" s="21"/>
      <c r="B378" s="22"/>
      <c r="C378" s="22"/>
      <c r="D378" s="23"/>
      <c r="E378" s="21"/>
      <c r="F378" s="24"/>
      <c r="G378" s="25"/>
      <c r="H378" s="25"/>
      <c r="I378" s="24"/>
      <c r="J378" s="25"/>
      <c r="K378" s="24"/>
      <c r="L378" s="25"/>
      <c r="M378" s="26"/>
      <c r="N378" s="24"/>
    </row>
    <row r="379" customFormat="false" ht="15" hidden="false" customHeight="false" outlineLevel="0" collapsed="false">
      <c r="A379" s="21"/>
      <c r="B379" s="22"/>
      <c r="C379" s="22"/>
      <c r="D379" s="23"/>
      <c r="E379" s="21"/>
      <c r="F379" s="24"/>
      <c r="G379" s="25"/>
      <c r="H379" s="25"/>
      <c r="I379" s="24"/>
      <c r="J379" s="25"/>
      <c r="K379" s="24"/>
      <c r="L379" s="25"/>
      <c r="M379" s="26"/>
      <c r="N379" s="24"/>
    </row>
    <row r="380" customFormat="false" ht="15" hidden="false" customHeight="false" outlineLevel="0" collapsed="false">
      <c r="A380" s="21"/>
      <c r="B380" s="22"/>
      <c r="C380" s="22"/>
      <c r="D380" s="23"/>
      <c r="E380" s="21"/>
      <c r="F380" s="24"/>
      <c r="G380" s="25"/>
      <c r="H380" s="25"/>
      <c r="I380" s="24"/>
      <c r="J380" s="25"/>
      <c r="K380" s="24"/>
      <c r="L380" s="25"/>
      <c r="M380" s="26"/>
      <c r="N380" s="24"/>
    </row>
    <row r="381" customFormat="false" ht="15" hidden="false" customHeight="false" outlineLevel="0" collapsed="false">
      <c r="A381" s="21"/>
      <c r="B381" s="22"/>
      <c r="C381" s="22"/>
      <c r="D381" s="23"/>
      <c r="E381" s="21"/>
      <c r="F381" s="24"/>
      <c r="G381" s="25"/>
      <c r="H381" s="25"/>
      <c r="I381" s="24"/>
      <c r="J381" s="25"/>
      <c r="K381" s="24"/>
      <c r="L381" s="25"/>
      <c r="M381" s="26"/>
      <c r="N381" s="24"/>
    </row>
    <row r="382" customFormat="false" ht="15" hidden="false" customHeight="false" outlineLevel="0" collapsed="false">
      <c r="A382" s="21"/>
      <c r="B382" s="22"/>
      <c r="C382" s="22"/>
      <c r="D382" s="23"/>
      <c r="E382" s="21"/>
      <c r="F382" s="24"/>
      <c r="G382" s="25"/>
      <c r="H382" s="25"/>
      <c r="I382" s="24"/>
      <c r="J382" s="25"/>
      <c r="K382" s="24"/>
      <c r="L382" s="25"/>
      <c r="M382" s="26"/>
      <c r="N382" s="24"/>
    </row>
    <row r="383" customFormat="false" ht="15" hidden="false" customHeight="false" outlineLevel="0" collapsed="false">
      <c r="A383" s="21"/>
      <c r="B383" s="22"/>
      <c r="C383" s="22"/>
      <c r="D383" s="23"/>
      <c r="E383" s="21"/>
      <c r="F383" s="24"/>
      <c r="G383" s="25"/>
      <c r="H383" s="25"/>
      <c r="I383" s="24"/>
      <c r="J383" s="25"/>
      <c r="K383" s="24"/>
      <c r="L383" s="25"/>
      <c r="M383" s="26"/>
      <c r="N383" s="24"/>
    </row>
    <row r="384" customFormat="false" ht="15" hidden="false" customHeight="false" outlineLevel="0" collapsed="false">
      <c r="A384" s="21"/>
      <c r="B384" s="22"/>
      <c r="C384" s="22"/>
      <c r="D384" s="23"/>
      <c r="E384" s="21"/>
      <c r="F384" s="24"/>
      <c r="G384" s="25"/>
      <c r="H384" s="25"/>
      <c r="I384" s="24"/>
      <c r="J384" s="25"/>
      <c r="K384" s="24"/>
      <c r="L384" s="25"/>
      <c r="M384" s="26"/>
      <c r="N384" s="24"/>
    </row>
    <row r="385" customFormat="false" ht="15" hidden="false" customHeight="false" outlineLevel="0" collapsed="false">
      <c r="A385" s="21"/>
      <c r="B385" s="22"/>
      <c r="C385" s="22"/>
      <c r="D385" s="23"/>
      <c r="E385" s="21"/>
      <c r="F385" s="24"/>
      <c r="G385" s="25"/>
      <c r="H385" s="25"/>
      <c r="I385" s="24"/>
      <c r="J385" s="25"/>
      <c r="K385" s="24"/>
      <c r="L385" s="25"/>
      <c r="M385" s="26"/>
      <c r="N385" s="24"/>
    </row>
    <row r="386" customFormat="false" ht="15" hidden="false" customHeight="false" outlineLevel="0" collapsed="false">
      <c r="A386" s="21"/>
      <c r="B386" s="22"/>
      <c r="C386" s="22"/>
      <c r="D386" s="23"/>
      <c r="E386" s="21"/>
      <c r="F386" s="24"/>
      <c r="G386" s="25"/>
      <c r="H386" s="25"/>
      <c r="I386" s="24"/>
      <c r="J386" s="25"/>
      <c r="K386" s="24"/>
      <c r="L386" s="25"/>
      <c r="M386" s="26"/>
      <c r="N386" s="24"/>
    </row>
    <row r="387" customFormat="false" ht="15" hidden="false" customHeight="false" outlineLevel="0" collapsed="false">
      <c r="A387" s="21"/>
      <c r="B387" s="22"/>
      <c r="C387" s="22"/>
      <c r="D387" s="23"/>
      <c r="E387" s="21"/>
      <c r="F387" s="24"/>
      <c r="G387" s="25"/>
      <c r="H387" s="25"/>
      <c r="I387" s="24"/>
      <c r="J387" s="25"/>
      <c r="K387" s="24"/>
      <c r="L387" s="25"/>
      <c r="M387" s="26"/>
      <c r="N387" s="24"/>
    </row>
    <row r="388" customFormat="false" ht="15" hidden="false" customHeight="false" outlineLevel="0" collapsed="false">
      <c r="A388" s="21"/>
      <c r="B388" s="22"/>
      <c r="C388" s="22"/>
      <c r="D388" s="23"/>
      <c r="E388" s="21"/>
      <c r="F388" s="24"/>
      <c r="G388" s="25"/>
      <c r="H388" s="25"/>
      <c r="I388" s="24"/>
      <c r="J388" s="25"/>
      <c r="K388" s="24"/>
      <c r="L388" s="25"/>
      <c r="M388" s="26"/>
      <c r="N388" s="24"/>
    </row>
    <row r="389" customFormat="false" ht="15" hidden="false" customHeight="false" outlineLevel="0" collapsed="false">
      <c r="A389" s="21"/>
      <c r="B389" s="22"/>
      <c r="C389" s="22"/>
      <c r="D389" s="23"/>
      <c r="E389" s="21"/>
      <c r="F389" s="24"/>
      <c r="G389" s="25"/>
      <c r="H389" s="25"/>
      <c r="I389" s="24"/>
      <c r="J389" s="25"/>
      <c r="K389" s="24"/>
      <c r="L389" s="25"/>
      <c r="M389" s="26"/>
      <c r="N389" s="24"/>
    </row>
    <row r="390" customFormat="false" ht="15" hidden="false" customHeight="false" outlineLevel="0" collapsed="false">
      <c r="A390" s="21"/>
      <c r="B390" s="22"/>
      <c r="C390" s="22"/>
      <c r="D390" s="23"/>
      <c r="E390" s="21"/>
      <c r="F390" s="24"/>
      <c r="G390" s="25"/>
      <c r="H390" s="25"/>
      <c r="I390" s="24"/>
      <c r="J390" s="25"/>
      <c r="K390" s="24"/>
      <c r="L390" s="25"/>
      <c r="M390" s="26"/>
      <c r="N390" s="24"/>
    </row>
    <row r="391" customFormat="false" ht="15" hidden="false" customHeight="false" outlineLevel="0" collapsed="false">
      <c r="A391" s="21"/>
      <c r="B391" s="22"/>
      <c r="C391" s="22"/>
      <c r="D391" s="23"/>
      <c r="E391" s="21"/>
      <c r="F391" s="24"/>
      <c r="G391" s="25"/>
      <c r="H391" s="25"/>
      <c r="I391" s="24"/>
      <c r="J391" s="25"/>
      <c r="K391" s="24"/>
      <c r="L391" s="25"/>
      <c r="M391" s="26"/>
      <c r="N391" s="24"/>
    </row>
    <row r="392" customFormat="false" ht="15" hidden="false" customHeight="false" outlineLevel="0" collapsed="false">
      <c r="A392" s="21"/>
      <c r="B392" s="22"/>
      <c r="C392" s="22"/>
      <c r="D392" s="23"/>
      <c r="E392" s="21"/>
      <c r="F392" s="24"/>
      <c r="G392" s="25"/>
      <c r="H392" s="25"/>
      <c r="I392" s="24"/>
      <c r="J392" s="25"/>
      <c r="K392" s="24"/>
      <c r="L392" s="25"/>
      <c r="M392" s="26"/>
      <c r="N392" s="24"/>
    </row>
    <row r="393" customFormat="false" ht="15" hidden="false" customHeight="false" outlineLevel="0" collapsed="false">
      <c r="A393" s="21"/>
      <c r="B393" s="22"/>
      <c r="C393" s="22"/>
      <c r="D393" s="23"/>
      <c r="E393" s="21"/>
      <c r="F393" s="24"/>
      <c r="G393" s="25"/>
      <c r="H393" s="25"/>
      <c r="I393" s="24"/>
      <c r="J393" s="25"/>
      <c r="K393" s="24"/>
      <c r="L393" s="25"/>
      <c r="M393" s="26"/>
      <c r="N393" s="24"/>
    </row>
    <row r="394" customFormat="false" ht="15" hidden="false" customHeight="false" outlineLevel="0" collapsed="false">
      <c r="A394" s="21"/>
      <c r="B394" s="22"/>
      <c r="C394" s="22"/>
      <c r="D394" s="23"/>
      <c r="E394" s="21"/>
      <c r="F394" s="24"/>
      <c r="G394" s="25"/>
      <c r="H394" s="25"/>
      <c r="I394" s="24"/>
      <c r="J394" s="25"/>
      <c r="K394" s="24"/>
      <c r="L394" s="25"/>
      <c r="M394" s="26"/>
      <c r="N394" s="24"/>
    </row>
    <row r="395" customFormat="false" ht="15" hidden="false" customHeight="false" outlineLevel="0" collapsed="false">
      <c r="A395" s="21"/>
      <c r="B395" s="22"/>
      <c r="C395" s="22"/>
      <c r="D395" s="23"/>
      <c r="E395" s="21"/>
      <c r="F395" s="24"/>
      <c r="G395" s="25"/>
      <c r="H395" s="25"/>
      <c r="I395" s="24"/>
      <c r="J395" s="25"/>
      <c r="K395" s="24"/>
      <c r="L395" s="25"/>
      <c r="M395" s="26"/>
      <c r="N395" s="24"/>
    </row>
    <row r="396" customFormat="false" ht="15" hidden="false" customHeight="false" outlineLevel="0" collapsed="false">
      <c r="A396" s="21"/>
      <c r="B396" s="22"/>
      <c r="C396" s="22"/>
      <c r="D396" s="23"/>
      <c r="E396" s="21"/>
      <c r="F396" s="24"/>
      <c r="G396" s="25"/>
      <c r="H396" s="25"/>
      <c r="I396" s="24"/>
      <c r="J396" s="25"/>
      <c r="K396" s="24"/>
      <c r="L396" s="25"/>
      <c r="M396" s="26"/>
      <c r="N396" s="24"/>
    </row>
    <row r="397" customFormat="false" ht="15" hidden="false" customHeight="false" outlineLevel="0" collapsed="false">
      <c r="A397" s="21"/>
      <c r="B397" s="22"/>
      <c r="C397" s="22"/>
      <c r="D397" s="23"/>
      <c r="E397" s="21"/>
      <c r="F397" s="24"/>
      <c r="G397" s="25"/>
      <c r="H397" s="25"/>
      <c r="I397" s="24"/>
      <c r="J397" s="25"/>
      <c r="K397" s="24"/>
      <c r="L397" s="25"/>
      <c r="M397" s="26"/>
      <c r="N397" s="24"/>
    </row>
    <row r="398" customFormat="false" ht="15" hidden="false" customHeight="false" outlineLevel="0" collapsed="false">
      <c r="A398" s="21"/>
      <c r="B398" s="22"/>
      <c r="C398" s="22"/>
      <c r="D398" s="23"/>
      <c r="E398" s="21"/>
      <c r="F398" s="24"/>
      <c r="G398" s="25"/>
      <c r="H398" s="25"/>
      <c r="I398" s="24"/>
      <c r="J398" s="25"/>
      <c r="K398" s="24"/>
      <c r="L398" s="25"/>
      <c r="M398" s="26"/>
      <c r="N398" s="24"/>
    </row>
    <row r="399" customFormat="false" ht="15" hidden="false" customHeight="false" outlineLevel="0" collapsed="false">
      <c r="A399" s="21"/>
      <c r="B399" s="22"/>
      <c r="C399" s="22"/>
      <c r="D399" s="23"/>
      <c r="E399" s="21"/>
      <c r="F399" s="24"/>
      <c r="G399" s="25"/>
      <c r="H399" s="25"/>
      <c r="I399" s="24"/>
      <c r="J399" s="25"/>
      <c r="K399" s="24"/>
      <c r="L399" s="25"/>
      <c r="M399" s="26"/>
      <c r="N399" s="24"/>
    </row>
    <row r="400" customFormat="false" ht="15" hidden="false" customHeight="false" outlineLevel="0" collapsed="false">
      <c r="A400" s="21"/>
      <c r="B400" s="22"/>
      <c r="C400" s="22"/>
      <c r="D400" s="23"/>
      <c r="E400" s="21"/>
      <c r="F400" s="24"/>
      <c r="G400" s="25"/>
      <c r="H400" s="25"/>
      <c r="I400" s="24"/>
      <c r="J400" s="25"/>
      <c r="K400" s="24"/>
      <c r="L400" s="25"/>
      <c r="M400" s="26"/>
      <c r="N400" s="24"/>
    </row>
    <row r="401" customFormat="false" ht="15" hidden="false" customHeight="false" outlineLevel="0" collapsed="false">
      <c r="A401" s="21"/>
      <c r="B401" s="22"/>
      <c r="C401" s="22"/>
      <c r="D401" s="23"/>
      <c r="E401" s="21"/>
      <c r="F401" s="24"/>
      <c r="G401" s="25"/>
      <c r="H401" s="25"/>
      <c r="I401" s="24"/>
      <c r="J401" s="25"/>
      <c r="K401" s="24"/>
      <c r="L401" s="25"/>
      <c r="M401" s="26"/>
      <c r="N401" s="24"/>
    </row>
    <row r="402" customFormat="false" ht="15" hidden="false" customHeight="false" outlineLevel="0" collapsed="false">
      <c r="A402" s="21"/>
      <c r="B402" s="22"/>
      <c r="C402" s="22"/>
      <c r="D402" s="23"/>
      <c r="E402" s="21"/>
      <c r="F402" s="24"/>
      <c r="G402" s="25"/>
      <c r="H402" s="25"/>
      <c r="I402" s="24"/>
      <c r="J402" s="25"/>
      <c r="K402" s="24"/>
      <c r="L402" s="25"/>
      <c r="M402" s="26"/>
      <c r="N402" s="24"/>
    </row>
    <row r="403" customFormat="false" ht="15" hidden="false" customHeight="false" outlineLevel="0" collapsed="false">
      <c r="A403" s="21"/>
      <c r="B403" s="22"/>
      <c r="C403" s="22"/>
      <c r="D403" s="23"/>
      <c r="E403" s="21"/>
      <c r="F403" s="24"/>
      <c r="G403" s="25"/>
      <c r="H403" s="25"/>
      <c r="I403" s="24"/>
      <c r="J403" s="25"/>
      <c r="K403" s="24"/>
      <c r="L403" s="25"/>
      <c r="M403" s="26"/>
      <c r="N403" s="24"/>
    </row>
    <row r="404" customFormat="false" ht="15" hidden="false" customHeight="false" outlineLevel="0" collapsed="false">
      <c r="A404" s="21"/>
      <c r="B404" s="22"/>
      <c r="C404" s="22"/>
      <c r="D404" s="23"/>
      <c r="E404" s="21"/>
      <c r="F404" s="24"/>
      <c r="G404" s="25"/>
      <c r="H404" s="25"/>
      <c r="I404" s="24"/>
      <c r="J404" s="25"/>
      <c r="K404" s="24"/>
      <c r="L404" s="25"/>
      <c r="M404" s="26"/>
      <c r="N404" s="24"/>
    </row>
    <row r="405" customFormat="false" ht="15" hidden="false" customHeight="false" outlineLevel="0" collapsed="false">
      <c r="A405" s="21"/>
      <c r="B405" s="22"/>
      <c r="C405" s="22"/>
      <c r="D405" s="23"/>
      <c r="E405" s="21"/>
      <c r="F405" s="24"/>
      <c r="G405" s="25"/>
      <c r="H405" s="25"/>
      <c r="I405" s="24"/>
      <c r="J405" s="25"/>
      <c r="K405" s="24"/>
      <c r="L405" s="25"/>
      <c r="M405" s="26"/>
      <c r="N405" s="24"/>
    </row>
    <row r="406" customFormat="false" ht="15" hidden="false" customHeight="false" outlineLevel="0" collapsed="false">
      <c r="A406" s="21"/>
      <c r="B406" s="22"/>
      <c r="C406" s="22"/>
      <c r="D406" s="23"/>
      <c r="E406" s="21"/>
      <c r="F406" s="24"/>
      <c r="G406" s="25"/>
      <c r="H406" s="25"/>
      <c r="I406" s="24"/>
      <c r="J406" s="25"/>
      <c r="K406" s="24"/>
      <c r="L406" s="25"/>
      <c r="M406" s="26"/>
      <c r="N406" s="24"/>
    </row>
    <row r="407" customFormat="false" ht="15" hidden="false" customHeight="false" outlineLevel="0" collapsed="false">
      <c r="A407" s="21"/>
      <c r="B407" s="22"/>
      <c r="C407" s="22"/>
      <c r="D407" s="23"/>
      <c r="E407" s="21"/>
      <c r="F407" s="24"/>
      <c r="G407" s="25"/>
      <c r="H407" s="25"/>
      <c r="I407" s="24"/>
      <c r="J407" s="25"/>
      <c r="K407" s="24"/>
      <c r="L407" s="25"/>
      <c r="M407" s="26"/>
      <c r="N407" s="24"/>
    </row>
    <row r="408" customFormat="false" ht="15" hidden="false" customHeight="false" outlineLevel="0" collapsed="false">
      <c r="A408" s="21"/>
      <c r="B408" s="22"/>
      <c r="C408" s="22"/>
      <c r="D408" s="23"/>
      <c r="E408" s="21"/>
      <c r="F408" s="24"/>
      <c r="G408" s="25"/>
      <c r="H408" s="25"/>
      <c r="I408" s="24"/>
      <c r="J408" s="25"/>
      <c r="K408" s="24"/>
      <c r="L408" s="25"/>
      <c r="M408" s="26"/>
      <c r="N408" s="24"/>
    </row>
    <row r="409" customFormat="false" ht="15" hidden="false" customHeight="false" outlineLevel="0" collapsed="false">
      <c r="A409" s="21"/>
      <c r="B409" s="22"/>
      <c r="C409" s="22"/>
      <c r="D409" s="23"/>
      <c r="E409" s="21"/>
      <c r="F409" s="24"/>
      <c r="G409" s="25"/>
      <c r="H409" s="25"/>
      <c r="I409" s="24"/>
      <c r="J409" s="25"/>
      <c r="K409" s="24"/>
      <c r="L409" s="25"/>
      <c r="M409" s="26"/>
      <c r="N409" s="24"/>
    </row>
    <row r="410" customFormat="false" ht="15" hidden="false" customHeight="false" outlineLevel="0" collapsed="false">
      <c r="A410" s="21"/>
      <c r="B410" s="22"/>
      <c r="C410" s="22"/>
      <c r="D410" s="23"/>
      <c r="E410" s="21"/>
      <c r="F410" s="24"/>
      <c r="G410" s="25"/>
      <c r="H410" s="25"/>
      <c r="I410" s="24"/>
      <c r="J410" s="25"/>
      <c r="K410" s="24"/>
      <c r="L410" s="25"/>
      <c r="M410" s="26"/>
      <c r="N410" s="24"/>
    </row>
    <row r="411" customFormat="false" ht="15" hidden="false" customHeight="false" outlineLevel="0" collapsed="false">
      <c r="A411" s="21"/>
      <c r="B411" s="22"/>
      <c r="C411" s="22"/>
      <c r="D411" s="23"/>
      <c r="E411" s="21"/>
      <c r="F411" s="24"/>
      <c r="G411" s="25"/>
      <c r="H411" s="25"/>
      <c r="I411" s="24"/>
      <c r="J411" s="25"/>
      <c r="K411" s="24"/>
      <c r="L411" s="25"/>
      <c r="M411" s="26"/>
      <c r="N411" s="24"/>
    </row>
    <row r="412" customFormat="false" ht="15" hidden="false" customHeight="false" outlineLevel="0" collapsed="false">
      <c r="A412" s="21"/>
      <c r="B412" s="22"/>
      <c r="C412" s="22"/>
      <c r="D412" s="23"/>
      <c r="E412" s="21"/>
      <c r="F412" s="24"/>
      <c r="G412" s="25"/>
      <c r="H412" s="25"/>
      <c r="I412" s="24"/>
      <c r="J412" s="25"/>
      <c r="K412" s="24"/>
      <c r="L412" s="25"/>
      <c r="M412" s="26"/>
      <c r="N412" s="24"/>
    </row>
    <row r="413" customFormat="false" ht="15" hidden="false" customHeight="false" outlineLevel="0" collapsed="false">
      <c r="A413" s="21"/>
      <c r="B413" s="22"/>
      <c r="C413" s="22"/>
      <c r="D413" s="23"/>
      <c r="E413" s="21"/>
      <c r="F413" s="24"/>
      <c r="G413" s="25"/>
      <c r="H413" s="25"/>
      <c r="I413" s="24"/>
      <c r="J413" s="25"/>
      <c r="K413" s="24"/>
      <c r="L413" s="25"/>
      <c r="M413" s="26"/>
      <c r="N413" s="24"/>
    </row>
    <row r="414" customFormat="false" ht="15" hidden="false" customHeight="false" outlineLevel="0" collapsed="false">
      <c r="A414" s="21"/>
      <c r="B414" s="22"/>
      <c r="C414" s="22"/>
      <c r="D414" s="23"/>
      <c r="E414" s="21"/>
      <c r="F414" s="24"/>
      <c r="G414" s="25"/>
      <c r="H414" s="25"/>
      <c r="I414" s="24"/>
      <c r="J414" s="25"/>
      <c r="K414" s="24"/>
      <c r="L414" s="25"/>
      <c r="M414" s="26"/>
      <c r="N414" s="24"/>
    </row>
    <row r="415" customFormat="false" ht="15" hidden="false" customHeight="false" outlineLevel="0" collapsed="false">
      <c r="A415" s="21"/>
      <c r="B415" s="22"/>
      <c r="C415" s="22"/>
      <c r="D415" s="23"/>
      <c r="E415" s="21"/>
      <c r="F415" s="24"/>
      <c r="G415" s="25"/>
      <c r="H415" s="25"/>
      <c r="I415" s="24"/>
      <c r="J415" s="25"/>
      <c r="K415" s="24"/>
      <c r="L415" s="25"/>
      <c r="M415" s="26"/>
      <c r="N415" s="24"/>
    </row>
    <row r="416" customFormat="false" ht="15" hidden="false" customHeight="false" outlineLevel="0" collapsed="false">
      <c r="A416" s="21"/>
      <c r="B416" s="22"/>
      <c r="C416" s="22"/>
      <c r="D416" s="23"/>
      <c r="E416" s="21"/>
      <c r="F416" s="24"/>
      <c r="G416" s="25"/>
      <c r="H416" s="25"/>
      <c r="I416" s="24"/>
      <c r="J416" s="25"/>
      <c r="K416" s="24"/>
      <c r="L416" s="25"/>
      <c r="M416" s="26"/>
      <c r="N416" s="24"/>
    </row>
    <row r="417" customFormat="false" ht="15" hidden="false" customHeight="false" outlineLevel="0" collapsed="false">
      <c r="A417" s="21"/>
      <c r="B417" s="22"/>
      <c r="C417" s="22"/>
      <c r="D417" s="23"/>
      <c r="E417" s="21"/>
      <c r="F417" s="24"/>
      <c r="G417" s="25"/>
      <c r="H417" s="25"/>
      <c r="I417" s="24"/>
      <c r="J417" s="25"/>
      <c r="K417" s="24"/>
      <c r="L417" s="25"/>
      <c r="M417" s="26"/>
      <c r="N417" s="24"/>
    </row>
    <row r="418" customFormat="false" ht="15" hidden="false" customHeight="false" outlineLevel="0" collapsed="false">
      <c r="A418" s="21"/>
      <c r="B418" s="22"/>
      <c r="C418" s="22"/>
      <c r="D418" s="23"/>
      <c r="E418" s="21"/>
      <c r="F418" s="24"/>
      <c r="G418" s="25"/>
      <c r="H418" s="25"/>
      <c r="I418" s="24"/>
      <c r="J418" s="25"/>
      <c r="K418" s="24"/>
      <c r="L418" s="25"/>
      <c r="M418" s="26"/>
      <c r="N418" s="24"/>
    </row>
    <row r="419" customFormat="false" ht="15" hidden="false" customHeight="false" outlineLevel="0" collapsed="false">
      <c r="A419" s="21"/>
      <c r="B419" s="22"/>
      <c r="C419" s="22"/>
      <c r="D419" s="23"/>
      <c r="E419" s="21"/>
      <c r="F419" s="24"/>
      <c r="G419" s="25"/>
      <c r="H419" s="25"/>
      <c r="I419" s="24"/>
      <c r="J419" s="25"/>
      <c r="K419" s="24"/>
      <c r="L419" s="25"/>
      <c r="M419" s="26"/>
      <c r="N419" s="24"/>
    </row>
    <row r="420" customFormat="false" ht="15" hidden="false" customHeight="false" outlineLevel="0" collapsed="false">
      <c r="A420" s="21"/>
      <c r="B420" s="22"/>
      <c r="C420" s="22"/>
      <c r="D420" s="23"/>
      <c r="E420" s="21"/>
      <c r="F420" s="24"/>
      <c r="G420" s="25"/>
      <c r="H420" s="25"/>
      <c r="I420" s="24"/>
      <c r="J420" s="25"/>
      <c r="K420" s="24"/>
      <c r="L420" s="25"/>
      <c r="M420" s="26"/>
      <c r="N420" s="24"/>
    </row>
    <row r="421" customFormat="false" ht="15" hidden="false" customHeight="false" outlineLevel="0" collapsed="false">
      <c r="A421" s="21"/>
      <c r="B421" s="22"/>
      <c r="C421" s="22"/>
      <c r="D421" s="23"/>
      <c r="E421" s="21"/>
      <c r="F421" s="24"/>
      <c r="G421" s="25"/>
      <c r="H421" s="25"/>
      <c r="I421" s="24"/>
      <c r="J421" s="25"/>
      <c r="K421" s="24"/>
      <c r="L421" s="25"/>
      <c r="M421" s="26"/>
      <c r="N421" s="24"/>
    </row>
    <row r="422" customFormat="false" ht="15" hidden="false" customHeight="false" outlineLevel="0" collapsed="false">
      <c r="A422" s="21"/>
      <c r="B422" s="22"/>
      <c r="C422" s="22"/>
      <c r="D422" s="23"/>
      <c r="E422" s="21"/>
      <c r="F422" s="24"/>
      <c r="G422" s="25"/>
      <c r="H422" s="25"/>
      <c r="I422" s="24"/>
      <c r="J422" s="25"/>
      <c r="K422" s="24"/>
      <c r="L422" s="25"/>
      <c r="M422" s="26"/>
      <c r="N422" s="24"/>
    </row>
    <row r="423" customFormat="false" ht="15" hidden="false" customHeight="false" outlineLevel="0" collapsed="false">
      <c r="A423" s="21"/>
      <c r="B423" s="22"/>
      <c r="C423" s="22"/>
      <c r="D423" s="23"/>
      <c r="E423" s="21"/>
      <c r="F423" s="24"/>
      <c r="G423" s="25"/>
      <c r="H423" s="25"/>
      <c r="I423" s="24"/>
      <c r="J423" s="25"/>
      <c r="K423" s="24"/>
      <c r="L423" s="25"/>
      <c r="M423" s="26"/>
      <c r="N423" s="24"/>
    </row>
    <row r="424" customFormat="false" ht="15" hidden="false" customHeight="false" outlineLevel="0" collapsed="false">
      <c r="A424" s="21"/>
      <c r="B424" s="22"/>
      <c r="C424" s="22"/>
      <c r="D424" s="23"/>
      <c r="E424" s="21"/>
      <c r="F424" s="24"/>
      <c r="G424" s="25"/>
      <c r="H424" s="25"/>
      <c r="I424" s="24"/>
      <c r="J424" s="25"/>
      <c r="K424" s="24"/>
      <c r="L424" s="25"/>
      <c r="M424" s="26"/>
      <c r="N424" s="24"/>
    </row>
    <row r="425" customFormat="false" ht="15" hidden="false" customHeight="false" outlineLevel="0" collapsed="false">
      <c r="A425" s="21"/>
      <c r="B425" s="22"/>
      <c r="C425" s="22"/>
      <c r="D425" s="23"/>
      <c r="E425" s="21"/>
      <c r="F425" s="24"/>
      <c r="G425" s="25"/>
      <c r="H425" s="25"/>
      <c r="I425" s="24"/>
      <c r="J425" s="25"/>
      <c r="K425" s="24"/>
      <c r="L425" s="25"/>
      <c r="M425" s="26"/>
      <c r="N425" s="24"/>
    </row>
    <row r="426" customFormat="false" ht="15" hidden="false" customHeight="false" outlineLevel="0" collapsed="false">
      <c r="A426" s="21"/>
      <c r="B426" s="22"/>
      <c r="C426" s="22"/>
      <c r="D426" s="23"/>
      <c r="E426" s="21"/>
      <c r="F426" s="24"/>
      <c r="G426" s="25"/>
      <c r="H426" s="25"/>
      <c r="I426" s="24"/>
      <c r="J426" s="25"/>
      <c r="K426" s="24"/>
      <c r="L426" s="25"/>
      <c r="M426" s="26"/>
      <c r="N426" s="24"/>
    </row>
    <row r="427" customFormat="false" ht="15" hidden="false" customHeight="false" outlineLevel="0" collapsed="false">
      <c r="A427" s="21"/>
      <c r="B427" s="22"/>
      <c r="C427" s="22"/>
      <c r="D427" s="23"/>
      <c r="E427" s="21"/>
      <c r="F427" s="24"/>
      <c r="G427" s="25"/>
      <c r="H427" s="25"/>
      <c r="I427" s="24"/>
      <c r="J427" s="25"/>
      <c r="K427" s="24"/>
      <c r="L427" s="25"/>
      <c r="M427" s="26"/>
      <c r="N427" s="24"/>
    </row>
    <row r="428" customFormat="false" ht="15" hidden="false" customHeight="false" outlineLevel="0" collapsed="false">
      <c r="A428" s="21"/>
      <c r="B428" s="22"/>
      <c r="C428" s="22"/>
      <c r="D428" s="23"/>
      <c r="E428" s="21"/>
      <c r="F428" s="24"/>
      <c r="G428" s="25"/>
      <c r="H428" s="25"/>
      <c r="I428" s="24"/>
      <c r="J428" s="25"/>
      <c r="K428" s="24"/>
      <c r="L428" s="25"/>
      <c r="M428" s="26"/>
      <c r="N428" s="24"/>
    </row>
    <row r="429" customFormat="false" ht="15" hidden="false" customHeight="false" outlineLevel="0" collapsed="false">
      <c r="A429" s="21"/>
      <c r="B429" s="22"/>
      <c r="C429" s="22"/>
      <c r="D429" s="23"/>
      <c r="E429" s="21"/>
      <c r="F429" s="24"/>
      <c r="G429" s="25"/>
      <c r="H429" s="25"/>
      <c r="I429" s="24"/>
      <c r="J429" s="25"/>
      <c r="K429" s="24"/>
      <c r="L429" s="25"/>
      <c r="M429" s="26"/>
      <c r="N429" s="24"/>
    </row>
    <row r="430" customFormat="false" ht="15" hidden="false" customHeight="false" outlineLevel="0" collapsed="false">
      <c r="A430" s="21"/>
      <c r="B430" s="22"/>
      <c r="C430" s="22"/>
      <c r="D430" s="23"/>
      <c r="E430" s="21"/>
      <c r="F430" s="24"/>
      <c r="G430" s="25"/>
      <c r="H430" s="25"/>
      <c r="I430" s="24"/>
      <c r="J430" s="25"/>
      <c r="K430" s="24"/>
      <c r="L430" s="25"/>
      <c r="M430" s="26"/>
      <c r="N430" s="24"/>
    </row>
    <row r="431" customFormat="false" ht="15" hidden="false" customHeight="false" outlineLevel="0" collapsed="false">
      <c r="A431" s="21"/>
      <c r="B431" s="22"/>
      <c r="C431" s="22"/>
      <c r="D431" s="23"/>
      <c r="E431" s="21"/>
      <c r="F431" s="24"/>
      <c r="G431" s="25"/>
      <c r="H431" s="25"/>
      <c r="I431" s="24"/>
      <c r="J431" s="25"/>
      <c r="K431" s="24"/>
      <c r="L431" s="25"/>
      <c r="M431" s="26"/>
      <c r="N431" s="24"/>
    </row>
    <row r="432" customFormat="false" ht="15" hidden="false" customHeight="false" outlineLevel="0" collapsed="false">
      <c r="A432" s="21"/>
      <c r="B432" s="22"/>
      <c r="C432" s="22"/>
      <c r="D432" s="23"/>
      <c r="E432" s="21"/>
      <c r="F432" s="24"/>
      <c r="G432" s="25"/>
      <c r="H432" s="25"/>
      <c r="I432" s="24"/>
      <c r="J432" s="25"/>
      <c r="K432" s="24"/>
      <c r="L432" s="25"/>
      <c r="M432" s="26"/>
      <c r="N432" s="24"/>
    </row>
    <row r="433" customFormat="false" ht="15" hidden="false" customHeight="false" outlineLevel="0" collapsed="false">
      <c r="A433" s="21"/>
      <c r="B433" s="22"/>
      <c r="C433" s="22"/>
      <c r="D433" s="23"/>
      <c r="E433" s="21"/>
      <c r="F433" s="24"/>
      <c r="G433" s="25"/>
      <c r="H433" s="25"/>
      <c r="I433" s="24"/>
      <c r="J433" s="25"/>
      <c r="K433" s="24"/>
      <c r="L433" s="25"/>
      <c r="M433" s="26"/>
      <c r="N433" s="24"/>
    </row>
    <row r="434" customFormat="false" ht="15" hidden="false" customHeight="false" outlineLevel="0" collapsed="false">
      <c r="A434" s="21"/>
      <c r="B434" s="22"/>
      <c r="C434" s="22"/>
      <c r="D434" s="23"/>
      <c r="E434" s="21"/>
      <c r="F434" s="24"/>
      <c r="G434" s="25"/>
      <c r="H434" s="25"/>
      <c r="I434" s="24"/>
      <c r="J434" s="25"/>
      <c r="K434" s="24"/>
      <c r="L434" s="25"/>
      <c r="M434" s="26"/>
      <c r="N434" s="24"/>
    </row>
    <row r="435" customFormat="false" ht="15" hidden="false" customHeight="false" outlineLevel="0" collapsed="false">
      <c r="A435" s="21"/>
      <c r="B435" s="22"/>
      <c r="C435" s="22"/>
      <c r="D435" s="23"/>
      <c r="E435" s="21"/>
      <c r="F435" s="24"/>
      <c r="G435" s="25"/>
      <c r="H435" s="25"/>
      <c r="I435" s="24"/>
      <c r="J435" s="25"/>
      <c r="K435" s="24"/>
      <c r="L435" s="25"/>
      <c r="M435" s="26"/>
      <c r="N435" s="24"/>
    </row>
    <row r="436" customFormat="false" ht="15" hidden="false" customHeight="false" outlineLevel="0" collapsed="false">
      <c r="A436" s="21"/>
      <c r="B436" s="22"/>
      <c r="C436" s="22"/>
      <c r="D436" s="23"/>
      <c r="E436" s="21"/>
      <c r="F436" s="24"/>
      <c r="G436" s="25"/>
      <c r="H436" s="25"/>
      <c r="I436" s="24"/>
      <c r="J436" s="25"/>
      <c r="K436" s="24"/>
      <c r="L436" s="25"/>
      <c r="M436" s="26"/>
      <c r="N436" s="24"/>
    </row>
    <row r="437" customFormat="false" ht="15" hidden="false" customHeight="false" outlineLevel="0" collapsed="false">
      <c r="A437" s="21"/>
      <c r="B437" s="22"/>
      <c r="C437" s="22"/>
      <c r="D437" s="23"/>
      <c r="E437" s="21"/>
      <c r="F437" s="24"/>
      <c r="G437" s="25"/>
      <c r="H437" s="25"/>
      <c r="I437" s="24"/>
      <c r="J437" s="25"/>
      <c r="K437" s="24"/>
      <c r="L437" s="25"/>
      <c r="M437" s="26"/>
      <c r="N437" s="24"/>
    </row>
    <row r="438" customFormat="false" ht="15" hidden="false" customHeight="false" outlineLevel="0" collapsed="false">
      <c r="A438" s="21"/>
      <c r="B438" s="22"/>
      <c r="C438" s="22"/>
      <c r="D438" s="23"/>
      <c r="E438" s="21"/>
      <c r="F438" s="24"/>
      <c r="G438" s="25"/>
      <c r="H438" s="25"/>
      <c r="I438" s="24"/>
      <c r="J438" s="25"/>
      <c r="K438" s="24"/>
      <c r="L438" s="25"/>
      <c r="M438" s="26"/>
      <c r="N438" s="24"/>
    </row>
    <row r="439" customFormat="false" ht="15" hidden="false" customHeight="false" outlineLevel="0" collapsed="false">
      <c r="A439" s="21"/>
      <c r="B439" s="22"/>
      <c r="C439" s="22"/>
      <c r="D439" s="23"/>
      <c r="E439" s="21"/>
      <c r="F439" s="24"/>
      <c r="G439" s="25"/>
      <c r="H439" s="25"/>
      <c r="I439" s="24"/>
      <c r="J439" s="25"/>
      <c r="K439" s="24"/>
      <c r="L439" s="25"/>
      <c r="M439" s="26"/>
      <c r="N439" s="24"/>
    </row>
    <row r="440" customFormat="false" ht="15" hidden="false" customHeight="false" outlineLevel="0" collapsed="false">
      <c r="A440" s="21"/>
      <c r="B440" s="22"/>
      <c r="C440" s="22"/>
      <c r="D440" s="23"/>
      <c r="E440" s="21"/>
      <c r="F440" s="24"/>
      <c r="G440" s="25"/>
      <c r="H440" s="25"/>
      <c r="I440" s="24"/>
      <c r="J440" s="25"/>
      <c r="K440" s="24"/>
      <c r="L440" s="25"/>
      <c r="M440" s="26"/>
      <c r="N440" s="24"/>
    </row>
    <row r="441" customFormat="false" ht="15" hidden="false" customHeight="false" outlineLevel="0" collapsed="false">
      <c r="A441" s="21"/>
      <c r="B441" s="22"/>
      <c r="C441" s="22"/>
      <c r="D441" s="23"/>
      <c r="E441" s="21"/>
      <c r="F441" s="24"/>
      <c r="G441" s="25"/>
      <c r="H441" s="25"/>
      <c r="I441" s="24"/>
      <c r="J441" s="25"/>
      <c r="K441" s="24"/>
      <c r="L441" s="25"/>
      <c r="M441" s="26"/>
      <c r="N441" s="24"/>
    </row>
    <row r="442" customFormat="false" ht="15" hidden="false" customHeight="false" outlineLevel="0" collapsed="false">
      <c r="A442" s="21"/>
      <c r="B442" s="22"/>
      <c r="C442" s="22"/>
      <c r="D442" s="23"/>
      <c r="E442" s="21"/>
      <c r="F442" s="24"/>
      <c r="G442" s="25"/>
      <c r="H442" s="25"/>
      <c r="I442" s="24"/>
      <c r="J442" s="25"/>
      <c r="K442" s="24"/>
      <c r="L442" s="25"/>
      <c r="M442" s="26"/>
      <c r="N442" s="24"/>
    </row>
    <row r="443" customFormat="false" ht="15" hidden="false" customHeight="false" outlineLevel="0" collapsed="false">
      <c r="A443" s="21"/>
      <c r="B443" s="22"/>
      <c r="C443" s="22"/>
      <c r="D443" s="23"/>
      <c r="E443" s="21"/>
      <c r="F443" s="24"/>
      <c r="G443" s="25"/>
      <c r="H443" s="25"/>
      <c r="I443" s="24"/>
      <c r="J443" s="25"/>
      <c r="K443" s="24"/>
      <c r="L443" s="25"/>
      <c r="M443" s="26"/>
      <c r="N443" s="24"/>
    </row>
    <row r="444" customFormat="false" ht="15" hidden="false" customHeight="false" outlineLevel="0" collapsed="false">
      <c r="A444" s="21"/>
      <c r="B444" s="22"/>
      <c r="C444" s="22"/>
      <c r="D444" s="23"/>
      <c r="E444" s="21"/>
      <c r="F444" s="24"/>
      <c r="G444" s="25"/>
      <c r="H444" s="25"/>
      <c r="I444" s="24"/>
      <c r="J444" s="25"/>
      <c r="K444" s="24"/>
      <c r="L444" s="25"/>
      <c r="M444" s="26"/>
      <c r="N444" s="24"/>
    </row>
    <row r="445" customFormat="false" ht="15" hidden="false" customHeight="false" outlineLevel="0" collapsed="false">
      <c r="A445" s="21"/>
      <c r="B445" s="22"/>
      <c r="C445" s="22"/>
      <c r="D445" s="23"/>
      <c r="E445" s="21"/>
      <c r="F445" s="24"/>
      <c r="G445" s="25"/>
      <c r="H445" s="25"/>
      <c r="I445" s="24"/>
      <c r="J445" s="25"/>
      <c r="K445" s="24"/>
      <c r="L445" s="25"/>
      <c r="M445" s="26"/>
      <c r="N445" s="24"/>
    </row>
    <row r="446" customFormat="false" ht="15" hidden="false" customHeight="false" outlineLevel="0" collapsed="false">
      <c r="A446" s="21"/>
      <c r="B446" s="22"/>
      <c r="C446" s="22"/>
      <c r="D446" s="23"/>
      <c r="E446" s="21"/>
      <c r="F446" s="24"/>
      <c r="G446" s="25"/>
      <c r="H446" s="25"/>
      <c r="I446" s="24"/>
      <c r="J446" s="25"/>
      <c r="K446" s="24"/>
      <c r="L446" s="25"/>
      <c r="M446" s="26"/>
      <c r="N446" s="24"/>
    </row>
    <row r="447" customFormat="false" ht="15" hidden="false" customHeight="false" outlineLevel="0" collapsed="false">
      <c r="A447" s="21"/>
      <c r="B447" s="22"/>
      <c r="C447" s="22"/>
      <c r="D447" s="23"/>
      <c r="E447" s="21"/>
      <c r="F447" s="24"/>
      <c r="G447" s="25"/>
      <c r="H447" s="25"/>
      <c r="I447" s="24"/>
      <c r="J447" s="25"/>
      <c r="K447" s="24"/>
      <c r="L447" s="25"/>
      <c r="M447" s="26"/>
      <c r="N447" s="24"/>
    </row>
    <row r="448" customFormat="false" ht="15" hidden="false" customHeight="false" outlineLevel="0" collapsed="false">
      <c r="A448" s="21"/>
      <c r="B448" s="22"/>
      <c r="C448" s="22"/>
      <c r="D448" s="23"/>
      <c r="E448" s="21"/>
      <c r="F448" s="24"/>
      <c r="G448" s="25"/>
      <c r="H448" s="25"/>
      <c r="I448" s="24"/>
      <c r="J448" s="25"/>
      <c r="K448" s="24"/>
      <c r="L448" s="25"/>
      <c r="M448" s="26"/>
      <c r="N448" s="24"/>
    </row>
    <row r="449" customFormat="false" ht="15" hidden="false" customHeight="false" outlineLevel="0" collapsed="false">
      <c r="A449" s="21"/>
      <c r="B449" s="22"/>
      <c r="C449" s="22"/>
      <c r="D449" s="23"/>
      <c r="E449" s="21"/>
      <c r="F449" s="24"/>
      <c r="G449" s="25"/>
      <c r="H449" s="25"/>
      <c r="I449" s="24"/>
      <c r="J449" s="25"/>
      <c r="K449" s="24"/>
      <c r="L449" s="25"/>
      <c r="M449" s="26"/>
      <c r="N449" s="24"/>
    </row>
    <row r="450" customFormat="false" ht="15" hidden="false" customHeight="false" outlineLevel="0" collapsed="false">
      <c r="A450" s="21"/>
      <c r="B450" s="22"/>
      <c r="C450" s="22"/>
      <c r="D450" s="23"/>
      <c r="E450" s="21"/>
      <c r="F450" s="24"/>
      <c r="G450" s="25"/>
      <c r="H450" s="25"/>
      <c r="I450" s="24"/>
      <c r="J450" s="25"/>
      <c r="K450" s="24"/>
      <c r="L450" s="25"/>
      <c r="M450" s="26"/>
      <c r="N450" s="24"/>
    </row>
    <row r="451" customFormat="false" ht="15" hidden="false" customHeight="false" outlineLevel="0" collapsed="false">
      <c r="A451" s="21"/>
      <c r="B451" s="22"/>
      <c r="C451" s="22"/>
      <c r="D451" s="23"/>
      <c r="E451" s="21"/>
      <c r="F451" s="24"/>
      <c r="G451" s="25"/>
      <c r="H451" s="25"/>
      <c r="I451" s="24"/>
      <c r="J451" s="25"/>
      <c r="K451" s="24"/>
      <c r="L451" s="25"/>
      <c r="M451" s="26"/>
      <c r="N451" s="24"/>
    </row>
    <row r="452" customFormat="false" ht="15" hidden="false" customHeight="false" outlineLevel="0" collapsed="false">
      <c r="A452" s="21"/>
      <c r="B452" s="22"/>
      <c r="C452" s="22"/>
      <c r="D452" s="23"/>
      <c r="E452" s="21"/>
      <c r="F452" s="24"/>
      <c r="G452" s="25"/>
      <c r="H452" s="25"/>
      <c r="I452" s="24"/>
      <c r="J452" s="25"/>
      <c r="K452" s="24"/>
      <c r="L452" s="25"/>
      <c r="M452" s="26"/>
      <c r="N452" s="24"/>
    </row>
    <row r="453" customFormat="false" ht="15" hidden="false" customHeight="false" outlineLevel="0" collapsed="false">
      <c r="A453" s="21"/>
      <c r="B453" s="22"/>
      <c r="C453" s="22"/>
      <c r="D453" s="23"/>
      <c r="E453" s="21"/>
      <c r="F453" s="24"/>
      <c r="G453" s="25"/>
      <c r="H453" s="25"/>
      <c r="I453" s="24"/>
      <c r="J453" s="25"/>
      <c r="K453" s="24"/>
      <c r="L453" s="25"/>
      <c r="M453" s="26"/>
      <c r="N453" s="24"/>
    </row>
    <row r="454" customFormat="false" ht="15" hidden="false" customHeight="false" outlineLevel="0" collapsed="false">
      <c r="A454" s="21"/>
      <c r="B454" s="22"/>
      <c r="C454" s="22"/>
      <c r="D454" s="23"/>
      <c r="E454" s="21"/>
      <c r="F454" s="24"/>
      <c r="G454" s="25"/>
      <c r="H454" s="25"/>
      <c r="I454" s="24"/>
      <c r="J454" s="25"/>
      <c r="K454" s="24"/>
      <c r="L454" s="25"/>
      <c r="M454" s="26"/>
      <c r="N454" s="24"/>
    </row>
    <row r="455" customFormat="false" ht="15" hidden="false" customHeight="false" outlineLevel="0" collapsed="false">
      <c r="A455" s="21"/>
      <c r="B455" s="22"/>
      <c r="C455" s="22"/>
      <c r="D455" s="23"/>
      <c r="E455" s="21"/>
      <c r="F455" s="24"/>
      <c r="G455" s="25"/>
      <c r="H455" s="25"/>
      <c r="I455" s="24"/>
      <c r="J455" s="25"/>
      <c r="K455" s="24"/>
      <c r="L455" s="25"/>
      <c r="M455" s="26"/>
      <c r="N455" s="24"/>
    </row>
    <row r="456" customFormat="false" ht="15" hidden="false" customHeight="false" outlineLevel="0" collapsed="false">
      <c r="A456" s="21"/>
      <c r="B456" s="22"/>
      <c r="C456" s="22"/>
      <c r="D456" s="23"/>
      <c r="E456" s="21"/>
      <c r="F456" s="24"/>
      <c r="G456" s="25"/>
      <c r="H456" s="25"/>
      <c r="I456" s="24"/>
      <c r="J456" s="25"/>
      <c r="K456" s="24"/>
      <c r="L456" s="25"/>
      <c r="M456" s="26"/>
      <c r="N456" s="24"/>
    </row>
    <row r="457" customFormat="false" ht="15" hidden="false" customHeight="false" outlineLevel="0" collapsed="false">
      <c r="A457" s="21"/>
      <c r="B457" s="22"/>
      <c r="C457" s="22"/>
      <c r="D457" s="23"/>
      <c r="E457" s="21"/>
      <c r="F457" s="24"/>
      <c r="G457" s="25"/>
      <c r="H457" s="25"/>
      <c r="I457" s="24"/>
      <c r="J457" s="25"/>
      <c r="K457" s="24"/>
      <c r="L457" s="25"/>
      <c r="M457" s="26"/>
      <c r="N457" s="24"/>
    </row>
    <row r="458" customFormat="false" ht="15" hidden="false" customHeight="false" outlineLevel="0" collapsed="false">
      <c r="A458" s="21"/>
      <c r="B458" s="22"/>
      <c r="C458" s="22"/>
      <c r="D458" s="23"/>
      <c r="E458" s="21"/>
      <c r="F458" s="24"/>
      <c r="G458" s="25"/>
      <c r="H458" s="25"/>
      <c r="I458" s="24"/>
      <c r="J458" s="25"/>
      <c r="K458" s="24"/>
      <c r="L458" s="25"/>
      <c r="M458" s="26"/>
      <c r="N458" s="24"/>
    </row>
    <row r="459" customFormat="false" ht="15" hidden="false" customHeight="false" outlineLevel="0" collapsed="false">
      <c r="A459" s="21"/>
      <c r="B459" s="22"/>
      <c r="C459" s="22"/>
      <c r="D459" s="23"/>
      <c r="E459" s="21"/>
      <c r="F459" s="24"/>
      <c r="G459" s="25"/>
      <c r="H459" s="25"/>
      <c r="I459" s="24"/>
      <c r="J459" s="25"/>
      <c r="K459" s="24"/>
      <c r="L459" s="25"/>
      <c r="M459" s="26"/>
      <c r="N459" s="24"/>
    </row>
    <row r="460" customFormat="false" ht="15" hidden="false" customHeight="false" outlineLevel="0" collapsed="false">
      <c r="A460" s="21"/>
      <c r="B460" s="22"/>
      <c r="C460" s="22"/>
      <c r="D460" s="23"/>
      <c r="E460" s="21"/>
      <c r="F460" s="24"/>
      <c r="G460" s="25"/>
      <c r="H460" s="25"/>
      <c r="I460" s="24"/>
      <c r="J460" s="25"/>
      <c r="K460" s="24"/>
      <c r="L460" s="25"/>
      <c r="M460" s="26"/>
      <c r="N460" s="24"/>
    </row>
    <row r="461" customFormat="false" ht="15" hidden="false" customHeight="false" outlineLevel="0" collapsed="false">
      <c r="A461" s="21"/>
      <c r="B461" s="22"/>
      <c r="C461" s="22"/>
      <c r="D461" s="23"/>
      <c r="E461" s="21"/>
      <c r="F461" s="24"/>
      <c r="G461" s="25"/>
      <c r="H461" s="25"/>
      <c r="I461" s="24"/>
      <c r="J461" s="25"/>
      <c r="K461" s="24"/>
      <c r="L461" s="25"/>
      <c r="M461" s="26"/>
      <c r="N461" s="24"/>
    </row>
    <row r="462" customFormat="false" ht="15" hidden="false" customHeight="false" outlineLevel="0" collapsed="false">
      <c r="A462" s="21"/>
      <c r="B462" s="22"/>
      <c r="C462" s="22"/>
      <c r="D462" s="23"/>
      <c r="E462" s="21"/>
      <c r="F462" s="24"/>
      <c r="G462" s="25"/>
      <c r="H462" s="25"/>
      <c r="I462" s="24"/>
      <c r="J462" s="25"/>
      <c r="K462" s="24"/>
      <c r="L462" s="25"/>
      <c r="M462" s="26"/>
      <c r="N462" s="24"/>
    </row>
    <row r="463" customFormat="false" ht="15" hidden="false" customHeight="false" outlineLevel="0" collapsed="false">
      <c r="A463" s="21"/>
      <c r="B463" s="22"/>
      <c r="C463" s="22"/>
      <c r="D463" s="23"/>
      <c r="E463" s="21"/>
      <c r="F463" s="24"/>
      <c r="G463" s="25"/>
      <c r="H463" s="25"/>
      <c r="I463" s="24"/>
      <c r="J463" s="25"/>
      <c r="K463" s="24"/>
      <c r="L463" s="25"/>
      <c r="M463" s="26"/>
      <c r="N463" s="24"/>
    </row>
    <row r="464" customFormat="false" ht="15" hidden="false" customHeight="false" outlineLevel="0" collapsed="false">
      <c r="A464" s="21"/>
      <c r="B464" s="22"/>
      <c r="C464" s="22"/>
      <c r="D464" s="23"/>
      <c r="E464" s="21"/>
      <c r="F464" s="24"/>
      <c r="G464" s="25"/>
      <c r="H464" s="25"/>
      <c r="I464" s="24"/>
      <c r="J464" s="25"/>
      <c r="K464" s="24"/>
      <c r="L464" s="25"/>
      <c r="M464" s="26"/>
      <c r="N464" s="24"/>
    </row>
    <row r="465" customFormat="false" ht="15" hidden="false" customHeight="false" outlineLevel="0" collapsed="false">
      <c r="A465" s="21"/>
      <c r="B465" s="22"/>
      <c r="C465" s="22"/>
      <c r="D465" s="23"/>
      <c r="E465" s="21"/>
      <c r="F465" s="24"/>
      <c r="G465" s="25"/>
      <c r="H465" s="25"/>
      <c r="I465" s="24"/>
      <c r="J465" s="25"/>
      <c r="K465" s="24"/>
      <c r="L465" s="25"/>
      <c r="M465" s="26"/>
      <c r="N465" s="24"/>
    </row>
    <row r="466" customFormat="false" ht="15" hidden="false" customHeight="false" outlineLevel="0" collapsed="false">
      <c r="A466" s="21"/>
      <c r="B466" s="22"/>
      <c r="C466" s="22"/>
      <c r="D466" s="23"/>
      <c r="E466" s="21"/>
      <c r="F466" s="24"/>
      <c r="G466" s="25"/>
      <c r="H466" s="25"/>
      <c r="I466" s="24"/>
      <c r="J466" s="25"/>
      <c r="K466" s="24"/>
      <c r="L466" s="25"/>
      <c r="M466" s="26"/>
      <c r="N466" s="24"/>
    </row>
    <row r="467" customFormat="false" ht="15" hidden="false" customHeight="false" outlineLevel="0" collapsed="false">
      <c r="A467" s="21"/>
      <c r="B467" s="22"/>
      <c r="C467" s="22"/>
      <c r="D467" s="23"/>
      <c r="E467" s="21"/>
      <c r="F467" s="24"/>
      <c r="G467" s="25"/>
      <c r="H467" s="25"/>
      <c r="I467" s="24"/>
      <c r="J467" s="25"/>
      <c r="K467" s="24"/>
      <c r="L467" s="25"/>
      <c r="M467" s="26"/>
      <c r="N467" s="24"/>
    </row>
    <row r="468" customFormat="false" ht="15" hidden="false" customHeight="false" outlineLevel="0" collapsed="false">
      <c r="A468" s="21"/>
      <c r="B468" s="22"/>
      <c r="C468" s="22"/>
      <c r="D468" s="23"/>
      <c r="E468" s="21"/>
      <c r="F468" s="24"/>
      <c r="G468" s="25"/>
      <c r="H468" s="25"/>
      <c r="I468" s="24"/>
      <c r="J468" s="25"/>
      <c r="K468" s="24"/>
      <c r="L468" s="25"/>
      <c r="M468" s="26"/>
      <c r="N468" s="24"/>
    </row>
    <row r="469" customFormat="false" ht="15" hidden="false" customHeight="false" outlineLevel="0" collapsed="false">
      <c r="A469" s="21"/>
      <c r="B469" s="22"/>
      <c r="C469" s="22"/>
      <c r="D469" s="23"/>
      <c r="E469" s="21"/>
      <c r="F469" s="24"/>
      <c r="G469" s="25"/>
      <c r="H469" s="25"/>
      <c r="I469" s="24"/>
      <c r="J469" s="25"/>
      <c r="K469" s="24"/>
      <c r="L469" s="25"/>
      <c r="M469" s="26"/>
      <c r="N469" s="24"/>
    </row>
    <row r="470" customFormat="false" ht="15" hidden="false" customHeight="false" outlineLevel="0" collapsed="false">
      <c r="A470" s="21"/>
      <c r="B470" s="22"/>
      <c r="C470" s="22"/>
      <c r="D470" s="23"/>
      <c r="E470" s="21"/>
      <c r="F470" s="24"/>
      <c r="G470" s="25"/>
      <c r="H470" s="25"/>
      <c r="I470" s="24"/>
      <c r="J470" s="25"/>
      <c r="K470" s="24"/>
      <c r="L470" s="25"/>
      <c r="M470" s="26"/>
      <c r="N470" s="24"/>
    </row>
    <row r="471" customFormat="false" ht="15" hidden="false" customHeight="false" outlineLevel="0" collapsed="false">
      <c r="A471" s="21"/>
      <c r="B471" s="22"/>
      <c r="C471" s="22"/>
      <c r="D471" s="23"/>
      <c r="E471" s="21"/>
      <c r="F471" s="24"/>
      <c r="G471" s="25"/>
      <c r="H471" s="25"/>
      <c r="I471" s="24"/>
      <c r="J471" s="25"/>
      <c r="K471" s="24"/>
      <c r="L471" s="25"/>
      <c r="M471" s="26"/>
      <c r="N471" s="24"/>
    </row>
    <row r="472" customFormat="false" ht="15" hidden="false" customHeight="false" outlineLevel="0" collapsed="false">
      <c r="A472" s="21"/>
      <c r="B472" s="22"/>
      <c r="C472" s="22"/>
      <c r="D472" s="23"/>
      <c r="E472" s="21"/>
      <c r="F472" s="24"/>
      <c r="G472" s="25"/>
      <c r="H472" s="25"/>
      <c r="I472" s="24"/>
      <c r="J472" s="25"/>
      <c r="K472" s="24"/>
      <c r="L472" s="25"/>
      <c r="M472" s="26"/>
      <c r="N472" s="24"/>
    </row>
    <row r="473" customFormat="false" ht="15" hidden="false" customHeight="false" outlineLevel="0" collapsed="false">
      <c r="A473" s="21"/>
      <c r="B473" s="22"/>
      <c r="C473" s="22"/>
      <c r="D473" s="23"/>
      <c r="E473" s="21"/>
      <c r="F473" s="24"/>
      <c r="G473" s="25"/>
      <c r="H473" s="25"/>
      <c r="I473" s="24"/>
      <c r="J473" s="25"/>
      <c r="K473" s="24"/>
      <c r="L473" s="25"/>
      <c r="M473" s="26"/>
      <c r="N473" s="24"/>
    </row>
    <row r="474" customFormat="false" ht="15" hidden="false" customHeight="false" outlineLevel="0" collapsed="false">
      <c r="A474" s="21"/>
      <c r="B474" s="22"/>
      <c r="C474" s="22"/>
      <c r="D474" s="23"/>
      <c r="E474" s="21"/>
      <c r="F474" s="24"/>
      <c r="G474" s="25"/>
      <c r="H474" s="25"/>
      <c r="I474" s="24"/>
      <c r="J474" s="25"/>
      <c r="K474" s="24"/>
      <c r="L474" s="25"/>
      <c r="M474" s="26"/>
      <c r="N474" s="24"/>
    </row>
    <row r="475" customFormat="false" ht="15" hidden="false" customHeight="false" outlineLevel="0" collapsed="false">
      <c r="A475" s="21"/>
      <c r="B475" s="22"/>
      <c r="C475" s="22"/>
      <c r="D475" s="23"/>
      <c r="E475" s="21"/>
      <c r="F475" s="24"/>
      <c r="G475" s="25"/>
      <c r="H475" s="25"/>
      <c r="I475" s="24"/>
      <c r="J475" s="25"/>
      <c r="K475" s="24"/>
      <c r="L475" s="25"/>
      <c r="M475" s="26"/>
      <c r="N475" s="24"/>
    </row>
    <row r="476" customFormat="false" ht="15" hidden="false" customHeight="false" outlineLevel="0" collapsed="false">
      <c r="A476" s="21"/>
      <c r="B476" s="22"/>
      <c r="C476" s="22"/>
      <c r="D476" s="23"/>
      <c r="E476" s="21"/>
      <c r="F476" s="24"/>
      <c r="G476" s="25"/>
      <c r="H476" s="25"/>
      <c r="I476" s="24"/>
      <c r="J476" s="25"/>
      <c r="K476" s="24"/>
      <c r="L476" s="25"/>
      <c r="M476" s="26"/>
      <c r="N476" s="24"/>
    </row>
    <row r="477" customFormat="false" ht="15" hidden="false" customHeight="false" outlineLevel="0" collapsed="false">
      <c r="A477" s="21"/>
      <c r="B477" s="22"/>
      <c r="C477" s="22"/>
      <c r="D477" s="23"/>
      <c r="E477" s="21"/>
      <c r="F477" s="24"/>
      <c r="G477" s="25"/>
      <c r="H477" s="25"/>
      <c r="I477" s="24"/>
      <c r="J477" s="25"/>
      <c r="K477" s="24"/>
      <c r="L477" s="25"/>
      <c r="M477" s="26"/>
      <c r="N477" s="24"/>
    </row>
    <row r="478" customFormat="false" ht="15" hidden="false" customHeight="false" outlineLevel="0" collapsed="false">
      <c r="A478" s="21"/>
      <c r="B478" s="22"/>
      <c r="C478" s="22"/>
      <c r="D478" s="23"/>
      <c r="E478" s="21"/>
      <c r="F478" s="24"/>
      <c r="G478" s="25"/>
      <c r="H478" s="25"/>
      <c r="I478" s="24"/>
      <c r="J478" s="25"/>
      <c r="K478" s="24"/>
      <c r="L478" s="25"/>
      <c r="M478" s="26"/>
      <c r="N478" s="24"/>
    </row>
    <row r="479" customFormat="false" ht="15" hidden="false" customHeight="false" outlineLevel="0" collapsed="false">
      <c r="A479" s="21"/>
      <c r="B479" s="22"/>
      <c r="C479" s="22"/>
      <c r="D479" s="23"/>
      <c r="E479" s="21"/>
      <c r="F479" s="24"/>
      <c r="G479" s="25"/>
      <c r="H479" s="25"/>
      <c r="I479" s="24"/>
      <c r="J479" s="25"/>
      <c r="K479" s="24"/>
      <c r="L479" s="25"/>
      <c r="M479" s="26"/>
      <c r="N479" s="24"/>
    </row>
    <row r="480" customFormat="false" ht="15" hidden="false" customHeight="false" outlineLevel="0" collapsed="false">
      <c r="A480" s="21"/>
      <c r="B480" s="22"/>
      <c r="C480" s="22"/>
      <c r="D480" s="23"/>
      <c r="E480" s="21"/>
      <c r="F480" s="24"/>
      <c r="G480" s="25"/>
      <c r="H480" s="25"/>
      <c r="I480" s="24"/>
      <c r="J480" s="25"/>
      <c r="K480" s="24"/>
      <c r="L480" s="25"/>
      <c r="M480" s="26"/>
      <c r="N480" s="24"/>
    </row>
    <row r="481" customFormat="false" ht="15" hidden="false" customHeight="false" outlineLevel="0" collapsed="false">
      <c r="A481" s="21"/>
      <c r="B481" s="22"/>
      <c r="C481" s="22"/>
      <c r="D481" s="23"/>
      <c r="E481" s="21"/>
      <c r="F481" s="24"/>
      <c r="G481" s="25"/>
      <c r="H481" s="25"/>
      <c r="I481" s="24"/>
      <c r="J481" s="25"/>
      <c r="K481" s="24"/>
      <c r="L481" s="25"/>
      <c r="M481" s="26"/>
      <c r="N481" s="24"/>
    </row>
    <row r="482" customFormat="false" ht="15" hidden="false" customHeight="false" outlineLevel="0" collapsed="false">
      <c r="A482" s="21"/>
      <c r="B482" s="22"/>
      <c r="C482" s="22"/>
      <c r="D482" s="23"/>
      <c r="E482" s="21"/>
      <c r="F482" s="24"/>
      <c r="G482" s="25"/>
      <c r="H482" s="25"/>
      <c r="I482" s="24"/>
      <c r="J482" s="25"/>
      <c r="K482" s="24"/>
      <c r="L482" s="25"/>
      <c r="M482" s="26"/>
      <c r="N482" s="24"/>
    </row>
    <row r="483" customFormat="false" ht="15" hidden="false" customHeight="false" outlineLevel="0" collapsed="false">
      <c r="A483" s="21"/>
      <c r="B483" s="22"/>
      <c r="C483" s="22"/>
      <c r="D483" s="23"/>
      <c r="E483" s="21"/>
      <c r="F483" s="24"/>
      <c r="G483" s="25"/>
      <c r="H483" s="25"/>
      <c r="I483" s="24"/>
      <c r="J483" s="25"/>
      <c r="K483" s="24"/>
      <c r="L483" s="25"/>
      <c r="M483" s="26"/>
      <c r="N483" s="24"/>
    </row>
    <row r="484" customFormat="false" ht="15" hidden="false" customHeight="false" outlineLevel="0" collapsed="false">
      <c r="A484" s="21"/>
      <c r="B484" s="22"/>
      <c r="C484" s="22"/>
      <c r="D484" s="23"/>
      <c r="E484" s="21"/>
      <c r="F484" s="24"/>
      <c r="G484" s="25"/>
      <c r="H484" s="25"/>
      <c r="I484" s="24"/>
      <c r="J484" s="25"/>
      <c r="K484" s="24"/>
      <c r="L484" s="25"/>
      <c r="M484" s="26"/>
      <c r="N484" s="24"/>
    </row>
    <row r="485" customFormat="false" ht="15" hidden="false" customHeight="false" outlineLevel="0" collapsed="false">
      <c r="A485" s="21"/>
      <c r="B485" s="22"/>
      <c r="C485" s="22"/>
      <c r="D485" s="23"/>
      <c r="E485" s="21"/>
      <c r="F485" s="24"/>
      <c r="G485" s="25"/>
      <c r="H485" s="25"/>
      <c r="I485" s="24"/>
      <c r="J485" s="25"/>
      <c r="K485" s="24"/>
      <c r="L485" s="25"/>
      <c r="M485" s="26"/>
      <c r="N485" s="24"/>
    </row>
    <row r="486" customFormat="false" ht="15" hidden="false" customHeight="false" outlineLevel="0" collapsed="false">
      <c r="A486" s="21"/>
      <c r="B486" s="22"/>
      <c r="C486" s="22"/>
      <c r="D486" s="23"/>
      <c r="E486" s="21"/>
      <c r="F486" s="24"/>
      <c r="G486" s="25"/>
      <c r="H486" s="25"/>
      <c r="I486" s="24"/>
      <c r="J486" s="25"/>
      <c r="K486" s="24"/>
      <c r="L486" s="25"/>
      <c r="M486" s="26"/>
      <c r="N486" s="24"/>
    </row>
    <row r="487" customFormat="false" ht="15" hidden="false" customHeight="false" outlineLevel="0" collapsed="false">
      <c r="A487" s="21"/>
      <c r="B487" s="22"/>
      <c r="C487" s="22"/>
      <c r="D487" s="23"/>
      <c r="E487" s="21"/>
      <c r="F487" s="24"/>
      <c r="G487" s="25"/>
      <c r="H487" s="25"/>
      <c r="I487" s="24"/>
      <c r="J487" s="25"/>
      <c r="K487" s="24"/>
      <c r="L487" s="25"/>
      <c r="M487" s="26"/>
      <c r="N487" s="24"/>
    </row>
    <row r="488" customFormat="false" ht="15" hidden="false" customHeight="false" outlineLevel="0" collapsed="false">
      <c r="A488" s="21"/>
      <c r="B488" s="22"/>
      <c r="C488" s="22"/>
      <c r="D488" s="23"/>
      <c r="E488" s="21"/>
      <c r="F488" s="24"/>
      <c r="G488" s="25"/>
      <c r="H488" s="25"/>
      <c r="I488" s="24"/>
      <c r="J488" s="25"/>
      <c r="K488" s="24"/>
      <c r="L488" s="25"/>
      <c r="M488" s="26"/>
      <c r="N488" s="24"/>
    </row>
    <row r="489" customFormat="false" ht="15" hidden="false" customHeight="false" outlineLevel="0" collapsed="false">
      <c r="A489" s="21"/>
      <c r="B489" s="22"/>
      <c r="C489" s="22"/>
      <c r="D489" s="23"/>
      <c r="E489" s="21"/>
      <c r="F489" s="24"/>
      <c r="G489" s="25"/>
      <c r="H489" s="25"/>
      <c r="I489" s="24"/>
      <c r="J489" s="25"/>
      <c r="K489" s="24"/>
      <c r="L489" s="25"/>
      <c r="M489" s="26"/>
      <c r="N489" s="24"/>
    </row>
    <row r="490" customFormat="false" ht="15" hidden="false" customHeight="false" outlineLevel="0" collapsed="false">
      <c r="A490" s="21"/>
      <c r="B490" s="22"/>
      <c r="C490" s="22"/>
      <c r="D490" s="23"/>
      <c r="E490" s="21"/>
      <c r="F490" s="24"/>
      <c r="G490" s="25"/>
      <c r="H490" s="25"/>
      <c r="I490" s="24"/>
      <c r="J490" s="25"/>
      <c r="K490" s="24"/>
      <c r="L490" s="25"/>
      <c r="M490" s="26"/>
      <c r="N490" s="24"/>
    </row>
    <row r="491" customFormat="false" ht="15" hidden="false" customHeight="false" outlineLevel="0" collapsed="false">
      <c r="A491" s="21"/>
      <c r="B491" s="22"/>
      <c r="C491" s="22"/>
      <c r="D491" s="23"/>
      <c r="E491" s="21"/>
      <c r="F491" s="24"/>
      <c r="G491" s="25"/>
      <c r="H491" s="25"/>
      <c r="I491" s="24"/>
      <c r="J491" s="25"/>
      <c r="K491" s="24"/>
      <c r="L491" s="25"/>
      <c r="M491" s="26"/>
      <c r="N491" s="24"/>
    </row>
    <row r="492" customFormat="false" ht="15" hidden="false" customHeight="false" outlineLevel="0" collapsed="false">
      <c r="A492" s="21"/>
      <c r="B492" s="22"/>
      <c r="C492" s="22"/>
      <c r="D492" s="23"/>
      <c r="E492" s="21"/>
      <c r="F492" s="24"/>
      <c r="G492" s="25"/>
      <c r="H492" s="25"/>
      <c r="I492" s="24"/>
      <c r="J492" s="25"/>
      <c r="K492" s="24"/>
      <c r="L492" s="25"/>
      <c r="M492" s="26"/>
      <c r="N492" s="24"/>
    </row>
    <row r="493" customFormat="false" ht="15" hidden="false" customHeight="false" outlineLevel="0" collapsed="false">
      <c r="A493" s="21"/>
      <c r="B493" s="22"/>
      <c r="C493" s="22"/>
      <c r="D493" s="23"/>
      <c r="E493" s="21"/>
      <c r="F493" s="24"/>
      <c r="G493" s="25"/>
      <c r="H493" s="25"/>
      <c r="I493" s="24"/>
      <c r="J493" s="25"/>
      <c r="K493" s="24"/>
      <c r="L493" s="25"/>
      <c r="M493" s="26"/>
      <c r="N493" s="24"/>
    </row>
    <row r="494" customFormat="false" ht="15" hidden="false" customHeight="false" outlineLevel="0" collapsed="false">
      <c r="A494" s="21"/>
      <c r="B494" s="22"/>
      <c r="C494" s="22"/>
      <c r="D494" s="23"/>
      <c r="E494" s="21"/>
      <c r="F494" s="24"/>
      <c r="G494" s="25"/>
      <c r="H494" s="25"/>
      <c r="I494" s="24"/>
      <c r="J494" s="25"/>
      <c r="K494" s="24"/>
      <c r="L494" s="25"/>
      <c r="M494" s="26"/>
      <c r="N494" s="24"/>
    </row>
    <row r="495" customFormat="false" ht="15" hidden="false" customHeight="false" outlineLevel="0" collapsed="false">
      <c r="A495" s="21"/>
      <c r="B495" s="22"/>
      <c r="C495" s="22"/>
      <c r="D495" s="23"/>
      <c r="E495" s="21"/>
      <c r="F495" s="24"/>
      <c r="G495" s="25"/>
      <c r="H495" s="25"/>
      <c r="I495" s="24"/>
      <c r="J495" s="25"/>
      <c r="K495" s="24"/>
      <c r="L495" s="25"/>
      <c r="M495" s="26"/>
      <c r="N495" s="24"/>
    </row>
    <row r="496" customFormat="false" ht="15" hidden="false" customHeight="false" outlineLevel="0" collapsed="false">
      <c r="A496" s="21"/>
      <c r="B496" s="22"/>
      <c r="C496" s="22"/>
      <c r="D496" s="23"/>
      <c r="E496" s="21"/>
      <c r="F496" s="24"/>
      <c r="G496" s="25"/>
      <c r="H496" s="25"/>
      <c r="I496" s="24"/>
      <c r="J496" s="25"/>
      <c r="K496" s="24"/>
      <c r="L496" s="25"/>
      <c r="M496" s="26"/>
      <c r="N496" s="24"/>
    </row>
    <row r="497" customFormat="false" ht="15" hidden="false" customHeight="false" outlineLevel="0" collapsed="false">
      <c r="A497" s="21"/>
      <c r="B497" s="22"/>
      <c r="C497" s="22"/>
      <c r="D497" s="23"/>
      <c r="E497" s="21"/>
      <c r="F497" s="24"/>
      <c r="G497" s="25"/>
      <c r="H497" s="25"/>
      <c r="I497" s="24"/>
      <c r="J497" s="25"/>
      <c r="K497" s="24"/>
      <c r="L497" s="25"/>
      <c r="M497" s="26"/>
      <c r="N497" s="24"/>
    </row>
    <row r="498" customFormat="false" ht="15" hidden="false" customHeight="false" outlineLevel="0" collapsed="false">
      <c r="A498" s="21"/>
      <c r="B498" s="22"/>
      <c r="C498" s="22"/>
      <c r="D498" s="23"/>
      <c r="E498" s="21"/>
      <c r="F498" s="24"/>
      <c r="G498" s="25"/>
      <c r="H498" s="25"/>
      <c r="I498" s="24"/>
      <c r="J498" s="25"/>
      <c r="K498" s="24"/>
      <c r="L498" s="25"/>
      <c r="M498" s="26"/>
      <c r="N498" s="24"/>
    </row>
    <row r="499" customFormat="false" ht="15" hidden="false" customHeight="false" outlineLevel="0" collapsed="false">
      <c r="A499" s="21"/>
      <c r="B499" s="22"/>
      <c r="C499" s="22"/>
      <c r="D499" s="23"/>
      <c r="E499" s="21"/>
      <c r="F499" s="24"/>
      <c r="G499" s="25"/>
      <c r="H499" s="25"/>
      <c r="I499" s="24"/>
      <c r="J499" s="25"/>
      <c r="K499" s="24"/>
      <c r="L499" s="25"/>
      <c r="M499" s="26"/>
      <c r="N499" s="24"/>
    </row>
    <row r="500" customFormat="false" ht="15" hidden="false" customHeight="false" outlineLevel="0" collapsed="false">
      <c r="A500" s="21"/>
      <c r="B500" s="22"/>
      <c r="C500" s="22"/>
      <c r="D500" s="23"/>
      <c r="E500" s="21"/>
      <c r="F500" s="24"/>
      <c r="G500" s="25"/>
      <c r="H500" s="25"/>
      <c r="I500" s="24"/>
      <c r="J500" s="25"/>
      <c r="K500" s="24"/>
      <c r="L500" s="25"/>
      <c r="M500" s="26"/>
      <c r="N500" s="24"/>
    </row>
    <row r="501" customFormat="false" ht="15" hidden="false" customHeight="false" outlineLevel="0" collapsed="false">
      <c r="A501" s="21"/>
      <c r="B501" s="22"/>
      <c r="C501" s="22"/>
      <c r="D501" s="23"/>
      <c r="E501" s="21"/>
      <c r="F501" s="24"/>
      <c r="G501" s="25"/>
      <c r="H501" s="25"/>
      <c r="I501" s="24"/>
      <c r="J501" s="25"/>
      <c r="K501" s="24"/>
      <c r="L501" s="25"/>
      <c r="M501" s="26"/>
      <c r="N501" s="24"/>
    </row>
    <row r="502" customFormat="false" ht="15" hidden="false" customHeight="false" outlineLevel="0" collapsed="false">
      <c r="A502" s="21"/>
      <c r="B502" s="22"/>
      <c r="C502" s="22"/>
      <c r="D502" s="23"/>
      <c r="E502" s="21"/>
      <c r="F502" s="24"/>
      <c r="G502" s="25"/>
      <c r="H502" s="25"/>
      <c r="I502" s="24"/>
      <c r="J502" s="25"/>
      <c r="K502" s="24"/>
      <c r="L502" s="25"/>
      <c r="M502" s="26"/>
      <c r="N502" s="24"/>
    </row>
    <row r="503" customFormat="false" ht="15" hidden="false" customHeight="false" outlineLevel="0" collapsed="false">
      <c r="A503" s="21"/>
      <c r="B503" s="22"/>
      <c r="C503" s="22"/>
      <c r="D503" s="23"/>
      <c r="E503" s="21"/>
      <c r="F503" s="24"/>
      <c r="G503" s="25"/>
      <c r="H503" s="25"/>
      <c r="I503" s="24"/>
      <c r="J503" s="25"/>
      <c r="K503" s="24"/>
      <c r="L503" s="25"/>
      <c r="M503" s="26"/>
      <c r="N503" s="24"/>
    </row>
    <row r="504" customFormat="false" ht="15" hidden="false" customHeight="false" outlineLevel="0" collapsed="false">
      <c r="A504" s="21"/>
      <c r="B504" s="22"/>
      <c r="C504" s="22"/>
      <c r="D504" s="23"/>
      <c r="E504" s="21"/>
      <c r="F504" s="24"/>
      <c r="G504" s="25"/>
      <c r="H504" s="25"/>
      <c r="I504" s="24"/>
      <c r="J504" s="25"/>
      <c r="K504" s="24"/>
      <c r="L504" s="25"/>
      <c r="M504" s="26"/>
      <c r="N504" s="24"/>
    </row>
    <row r="505" customFormat="false" ht="15" hidden="false" customHeight="false" outlineLevel="0" collapsed="false">
      <c r="A505" s="21"/>
      <c r="B505" s="22"/>
      <c r="C505" s="22"/>
      <c r="D505" s="23"/>
      <c r="E505" s="21"/>
      <c r="F505" s="24"/>
      <c r="G505" s="25"/>
      <c r="H505" s="25"/>
      <c r="I505" s="24"/>
      <c r="J505" s="25"/>
      <c r="K505" s="24"/>
      <c r="L505" s="25"/>
      <c r="M505" s="26"/>
      <c r="N505" s="24"/>
    </row>
    <row r="506" customFormat="false" ht="15" hidden="false" customHeight="false" outlineLevel="0" collapsed="false">
      <c r="A506" s="21"/>
      <c r="B506" s="22"/>
      <c r="C506" s="22"/>
      <c r="D506" s="23"/>
      <c r="E506" s="21"/>
      <c r="F506" s="24"/>
      <c r="G506" s="25"/>
      <c r="H506" s="25"/>
      <c r="I506" s="24"/>
      <c r="J506" s="25"/>
      <c r="K506" s="24"/>
      <c r="L506" s="25"/>
      <c r="M506" s="26"/>
      <c r="N506" s="24"/>
    </row>
    <row r="507" customFormat="false" ht="15" hidden="false" customHeight="false" outlineLevel="0" collapsed="false">
      <c r="A507" s="21"/>
      <c r="B507" s="22"/>
      <c r="C507" s="22"/>
      <c r="D507" s="23"/>
      <c r="E507" s="21"/>
      <c r="F507" s="24"/>
      <c r="G507" s="25"/>
      <c r="H507" s="25"/>
      <c r="I507" s="24"/>
      <c r="J507" s="25"/>
      <c r="K507" s="24"/>
      <c r="L507" s="25"/>
      <c r="M507" s="26"/>
      <c r="N507" s="24"/>
    </row>
    <row r="508" customFormat="false" ht="15" hidden="false" customHeight="false" outlineLevel="0" collapsed="false">
      <c r="A508" s="21"/>
      <c r="B508" s="22"/>
      <c r="C508" s="22"/>
      <c r="D508" s="23"/>
      <c r="E508" s="21"/>
      <c r="F508" s="24"/>
      <c r="G508" s="25"/>
      <c r="H508" s="25"/>
      <c r="I508" s="24"/>
      <c r="J508" s="25"/>
      <c r="K508" s="24"/>
      <c r="L508" s="25"/>
      <c r="M508" s="26"/>
      <c r="N508" s="24"/>
    </row>
    <row r="509" customFormat="false" ht="15" hidden="false" customHeight="false" outlineLevel="0" collapsed="false">
      <c r="A509" s="21"/>
      <c r="B509" s="22"/>
      <c r="C509" s="22"/>
      <c r="D509" s="23"/>
      <c r="E509" s="21"/>
      <c r="F509" s="24"/>
      <c r="G509" s="25"/>
      <c r="H509" s="25"/>
      <c r="I509" s="24"/>
      <c r="J509" s="25"/>
      <c r="K509" s="24"/>
      <c r="L509" s="25"/>
      <c r="M509" s="26"/>
      <c r="N509" s="24"/>
    </row>
    <row r="510" customFormat="false" ht="15" hidden="false" customHeight="false" outlineLevel="0" collapsed="false">
      <c r="A510" s="21"/>
      <c r="B510" s="22"/>
      <c r="C510" s="22"/>
      <c r="D510" s="23"/>
      <c r="E510" s="21"/>
      <c r="F510" s="24"/>
      <c r="G510" s="25"/>
      <c r="H510" s="25"/>
      <c r="I510" s="24"/>
      <c r="J510" s="25"/>
      <c r="K510" s="24"/>
      <c r="L510" s="25"/>
      <c r="M510" s="26"/>
      <c r="N510" s="24"/>
    </row>
    <row r="511" customFormat="false" ht="15" hidden="false" customHeight="false" outlineLevel="0" collapsed="false">
      <c r="A511" s="21"/>
      <c r="B511" s="22"/>
      <c r="C511" s="22"/>
      <c r="D511" s="23"/>
      <c r="E511" s="21"/>
      <c r="F511" s="24"/>
      <c r="G511" s="25"/>
      <c r="H511" s="25"/>
      <c r="I511" s="24"/>
      <c r="J511" s="25"/>
      <c r="K511" s="24"/>
      <c r="L511" s="25"/>
      <c r="M511" s="26"/>
      <c r="N511" s="24"/>
    </row>
    <row r="512" customFormat="false" ht="15" hidden="false" customHeight="false" outlineLevel="0" collapsed="false">
      <c r="A512" s="21"/>
      <c r="B512" s="22"/>
      <c r="C512" s="22"/>
      <c r="D512" s="23"/>
      <c r="E512" s="21"/>
      <c r="F512" s="24"/>
      <c r="G512" s="25"/>
      <c r="H512" s="25"/>
      <c r="I512" s="24"/>
      <c r="J512" s="25"/>
      <c r="K512" s="24"/>
      <c r="L512" s="25"/>
      <c r="M512" s="26"/>
      <c r="N512" s="24"/>
    </row>
    <row r="513" customFormat="false" ht="15" hidden="false" customHeight="false" outlineLevel="0" collapsed="false">
      <c r="A513" s="21"/>
      <c r="B513" s="22"/>
      <c r="C513" s="22"/>
      <c r="D513" s="23"/>
      <c r="E513" s="21"/>
      <c r="F513" s="24"/>
      <c r="G513" s="25"/>
      <c r="H513" s="25"/>
      <c r="I513" s="24"/>
      <c r="J513" s="25"/>
      <c r="K513" s="24"/>
      <c r="L513" s="25"/>
      <c r="M513" s="26"/>
      <c r="N513" s="24"/>
    </row>
    <row r="514" customFormat="false" ht="15" hidden="false" customHeight="false" outlineLevel="0" collapsed="false">
      <c r="A514" s="21"/>
      <c r="B514" s="22"/>
      <c r="C514" s="22"/>
      <c r="D514" s="23"/>
      <c r="E514" s="21"/>
      <c r="F514" s="24"/>
      <c r="G514" s="25"/>
      <c r="H514" s="25"/>
      <c r="I514" s="24"/>
      <c r="J514" s="25"/>
      <c r="K514" s="24"/>
      <c r="L514" s="25"/>
      <c r="M514" s="26"/>
      <c r="N514" s="24"/>
    </row>
    <row r="515" customFormat="false" ht="15" hidden="false" customHeight="false" outlineLevel="0" collapsed="false">
      <c r="A515" s="21"/>
      <c r="B515" s="22"/>
      <c r="C515" s="22"/>
      <c r="D515" s="23"/>
      <c r="E515" s="21"/>
      <c r="F515" s="24"/>
      <c r="G515" s="25"/>
      <c r="H515" s="25"/>
      <c r="I515" s="24"/>
      <c r="J515" s="25"/>
      <c r="K515" s="24"/>
      <c r="L515" s="25"/>
      <c r="M515" s="26"/>
      <c r="N515" s="24"/>
    </row>
    <row r="516" customFormat="false" ht="15" hidden="false" customHeight="false" outlineLevel="0" collapsed="false">
      <c r="A516" s="21"/>
      <c r="B516" s="22"/>
      <c r="C516" s="22"/>
      <c r="D516" s="23"/>
      <c r="E516" s="21"/>
      <c r="F516" s="24"/>
      <c r="G516" s="25"/>
      <c r="H516" s="25"/>
      <c r="I516" s="24"/>
      <c r="J516" s="25"/>
      <c r="K516" s="24"/>
      <c r="L516" s="25"/>
      <c r="M516" s="26"/>
      <c r="N516" s="24"/>
    </row>
    <row r="517" customFormat="false" ht="15" hidden="false" customHeight="false" outlineLevel="0" collapsed="false">
      <c r="A517" s="21"/>
      <c r="B517" s="22"/>
      <c r="C517" s="22"/>
      <c r="D517" s="23"/>
      <c r="E517" s="21"/>
      <c r="F517" s="24"/>
      <c r="G517" s="25"/>
      <c r="H517" s="25"/>
      <c r="I517" s="24"/>
      <c r="J517" s="25"/>
      <c r="K517" s="24"/>
      <c r="L517" s="25"/>
      <c r="M517" s="26"/>
      <c r="N517" s="24"/>
    </row>
    <row r="518" customFormat="false" ht="15" hidden="false" customHeight="false" outlineLevel="0" collapsed="false">
      <c r="A518" s="21"/>
      <c r="B518" s="22"/>
      <c r="C518" s="22"/>
      <c r="D518" s="23"/>
      <c r="E518" s="21"/>
      <c r="F518" s="24"/>
      <c r="G518" s="25"/>
      <c r="H518" s="25"/>
      <c r="I518" s="24"/>
      <c r="J518" s="25"/>
      <c r="K518" s="24"/>
      <c r="L518" s="25"/>
      <c r="M518" s="26"/>
      <c r="N518" s="24"/>
    </row>
    <row r="519" customFormat="false" ht="15" hidden="false" customHeight="false" outlineLevel="0" collapsed="false">
      <c r="A519" s="21"/>
      <c r="B519" s="22"/>
      <c r="C519" s="22"/>
      <c r="D519" s="23"/>
      <c r="E519" s="21"/>
      <c r="F519" s="24"/>
      <c r="G519" s="25"/>
      <c r="H519" s="25"/>
      <c r="I519" s="24"/>
      <c r="J519" s="25"/>
      <c r="K519" s="24"/>
      <c r="L519" s="25"/>
      <c r="M519" s="26"/>
      <c r="N519" s="24"/>
    </row>
    <row r="520" customFormat="false" ht="15" hidden="false" customHeight="false" outlineLevel="0" collapsed="false">
      <c r="A520" s="21"/>
      <c r="B520" s="22"/>
      <c r="C520" s="22"/>
      <c r="D520" s="23"/>
      <c r="E520" s="21"/>
      <c r="F520" s="24"/>
      <c r="G520" s="25"/>
      <c r="H520" s="25"/>
      <c r="I520" s="24"/>
      <c r="J520" s="25"/>
      <c r="K520" s="24"/>
      <c r="L520" s="25"/>
      <c r="M520" s="26"/>
      <c r="N520" s="24"/>
    </row>
    <row r="521" customFormat="false" ht="15" hidden="false" customHeight="false" outlineLevel="0" collapsed="false">
      <c r="A521" s="21"/>
      <c r="B521" s="22"/>
      <c r="C521" s="22"/>
      <c r="D521" s="23"/>
      <c r="E521" s="21"/>
      <c r="F521" s="24"/>
      <c r="G521" s="25"/>
      <c r="H521" s="25"/>
      <c r="I521" s="24"/>
      <c r="J521" s="25"/>
      <c r="K521" s="24"/>
      <c r="L521" s="25"/>
      <c r="M521" s="26"/>
      <c r="N521" s="24"/>
    </row>
    <row r="522" customFormat="false" ht="15" hidden="false" customHeight="false" outlineLevel="0" collapsed="false">
      <c r="A522" s="21"/>
      <c r="B522" s="22"/>
      <c r="C522" s="22"/>
      <c r="D522" s="23"/>
      <c r="E522" s="21"/>
      <c r="F522" s="24"/>
      <c r="G522" s="25"/>
      <c r="H522" s="25"/>
      <c r="I522" s="24"/>
      <c r="J522" s="25"/>
      <c r="K522" s="24"/>
      <c r="L522" s="25"/>
      <c r="M522" s="26"/>
      <c r="N522" s="24"/>
    </row>
    <row r="523" customFormat="false" ht="15" hidden="false" customHeight="false" outlineLevel="0" collapsed="false">
      <c r="A523" s="21"/>
      <c r="B523" s="22"/>
      <c r="C523" s="22"/>
      <c r="D523" s="23"/>
      <c r="E523" s="21"/>
      <c r="F523" s="24"/>
      <c r="G523" s="25"/>
      <c r="H523" s="25"/>
      <c r="I523" s="24"/>
      <c r="J523" s="25"/>
      <c r="K523" s="24"/>
      <c r="L523" s="25"/>
      <c r="M523" s="26"/>
      <c r="N523" s="24"/>
    </row>
    <row r="524" customFormat="false" ht="15" hidden="false" customHeight="false" outlineLevel="0" collapsed="false">
      <c r="A524" s="21"/>
      <c r="B524" s="22"/>
      <c r="C524" s="22"/>
      <c r="D524" s="23"/>
      <c r="E524" s="21"/>
      <c r="F524" s="24"/>
      <c r="G524" s="25"/>
      <c r="H524" s="25"/>
      <c r="I524" s="24"/>
      <c r="J524" s="25"/>
      <c r="K524" s="24"/>
      <c r="L524" s="25"/>
      <c r="M524" s="26"/>
      <c r="N524" s="24"/>
    </row>
    <row r="525" customFormat="false" ht="15" hidden="false" customHeight="false" outlineLevel="0" collapsed="false">
      <c r="A525" s="21"/>
      <c r="B525" s="22"/>
      <c r="C525" s="22"/>
      <c r="D525" s="23"/>
      <c r="E525" s="21"/>
      <c r="F525" s="24"/>
      <c r="G525" s="25"/>
      <c r="H525" s="25"/>
      <c r="I525" s="24"/>
      <c r="J525" s="25"/>
      <c r="K525" s="24"/>
      <c r="L525" s="25"/>
      <c r="M525" s="26"/>
      <c r="N525" s="24"/>
    </row>
    <row r="526" customFormat="false" ht="15" hidden="false" customHeight="false" outlineLevel="0" collapsed="false">
      <c r="A526" s="21"/>
      <c r="B526" s="22"/>
      <c r="C526" s="22"/>
      <c r="D526" s="23"/>
      <c r="E526" s="21"/>
      <c r="F526" s="24"/>
      <c r="G526" s="25"/>
      <c r="H526" s="25"/>
      <c r="I526" s="24"/>
      <c r="J526" s="25"/>
      <c r="K526" s="24"/>
      <c r="L526" s="25"/>
      <c r="M526" s="26"/>
      <c r="N526" s="24"/>
    </row>
    <row r="527" customFormat="false" ht="15" hidden="false" customHeight="false" outlineLevel="0" collapsed="false">
      <c r="A527" s="21"/>
      <c r="B527" s="22"/>
      <c r="C527" s="22"/>
      <c r="D527" s="23"/>
      <c r="E527" s="21"/>
      <c r="F527" s="24"/>
      <c r="G527" s="25"/>
      <c r="H527" s="25"/>
      <c r="I527" s="24"/>
      <c r="J527" s="25"/>
      <c r="K527" s="24"/>
      <c r="L527" s="25"/>
      <c r="M527" s="26"/>
      <c r="N527" s="24"/>
    </row>
    <row r="528" customFormat="false" ht="15" hidden="false" customHeight="false" outlineLevel="0" collapsed="false">
      <c r="A528" s="21"/>
      <c r="B528" s="22"/>
      <c r="C528" s="22"/>
      <c r="D528" s="23"/>
      <c r="E528" s="21"/>
      <c r="F528" s="24"/>
      <c r="G528" s="25"/>
      <c r="H528" s="25"/>
      <c r="I528" s="24"/>
      <c r="J528" s="25"/>
      <c r="K528" s="24"/>
      <c r="L528" s="25"/>
      <c r="M528" s="26"/>
      <c r="N528" s="24"/>
    </row>
    <row r="529" customFormat="false" ht="15" hidden="false" customHeight="false" outlineLevel="0" collapsed="false">
      <c r="A529" s="21"/>
      <c r="B529" s="22"/>
      <c r="C529" s="22"/>
      <c r="D529" s="23"/>
      <c r="E529" s="21"/>
      <c r="F529" s="24"/>
      <c r="G529" s="25"/>
      <c r="H529" s="25"/>
      <c r="I529" s="24"/>
      <c r="J529" s="25"/>
      <c r="K529" s="24"/>
      <c r="L529" s="25"/>
      <c r="M529" s="26"/>
      <c r="N529" s="24"/>
    </row>
    <row r="530" customFormat="false" ht="15" hidden="false" customHeight="false" outlineLevel="0" collapsed="false">
      <c r="A530" s="21"/>
      <c r="B530" s="22"/>
      <c r="C530" s="22"/>
      <c r="D530" s="23"/>
      <c r="E530" s="21"/>
      <c r="F530" s="24"/>
      <c r="G530" s="25"/>
      <c r="H530" s="25"/>
      <c r="I530" s="24"/>
      <c r="J530" s="25"/>
      <c r="K530" s="24"/>
      <c r="L530" s="25"/>
      <c r="M530" s="26"/>
      <c r="N530" s="24"/>
    </row>
    <row r="531" customFormat="false" ht="15" hidden="false" customHeight="false" outlineLevel="0" collapsed="false">
      <c r="A531" s="21"/>
      <c r="B531" s="22"/>
      <c r="C531" s="22"/>
      <c r="D531" s="23"/>
      <c r="E531" s="21"/>
      <c r="F531" s="24"/>
      <c r="G531" s="25"/>
      <c r="H531" s="25"/>
      <c r="I531" s="24"/>
      <c r="J531" s="25"/>
      <c r="K531" s="24"/>
      <c r="L531" s="25"/>
      <c r="M531" s="26"/>
      <c r="N531" s="24"/>
    </row>
    <row r="532" customFormat="false" ht="15" hidden="false" customHeight="false" outlineLevel="0" collapsed="false">
      <c r="A532" s="21"/>
      <c r="B532" s="22"/>
      <c r="C532" s="22"/>
      <c r="D532" s="23"/>
      <c r="E532" s="21"/>
      <c r="F532" s="24"/>
      <c r="G532" s="25"/>
      <c r="H532" s="25"/>
      <c r="I532" s="24"/>
      <c r="J532" s="25"/>
      <c r="K532" s="24"/>
      <c r="L532" s="25"/>
      <c r="M532" s="26"/>
      <c r="N532" s="24"/>
    </row>
    <row r="533" customFormat="false" ht="15" hidden="false" customHeight="false" outlineLevel="0" collapsed="false">
      <c r="A533" s="21"/>
      <c r="B533" s="22"/>
      <c r="C533" s="22"/>
      <c r="D533" s="23"/>
      <c r="E533" s="21"/>
      <c r="F533" s="24"/>
      <c r="G533" s="25"/>
      <c r="H533" s="25"/>
      <c r="I533" s="24"/>
      <c r="J533" s="25"/>
      <c r="K533" s="24"/>
      <c r="L533" s="25"/>
      <c r="M533" s="26"/>
      <c r="N533" s="24"/>
    </row>
    <row r="534" customFormat="false" ht="15" hidden="false" customHeight="false" outlineLevel="0" collapsed="false">
      <c r="A534" s="21"/>
      <c r="B534" s="22"/>
      <c r="C534" s="22"/>
      <c r="D534" s="23"/>
      <c r="E534" s="21"/>
      <c r="F534" s="24"/>
      <c r="G534" s="25"/>
      <c r="H534" s="25"/>
      <c r="I534" s="24"/>
      <c r="J534" s="25"/>
      <c r="K534" s="24"/>
      <c r="L534" s="25"/>
      <c r="M534" s="26"/>
      <c r="N534" s="24"/>
    </row>
    <row r="535" customFormat="false" ht="15" hidden="false" customHeight="false" outlineLevel="0" collapsed="false">
      <c r="A535" s="21"/>
      <c r="B535" s="22"/>
      <c r="C535" s="22"/>
      <c r="D535" s="23"/>
      <c r="E535" s="21"/>
      <c r="F535" s="24"/>
      <c r="G535" s="25"/>
      <c r="H535" s="25"/>
      <c r="I535" s="24"/>
      <c r="J535" s="25"/>
      <c r="K535" s="24"/>
      <c r="L535" s="25"/>
      <c r="M535" s="26"/>
      <c r="N535" s="24"/>
    </row>
    <row r="536" customFormat="false" ht="15" hidden="false" customHeight="false" outlineLevel="0" collapsed="false">
      <c r="A536" s="21"/>
      <c r="B536" s="22"/>
      <c r="C536" s="22"/>
      <c r="D536" s="23"/>
      <c r="E536" s="21"/>
      <c r="F536" s="24"/>
      <c r="G536" s="25"/>
      <c r="H536" s="25"/>
      <c r="I536" s="24"/>
      <c r="J536" s="25"/>
      <c r="K536" s="24"/>
      <c r="L536" s="25"/>
      <c r="M536" s="26"/>
      <c r="N536" s="24"/>
    </row>
    <row r="537" customFormat="false" ht="15" hidden="false" customHeight="false" outlineLevel="0" collapsed="false">
      <c r="A537" s="21"/>
      <c r="B537" s="22"/>
      <c r="C537" s="22"/>
      <c r="D537" s="23"/>
      <c r="E537" s="21"/>
      <c r="F537" s="24"/>
      <c r="G537" s="25"/>
      <c r="H537" s="25"/>
      <c r="I537" s="24"/>
      <c r="J537" s="25"/>
      <c r="K537" s="24"/>
      <c r="L537" s="25"/>
      <c r="M537" s="26"/>
      <c r="N537" s="24"/>
    </row>
    <row r="538" customFormat="false" ht="15" hidden="false" customHeight="false" outlineLevel="0" collapsed="false">
      <c r="A538" s="21"/>
      <c r="B538" s="22"/>
      <c r="C538" s="22"/>
      <c r="D538" s="23"/>
      <c r="E538" s="21"/>
      <c r="F538" s="24"/>
      <c r="G538" s="25"/>
      <c r="H538" s="25"/>
      <c r="I538" s="24"/>
      <c r="J538" s="25"/>
      <c r="K538" s="24"/>
      <c r="L538" s="25"/>
      <c r="M538" s="26"/>
      <c r="N538" s="24"/>
    </row>
    <row r="539" customFormat="false" ht="15" hidden="false" customHeight="false" outlineLevel="0" collapsed="false">
      <c r="A539" s="21"/>
      <c r="B539" s="22"/>
      <c r="C539" s="22"/>
      <c r="D539" s="23"/>
      <c r="E539" s="21"/>
      <c r="F539" s="24"/>
      <c r="G539" s="25"/>
      <c r="H539" s="25"/>
      <c r="I539" s="24"/>
      <c r="J539" s="25"/>
      <c r="K539" s="24"/>
      <c r="L539" s="25"/>
      <c r="M539" s="26"/>
      <c r="N539" s="24"/>
    </row>
    <row r="540" customFormat="false" ht="15" hidden="false" customHeight="false" outlineLevel="0" collapsed="false">
      <c r="A540" s="21"/>
      <c r="B540" s="22"/>
      <c r="C540" s="22"/>
      <c r="D540" s="23"/>
      <c r="E540" s="21"/>
      <c r="F540" s="24"/>
      <c r="G540" s="25"/>
      <c r="H540" s="25"/>
      <c r="I540" s="24"/>
      <c r="J540" s="25"/>
      <c r="K540" s="24"/>
      <c r="L540" s="25"/>
      <c r="M540" s="26"/>
      <c r="N540" s="24"/>
    </row>
    <row r="541" customFormat="false" ht="15" hidden="false" customHeight="false" outlineLevel="0" collapsed="false">
      <c r="A541" s="21"/>
      <c r="B541" s="22"/>
      <c r="C541" s="22"/>
      <c r="D541" s="23"/>
      <c r="E541" s="21"/>
      <c r="F541" s="24"/>
      <c r="G541" s="25"/>
      <c r="H541" s="25"/>
      <c r="I541" s="24"/>
      <c r="J541" s="25"/>
      <c r="K541" s="24"/>
      <c r="L541" s="25"/>
      <c r="M541" s="26"/>
      <c r="N541" s="24"/>
    </row>
    <row r="542" customFormat="false" ht="15" hidden="false" customHeight="false" outlineLevel="0" collapsed="false">
      <c r="A542" s="21"/>
      <c r="B542" s="22"/>
      <c r="C542" s="22"/>
      <c r="D542" s="23"/>
      <c r="E542" s="21"/>
      <c r="F542" s="24"/>
      <c r="G542" s="25"/>
      <c r="H542" s="25"/>
      <c r="I542" s="24"/>
      <c r="J542" s="25"/>
      <c r="K542" s="24"/>
      <c r="L542" s="25"/>
      <c r="M542" s="26"/>
      <c r="N542" s="24"/>
    </row>
    <row r="543" customFormat="false" ht="15" hidden="false" customHeight="false" outlineLevel="0" collapsed="false">
      <c r="A543" s="21"/>
      <c r="B543" s="22"/>
      <c r="C543" s="22"/>
      <c r="D543" s="23"/>
      <c r="E543" s="21"/>
      <c r="F543" s="24"/>
      <c r="G543" s="25"/>
      <c r="H543" s="25"/>
      <c r="I543" s="24"/>
      <c r="J543" s="25"/>
      <c r="K543" s="24"/>
      <c r="L543" s="25"/>
      <c r="M543" s="26"/>
      <c r="N543" s="24"/>
    </row>
    <row r="544" customFormat="false" ht="15" hidden="false" customHeight="false" outlineLevel="0" collapsed="false">
      <c r="A544" s="21"/>
      <c r="B544" s="22"/>
      <c r="C544" s="22"/>
      <c r="D544" s="23"/>
      <c r="E544" s="21"/>
      <c r="F544" s="24"/>
      <c r="G544" s="25"/>
      <c r="H544" s="25"/>
      <c r="I544" s="24"/>
      <c r="J544" s="25"/>
      <c r="K544" s="24"/>
      <c r="L544" s="25"/>
      <c r="M544" s="26"/>
      <c r="N544" s="24"/>
    </row>
    <row r="545" customFormat="false" ht="15" hidden="false" customHeight="false" outlineLevel="0" collapsed="false">
      <c r="A545" s="21"/>
      <c r="B545" s="22"/>
      <c r="C545" s="22"/>
      <c r="D545" s="23"/>
      <c r="E545" s="21"/>
      <c r="F545" s="24"/>
      <c r="G545" s="25"/>
      <c r="H545" s="25"/>
      <c r="I545" s="24"/>
      <c r="J545" s="25"/>
      <c r="K545" s="24"/>
      <c r="L545" s="25"/>
      <c r="M545" s="26"/>
      <c r="N545" s="24"/>
    </row>
    <row r="546" customFormat="false" ht="15" hidden="false" customHeight="false" outlineLevel="0" collapsed="false">
      <c r="A546" s="21"/>
      <c r="B546" s="22"/>
      <c r="C546" s="22"/>
      <c r="D546" s="23"/>
      <c r="E546" s="21"/>
      <c r="F546" s="24"/>
      <c r="G546" s="25"/>
      <c r="H546" s="25"/>
      <c r="I546" s="24"/>
      <c r="J546" s="25"/>
      <c r="K546" s="24"/>
      <c r="L546" s="25"/>
      <c r="M546" s="26"/>
      <c r="N546" s="24"/>
    </row>
    <row r="547" customFormat="false" ht="15" hidden="false" customHeight="false" outlineLevel="0" collapsed="false">
      <c r="A547" s="21"/>
      <c r="B547" s="22"/>
      <c r="C547" s="22"/>
      <c r="D547" s="23"/>
      <c r="E547" s="21"/>
      <c r="F547" s="24"/>
      <c r="G547" s="25"/>
      <c r="H547" s="25"/>
      <c r="I547" s="24"/>
      <c r="J547" s="25"/>
      <c r="K547" s="24"/>
      <c r="L547" s="25"/>
      <c r="M547" s="26"/>
      <c r="N547" s="24"/>
    </row>
    <row r="548" customFormat="false" ht="15" hidden="false" customHeight="false" outlineLevel="0" collapsed="false">
      <c r="A548" s="21"/>
      <c r="B548" s="22"/>
      <c r="C548" s="22"/>
      <c r="D548" s="23"/>
      <c r="E548" s="21"/>
      <c r="F548" s="24"/>
      <c r="G548" s="25"/>
      <c r="H548" s="25"/>
      <c r="I548" s="24"/>
      <c r="J548" s="25"/>
      <c r="K548" s="24"/>
      <c r="L548" s="25"/>
      <c r="M548" s="26"/>
      <c r="N548" s="24"/>
    </row>
    <row r="549" customFormat="false" ht="15" hidden="false" customHeight="false" outlineLevel="0" collapsed="false">
      <c r="A549" s="21"/>
      <c r="B549" s="22"/>
      <c r="C549" s="22"/>
      <c r="D549" s="23"/>
      <c r="E549" s="21"/>
      <c r="F549" s="24"/>
      <c r="G549" s="25"/>
      <c r="H549" s="25"/>
      <c r="I549" s="24"/>
      <c r="J549" s="25"/>
      <c r="K549" s="24"/>
      <c r="L549" s="25"/>
      <c r="M549" s="26"/>
      <c r="N549" s="24"/>
    </row>
    <row r="550" customFormat="false" ht="15" hidden="false" customHeight="false" outlineLevel="0" collapsed="false">
      <c r="A550" s="21"/>
      <c r="B550" s="22"/>
      <c r="C550" s="22"/>
      <c r="D550" s="23"/>
      <c r="E550" s="21"/>
      <c r="F550" s="24"/>
      <c r="G550" s="25"/>
      <c r="H550" s="25"/>
      <c r="I550" s="24"/>
      <c r="J550" s="25"/>
      <c r="K550" s="24"/>
      <c r="L550" s="25"/>
      <c r="M550" s="26"/>
      <c r="N550" s="24"/>
    </row>
    <row r="551" customFormat="false" ht="15" hidden="false" customHeight="false" outlineLevel="0" collapsed="false">
      <c r="A551" s="21"/>
      <c r="B551" s="22"/>
      <c r="C551" s="22"/>
      <c r="D551" s="23"/>
      <c r="E551" s="21"/>
      <c r="F551" s="24"/>
      <c r="G551" s="25"/>
      <c r="H551" s="25"/>
      <c r="I551" s="24"/>
      <c r="J551" s="25"/>
      <c r="K551" s="24"/>
      <c r="L551" s="25"/>
      <c r="M551" s="26"/>
      <c r="N551" s="24"/>
    </row>
    <row r="552" customFormat="false" ht="15" hidden="false" customHeight="false" outlineLevel="0" collapsed="false">
      <c r="A552" s="21"/>
      <c r="B552" s="22"/>
      <c r="C552" s="22"/>
      <c r="D552" s="23"/>
      <c r="E552" s="21"/>
      <c r="F552" s="24"/>
      <c r="G552" s="25"/>
      <c r="H552" s="25"/>
      <c r="I552" s="24"/>
      <c r="J552" s="25"/>
      <c r="K552" s="24"/>
      <c r="L552" s="25"/>
      <c r="M552" s="26"/>
      <c r="N552" s="24"/>
    </row>
    <row r="553" customFormat="false" ht="15" hidden="false" customHeight="false" outlineLevel="0" collapsed="false">
      <c r="A553" s="21"/>
      <c r="B553" s="22"/>
      <c r="C553" s="22"/>
      <c r="D553" s="23"/>
      <c r="E553" s="21"/>
      <c r="F553" s="24"/>
      <c r="G553" s="25"/>
      <c r="H553" s="25"/>
      <c r="I553" s="24"/>
      <c r="J553" s="25"/>
      <c r="K553" s="24"/>
      <c r="L553" s="25"/>
      <c r="M553" s="26"/>
      <c r="N553" s="24"/>
    </row>
    <row r="554" customFormat="false" ht="15" hidden="false" customHeight="false" outlineLevel="0" collapsed="false">
      <c r="A554" s="21"/>
      <c r="B554" s="22"/>
      <c r="C554" s="22"/>
      <c r="D554" s="23"/>
      <c r="E554" s="21"/>
      <c r="F554" s="24"/>
      <c r="G554" s="25"/>
      <c r="H554" s="25"/>
      <c r="I554" s="24"/>
      <c r="J554" s="25"/>
      <c r="K554" s="24"/>
      <c r="L554" s="25"/>
      <c r="M554" s="26"/>
      <c r="N554" s="24"/>
    </row>
    <row r="555" customFormat="false" ht="15" hidden="false" customHeight="false" outlineLevel="0" collapsed="false">
      <c r="A555" s="21"/>
      <c r="B555" s="22"/>
      <c r="C555" s="22"/>
      <c r="D555" s="23"/>
      <c r="E555" s="21"/>
      <c r="F555" s="24"/>
      <c r="G555" s="25"/>
      <c r="H555" s="25"/>
      <c r="I555" s="24"/>
      <c r="J555" s="25"/>
      <c r="K555" s="24"/>
      <c r="L555" s="25"/>
      <c r="M555" s="26"/>
      <c r="N555" s="24"/>
    </row>
    <row r="556" customFormat="false" ht="15" hidden="false" customHeight="false" outlineLevel="0" collapsed="false">
      <c r="A556" s="21"/>
      <c r="B556" s="22"/>
      <c r="C556" s="22"/>
      <c r="D556" s="23"/>
      <c r="E556" s="21"/>
      <c r="F556" s="24"/>
      <c r="G556" s="25"/>
      <c r="H556" s="25"/>
      <c r="I556" s="24"/>
      <c r="J556" s="25"/>
      <c r="K556" s="24"/>
      <c r="L556" s="25"/>
      <c r="M556" s="26"/>
      <c r="N556" s="24"/>
    </row>
    <row r="557" customFormat="false" ht="15" hidden="false" customHeight="false" outlineLevel="0" collapsed="false">
      <c r="A557" s="21"/>
      <c r="B557" s="22"/>
      <c r="C557" s="22"/>
      <c r="D557" s="23"/>
      <c r="E557" s="21"/>
      <c r="F557" s="24"/>
      <c r="G557" s="25"/>
      <c r="H557" s="25"/>
      <c r="I557" s="24"/>
      <c r="J557" s="25"/>
      <c r="K557" s="24"/>
      <c r="L557" s="25"/>
      <c r="M557" s="26"/>
      <c r="N557" s="24"/>
    </row>
    <row r="558" customFormat="false" ht="15" hidden="false" customHeight="false" outlineLevel="0" collapsed="false">
      <c r="A558" s="21"/>
      <c r="B558" s="22"/>
      <c r="C558" s="22"/>
      <c r="D558" s="23"/>
      <c r="E558" s="21"/>
      <c r="F558" s="24"/>
      <c r="G558" s="25"/>
      <c r="H558" s="25"/>
      <c r="I558" s="24"/>
      <c r="J558" s="25"/>
      <c r="K558" s="24"/>
      <c r="L558" s="25"/>
      <c r="M558" s="26"/>
      <c r="N558" s="24"/>
    </row>
    <row r="559" customFormat="false" ht="15" hidden="false" customHeight="false" outlineLevel="0" collapsed="false">
      <c r="A559" s="21"/>
      <c r="B559" s="22"/>
      <c r="C559" s="22"/>
      <c r="D559" s="23"/>
      <c r="E559" s="21"/>
      <c r="F559" s="24"/>
      <c r="G559" s="25"/>
      <c r="H559" s="25"/>
      <c r="I559" s="24"/>
      <c r="J559" s="25"/>
      <c r="K559" s="24"/>
      <c r="L559" s="25"/>
      <c r="M559" s="26"/>
      <c r="N559" s="24"/>
    </row>
    <row r="560" customFormat="false" ht="15" hidden="false" customHeight="false" outlineLevel="0" collapsed="false">
      <c r="A560" s="21"/>
      <c r="B560" s="22"/>
      <c r="C560" s="22"/>
      <c r="D560" s="23"/>
      <c r="E560" s="21"/>
      <c r="F560" s="24"/>
      <c r="G560" s="25"/>
      <c r="H560" s="25"/>
      <c r="I560" s="24"/>
      <c r="J560" s="25"/>
      <c r="K560" s="24"/>
      <c r="L560" s="25"/>
      <c r="M560" s="26"/>
      <c r="N560" s="24"/>
    </row>
    <row r="561" customFormat="false" ht="15" hidden="false" customHeight="false" outlineLevel="0" collapsed="false">
      <c r="A561" s="21"/>
      <c r="B561" s="22"/>
      <c r="C561" s="22"/>
      <c r="D561" s="23"/>
      <c r="E561" s="21"/>
      <c r="F561" s="24"/>
      <c r="G561" s="25"/>
      <c r="H561" s="25"/>
      <c r="I561" s="24"/>
      <c r="J561" s="25"/>
      <c r="K561" s="24"/>
      <c r="L561" s="25"/>
      <c r="M561" s="26"/>
      <c r="N561" s="24"/>
    </row>
    <row r="562" customFormat="false" ht="15" hidden="false" customHeight="false" outlineLevel="0" collapsed="false">
      <c r="A562" s="21"/>
      <c r="B562" s="22"/>
      <c r="C562" s="22"/>
      <c r="D562" s="23"/>
      <c r="E562" s="21"/>
      <c r="F562" s="24"/>
      <c r="G562" s="25"/>
      <c r="H562" s="25"/>
      <c r="I562" s="24"/>
      <c r="J562" s="25"/>
      <c r="K562" s="24"/>
      <c r="L562" s="25"/>
      <c r="M562" s="26"/>
      <c r="N562" s="24"/>
    </row>
    <row r="563" customFormat="false" ht="15" hidden="false" customHeight="false" outlineLevel="0" collapsed="false">
      <c r="A563" s="21"/>
      <c r="B563" s="22"/>
      <c r="C563" s="22"/>
      <c r="D563" s="23"/>
      <c r="E563" s="21"/>
      <c r="F563" s="24"/>
      <c r="G563" s="25"/>
      <c r="H563" s="25"/>
      <c r="I563" s="24"/>
      <c r="J563" s="25"/>
      <c r="K563" s="24"/>
      <c r="L563" s="25"/>
      <c r="M563" s="26"/>
      <c r="N563" s="24"/>
    </row>
    <row r="564" customFormat="false" ht="15" hidden="false" customHeight="false" outlineLevel="0" collapsed="false">
      <c r="A564" s="21"/>
      <c r="B564" s="22"/>
      <c r="C564" s="22"/>
      <c r="D564" s="23"/>
      <c r="E564" s="21"/>
      <c r="F564" s="24"/>
      <c r="G564" s="25"/>
      <c r="H564" s="25"/>
      <c r="I564" s="24"/>
      <c r="J564" s="25"/>
      <c r="K564" s="24"/>
      <c r="L564" s="25"/>
      <c r="M564" s="26"/>
      <c r="N564" s="24"/>
    </row>
    <row r="565" customFormat="false" ht="15" hidden="false" customHeight="false" outlineLevel="0" collapsed="false">
      <c r="A565" s="21"/>
      <c r="B565" s="22"/>
      <c r="C565" s="22"/>
      <c r="D565" s="23"/>
      <c r="E565" s="21"/>
      <c r="F565" s="24"/>
      <c r="G565" s="25"/>
      <c r="H565" s="25"/>
      <c r="I565" s="24"/>
      <c r="J565" s="25"/>
      <c r="K565" s="24"/>
      <c r="L565" s="25"/>
      <c r="M565" s="26"/>
      <c r="N565" s="24"/>
    </row>
    <row r="566" customFormat="false" ht="15" hidden="false" customHeight="false" outlineLevel="0" collapsed="false">
      <c r="A566" s="21"/>
      <c r="B566" s="22"/>
      <c r="C566" s="22"/>
      <c r="D566" s="23"/>
      <c r="E566" s="21"/>
      <c r="F566" s="24"/>
      <c r="G566" s="25"/>
      <c r="H566" s="25"/>
      <c r="I566" s="24"/>
      <c r="J566" s="25"/>
      <c r="K566" s="24"/>
      <c r="L566" s="25"/>
      <c r="M566" s="26"/>
      <c r="N566" s="24"/>
    </row>
    <row r="567" customFormat="false" ht="15" hidden="false" customHeight="false" outlineLevel="0" collapsed="false">
      <c r="A567" s="21"/>
      <c r="B567" s="22"/>
      <c r="C567" s="22"/>
      <c r="D567" s="23"/>
      <c r="E567" s="21"/>
      <c r="F567" s="24"/>
      <c r="G567" s="25"/>
      <c r="H567" s="25"/>
      <c r="I567" s="24"/>
      <c r="J567" s="25"/>
      <c r="K567" s="24"/>
      <c r="L567" s="25"/>
      <c r="M567" s="26"/>
      <c r="N567" s="24"/>
    </row>
    <row r="568" customFormat="false" ht="15" hidden="false" customHeight="false" outlineLevel="0" collapsed="false">
      <c r="A568" s="21"/>
      <c r="B568" s="22"/>
      <c r="C568" s="22"/>
      <c r="D568" s="23"/>
      <c r="E568" s="21"/>
      <c r="F568" s="24"/>
      <c r="G568" s="25"/>
      <c r="H568" s="25"/>
      <c r="I568" s="24"/>
      <c r="J568" s="25"/>
      <c r="K568" s="24"/>
      <c r="L568" s="25"/>
      <c r="M568" s="26"/>
      <c r="N568" s="24"/>
    </row>
    <row r="569" customFormat="false" ht="15" hidden="false" customHeight="false" outlineLevel="0" collapsed="false">
      <c r="A569" s="21"/>
      <c r="B569" s="22"/>
      <c r="C569" s="22"/>
      <c r="D569" s="23"/>
      <c r="E569" s="21"/>
      <c r="F569" s="24"/>
      <c r="G569" s="25"/>
      <c r="H569" s="25"/>
      <c r="I569" s="24"/>
      <c r="J569" s="25"/>
      <c r="K569" s="24"/>
      <c r="L569" s="25"/>
      <c r="M569" s="26"/>
      <c r="N569" s="24"/>
    </row>
    <row r="570" customFormat="false" ht="15" hidden="false" customHeight="false" outlineLevel="0" collapsed="false">
      <c r="A570" s="21"/>
      <c r="B570" s="22"/>
      <c r="C570" s="22"/>
      <c r="D570" s="23"/>
      <c r="E570" s="21"/>
      <c r="F570" s="24"/>
      <c r="G570" s="25"/>
      <c r="H570" s="25"/>
      <c r="I570" s="24"/>
      <c r="J570" s="25"/>
      <c r="K570" s="24"/>
      <c r="L570" s="25"/>
      <c r="M570" s="26"/>
      <c r="N570" s="24"/>
    </row>
    <row r="571" customFormat="false" ht="15" hidden="false" customHeight="false" outlineLevel="0" collapsed="false">
      <c r="A571" s="21"/>
      <c r="B571" s="22"/>
      <c r="C571" s="22"/>
      <c r="D571" s="23"/>
      <c r="E571" s="21"/>
      <c r="F571" s="24"/>
      <c r="G571" s="25"/>
      <c r="H571" s="25"/>
      <c r="I571" s="24"/>
      <c r="J571" s="25"/>
      <c r="K571" s="24"/>
      <c r="L571" s="25"/>
      <c r="M571" s="26"/>
      <c r="N571" s="24"/>
    </row>
    <row r="572" customFormat="false" ht="15" hidden="false" customHeight="false" outlineLevel="0" collapsed="false">
      <c r="A572" s="21"/>
      <c r="B572" s="22"/>
      <c r="C572" s="22"/>
      <c r="D572" s="23"/>
      <c r="E572" s="21"/>
      <c r="F572" s="24"/>
      <c r="G572" s="25"/>
      <c r="H572" s="25"/>
      <c r="I572" s="24"/>
      <c r="J572" s="25"/>
      <c r="K572" s="24"/>
      <c r="L572" s="25"/>
      <c r="M572" s="26"/>
      <c r="N572" s="24"/>
    </row>
    <row r="573" customFormat="false" ht="15" hidden="false" customHeight="false" outlineLevel="0" collapsed="false">
      <c r="A573" s="21"/>
      <c r="B573" s="22"/>
      <c r="C573" s="22"/>
      <c r="D573" s="23"/>
      <c r="E573" s="21"/>
      <c r="F573" s="24"/>
      <c r="G573" s="25"/>
      <c r="H573" s="25"/>
      <c r="I573" s="24"/>
      <c r="J573" s="25"/>
      <c r="K573" s="24"/>
      <c r="L573" s="25"/>
      <c r="M573" s="26"/>
      <c r="N573" s="24"/>
    </row>
    <row r="574" customFormat="false" ht="15" hidden="false" customHeight="false" outlineLevel="0" collapsed="false">
      <c r="A574" s="21"/>
      <c r="B574" s="22"/>
      <c r="C574" s="22"/>
      <c r="D574" s="23"/>
      <c r="E574" s="21"/>
      <c r="F574" s="24"/>
      <c r="G574" s="25"/>
      <c r="H574" s="25"/>
      <c r="I574" s="24"/>
      <c r="J574" s="25"/>
      <c r="K574" s="24"/>
      <c r="L574" s="25"/>
      <c r="M574" s="26"/>
      <c r="N574" s="24"/>
    </row>
    <row r="575" customFormat="false" ht="15" hidden="false" customHeight="false" outlineLevel="0" collapsed="false">
      <c r="A575" s="21"/>
      <c r="B575" s="22"/>
      <c r="C575" s="22"/>
      <c r="D575" s="23"/>
      <c r="E575" s="21"/>
      <c r="F575" s="24"/>
      <c r="G575" s="25"/>
      <c r="H575" s="25"/>
      <c r="I575" s="24"/>
      <c r="J575" s="25"/>
      <c r="K575" s="24"/>
      <c r="L575" s="25"/>
      <c r="M575" s="26"/>
      <c r="N575" s="24"/>
    </row>
    <row r="576" customFormat="false" ht="15" hidden="false" customHeight="false" outlineLevel="0" collapsed="false">
      <c r="A576" s="21"/>
      <c r="B576" s="22"/>
      <c r="C576" s="22"/>
      <c r="D576" s="23"/>
      <c r="E576" s="21"/>
      <c r="F576" s="24"/>
      <c r="G576" s="25"/>
      <c r="H576" s="25"/>
      <c r="I576" s="24"/>
      <c r="J576" s="25"/>
      <c r="K576" s="24"/>
      <c r="L576" s="25"/>
      <c r="M576" s="26"/>
      <c r="N576" s="24"/>
    </row>
    <row r="577" customFormat="false" ht="15" hidden="false" customHeight="false" outlineLevel="0" collapsed="false">
      <c r="A577" s="21"/>
      <c r="B577" s="22"/>
      <c r="C577" s="22"/>
      <c r="D577" s="23"/>
      <c r="E577" s="21"/>
      <c r="F577" s="24"/>
      <c r="G577" s="25"/>
      <c r="H577" s="25"/>
      <c r="I577" s="24"/>
      <c r="J577" s="25"/>
      <c r="K577" s="24"/>
      <c r="L577" s="25"/>
      <c r="M577" s="26"/>
      <c r="N577" s="24"/>
    </row>
    <row r="578" customFormat="false" ht="15" hidden="false" customHeight="false" outlineLevel="0" collapsed="false">
      <c r="A578" s="21"/>
      <c r="B578" s="22"/>
      <c r="C578" s="22"/>
      <c r="D578" s="23"/>
      <c r="E578" s="21"/>
      <c r="F578" s="24"/>
      <c r="G578" s="25"/>
      <c r="H578" s="25"/>
      <c r="I578" s="24"/>
      <c r="J578" s="25"/>
      <c r="K578" s="24"/>
      <c r="L578" s="25"/>
      <c r="M578" s="26"/>
      <c r="N578" s="24"/>
    </row>
    <row r="579" customFormat="false" ht="15" hidden="false" customHeight="false" outlineLevel="0" collapsed="false">
      <c r="A579" s="21"/>
      <c r="B579" s="22"/>
      <c r="C579" s="22"/>
      <c r="D579" s="23"/>
      <c r="E579" s="21"/>
      <c r="F579" s="24"/>
      <c r="G579" s="25"/>
      <c r="H579" s="25"/>
      <c r="I579" s="24"/>
      <c r="J579" s="25"/>
      <c r="K579" s="24"/>
      <c r="L579" s="25"/>
      <c r="M579" s="26"/>
      <c r="N579" s="24"/>
    </row>
    <row r="580" customFormat="false" ht="15" hidden="false" customHeight="false" outlineLevel="0" collapsed="false">
      <c r="A580" s="21"/>
      <c r="B580" s="22"/>
      <c r="C580" s="22"/>
      <c r="D580" s="23"/>
      <c r="E580" s="21"/>
      <c r="F580" s="24"/>
      <c r="G580" s="25"/>
      <c r="H580" s="25"/>
      <c r="I580" s="24"/>
      <c r="J580" s="25"/>
      <c r="K580" s="24"/>
      <c r="L580" s="25"/>
      <c r="M580" s="26"/>
      <c r="N580" s="24"/>
    </row>
    <row r="581" customFormat="false" ht="15" hidden="false" customHeight="false" outlineLevel="0" collapsed="false">
      <c r="A581" s="21"/>
      <c r="B581" s="22"/>
      <c r="C581" s="22"/>
      <c r="D581" s="23"/>
      <c r="E581" s="21"/>
      <c r="F581" s="24"/>
      <c r="G581" s="25"/>
      <c r="H581" s="25"/>
      <c r="I581" s="24"/>
      <c r="J581" s="25"/>
      <c r="K581" s="24"/>
      <c r="L581" s="25"/>
      <c r="M581" s="26"/>
      <c r="N581" s="24"/>
    </row>
    <row r="582" customFormat="false" ht="15" hidden="false" customHeight="false" outlineLevel="0" collapsed="false">
      <c r="A582" s="21"/>
      <c r="B582" s="22"/>
      <c r="C582" s="22"/>
      <c r="D582" s="23"/>
      <c r="E582" s="21"/>
      <c r="F582" s="24"/>
      <c r="G582" s="25"/>
      <c r="H582" s="25"/>
      <c r="I582" s="24"/>
      <c r="J582" s="25"/>
      <c r="K582" s="24"/>
      <c r="L582" s="25"/>
      <c r="M582" s="26"/>
      <c r="N582" s="24"/>
    </row>
    <row r="583" customFormat="false" ht="15" hidden="false" customHeight="false" outlineLevel="0" collapsed="false">
      <c r="A583" s="21"/>
      <c r="B583" s="22"/>
      <c r="C583" s="22"/>
      <c r="D583" s="23"/>
      <c r="E583" s="21"/>
      <c r="F583" s="24"/>
      <c r="G583" s="25"/>
      <c r="H583" s="25"/>
      <c r="I583" s="24"/>
      <c r="J583" s="25"/>
      <c r="K583" s="24"/>
      <c r="L583" s="25"/>
      <c r="M583" s="26"/>
      <c r="N583" s="24"/>
    </row>
    <row r="584" customFormat="false" ht="15" hidden="false" customHeight="false" outlineLevel="0" collapsed="false">
      <c r="A584" s="21"/>
      <c r="B584" s="22"/>
      <c r="C584" s="22"/>
      <c r="D584" s="23"/>
      <c r="E584" s="21"/>
      <c r="F584" s="24"/>
      <c r="G584" s="25"/>
      <c r="H584" s="25"/>
      <c r="I584" s="24"/>
      <c r="J584" s="25"/>
      <c r="K584" s="24"/>
      <c r="L584" s="25"/>
      <c r="M584" s="26"/>
      <c r="N584" s="24"/>
    </row>
    <row r="585" customFormat="false" ht="15" hidden="false" customHeight="false" outlineLevel="0" collapsed="false">
      <c r="A585" s="21"/>
      <c r="B585" s="22"/>
      <c r="C585" s="22"/>
      <c r="D585" s="23"/>
      <c r="E585" s="21"/>
      <c r="F585" s="24"/>
      <c r="G585" s="25"/>
      <c r="H585" s="25"/>
      <c r="I585" s="24"/>
      <c r="J585" s="25"/>
      <c r="K585" s="24"/>
      <c r="L585" s="25"/>
      <c r="M585" s="26"/>
      <c r="N585" s="24"/>
    </row>
    <row r="586" customFormat="false" ht="15" hidden="false" customHeight="false" outlineLevel="0" collapsed="false">
      <c r="A586" s="21"/>
      <c r="B586" s="22"/>
      <c r="C586" s="22"/>
      <c r="D586" s="23"/>
      <c r="E586" s="21"/>
      <c r="F586" s="24"/>
      <c r="G586" s="25"/>
      <c r="H586" s="25"/>
      <c r="I586" s="24"/>
      <c r="J586" s="25"/>
      <c r="K586" s="24"/>
      <c r="L586" s="25"/>
      <c r="M586" s="26"/>
      <c r="N586" s="24"/>
    </row>
    <row r="587" customFormat="false" ht="15" hidden="false" customHeight="false" outlineLevel="0" collapsed="false">
      <c r="A587" s="21"/>
      <c r="B587" s="22"/>
      <c r="C587" s="22"/>
      <c r="D587" s="23"/>
      <c r="E587" s="21"/>
      <c r="F587" s="24"/>
      <c r="G587" s="25"/>
      <c r="H587" s="25"/>
      <c r="I587" s="24"/>
      <c r="J587" s="25"/>
      <c r="K587" s="24"/>
      <c r="L587" s="25"/>
      <c r="M587" s="26"/>
      <c r="N587" s="24"/>
    </row>
    <row r="588" customFormat="false" ht="15" hidden="false" customHeight="false" outlineLevel="0" collapsed="false">
      <c r="A588" s="21"/>
      <c r="B588" s="22"/>
      <c r="C588" s="22"/>
      <c r="D588" s="23"/>
      <c r="E588" s="21"/>
      <c r="F588" s="24"/>
      <c r="G588" s="25"/>
      <c r="H588" s="25"/>
      <c r="I588" s="24"/>
      <c r="J588" s="25"/>
      <c r="K588" s="24"/>
      <c r="L588" s="25"/>
      <c r="M588" s="26"/>
      <c r="N588" s="24"/>
    </row>
    <row r="589" customFormat="false" ht="15" hidden="false" customHeight="false" outlineLevel="0" collapsed="false">
      <c r="A589" s="21"/>
      <c r="B589" s="22"/>
      <c r="C589" s="22"/>
      <c r="D589" s="23"/>
      <c r="E589" s="21"/>
      <c r="F589" s="24"/>
      <c r="G589" s="25"/>
      <c r="H589" s="25"/>
      <c r="I589" s="24"/>
      <c r="J589" s="25"/>
      <c r="K589" s="24"/>
      <c r="L589" s="25"/>
      <c r="M589" s="26"/>
      <c r="N589" s="24"/>
    </row>
    <row r="590" customFormat="false" ht="15" hidden="false" customHeight="false" outlineLevel="0" collapsed="false">
      <c r="A590" s="21"/>
      <c r="B590" s="22"/>
      <c r="C590" s="22"/>
      <c r="D590" s="23"/>
      <c r="E590" s="21"/>
      <c r="F590" s="24"/>
      <c r="G590" s="25"/>
      <c r="H590" s="25"/>
      <c r="I590" s="24"/>
      <c r="J590" s="25"/>
      <c r="K590" s="24"/>
      <c r="L590" s="25"/>
      <c r="M590" s="26"/>
      <c r="N590" s="24"/>
    </row>
    <row r="591" customFormat="false" ht="15" hidden="false" customHeight="false" outlineLevel="0" collapsed="false">
      <c r="A591" s="21"/>
      <c r="B591" s="22"/>
      <c r="C591" s="22"/>
      <c r="D591" s="23"/>
      <c r="E591" s="21"/>
      <c r="F591" s="24"/>
      <c r="G591" s="25"/>
      <c r="H591" s="25"/>
      <c r="I591" s="24"/>
      <c r="J591" s="25"/>
      <c r="K591" s="24"/>
      <c r="L591" s="25"/>
      <c r="M591" s="26"/>
      <c r="N591" s="24"/>
    </row>
    <row r="592" customFormat="false" ht="15" hidden="false" customHeight="false" outlineLevel="0" collapsed="false">
      <c r="A592" s="21"/>
      <c r="B592" s="22"/>
      <c r="C592" s="22"/>
      <c r="D592" s="23"/>
      <c r="E592" s="21"/>
      <c r="F592" s="24"/>
      <c r="G592" s="25"/>
      <c r="H592" s="25"/>
      <c r="I592" s="24"/>
      <c r="J592" s="25"/>
      <c r="K592" s="24"/>
      <c r="L592" s="25"/>
      <c r="M592" s="26"/>
      <c r="N592" s="24"/>
    </row>
    <row r="593" customFormat="false" ht="15" hidden="false" customHeight="false" outlineLevel="0" collapsed="false">
      <c r="A593" s="21"/>
      <c r="B593" s="22"/>
      <c r="C593" s="22"/>
      <c r="D593" s="23"/>
      <c r="E593" s="21"/>
      <c r="F593" s="24"/>
      <c r="G593" s="25"/>
      <c r="H593" s="25"/>
      <c r="I593" s="24"/>
      <c r="J593" s="25"/>
      <c r="K593" s="24"/>
      <c r="L593" s="25"/>
      <c r="M593" s="26"/>
      <c r="N593" s="24"/>
    </row>
    <row r="594" customFormat="false" ht="15" hidden="false" customHeight="false" outlineLevel="0" collapsed="false">
      <c r="A594" s="21"/>
      <c r="B594" s="22"/>
      <c r="C594" s="22"/>
      <c r="D594" s="23"/>
      <c r="E594" s="21"/>
      <c r="F594" s="24"/>
      <c r="G594" s="25"/>
      <c r="H594" s="25"/>
      <c r="I594" s="24"/>
      <c r="J594" s="25"/>
      <c r="K594" s="24"/>
      <c r="L594" s="25"/>
      <c r="M594" s="26"/>
      <c r="N594" s="24"/>
    </row>
    <row r="595" customFormat="false" ht="15" hidden="false" customHeight="false" outlineLevel="0" collapsed="false">
      <c r="A595" s="21"/>
      <c r="B595" s="22"/>
      <c r="C595" s="22"/>
      <c r="D595" s="23"/>
      <c r="E595" s="21"/>
      <c r="F595" s="24"/>
      <c r="G595" s="25"/>
      <c r="H595" s="25"/>
      <c r="I595" s="24"/>
      <c r="J595" s="25"/>
      <c r="K595" s="24"/>
      <c r="L595" s="25"/>
      <c r="M595" s="26"/>
      <c r="N595" s="24"/>
    </row>
    <row r="596" customFormat="false" ht="15" hidden="false" customHeight="false" outlineLevel="0" collapsed="false">
      <c r="A596" s="21"/>
      <c r="B596" s="22"/>
      <c r="C596" s="22"/>
      <c r="D596" s="23"/>
      <c r="E596" s="21"/>
      <c r="F596" s="24"/>
      <c r="G596" s="25"/>
      <c r="H596" s="25"/>
      <c r="I596" s="24"/>
      <c r="J596" s="25"/>
      <c r="K596" s="24"/>
      <c r="L596" s="25"/>
      <c r="M596" s="26"/>
      <c r="N596" s="24"/>
    </row>
    <row r="597" customFormat="false" ht="15" hidden="false" customHeight="false" outlineLevel="0" collapsed="false">
      <c r="A597" s="21"/>
      <c r="B597" s="22"/>
      <c r="C597" s="22"/>
      <c r="D597" s="23"/>
      <c r="E597" s="21"/>
      <c r="F597" s="24"/>
      <c r="G597" s="25"/>
      <c r="H597" s="25"/>
      <c r="I597" s="24"/>
      <c r="J597" s="25"/>
      <c r="K597" s="24"/>
      <c r="L597" s="25"/>
      <c r="M597" s="26"/>
      <c r="N597" s="24"/>
    </row>
    <row r="598" customFormat="false" ht="15" hidden="false" customHeight="false" outlineLevel="0" collapsed="false">
      <c r="A598" s="21"/>
      <c r="B598" s="22"/>
      <c r="C598" s="22"/>
      <c r="D598" s="23"/>
      <c r="E598" s="21"/>
      <c r="F598" s="24"/>
      <c r="G598" s="25"/>
      <c r="H598" s="25"/>
      <c r="I598" s="24"/>
      <c r="J598" s="25"/>
      <c r="K598" s="24"/>
      <c r="L598" s="25"/>
      <c r="M598" s="26"/>
      <c r="N598" s="24"/>
    </row>
    <row r="599" customFormat="false" ht="15" hidden="false" customHeight="false" outlineLevel="0" collapsed="false">
      <c r="A599" s="21"/>
      <c r="B599" s="22"/>
      <c r="C599" s="22"/>
      <c r="D599" s="23"/>
      <c r="E599" s="21"/>
      <c r="F599" s="24"/>
      <c r="G599" s="25"/>
      <c r="H599" s="25"/>
      <c r="I599" s="24"/>
      <c r="J599" s="25"/>
      <c r="K599" s="24"/>
      <c r="L599" s="25"/>
      <c r="M599" s="26"/>
      <c r="N599" s="24"/>
    </row>
    <row r="600" customFormat="false" ht="15" hidden="false" customHeight="false" outlineLevel="0" collapsed="false">
      <c r="A600" s="21"/>
      <c r="B600" s="22"/>
      <c r="C600" s="22"/>
      <c r="D600" s="23"/>
      <c r="E600" s="21"/>
      <c r="F600" s="24"/>
      <c r="G600" s="25"/>
      <c r="H600" s="25"/>
      <c r="I600" s="24"/>
      <c r="J600" s="25"/>
      <c r="K600" s="24"/>
      <c r="L600" s="25"/>
      <c r="M600" s="26"/>
      <c r="N600" s="24"/>
    </row>
    <row r="601" customFormat="false" ht="15" hidden="false" customHeight="false" outlineLevel="0" collapsed="false">
      <c r="A601" s="21"/>
      <c r="B601" s="22"/>
      <c r="C601" s="22"/>
      <c r="D601" s="23"/>
      <c r="E601" s="21"/>
      <c r="F601" s="24"/>
      <c r="G601" s="25"/>
      <c r="H601" s="25"/>
      <c r="I601" s="24"/>
      <c r="J601" s="25"/>
      <c r="K601" s="24"/>
      <c r="L601" s="25"/>
      <c r="M601" s="26"/>
      <c r="N601" s="24"/>
    </row>
    <row r="602" customFormat="false" ht="15" hidden="false" customHeight="false" outlineLevel="0" collapsed="false">
      <c r="A602" s="21"/>
      <c r="B602" s="22"/>
      <c r="C602" s="22"/>
      <c r="D602" s="23"/>
      <c r="E602" s="21"/>
      <c r="F602" s="24"/>
      <c r="G602" s="25"/>
      <c r="H602" s="25"/>
      <c r="I602" s="24"/>
      <c r="J602" s="25"/>
      <c r="K602" s="24"/>
      <c r="L602" s="25"/>
      <c r="M602" s="26"/>
      <c r="N602" s="24"/>
    </row>
    <row r="603" customFormat="false" ht="15" hidden="false" customHeight="false" outlineLevel="0" collapsed="false">
      <c r="A603" s="21"/>
      <c r="B603" s="22"/>
      <c r="C603" s="22"/>
      <c r="D603" s="23"/>
      <c r="E603" s="21"/>
      <c r="F603" s="24"/>
      <c r="G603" s="25"/>
      <c r="H603" s="25"/>
      <c r="I603" s="24"/>
      <c r="J603" s="25"/>
      <c r="K603" s="24"/>
      <c r="L603" s="25"/>
      <c r="M603" s="26"/>
      <c r="N603" s="24"/>
    </row>
    <row r="604" customFormat="false" ht="15" hidden="false" customHeight="false" outlineLevel="0" collapsed="false">
      <c r="A604" s="21"/>
      <c r="B604" s="22"/>
      <c r="C604" s="22"/>
      <c r="D604" s="23"/>
      <c r="E604" s="21"/>
      <c r="F604" s="24"/>
      <c r="G604" s="25"/>
      <c r="H604" s="25"/>
      <c r="I604" s="24"/>
      <c r="J604" s="25"/>
      <c r="K604" s="24"/>
      <c r="L604" s="25"/>
      <c r="M604" s="26"/>
      <c r="N604" s="24"/>
    </row>
    <row r="605" customFormat="false" ht="15" hidden="false" customHeight="false" outlineLevel="0" collapsed="false">
      <c r="A605" s="21"/>
      <c r="B605" s="22"/>
      <c r="C605" s="22"/>
      <c r="D605" s="23"/>
      <c r="E605" s="21"/>
      <c r="F605" s="24"/>
      <c r="G605" s="25"/>
      <c r="H605" s="25"/>
      <c r="I605" s="24"/>
      <c r="J605" s="25"/>
      <c r="K605" s="24"/>
      <c r="L605" s="25"/>
      <c r="M605" s="26"/>
      <c r="N605" s="24"/>
    </row>
    <row r="606" customFormat="false" ht="15" hidden="false" customHeight="false" outlineLevel="0" collapsed="false">
      <c r="A606" s="21"/>
      <c r="B606" s="22"/>
      <c r="C606" s="22"/>
      <c r="D606" s="23"/>
      <c r="E606" s="21"/>
      <c r="F606" s="24"/>
      <c r="G606" s="25"/>
      <c r="H606" s="25"/>
      <c r="I606" s="24"/>
      <c r="J606" s="25"/>
      <c r="K606" s="24"/>
      <c r="L606" s="25"/>
      <c r="M606" s="26"/>
      <c r="N606" s="24"/>
    </row>
    <row r="607" customFormat="false" ht="15" hidden="false" customHeight="false" outlineLevel="0" collapsed="false">
      <c r="A607" s="21"/>
      <c r="B607" s="22"/>
      <c r="C607" s="22"/>
      <c r="D607" s="23"/>
      <c r="E607" s="21"/>
      <c r="F607" s="24"/>
      <c r="G607" s="25"/>
      <c r="H607" s="25"/>
      <c r="I607" s="24"/>
      <c r="J607" s="25"/>
      <c r="K607" s="24"/>
      <c r="L607" s="25"/>
      <c r="M607" s="26"/>
      <c r="N607" s="24"/>
    </row>
    <row r="608" customFormat="false" ht="15" hidden="false" customHeight="false" outlineLevel="0" collapsed="false">
      <c r="A608" s="21"/>
      <c r="B608" s="22"/>
      <c r="C608" s="22"/>
      <c r="D608" s="23"/>
      <c r="E608" s="21"/>
      <c r="F608" s="24"/>
      <c r="G608" s="25"/>
      <c r="H608" s="25"/>
      <c r="I608" s="24"/>
      <c r="J608" s="25"/>
      <c r="K608" s="24"/>
      <c r="L608" s="25"/>
      <c r="M608" s="26"/>
      <c r="N608" s="24"/>
    </row>
    <row r="609" customFormat="false" ht="15" hidden="false" customHeight="false" outlineLevel="0" collapsed="false">
      <c r="A609" s="21"/>
      <c r="B609" s="22"/>
      <c r="C609" s="22"/>
      <c r="D609" s="23"/>
      <c r="E609" s="21"/>
      <c r="F609" s="24"/>
      <c r="G609" s="25"/>
      <c r="H609" s="25"/>
      <c r="I609" s="24"/>
      <c r="J609" s="25"/>
      <c r="K609" s="24"/>
      <c r="L609" s="25"/>
      <c r="M609" s="26"/>
      <c r="N609" s="24"/>
    </row>
    <row r="610" customFormat="false" ht="15" hidden="false" customHeight="false" outlineLevel="0" collapsed="false">
      <c r="A610" s="21"/>
      <c r="B610" s="22"/>
      <c r="C610" s="22"/>
      <c r="D610" s="23"/>
      <c r="E610" s="21"/>
      <c r="F610" s="24"/>
      <c r="G610" s="25"/>
      <c r="H610" s="25"/>
      <c r="I610" s="24"/>
      <c r="J610" s="25"/>
      <c r="K610" s="24"/>
      <c r="L610" s="25"/>
      <c r="M610" s="26"/>
      <c r="N610" s="24"/>
    </row>
    <row r="611" customFormat="false" ht="15" hidden="false" customHeight="false" outlineLevel="0" collapsed="false">
      <c r="A611" s="21"/>
      <c r="B611" s="22"/>
      <c r="C611" s="22"/>
      <c r="D611" s="23"/>
      <c r="E611" s="21"/>
      <c r="F611" s="24"/>
      <c r="G611" s="25"/>
      <c r="H611" s="25"/>
      <c r="I611" s="24"/>
      <c r="J611" s="25"/>
      <c r="K611" s="24"/>
      <c r="L611" s="25"/>
      <c r="M611" s="26"/>
      <c r="N611" s="24"/>
    </row>
    <row r="612" customFormat="false" ht="15" hidden="false" customHeight="false" outlineLevel="0" collapsed="false">
      <c r="A612" s="21"/>
      <c r="B612" s="22"/>
      <c r="C612" s="22"/>
      <c r="D612" s="23"/>
      <c r="E612" s="21"/>
      <c r="F612" s="24"/>
      <c r="G612" s="25"/>
      <c r="H612" s="25"/>
      <c r="I612" s="24"/>
      <c r="J612" s="25"/>
      <c r="K612" s="24"/>
      <c r="L612" s="25"/>
      <c r="M612" s="26"/>
      <c r="N612" s="24"/>
    </row>
    <row r="613" customFormat="false" ht="15" hidden="false" customHeight="false" outlineLevel="0" collapsed="false">
      <c r="A613" s="21"/>
      <c r="B613" s="22"/>
      <c r="C613" s="22"/>
      <c r="D613" s="23"/>
      <c r="E613" s="21"/>
      <c r="F613" s="24"/>
      <c r="G613" s="25"/>
      <c r="H613" s="25"/>
      <c r="I613" s="24"/>
      <c r="J613" s="25"/>
      <c r="K613" s="24"/>
      <c r="L613" s="25"/>
      <c r="M613" s="26"/>
      <c r="N613" s="24"/>
    </row>
    <row r="614" customFormat="false" ht="15" hidden="false" customHeight="false" outlineLevel="0" collapsed="false">
      <c r="A614" s="21"/>
      <c r="B614" s="22"/>
      <c r="C614" s="22"/>
      <c r="D614" s="23"/>
      <c r="E614" s="21"/>
      <c r="F614" s="24"/>
      <c r="G614" s="25"/>
      <c r="H614" s="25"/>
      <c r="I614" s="24"/>
      <c r="J614" s="25"/>
      <c r="K614" s="24"/>
      <c r="L614" s="25"/>
      <c r="M614" s="26"/>
      <c r="N614" s="24"/>
    </row>
    <row r="615" customFormat="false" ht="15" hidden="false" customHeight="false" outlineLevel="0" collapsed="false">
      <c r="A615" s="21"/>
      <c r="B615" s="22"/>
      <c r="C615" s="22"/>
      <c r="D615" s="23"/>
      <c r="E615" s="21"/>
      <c r="F615" s="24"/>
      <c r="G615" s="25"/>
      <c r="H615" s="25"/>
      <c r="I615" s="24"/>
      <c r="J615" s="25"/>
      <c r="K615" s="24"/>
      <c r="L615" s="25"/>
      <c r="M615" s="26"/>
      <c r="N615" s="24"/>
    </row>
    <row r="616" customFormat="false" ht="15" hidden="false" customHeight="false" outlineLevel="0" collapsed="false">
      <c r="A616" s="21"/>
      <c r="B616" s="22"/>
      <c r="C616" s="22"/>
      <c r="D616" s="23"/>
      <c r="E616" s="21"/>
      <c r="F616" s="24"/>
      <c r="G616" s="25"/>
      <c r="H616" s="25"/>
      <c r="I616" s="24"/>
      <c r="J616" s="25"/>
      <c r="K616" s="24"/>
      <c r="L616" s="25"/>
      <c r="M616" s="26"/>
      <c r="N616" s="24"/>
    </row>
    <row r="617" customFormat="false" ht="15" hidden="false" customHeight="false" outlineLevel="0" collapsed="false">
      <c r="A617" s="21"/>
      <c r="B617" s="22"/>
      <c r="C617" s="22"/>
      <c r="D617" s="23"/>
      <c r="E617" s="21"/>
      <c r="F617" s="24"/>
      <c r="G617" s="25"/>
      <c r="H617" s="25"/>
      <c r="I617" s="24"/>
      <c r="J617" s="25"/>
      <c r="K617" s="24"/>
      <c r="L617" s="25"/>
      <c r="M617" s="26"/>
      <c r="N617" s="24"/>
    </row>
    <row r="618" customFormat="false" ht="15" hidden="false" customHeight="false" outlineLevel="0" collapsed="false">
      <c r="A618" s="21"/>
      <c r="B618" s="22"/>
      <c r="C618" s="22"/>
      <c r="D618" s="23"/>
      <c r="E618" s="21"/>
      <c r="F618" s="24"/>
      <c r="G618" s="25"/>
      <c r="H618" s="25"/>
      <c r="I618" s="24"/>
      <c r="J618" s="25"/>
      <c r="K618" s="24"/>
      <c r="L618" s="25"/>
      <c r="M618" s="26"/>
      <c r="N618" s="24"/>
    </row>
    <row r="619" customFormat="false" ht="15" hidden="false" customHeight="false" outlineLevel="0" collapsed="false">
      <c r="A619" s="21"/>
      <c r="B619" s="22"/>
      <c r="C619" s="22"/>
      <c r="D619" s="23"/>
      <c r="E619" s="21"/>
      <c r="F619" s="24"/>
      <c r="G619" s="25"/>
      <c r="H619" s="25"/>
      <c r="I619" s="24"/>
      <c r="J619" s="25"/>
      <c r="K619" s="24"/>
      <c r="L619" s="25"/>
      <c r="M619" s="26"/>
      <c r="N619" s="24"/>
    </row>
    <row r="620" customFormat="false" ht="15" hidden="false" customHeight="false" outlineLevel="0" collapsed="false">
      <c r="A620" s="21"/>
      <c r="B620" s="22"/>
      <c r="C620" s="22"/>
      <c r="D620" s="23"/>
      <c r="E620" s="21"/>
      <c r="F620" s="24"/>
      <c r="G620" s="25"/>
      <c r="H620" s="25"/>
      <c r="I620" s="24"/>
      <c r="J620" s="25"/>
      <c r="K620" s="24"/>
      <c r="L620" s="25"/>
      <c r="M620" s="26"/>
      <c r="N620" s="24"/>
    </row>
    <row r="621" customFormat="false" ht="15" hidden="false" customHeight="false" outlineLevel="0" collapsed="false">
      <c r="A621" s="21"/>
      <c r="B621" s="22"/>
      <c r="C621" s="22"/>
      <c r="D621" s="23"/>
      <c r="E621" s="21"/>
      <c r="F621" s="24"/>
      <c r="G621" s="25"/>
      <c r="H621" s="25"/>
      <c r="I621" s="24"/>
      <c r="J621" s="25"/>
      <c r="K621" s="24"/>
      <c r="L621" s="25"/>
      <c r="M621" s="26"/>
      <c r="N621" s="24"/>
    </row>
    <row r="622" customFormat="false" ht="15" hidden="false" customHeight="false" outlineLevel="0" collapsed="false">
      <c r="A622" s="21"/>
      <c r="B622" s="22"/>
      <c r="C622" s="22"/>
      <c r="D622" s="23"/>
      <c r="E622" s="21"/>
      <c r="F622" s="24"/>
      <c r="G622" s="25"/>
      <c r="H622" s="25"/>
      <c r="I622" s="24"/>
      <c r="J622" s="25"/>
      <c r="K622" s="24"/>
      <c r="L622" s="25"/>
      <c r="M622" s="26"/>
      <c r="N622" s="24"/>
    </row>
    <row r="623" customFormat="false" ht="15" hidden="false" customHeight="false" outlineLevel="0" collapsed="false">
      <c r="A623" s="21"/>
      <c r="B623" s="22"/>
      <c r="C623" s="22"/>
      <c r="D623" s="23"/>
      <c r="E623" s="21"/>
      <c r="F623" s="24"/>
      <c r="G623" s="25"/>
      <c r="H623" s="25"/>
      <c r="I623" s="24"/>
      <c r="J623" s="25"/>
      <c r="K623" s="24"/>
      <c r="L623" s="25"/>
      <c r="M623" s="26"/>
      <c r="N623" s="24"/>
    </row>
    <row r="624" customFormat="false" ht="15" hidden="false" customHeight="false" outlineLevel="0" collapsed="false">
      <c r="A624" s="21"/>
      <c r="B624" s="22"/>
      <c r="C624" s="22"/>
      <c r="D624" s="23"/>
      <c r="E624" s="21"/>
      <c r="F624" s="24"/>
      <c r="G624" s="25"/>
      <c r="H624" s="25"/>
      <c r="I624" s="24"/>
      <c r="J624" s="25"/>
      <c r="K624" s="24"/>
      <c r="L624" s="25"/>
      <c r="M624" s="26"/>
      <c r="N624" s="24"/>
    </row>
    <row r="625" customFormat="false" ht="15" hidden="false" customHeight="false" outlineLevel="0" collapsed="false">
      <c r="A625" s="21"/>
      <c r="B625" s="22"/>
      <c r="C625" s="22"/>
      <c r="D625" s="23"/>
      <c r="E625" s="21"/>
      <c r="F625" s="24"/>
      <c r="G625" s="25"/>
      <c r="H625" s="25"/>
      <c r="I625" s="24"/>
      <c r="J625" s="25"/>
      <c r="K625" s="24"/>
      <c r="L625" s="25"/>
      <c r="M625" s="26"/>
      <c r="N625" s="24"/>
    </row>
    <row r="626" customFormat="false" ht="15" hidden="false" customHeight="false" outlineLevel="0" collapsed="false">
      <c r="A626" s="21"/>
      <c r="B626" s="22"/>
      <c r="C626" s="22"/>
      <c r="D626" s="23"/>
      <c r="E626" s="21"/>
      <c r="F626" s="24"/>
      <c r="G626" s="25"/>
      <c r="H626" s="25"/>
      <c r="I626" s="24"/>
      <c r="J626" s="25"/>
      <c r="K626" s="24"/>
      <c r="L626" s="25"/>
      <c r="M626" s="26"/>
      <c r="N626" s="24"/>
    </row>
    <row r="627" customFormat="false" ht="15" hidden="false" customHeight="false" outlineLevel="0" collapsed="false">
      <c r="A627" s="21"/>
      <c r="B627" s="22"/>
      <c r="C627" s="22"/>
      <c r="D627" s="23"/>
      <c r="E627" s="21"/>
      <c r="F627" s="24"/>
      <c r="G627" s="25"/>
      <c r="H627" s="25"/>
      <c r="I627" s="24"/>
      <c r="J627" s="25"/>
      <c r="K627" s="24"/>
      <c r="L627" s="25"/>
      <c r="M627" s="26"/>
      <c r="N627" s="24"/>
    </row>
    <row r="628" customFormat="false" ht="15" hidden="false" customHeight="false" outlineLevel="0" collapsed="false">
      <c r="A628" s="21"/>
      <c r="B628" s="22"/>
      <c r="C628" s="22"/>
      <c r="D628" s="23"/>
      <c r="E628" s="21"/>
      <c r="F628" s="24"/>
      <c r="G628" s="25"/>
      <c r="H628" s="25"/>
      <c r="I628" s="24"/>
      <c r="J628" s="25"/>
      <c r="K628" s="24"/>
      <c r="L628" s="25"/>
      <c r="M628" s="26"/>
      <c r="N628" s="24"/>
    </row>
    <row r="629" customFormat="false" ht="15" hidden="false" customHeight="false" outlineLevel="0" collapsed="false">
      <c r="A629" s="21"/>
      <c r="B629" s="22"/>
      <c r="C629" s="22"/>
      <c r="D629" s="23"/>
      <c r="E629" s="21"/>
      <c r="F629" s="24"/>
      <c r="G629" s="25"/>
      <c r="H629" s="25"/>
      <c r="I629" s="24"/>
      <c r="J629" s="25"/>
      <c r="K629" s="24"/>
      <c r="L629" s="25"/>
      <c r="M629" s="26"/>
      <c r="N629" s="24"/>
    </row>
    <row r="630" customFormat="false" ht="15" hidden="false" customHeight="false" outlineLevel="0" collapsed="false">
      <c r="A630" s="21"/>
      <c r="B630" s="22"/>
      <c r="C630" s="22"/>
      <c r="D630" s="23"/>
      <c r="E630" s="21"/>
      <c r="F630" s="24"/>
      <c r="G630" s="25"/>
      <c r="H630" s="25"/>
      <c r="I630" s="24"/>
      <c r="J630" s="25"/>
      <c r="K630" s="24"/>
      <c r="L630" s="25"/>
      <c r="M630" s="26"/>
      <c r="N630" s="24"/>
    </row>
    <row r="631" customFormat="false" ht="15" hidden="false" customHeight="false" outlineLevel="0" collapsed="false">
      <c r="A631" s="21"/>
      <c r="B631" s="22"/>
      <c r="C631" s="22"/>
      <c r="D631" s="23"/>
      <c r="E631" s="21"/>
      <c r="F631" s="24"/>
      <c r="G631" s="25"/>
      <c r="H631" s="25"/>
      <c r="I631" s="24"/>
      <c r="J631" s="25"/>
      <c r="K631" s="24"/>
      <c r="L631" s="25"/>
      <c r="M631" s="26"/>
      <c r="N631" s="24"/>
    </row>
    <row r="632" customFormat="false" ht="15" hidden="false" customHeight="false" outlineLevel="0" collapsed="false">
      <c r="A632" s="21"/>
      <c r="B632" s="22"/>
      <c r="C632" s="22"/>
      <c r="D632" s="23"/>
      <c r="E632" s="21"/>
      <c r="F632" s="24"/>
      <c r="G632" s="25"/>
      <c r="H632" s="25"/>
      <c r="I632" s="24"/>
      <c r="J632" s="25"/>
      <c r="K632" s="24"/>
      <c r="L632" s="25"/>
      <c r="M632" s="26"/>
      <c r="N632" s="24"/>
    </row>
    <row r="633" customFormat="false" ht="15" hidden="false" customHeight="false" outlineLevel="0" collapsed="false">
      <c r="A633" s="21"/>
      <c r="B633" s="22"/>
      <c r="C633" s="22"/>
      <c r="D633" s="23"/>
      <c r="E633" s="21"/>
      <c r="F633" s="24"/>
      <c r="G633" s="25"/>
      <c r="H633" s="25"/>
      <c r="I633" s="24"/>
      <c r="J633" s="25"/>
      <c r="K633" s="24"/>
      <c r="L633" s="25"/>
      <c r="M633" s="26"/>
      <c r="N633" s="24"/>
    </row>
    <row r="634" customFormat="false" ht="15" hidden="false" customHeight="false" outlineLevel="0" collapsed="false">
      <c r="A634" s="21"/>
      <c r="B634" s="22"/>
      <c r="C634" s="22"/>
      <c r="D634" s="23"/>
      <c r="E634" s="21"/>
      <c r="F634" s="24"/>
      <c r="G634" s="25"/>
      <c r="H634" s="25"/>
      <c r="I634" s="24"/>
      <c r="J634" s="25"/>
      <c r="K634" s="24"/>
      <c r="L634" s="25"/>
      <c r="M634" s="26"/>
      <c r="N634" s="24"/>
    </row>
    <row r="635" customFormat="false" ht="15" hidden="false" customHeight="false" outlineLevel="0" collapsed="false">
      <c r="A635" s="21"/>
      <c r="B635" s="22"/>
      <c r="C635" s="22"/>
      <c r="D635" s="23"/>
      <c r="E635" s="21"/>
      <c r="F635" s="24"/>
      <c r="G635" s="25"/>
      <c r="H635" s="25"/>
      <c r="I635" s="24"/>
      <c r="J635" s="25"/>
      <c r="K635" s="24"/>
      <c r="L635" s="25"/>
      <c r="M635" s="26"/>
      <c r="N635" s="24"/>
    </row>
    <row r="636" customFormat="false" ht="15" hidden="false" customHeight="false" outlineLevel="0" collapsed="false">
      <c r="A636" s="21"/>
      <c r="B636" s="22"/>
      <c r="C636" s="22"/>
      <c r="D636" s="23"/>
      <c r="E636" s="21"/>
      <c r="F636" s="24"/>
      <c r="G636" s="25"/>
      <c r="H636" s="25"/>
      <c r="I636" s="24"/>
      <c r="J636" s="25"/>
      <c r="K636" s="24"/>
      <c r="L636" s="25"/>
      <c r="M636" s="26"/>
      <c r="N636" s="24"/>
    </row>
    <row r="637" customFormat="false" ht="15" hidden="false" customHeight="false" outlineLevel="0" collapsed="false">
      <c r="A637" s="21"/>
      <c r="B637" s="22"/>
      <c r="C637" s="22"/>
      <c r="D637" s="23"/>
      <c r="E637" s="21"/>
      <c r="F637" s="24"/>
      <c r="G637" s="25"/>
      <c r="H637" s="25"/>
      <c r="I637" s="24"/>
      <c r="J637" s="25"/>
      <c r="K637" s="24"/>
      <c r="L637" s="25"/>
      <c r="M637" s="26"/>
      <c r="N637" s="24"/>
    </row>
    <row r="638" customFormat="false" ht="15" hidden="false" customHeight="false" outlineLevel="0" collapsed="false">
      <c r="A638" s="21"/>
      <c r="B638" s="22"/>
      <c r="C638" s="22"/>
      <c r="D638" s="23"/>
      <c r="E638" s="21"/>
      <c r="F638" s="24"/>
      <c r="G638" s="25"/>
      <c r="H638" s="25"/>
      <c r="I638" s="24"/>
      <c r="J638" s="25"/>
      <c r="K638" s="24"/>
      <c r="L638" s="25"/>
      <c r="M638" s="26"/>
      <c r="N638" s="24"/>
    </row>
    <row r="639" customFormat="false" ht="15" hidden="false" customHeight="false" outlineLevel="0" collapsed="false">
      <c r="A639" s="21"/>
      <c r="B639" s="22"/>
      <c r="C639" s="22"/>
      <c r="D639" s="23"/>
      <c r="E639" s="21"/>
      <c r="F639" s="24"/>
      <c r="G639" s="25"/>
      <c r="H639" s="25"/>
      <c r="I639" s="24"/>
      <c r="J639" s="25"/>
      <c r="K639" s="24"/>
      <c r="L639" s="25"/>
      <c r="M639" s="26"/>
      <c r="N639" s="24"/>
    </row>
    <row r="640" customFormat="false" ht="15" hidden="false" customHeight="false" outlineLevel="0" collapsed="false">
      <c r="A640" s="21"/>
      <c r="B640" s="22"/>
      <c r="C640" s="22"/>
      <c r="D640" s="23"/>
      <c r="E640" s="21"/>
      <c r="F640" s="24"/>
      <c r="G640" s="25"/>
      <c r="H640" s="25"/>
      <c r="I640" s="24"/>
      <c r="J640" s="25"/>
      <c r="K640" s="24"/>
      <c r="L640" s="25"/>
      <c r="M640" s="26"/>
      <c r="N640" s="24"/>
    </row>
    <row r="641" customFormat="false" ht="15" hidden="false" customHeight="false" outlineLevel="0" collapsed="false">
      <c r="A641" s="21"/>
      <c r="B641" s="22"/>
      <c r="C641" s="22"/>
      <c r="D641" s="23"/>
      <c r="E641" s="21"/>
      <c r="F641" s="24"/>
      <c r="G641" s="25"/>
      <c r="H641" s="25"/>
      <c r="I641" s="24"/>
      <c r="J641" s="25"/>
      <c r="K641" s="24"/>
      <c r="L641" s="25"/>
      <c r="M641" s="26"/>
      <c r="N641" s="24"/>
    </row>
    <row r="642" customFormat="false" ht="15" hidden="false" customHeight="false" outlineLevel="0" collapsed="false">
      <c r="A642" s="21"/>
      <c r="B642" s="22"/>
      <c r="C642" s="22"/>
      <c r="D642" s="23"/>
      <c r="E642" s="21"/>
      <c r="F642" s="24"/>
      <c r="G642" s="25"/>
      <c r="H642" s="25"/>
      <c r="I642" s="24"/>
      <c r="J642" s="25"/>
      <c r="K642" s="24"/>
      <c r="L642" s="25"/>
      <c r="M642" s="26"/>
      <c r="N642" s="24"/>
    </row>
    <row r="643" customFormat="false" ht="15" hidden="false" customHeight="false" outlineLevel="0" collapsed="false">
      <c r="A643" s="21"/>
      <c r="B643" s="22"/>
      <c r="C643" s="22"/>
      <c r="D643" s="23"/>
      <c r="E643" s="21"/>
      <c r="F643" s="24"/>
      <c r="G643" s="25"/>
      <c r="H643" s="25"/>
      <c r="I643" s="24"/>
      <c r="J643" s="25"/>
      <c r="K643" s="24"/>
      <c r="L643" s="25"/>
      <c r="M643" s="26"/>
      <c r="N643" s="24"/>
    </row>
    <row r="644" customFormat="false" ht="15" hidden="false" customHeight="false" outlineLevel="0" collapsed="false">
      <c r="A644" s="21"/>
      <c r="B644" s="22"/>
      <c r="C644" s="22"/>
      <c r="D644" s="23"/>
      <c r="E644" s="21"/>
      <c r="F644" s="24"/>
      <c r="G644" s="25"/>
      <c r="H644" s="25"/>
      <c r="I644" s="24"/>
      <c r="J644" s="25"/>
      <c r="K644" s="24"/>
      <c r="L644" s="25"/>
      <c r="M644" s="26"/>
      <c r="N644" s="24"/>
    </row>
    <row r="645" customFormat="false" ht="15" hidden="false" customHeight="false" outlineLevel="0" collapsed="false">
      <c r="A645" s="21"/>
      <c r="B645" s="22"/>
      <c r="C645" s="22"/>
      <c r="D645" s="23"/>
      <c r="E645" s="21"/>
      <c r="F645" s="24"/>
      <c r="G645" s="25"/>
      <c r="H645" s="25"/>
      <c r="I645" s="24"/>
      <c r="J645" s="25"/>
      <c r="K645" s="24"/>
      <c r="L645" s="25"/>
      <c r="M645" s="26"/>
      <c r="N645" s="24"/>
    </row>
    <row r="646" customFormat="false" ht="15" hidden="false" customHeight="false" outlineLevel="0" collapsed="false">
      <c r="A646" s="21"/>
      <c r="B646" s="22"/>
      <c r="C646" s="22"/>
      <c r="D646" s="23"/>
      <c r="E646" s="21"/>
      <c r="F646" s="24"/>
      <c r="G646" s="25"/>
      <c r="H646" s="25"/>
      <c r="I646" s="24"/>
      <c r="J646" s="25"/>
      <c r="K646" s="24"/>
      <c r="L646" s="25"/>
      <c r="M646" s="26"/>
      <c r="N646" s="24"/>
    </row>
    <row r="647" customFormat="false" ht="15" hidden="false" customHeight="false" outlineLevel="0" collapsed="false">
      <c r="A647" s="21"/>
      <c r="B647" s="22"/>
      <c r="C647" s="22"/>
      <c r="D647" s="23"/>
      <c r="E647" s="21"/>
      <c r="F647" s="24"/>
      <c r="G647" s="25"/>
      <c r="H647" s="25"/>
      <c r="I647" s="24"/>
      <c r="J647" s="25"/>
      <c r="K647" s="24"/>
      <c r="L647" s="25"/>
      <c r="M647" s="26"/>
      <c r="N647" s="24"/>
    </row>
    <row r="648" customFormat="false" ht="15" hidden="false" customHeight="false" outlineLevel="0" collapsed="false">
      <c r="A648" s="21"/>
      <c r="B648" s="22"/>
      <c r="C648" s="22"/>
      <c r="D648" s="23"/>
      <c r="E648" s="21"/>
      <c r="F648" s="24"/>
      <c r="G648" s="25"/>
      <c r="H648" s="25"/>
      <c r="I648" s="24"/>
      <c r="J648" s="25"/>
      <c r="K648" s="24"/>
      <c r="L648" s="25"/>
      <c r="M648" s="26"/>
      <c r="N648" s="24"/>
    </row>
    <row r="649" customFormat="false" ht="15" hidden="false" customHeight="false" outlineLevel="0" collapsed="false">
      <c r="A649" s="21"/>
      <c r="B649" s="22"/>
      <c r="C649" s="22"/>
      <c r="D649" s="23"/>
      <c r="E649" s="21"/>
      <c r="F649" s="24"/>
      <c r="G649" s="25"/>
      <c r="H649" s="25"/>
      <c r="I649" s="24"/>
      <c r="J649" s="25"/>
      <c r="K649" s="24"/>
      <c r="L649" s="25"/>
      <c r="M649" s="26"/>
      <c r="N649" s="24"/>
    </row>
    <row r="650" customFormat="false" ht="15" hidden="false" customHeight="false" outlineLevel="0" collapsed="false">
      <c r="A650" s="21"/>
      <c r="B650" s="22"/>
      <c r="C650" s="22"/>
      <c r="D650" s="23"/>
      <c r="E650" s="21"/>
      <c r="F650" s="24"/>
      <c r="G650" s="25"/>
      <c r="H650" s="25"/>
      <c r="I650" s="24"/>
      <c r="J650" s="25"/>
      <c r="K650" s="24"/>
      <c r="L650" s="25"/>
      <c r="M650" s="26"/>
      <c r="N650" s="24"/>
    </row>
    <row r="651" customFormat="false" ht="15" hidden="false" customHeight="false" outlineLevel="0" collapsed="false">
      <c r="A651" s="21"/>
      <c r="B651" s="22"/>
      <c r="C651" s="22"/>
      <c r="D651" s="23"/>
      <c r="E651" s="21"/>
      <c r="F651" s="24"/>
      <c r="G651" s="25"/>
      <c r="H651" s="25"/>
      <c r="I651" s="24"/>
      <c r="J651" s="25"/>
      <c r="K651" s="24"/>
      <c r="L651" s="25"/>
      <c r="M651" s="26"/>
      <c r="N651" s="24"/>
    </row>
    <row r="652" customFormat="false" ht="15" hidden="false" customHeight="false" outlineLevel="0" collapsed="false">
      <c r="A652" s="21"/>
      <c r="B652" s="22"/>
      <c r="C652" s="22"/>
      <c r="D652" s="23"/>
      <c r="E652" s="21"/>
      <c r="F652" s="24"/>
      <c r="G652" s="25"/>
      <c r="H652" s="25"/>
      <c r="I652" s="24"/>
      <c r="J652" s="25"/>
      <c r="K652" s="24"/>
      <c r="L652" s="25"/>
      <c r="M652" s="26"/>
      <c r="N652" s="24"/>
    </row>
    <row r="653" customFormat="false" ht="15" hidden="false" customHeight="false" outlineLevel="0" collapsed="false">
      <c r="A653" s="21"/>
      <c r="B653" s="22"/>
      <c r="C653" s="22"/>
      <c r="D653" s="23"/>
      <c r="E653" s="21"/>
      <c r="F653" s="24"/>
      <c r="G653" s="25"/>
      <c r="H653" s="25"/>
      <c r="I653" s="24"/>
      <c r="J653" s="25"/>
      <c r="K653" s="24"/>
      <c r="L653" s="25"/>
      <c r="M653" s="26"/>
      <c r="N653" s="24"/>
    </row>
    <row r="654" customFormat="false" ht="15" hidden="false" customHeight="false" outlineLevel="0" collapsed="false">
      <c r="A654" s="21"/>
      <c r="B654" s="22"/>
      <c r="C654" s="22"/>
      <c r="D654" s="23"/>
      <c r="E654" s="21"/>
      <c r="F654" s="24"/>
      <c r="G654" s="25"/>
      <c r="H654" s="25"/>
      <c r="I654" s="24"/>
      <c r="J654" s="25"/>
      <c r="K654" s="24"/>
      <c r="L654" s="25"/>
      <c r="M654" s="26"/>
      <c r="N654" s="24"/>
    </row>
    <row r="655" customFormat="false" ht="15" hidden="false" customHeight="false" outlineLevel="0" collapsed="false">
      <c r="A655" s="21"/>
      <c r="B655" s="22"/>
      <c r="C655" s="22"/>
      <c r="D655" s="23"/>
      <c r="E655" s="21"/>
      <c r="F655" s="24"/>
      <c r="G655" s="25"/>
      <c r="H655" s="25"/>
      <c r="I655" s="24"/>
      <c r="J655" s="25"/>
      <c r="K655" s="24"/>
      <c r="L655" s="25"/>
      <c r="M655" s="26"/>
      <c r="N655" s="24"/>
    </row>
    <row r="656" customFormat="false" ht="15" hidden="false" customHeight="false" outlineLevel="0" collapsed="false">
      <c r="A656" s="21"/>
      <c r="B656" s="22"/>
      <c r="C656" s="22"/>
      <c r="D656" s="23"/>
      <c r="E656" s="21"/>
      <c r="F656" s="24"/>
      <c r="G656" s="25"/>
      <c r="H656" s="25"/>
      <c r="I656" s="24"/>
      <c r="J656" s="25"/>
      <c r="K656" s="24"/>
      <c r="L656" s="25"/>
      <c r="M656" s="26"/>
      <c r="N656" s="24"/>
    </row>
    <row r="657" customFormat="false" ht="15" hidden="false" customHeight="false" outlineLevel="0" collapsed="false">
      <c r="A657" s="21"/>
      <c r="B657" s="22"/>
      <c r="C657" s="22"/>
      <c r="D657" s="23"/>
      <c r="E657" s="21"/>
      <c r="F657" s="24"/>
      <c r="G657" s="25"/>
      <c r="H657" s="25"/>
      <c r="I657" s="24"/>
      <c r="J657" s="25"/>
      <c r="K657" s="24"/>
      <c r="L657" s="25"/>
      <c r="M657" s="26"/>
      <c r="N657" s="24"/>
    </row>
    <row r="658" customFormat="false" ht="15" hidden="false" customHeight="false" outlineLevel="0" collapsed="false">
      <c r="A658" s="21"/>
      <c r="B658" s="22"/>
      <c r="C658" s="22"/>
      <c r="D658" s="23"/>
      <c r="E658" s="21"/>
      <c r="F658" s="24"/>
      <c r="G658" s="25"/>
      <c r="H658" s="25"/>
      <c r="I658" s="24"/>
      <c r="J658" s="25"/>
      <c r="K658" s="24"/>
      <c r="L658" s="25"/>
      <c r="M658" s="26"/>
      <c r="N658" s="24"/>
    </row>
    <row r="659" customFormat="false" ht="15" hidden="false" customHeight="false" outlineLevel="0" collapsed="false">
      <c r="A659" s="21"/>
      <c r="B659" s="22"/>
      <c r="C659" s="22"/>
      <c r="D659" s="23"/>
      <c r="E659" s="21"/>
      <c r="F659" s="24"/>
      <c r="G659" s="25"/>
      <c r="H659" s="25"/>
      <c r="I659" s="24"/>
      <c r="J659" s="25"/>
      <c r="K659" s="24"/>
      <c r="L659" s="25"/>
      <c r="M659" s="26"/>
      <c r="N659" s="24"/>
    </row>
    <row r="660" customFormat="false" ht="15" hidden="false" customHeight="false" outlineLevel="0" collapsed="false">
      <c r="A660" s="21"/>
      <c r="B660" s="22"/>
      <c r="C660" s="22"/>
      <c r="D660" s="23"/>
      <c r="E660" s="21"/>
      <c r="F660" s="24"/>
      <c r="G660" s="25"/>
      <c r="H660" s="25"/>
      <c r="I660" s="24"/>
      <c r="J660" s="25"/>
      <c r="K660" s="24"/>
      <c r="L660" s="25"/>
      <c r="M660" s="26"/>
      <c r="N660" s="24"/>
    </row>
    <row r="661" customFormat="false" ht="15" hidden="false" customHeight="false" outlineLevel="0" collapsed="false">
      <c r="A661" s="21"/>
      <c r="B661" s="22"/>
      <c r="C661" s="22"/>
      <c r="D661" s="23"/>
      <c r="E661" s="21"/>
      <c r="F661" s="24"/>
      <c r="G661" s="25"/>
      <c r="H661" s="25"/>
      <c r="I661" s="24"/>
      <c r="J661" s="25"/>
      <c r="K661" s="24"/>
      <c r="L661" s="25"/>
      <c r="M661" s="26"/>
      <c r="N661" s="24"/>
    </row>
    <row r="662" customFormat="false" ht="15" hidden="false" customHeight="false" outlineLevel="0" collapsed="false">
      <c r="A662" s="21"/>
      <c r="B662" s="22"/>
      <c r="C662" s="22"/>
      <c r="D662" s="23"/>
      <c r="E662" s="21"/>
      <c r="F662" s="24"/>
      <c r="G662" s="25"/>
      <c r="H662" s="25"/>
      <c r="I662" s="24"/>
      <c r="J662" s="25"/>
      <c r="K662" s="24"/>
      <c r="L662" s="25"/>
      <c r="M662" s="26"/>
      <c r="N662" s="24"/>
    </row>
    <row r="663" customFormat="false" ht="15" hidden="false" customHeight="false" outlineLevel="0" collapsed="false">
      <c r="A663" s="21"/>
      <c r="B663" s="22"/>
      <c r="C663" s="22"/>
      <c r="D663" s="23"/>
      <c r="E663" s="21"/>
      <c r="F663" s="24"/>
      <c r="G663" s="25"/>
      <c r="H663" s="25"/>
      <c r="I663" s="24"/>
      <c r="J663" s="25"/>
      <c r="K663" s="24"/>
      <c r="L663" s="25"/>
      <c r="M663" s="26"/>
      <c r="N663" s="24"/>
    </row>
    <row r="664" customFormat="false" ht="15" hidden="false" customHeight="false" outlineLevel="0" collapsed="false">
      <c r="A664" s="21"/>
      <c r="B664" s="22"/>
      <c r="C664" s="22"/>
      <c r="D664" s="23"/>
      <c r="E664" s="21"/>
      <c r="F664" s="24"/>
      <c r="G664" s="25"/>
      <c r="H664" s="25"/>
      <c r="I664" s="24"/>
      <c r="J664" s="25"/>
      <c r="K664" s="24"/>
      <c r="L664" s="25"/>
      <c r="M664" s="26"/>
      <c r="N664" s="24"/>
    </row>
    <row r="665" customFormat="false" ht="15" hidden="false" customHeight="false" outlineLevel="0" collapsed="false">
      <c r="A665" s="21"/>
      <c r="B665" s="22"/>
      <c r="C665" s="22"/>
      <c r="D665" s="23"/>
      <c r="E665" s="21"/>
      <c r="F665" s="24"/>
      <c r="G665" s="25"/>
      <c r="H665" s="25"/>
      <c r="I665" s="24"/>
      <c r="J665" s="25"/>
      <c r="K665" s="24"/>
      <c r="L665" s="25"/>
      <c r="M665" s="26"/>
      <c r="N665" s="24"/>
    </row>
    <row r="666" customFormat="false" ht="15" hidden="false" customHeight="false" outlineLevel="0" collapsed="false">
      <c r="A666" s="21"/>
      <c r="B666" s="22"/>
      <c r="C666" s="22"/>
      <c r="D666" s="23"/>
      <c r="E666" s="21"/>
      <c r="F666" s="24"/>
      <c r="G666" s="25"/>
      <c r="H666" s="25"/>
      <c r="I666" s="24"/>
      <c r="J666" s="25"/>
      <c r="K666" s="24"/>
      <c r="L666" s="25"/>
      <c r="M666" s="26"/>
      <c r="N666" s="24"/>
    </row>
    <row r="667" customFormat="false" ht="15" hidden="false" customHeight="false" outlineLevel="0" collapsed="false">
      <c r="A667" s="21"/>
      <c r="B667" s="22"/>
      <c r="C667" s="22"/>
      <c r="D667" s="23"/>
      <c r="E667" s="21"/>
      <c r="F667" s="24"/>
      <c r="G667" s="25"/>
      <c r="H667" s="25"/>
      <c r="I667" s="24"/>
      <c r="J667" s="25"/>
      <c r="K667" s="24"/>
      <c r="L667" s="25"/>
      <c r="M667" s="26"/>
      <c r="N667" s="24"/>
    </row>
    <row r="668" customFormat="false" ht="15" hidden="false" customHeight="false" outlineLevel="0" collapsed="false">
      <c r="A668" s="21"/>
      <c r="B668" s="22"/>
      <c r="C668" s="22"/>
      <c r="D668" s="23"/>
      <c r="E668" s="21"/>
      <c r="F668" s="24"/>
      <c r="G668" s="25"/>
      <c r="H668" s="25"/>
      <c r="I668" s="24"/>
      <c r="J668" s="25"/>
      <c r="K668" s="24"/>
      <c r="L668" s="25"/>
      <c r="M668" s="26"/>
      <c r="N668" s="24"/>
    </row>
    <row r="669" customFormat="false" ht="15" hidden="false" customHeight="false" outlineLevel="0" collapsed="false">
      <c r="A669" s="21"/>
      <c r="B669" s="22"/>
      <c r="C669" s="22"/>
      <c r="D669" s="23"/>
      <c r="E669" s="21"/>
      <c r="F669" s="24"/>
      <c r="G669" s="25"/>
      <c r="H669" s="25"/>
      <c r="I669" s="24"/>
      <c r="J669" s="25"/>
      <c r="K669" s="24"/>
      <c r="L669" s="25"/>
      <c r="M669" s="26"/>
      <c r="N669" s="24"/>
    </row>
    <row r="670" customFormat="false" ht="15" hidden="false" customHeight="false" outlineLevel="0" collapsed="false">
      <c r="A670" s="21"/>
      <c r="B670" s="22"/>
      <c r="C670" s="22"/>
      <c r="D670" s="23"/>
      <c r="E670" s="21"/>
      <c r="F670" s="24"/>
      <c r="G670" s="25"/>
      <c r="H670" s="25"/>
      <c r="I670" s="24"/>
      <c r="J670" s="25"/>
      <c r="K670" s="24"/>
      <c r="L670" s="25"/>
      <c r="M670" s="26"/>
      <c r="N670" s="24"/>
    </row>
    <row r="671" customFormat="false" ht="15" hidden="false" customHeight="false" outlineLevel="0" collapsed="false">
      <c r="A671" s="21"/>
      <c r="B671" s="22"/>
      <c r="C671" s="22"/>
      <c r="D671" s="23"/>
      <c r="E671" s="21"/>
      <c r="F671" s="24"/>
      <c r="G671" s="25"/>
      <c r="H671" s="25"/>
      <c r="I671" s="24"/>
      <c r="J671" s="25"/>
      <c r="K671" s="24"/>
      <c r="L671" s="25"/>
      <c r="M671" s="26"/>
      <c r="N671" s="24"/>
    </row>
    <row r="672" customFormat="false" ht="15" hidden="false" customHeight="false" outlineLevel="0" collapsed="false">
      <c r="A672" s="21"/>
      <c r="B672" s="22"/>
      <c r="C672" s="22"/>
      <c r="D672" s="23"/>
      <c r="E672" s="21"/>
      <c r="F672" s="24"/>
      <c r="G672" s="25"/>
      <c r="H672" s="25"/>
      <c r="I672" s="24"/>
      <c r="J672" s="25"/>
      <c r="K672" s="24"/>
      <c r="L672" s="25"/>
      <c r="M672" s="26"/>
      <c r="N672" s="24"/>
    </row>
    <row r="673" customFormat="false" ht="15" hidden="false" customHeight="false" outlineLevel="0" collapsed="false">
      <c r="A673" s="21"/>
      <c r="B673" s="22"/>
      <c r="C673" s="22"/>
      <c r="D673" s="23"/>
      <c r="E673" s="21"/>
      <c r="F673" s="24"/>
      <c r="G673" s="25"/>
      <c r="H673" s="25"/>
      <c r="I673" s="24"/>
      <c r="J673" s="25"/>
      <c r="K673" s="24"/>
      <c r="L673" s="25"/>
      <c r="M673" s="26"/>
      <c r="N673" s="24"/>
    </row>
    <row r="674" customFormat="false" ht="15" hidden="false" customHeight="false" outlineLevel="0" collapsed="false">
      <c r="A674" s="21"/>
      <c r="B674" s="22"/>
      <c r="C674" s="22"/>
      <c r="D674" s="23"/>
      <c r="E674" s="21"/>
      <c r="F674" s="24"/>
      <c r="G674" s="25"/>
      <c r="H674" s="25"/>
      <c r="I674" s="24"/>
      <c r="J674" s="25"/>
      <c r="K674" s="24"/>
      <c r="L674" s="25"/>
      <c r="M674" s="26"/>
      <c r="N674" s="24"/>
    </row>
    <row r="675" customFormat="false" ht="15" hidden="false" customHeight="false" outlineLevel="0" collapsed="false">
      <c r="A675" s="21"/>
      <c r="B675" s="22"/>
      <c r="C675" s="22"/>
      <c r="D675" s="23"/>
      <c r="E675" s="21"/>
      <c r="F675" s="24"/>
      <c r="G675" s="25"/>
      <c r="H675" s="25"/>
      <c r="I675" s="24"/>
      <c r="J675" s="25"/>
      <c r="K675" s="24"/>
      <c r="L675" s="25"/>
      <c r="M675" s="26"/>
      <c r="N675" s="24"/>
    </row>
    <row r="676" customFormat="false" ht="15" hidden="false" customHeight="false" outlineLevel="0" collapsed="false">
      <c r="A676" s="21"/>
      <c r="B676" s="22"/>
      <c r="C676" s="22"/>
      <c r="D676" s="23"/>
      <c r="E676" s="21"/>
      <c r="F676" s="24"/>
      <c r="G676" s="25"/>
      <c r="H676" s="25"/>
      <c r="I676" s="24"/>
      <c r="J676" s="25"/>
      <c r="K676" s="24"/>
      <c r="L676" s="25"/>
      <c r="M676" s="26"/>
      <c r="N676" s="24"/>
    </row>
    <row r="677" customFormat="false" ht="15" hidden="false" customHeight="false" outlineLevel="0" collapsed="false">
      <c r="A677" s="21"/>
      <c r="B677" s="22"/>
      <c r="C677" s="22"/>
      <c r="D677" s="23"/>
      <c r="E677" s="21"/>
      <c r="F677" s="24"/>
      <c r="G677" s="25"/>
      <c r="H677" s="25"/>
      <c r="I677" s="24"/>
      <c r="J677" s="25"/>
      <c r="K677" s="24"/>
      <c r="L677" s="25"/>
      <c r="M677" s="26"/>
      <c r="N677" s="24"/>
    </row>
    <row r="678" customFormat="false" ht="15" hidden="false" customHeight="false" outlineLevel="0" collapsed="false">
      <c r="A678" s="21"/>
      <c r="B678" s="22"/>
      <c r="C678" s="22"/>
      <c r="D678" s="23"/>
      <c r="E678" s="21"/>
      <c r="F678" s="24"/>
      <c r="G678" s="25"/>
      <c r="H678" s="25"/>
      <c r="I678" s="24"/>
      <c r="J678" s="25"/>
      <c r="K678" s="24"/>
      <c r="L678" s="25"/>
      <c r="M678" s="26"/>
      <c r="N678" s="24"/>
    </row>
    <row r="679" customFormat="false" ht="15" hidden="false" customHeight="false" outlineLevel="0" collapsed="false">
      <c r="A679" s="21"/>
      <c r="B679" s="22"/>
      <c r="C679" s="22"/>
      <c r="D679" s="23"/>
      <c r="E679" s="21"/>
      <c r="F679" s="24"/>
      <c r="G679" s="25"/>
      <c r="H679" s="25"/>
      <c r="I679" s="24"/>
      <c r="J679" s="25"/>
      <c r="K679" s="24"/>
      <c r="L679" s="25"/>
      <c r="M679" s="26"/>
      <c r="N679" s="24"/>
    </row>
    <row r="680" customFormat="false" ht="15" hidden="false" customHeight="false" outlineLevel="0" collapsed="false">
      <c r="A680" s="21"/>
      <c r="B680" s="22"/>
      <c r="C680" s="22"/>
      <c r="D680" s="23"/>
      <c r="E680" s="21"/>
      <c r="F680" s="24"/>
      <c r="G680" s="25"/>
      <c r="H680" s="25"/>
      <c r="I680" s="24"/>
      <c r="J680" s="25"/>
      <c r="K680" s="24"/>
      <c r="L680" s="25"/>
      <c r="M680" s="26"/>
      <c r="N680" s="24"/>
    </row>
    <row r="681" customFormat="false" ht="15" hidden="false" customHeight="false" outlineLevel="0" collapsed="false">
      <c r="A681" s="21"/>
      <c r="B681" s="22"/>
      <c r="C681" s="22"/>
      <c r="D681" s="23"/>
      <c r="E681" s="21"/>
      <c r="F681" s="24"/>
      <c r="G681" s="25"/>
      <c r="H681" s="25"/>
      <c r="I681" s="24"/>
      <c r="J681" s="25"/>
      <c r="K681" s="24"/>
      <c r="L681" s="25"/>
      <c r="M681" s="26"/>
      <c r="N681" s="24"/>
    </row>
    <row r="682" customFormat="false" ht="15" hidden="false" customHeight="false" outlineLevel="0" collapsed="false">
      <c r="A682" s="21"/>
      <c r="B682" s="22"/>
      <c r="C682" s="22"/>
      <c r="D682" s="23"/>
      <c r="E682" s="21"/>
      <c r="F682" s="24"/>
      <c r="G682" s="25"/>
      <c r="H682" s="25"/>
      <c r="I682" s="24"/>
      <c r="J682" s="25"/>
      <c r="K682" s="24"/>
      <c r="L682" s="25"/>
      <c r="M682" s="26"/>
      <c r="N682" s="24"/>
    </row>
    <row r="683" customFormat="false" ht="15" hidden="false" customHeight="false" outlineLevel="0" collapsed="false">
      <c r="A683" s="21"/>
      <c r="B683" s="22"/>
      <c r="C683" s="22"/>
      <c r="D683" s="23"/>
      <c r="E683" s="21"/>
      <c r="F683" s="24"/>
      <c r="G683" s="25"/>
      <c r="H683" s="25"/>
      <c r="I683" s="24"/>
      <c r="J683" s="25"/>
      <c r="K683" s="24"/>
      <c r="L683" s="25"/>
      <c r="M683" s="26"/>
      <c r="N683" s="24"/>
    </row>
    <row r="684" customFormat="false" ht="15" hidden="false" customHeight="false" outlineLevel="0" collapsed="false">
      <c r="A684" s="21"/>
      <c r="B684" s="22"/>
      <c r="C684" s="22"/>
      <c r="D684" s="23"/>
      <c r="E684" s="21"/>
      <c r="F684" s="24"/>
      <c r="G684" s="25"/>
      <c r="H684" s="25"/>
      <c r="I684" s="24"/>
      <c r="J684" s="25"/>
      <c r="K684" s="24"/>
      <c r="L684" s="25"/>
      <c r="M684" s="26"/>
      <c r="N684" s="24"/>
    </row>
    <row r="685" customFormat="false" ht="15" hidden="false" customHeight="false" outlineLevel="0" collapsed="false">
      <c r="A685" s="21"/>
      <c r="B685" s="22"/>
      <c r="C685" s="22"/>
      <c r="D685" s="23"/>
      <c r="E685" s="21"/>
      <c r="F685" s="24"/>
      <c r="G685" s="25"/>
      <c r="H685" s="25"/>
      <c r="I685" s="24"/>
      <c r="J685" s="25"/>
      <c r="K685" s="24"/>
      <c r="L685" s="25"/>
      <c r="M685" s="26"/>
      <c r="N685" s="24"/>
    </row>
    <row r="686" customFormat="false" ht="15" hidden="false" customHeight="false" outlineLevel="0" collapsed="false">
      <c r="A686" s="21"/>
      <c r="B686" s="22"/>
      <c r="C686" s="22"/>
      <c r="D686" s="23"/>
      <c r="E686" s="21"/>
      <c r="F686" s="24"/>
      <c r="G686" s="25"/>
      <c r="H686" s="25"/>
      <c r="I686" s="24"/>
      <c r="J686" s="25"/>
      <c r="K686" s="24"/>
      <c r="L686" s="25"/>
      <c r="M686" s="26"/>
      <c r="N686" s="24"/>
    </row>
    <row r="687" customFormat="false" ht="15" hidden="false" customHeight="false" outlineLevel="0" collapsed="false">
      <c r="A687" s="21"/>
      <c r="B687" s="22"/>
      <c r="C687" s="22"/>
      <c r="D687" s="23"/>
      <c r="E687" s="21"/>
      <c r="F687" s="24"/>
      <c r="G687" s="25"/>
      <c r="H687" s="25"/>
      <c r="I687" s="24"/>
      <c r="J687" s="25"/>
      <c r="K687" s="24"/>
      <c r="L687" s="25"/>
      <c r="M687" s="26"/>
      <c r="N687" s="24"/>
    </row>
    <row r="688" customFormat="false" ht="15" hidden="false" customHeight="false" outlineLevel="0" collapsed="false">
      <c r="A688" s="21"/>
      <c r="B688" s="22"/>
      <c r="C688" s="22"/>
      <c r="D688" s="23"/>
      <c r="E688" s="21"/>
      <c r="F688" s="24"/>
      <c r="G688" s="25"/>
      <c r="H688" s="25"/>
      <c r="I688" s="24"/>
      <c r="J688" s="25"/>
      <c r="K688" s="24"/>
      <c r="L688" s="25"/>
      <c r="M688" s="26"/>
      <c r="N688" s="24"/>
    </row>
    <row r="689" customFormat="false" ht="15" hidden="false" customHeight="false" outlineLevel="0" collapsed="false">
      <c r="A689" s="21"/>
      <c r="B689" s="22"/>
      <c r="C689" s="22"/>
      <c r="D689" s="23"/>
      <c r="E689" s="21"/>
      <c r="F689" s="24"/>
      <c r="G689" s="25"/>
      <c r="H689" s="25"/>
      <c r="I689" s="24"/>
      <c r="J689" s="25"/>
      <c r="K689" s="24"/>
      <c r="L689" s="25"/>
      <c r="M689" s="26"/>
      <c r="N689" s="24"/>
    </row>
    <row r="690" customFormat="false" ht="15" hidden="false" customHeight="false" outlineLevel="0" collapsed="false">
      <c r="A690" s="21"/>
      <c r="B690" s="22"/>
      <c r="C690" s="22"/>
      <c r="D690" s="23"/>
      <c r="E690" s="21"/>
      <c r="F690" s="24"/>
      <c r="G690" s="25"/>
      <c r="H690" s="25"/>
      <c r="I690" s="24"/>
      <c r="J690" s="25"/>
      <c r="K690" s="24"/>
      <c r="L690" s="25"/>
      <c r="M690" s="26"/>
      <c r="N690" s="24"/>
    </row>
    <row r="691" customFormat="false" ht="15" hidden="false" customHeight="false" outlineLevel="0" collapsed="false">
      <c r="A691" s="21"/>
      <c r="B691" s="22"/>
      <c r="C691" s="22"/>
      <c r="D691" s="23"/>
      <c r="E691" s="21"/>
      <c r="F691" s="24"/>
      <c r="G691" s="25"/>
      <c r="H691" s="25"/>
      <c r="I691" s="24"/>
      <c r="J691" s="25"/>
      <c r="K691" s="24"/>
      <c r="L691" s="25"/>
      <c r="M691" s="26"/>
      <c r="N691" s="24"/>
    </row>
    <row r="692" customFormat="false" ht="15" hidden="false" customHeight="false" outlineLevel="0" collapsed="false">
      <c r="A692" s="21"/>
      <c r="B692" s="22"/>
      <c r="C692" s="22"/>
      <c r="D692" s="23"/>
      <c r="E692" s="21"/>
      <c r="F692" s="24"/>
      <c r="G692" s="25"/>
      <c r="H692" s="25"/>
      <c r="I692" s="24"/>
      <c r="J692" s="25"/>
      <c r="K692" s="24"/>
      <c r="L692" s="25"/>
      <c r="M692" s="26"/>
      <c r="N692" s="24"/>
    </row>
    <row r="693" customFormat="false" ht="15" hidden="false" customHeight="false" outlineLevel="0" collapsed="false">
      <c r="A693" s="21"/>
      <c r="B693" s="22"/>
      <c r="C693" s="22"/>
      <c r="D693" s="23"/>
      <c r="E693" s="21"/>
      <c r="F693" s="24"/>
      <c r="G693" s="25"/>
      <c r="H693" s="25"/>
      <c r="I693" s="24"/>
      <c r="J693" s="25"/>
      <c r="K693" s="24"/>
      <c r="L693" s="25"/>
      <c r="M693" s="26"/>
      <c r="N693" s="24"/>
    </row>
    <row r="694" customFormat="false" ht="15" hidden="false" customHeight="false" outlineLevel="0" collapsed="false">
      <c r="A694" s="21"/>
      <c r="B694" s="22"/>
      <c r="C694" s="22"/>
      <c r="D694" s="23"/>
      <c r="E694" s="21"/>
      <c r="F694" s="24"/>
      <c r="G694" s="25"/>
      <c r="H694" s="25"/>
      <c r="I694" s="24"/>
      <c r="J694" s="25"/>
      <c r="K694" s="24"/>
      <c r="L694" s="25"/>
      <c r="M694" s="26"/>
      <c r="N694" s="24"/>
    </row>
    <row r="695" customFormat="false" ht="15" hidden="false" customHeight="false" outlineLevel="0" collapsed="false">
      <c r="A695" s="21"/>
      <c r="B695" s="22"/>
      <c r="C695" s="22"/>
      <c r="D695" s="23"/>
      <c r="E695" s="21"/>
      <c r="F695" s="24"/>
      <c r="G695" s="25"/>
      <c r="H695" s="25"/>
      <c r="I695" s="24"/>
      <c r="J695" s="25"/>
      <c r="K695" s="24"/>
      <c r="L695" s="25"/>
      <c r="M695" s="26"/>
      <c r="N695" s="24"/>
    </row>
    <row r="696" customFormat="false" ht="15" hidden="false" customHeight="false" outlineLevel="0" collapsed="false">
      <c r="A696" s="21"/>
      <c r="B696" s="22"/>
      <c r="C696" s="22"/>
      <c r="D696" s="23"/>
      <c r="E696" s="21"/>
      <c r="F696" s="24"/>
      <c r="G696" s="25"/>
      <c r="H696" s="25"/>
      <c r="I696" s="24"/>
      <c r="J696" s="25"/>
      <c r="K696" s="24"/>
      <c r="L696" s="25"/>
      <c r="M696" s="26"/>
      <c r="N696" s="24"/>
    </row>
    <row r="697" customFormat="false" ht="15" hidden="false" customHeight="false" outlineLevel="0" collapsed="false">
      <c r="A697" s="21"/>
      <c r="B697" s="22"/>
      <c r="C697" s="22"/>
      <c r="D697" s="23"/>
      <c r="E697" s="21"/>
      <c r="F697" s="24"/>
      <c r="G697" s="25"/>
      <c r="H697" s="25"/>
      <c r="I697" s="24"/>
      <c r="J697" s="25"/>
      <c r="K697" s="24"/>
      <c r="L697" s="25"/>
      <c r="M697" s="26"/>
      <c r="N697" s="24"/>
    </row>
    <row r="698" customFormat="false" ht="15" hidden="false" customHeight="false" outlineLevel="0" collapsed="false">
      <c r="A698" s="21"/>
      <c r="B698" s="22"/>
      <c r="C698" s="22"/>
      <c r="D698" s="23"/>
      <c r="E698" s="21"/>
      <c r="F698" s="24"/>
      <c r="G698" s="25"/>
      <c r="H698" s="25"/>
      <c r="I698" s="24"/>
      <c r="J698" s="25"/>
      <c r="K698" s="24"/>
      <c r="L698" s="25"/>
      <c r="M698" s="26"/>
      <c r="N698" s="24"/>
    </row>
    <row r="699" customFormat="false" ht="15" hidden="false" customHeight="false" outlineLevel="0" collapsed="false">
      <c r="A699" s="21"/>
      <c r="B699" s="22"/>
      <c r="C699" s="22"/>
      <c r="D699" s="23"/>
      <c r="E699" s="21"/>
      <c r="F699" s="24"/>
      <c r="G699" s="25"/>
      <c r="H699" s="25"/>
      <c r="I699" s="24"/>
      <c r="J699" s="25"/>
      <c r="K699" s="24"/>
      <c r="L699" s="25"/>
      <c r="M699" s="26"/>
      <c r="N699" s="24"/>
    </row>
    <row r="700" customFormat="false" ht="15" hidden="false" customHeight="false" outlineLevel="0" collapsed="false">
      <c r="A700" s="21"/>
      <c r="B700" s="22"/>
      <c r="C700" s="22"/>
      <c r="D700" s="23"/>
      <c r="E700" s="21"/>
      <c r="F700" s="24"/>
      <c r="G700" s="25"/>
      <c r="H700" s="25"/>
      <c r="I700" s="24"/>
      <c r="J700" s="25"/>
      <c r="K700" s="24"/>
      <c r="L700" s="25"/>
      <c r="M700" s="26"/>
      <c r="N700" s="24"/>
    </row>
    <row r="701" customFormat="false" ht="15" hidden="false" customHeight="false" outlineLevel="0" collapsed="false">
      <c r="A701" s="21"/>
      <c r="B701" s="22"/>
      <c r="C701" s="22"/>
      <c r="D701" s="23"/>
      <c r="E701" s="21"/>
      <c r="F701" s="24"/>
      <c r="G701" s="25"/>
      <c r="H701" s="25"/>
      <c r="I701" s="24"/>
      <c r="J701" s="25"/>
      <c r="K701" s="24"/>
      <c r="L701" s="25"/>
      <c r="M701" s="26"/>
      <c r="N701" s="24"/>
    </row>
    <row r="702" customFormat="false" ht="15" hidden="false" customHeight="false" outlineLevel="0" collapsed="false">
      <c r="A702" s="21"/>
      <c r="B702" s="22"/>
      <c r="C702" s="22"/>
      <c r="D702" s="23"/>
      <c r="E702" s="21"/>
      <c r="F702" s="24"/>
      <c r="G702" s="25"/>
      <c r="H702" s="25"/>
      <c r="I702" s="24"/>
      <c r="J702" s="25"/>
      <c r="K702" s="24"/>
      <c r="L702" s="25"/>
      <c r="M702" s="26"/>
      <c r="N702" s="24"/>
    </row>
    <row r="703" customFormat="false" ht="15" hidden="false" customHeight="false" outlineLevel="0" collapsed="false">
      <c r="A703" s="21"/>
      <c r="B703" s="22"/>
      <c r="C703" s="22"/>
      <c r="D703" s="23"/>
      <c r="E703" s="21"/>
      <c r="F703" s="24"/>
      <c r="G703" s="25"/>
      <c r="H703" s="25"/>
      <c r="I703" s="24"/>
      <c r="J703" s="25"/>
      <c r="K703" s="24"/>
      <c r="L703" s="25"/>
      <c r="M703" s="26"/>
      <c r="N703" s="24"/>
    </row>
    <row r="704" customFormat="false" ht="15" hidden="false" customHeight="false" outlineLevel="0" collapsed="false">
      <c r="A704" s="21"/>
      <c r="B704" s="22"/>
      <c r="C704" s="22"/>
      <c r="D704" s="23"/>
      <c r="E704" s="21"/>
      <c r="F704" s="24"/>
      <c r="G704" s="25"/>
      <c r="H704" s="25"/>
      <c r="I704" s="24"/>
      <c r="J704" s="25"/>
      <c r="K704" s="24"/>
      <c r="L704" s="25"/>
      <c r="M704" s="26"/>
      <c r="N704" s="24"/>
    </row>
    <row r="705" customFormat="false" ht="15" hidden="false" customHeight="false" outlineLevel="0" collapsed="false">
      <c r="A705" s="21"/>
      <c r="B705" s="22"/>
      <c r="C705" s="22"/>
      <c r="D705" s="23"/>
      <c r="E705" s="21"/>
      <c r="F705" s="24"/>
      <c r="G705" s="25"/>
      <c r="H705" s="25"/>
      <c r="I705" s="24"/>
      <c r="J705" s="25"/>
      <c r="K705" s="24"/>
      <c r="L705" s="25"/>
      <c r="M705" s="26"/>
      <c r="N705" s="24"/>
    </row>
    <row r="706" customFormat="false" ht="15" hidden="false" customHeight="false" outlineLevel="0" collapsed="false">
      <c r="A706" s="21"/>
      <c r="B706" s="22"/>
      <c r="C706" s="22"/>
      <c r="D706" s="23"/>
      <c r="E706" s="21"/>
      <c r="F706" s="24"/>
      <c r="G706" s="25"/>
      <c r="H706" s="25"/>
      <c r="I706" s="24"/>
      <c r="J706" s="25"/>
      <c r="K706" s="24"/>
      <c r="L706" s="25"/>
      <c r="M706" s="26"/>
      <c r="N706" s="24"/>
    </row>
    <row r="707" customFormat="false" ht="15" hidden="false" customHeight="false" outlineLevel="0" collapsed="false">
      <c r="A707" s="21"/>
      <c r="B707" s="22"/>
      <c r="C707" s="22"/>
      <c r="D707" s="23"/>
      <c r="E707" s="21"/>
      <c r="F707" s="24"/>
      <c r="G707" s="25"/>
      <c r="H707" s="25"/>
      <c r="I707" s="24"/>
      <c r="J707" s="25"/>
      <c r="K707" s="24"/>
      <c r="L707" s="25"/>
      <c r="M707" s="26"/>
      <c r="N707" s="24"/>
    </row>
    <row r="708" customFormat="false" ht="15" hidden="false" customHeight="false" outlineLevel="0" collapsed="false">
      <c r="A708" s="21"/>
      <c r="B708" s="22"/>
      <c r="C708" s="22"/>
      <c r="D708" s="23"/>
      <c r="E708" s="21"/>
      <c r="F708" s="24"/>
      <c r="G708" s="25"/>
      <c r="H708" s="25"/>
      <c r="I708" s="24"/>
      <c r="J708" s="25"/>
      <c r="K708" s="24"/>
      <c r="L708" s="25"/>
      <c r="M708" s="26"/>
      <c r="N708" s="24"/>
    </row>
    <row r="709" customFormat="false" ht="15" hidden="false" customHeight="false" outlineLevel="0" collapsed="false">
      <c r="A709" s="21"/>
      <c r="B709" s="22"/>
      <c r="C709" s="22"/>
      <c r="D709" s="23"/>
      <c r="E709" s="21"/>
      <c r="F709" s="24"/>
      <c r="G709" s="25"/>
      <c r="H709" s="25"/>
      <c r="I709" s="24"/>
      <c r="J709" s="25"/>
      <c r="K709" s="24"/>
      <c r="L709" s="25"/>
      <c r="M709" s="26"/>
      <c r="N709" s="24"/>
    </row>
    <row r="710" customFormat="false" ht="15" hidden="false" customHeight="false" outlineLevel="0" collapsed="false">
      <c r="A710" s="21"/>
      <c r="B710" s="22"/>
      <c r="C710" s="22"/>
      <c r="D710" s="23"/>
      <c r="E710" s="21"/>
      <c r="F710" s="24"/>
      <c r="G710" s="25"/>
      <c r="H710" s="25"/>
      <c r="I710" s="24"/>
      <c r="J710" s="25"/>
      <c r="K710" s="24"/>
      <c r="L710" s="25"/>
      <c r="M710" s="26"/>
      <c r="N710" s="24"/>
    </row>
    <row r="711" customFormat="false" ht="15" hidden="false" customHeight="false" outlineLevel="0" collapsed="false">
      <c r="A711" s="21"/>
      <c r="B711" s="22"/>
      <c r="C711" s="22"/>
      <c r="D711" s="23"/>
      <c r="E711" s="21"/>
      <c r="F711" s="24"/>
      <c r="G711" s="25"/>
      <c r="H711" s="25"/>
      <c r="I711" s="24"/>
      <c r="J711" s="25"/>
      <c r="K711" s="24"/>
      <c r="L711" s="25"/>
      <c r="M711" s="26"/>
      <c r="N711" s="24"/>
    </row>
    <row r="712" customFormat="false" ht="15" hidden="false" customHeight="false" outlineLevel="0" collapsed="false">
      <c r="A712" s="21"/>
      <c r="B712" s="22"/>
      <c r="C712" s="22"/>
      <c r="D712" s="23"/>
      <c r="E712" s="21"/>
      <c r="F712" s="24"/>
      <c r="G712" s="25"/>
      <c r="H712" s="25"/>
      <c r="I712" s="24"/>
      <c r="J712" s="25"/>
      <c r="K712" s="24"/>
      <c r="L712" s="25"/>
      <c r="M712" s="26"/>
      <c r="N712" s="24"/>
    </row>
    <row r="713" customFormat="false" ht="15" hidden="false" customHeight="false" outlineLevel="0" collapsed="false">
      <c r="A713" s="21"/>
      <c r="B713" s="22"/>
      <c r="C713" s="22"/>
      <c r="D713" s="23"/>
      <c r="E713" s="21"/>
      <c r="F713" s="24"/>
      <c r="G713" s="25"/>
      <c r="H713" s="25"/>
      <c r="I713" s="24"/>
      <c r="J713" s="25"/>
      <c r="K713" s="24"/>
      <c r="L713" s="25"/>
      <c r="M713" s="26"/>
      <c r="N713" s="24"/>
    </row>
    <row r="714" customFormat="false" ht="15" hidden="false" customHeight="false" outlineLevel="0" collapsed="false">
      <c r="A714" s="21"/>
      <c r="B714" s="22"/>
      <c r="C714" s="22"/>
      <c r="D714" s="23"/>
      <c r="E714" s="21"/>
      <c r="F714" s="24"/>
      <c r="G714" s="25"/>
      <c r="H714" s="25"/>
      <c r="I714" s="24"/>
      <c r="J714" s="25"/>
      <c r="K714" s="24"/>
      <c r="L714" s="25"/>
      <c r="M714" s="26"/>
      <c r="N714" s="24"/>
    </row>
    <row r="715" customFormat="false" ht="15" hidden="false" customHeight="false" outlineLevel="0" collapsed="false">
      <c r="A715" s="21"/>
      <c r="B715" s="22"/>
      <c r="C715" s="22"/>
      <c r="D715" s="23"/>
      <c r="E715" s="21"/>
      <c r="F715" s="24"/>
      <c r="G715" s="25"/>
      <c r="H715" s="25"/>
      <c r="I715" s="24"/>
      <c r="J715" s="25"/>
      <c r="K715" s="24"/>
      <c r="L715" s="25"/>
      <c r="M715" s="26"/>
      <c r="N715" s="24"/>
    </row>
    <row r="716" customFormat="false" ht="15" hidden="false" customHeight="false" outlineLevel="0" collapsed="false">
      <c r="A716" s="21"/>
      <c r="B716" s="22"/>
      <c r="C716" s="22"/>
      <c r="D716" s="23"/>
      <c r="E716" s="21"/>
      <c r="F716" s="24"/>
      <c r="G716" s="25"/>
      <c r="H716" s="25"/>
      <c r="I716" s="24"/>
      <c r="J716" s="25"/>
      <c r="K716" s="24"/>
      <c r="L716" s="25"/>
      <c r="M716" s="26"/>
      <c r="N716" s="24"/>
    </row>
    <row r="717" customFormat="false" ht="15" hidden="false" customHeight="false" outlineLevel="0" collapsed="false">
      <c r="A717" s="21"/>
      <c r="B717" s="22"/>
      <c r="C717" s="22"/>
      <c r="D717" s="23"/>
      <c r="E717" s="21"/>
      <c r="F717" s="24"/>
      <c r="G717" s="25"/>
      <c r="H717" s="25"/>
      <c r="I717" s="24"/>
      <c r="J717" s="25"/>
      <c r="K717" s="24"/>
      <c r="L717" s="25"/>
      <c r="M717" s="26"/>
      <c r="N717" s="24"/>
    </row>
    <row r="718" customFormat="false" ht="15" hidden="false" customHeight="false" outlineLevel="0" collapsed="false">
      <c r="A718" s="21"/>
      <c r="B718" s="22"/>
      <c r="C718" s="22"/>
      <c r="D718" s="23"/>
      <c r="E718" s="21"/>
      <c r="F718" s="24"/>
      <c r="G718" s="25"/>
      <c r="H718" s="25"/>
      <c r="I718" s="24"/>
      <c r="J718" s="25"/>
      <c r="K718" s="24"/>
      <c r="L718" s="25"/>
      <c r="M718" s="26"/>
      <c r="N718" s="24"/>
    </row>
    <row r="719" customFormat="false" ht="15" hidden="false" customHeight="false" outlineLevel="0" collapsed="false">
      <c r="A719" s="21"/>
      <c r="B719" s="22"/>
      <c r="C719" s="22"/>
      <c r="D719" s="23"/>
      <c r="E719" s="21"/>
      <c r="F719" s="24"/>
      <c r="G719" s="25"/>
      <c r="H719" s="25"/>
      <c r="I719" s="24"/>
      <c r="J719" s="25"/>
      <c r="K719" s="24"/>
      <c r="L719" s="25"/>
      <c r="M719" s="26"/>
      <c r="N719" s="24"/>
    </row>
    <row r="720" customFormat="false" ht="15" hidden="false" customHeight="false" outlineLevel="0" collapsed="false">
      <c r="A720" s="21"/>
      <c r="B720" s="22"/>
      <c r="C720" s="22"/>
      <c r="D720" s="23"/>
      <c r="E720" s="21"/>
      <c r="F720" s="24"/>
      <c r="G720" s="25"/>
      <c r="H720" s="25"/>
      <c r="I720" s="24"/>
      <c r="J720" s="25"/>
      <c r="K720" s="24"/>
      <c r="L720" s="25"/>
      <c r="M720" s="26"/>
      <c r="N720" s="24"/>
    </row>
    <row r="721" customFormat="false" ht="15" hidden="false" customHeight="false" outlineLevel="0" collapsed="false">
      <c r="A721" s="21"/>
      <c r="B721" s="22"/>
      <c r="C721" s="22"/>
      <c r="D721" s="23"/>
      <c r="E721" s="21"/>
      <c r="F721" s="24"/>
      <c r="G721" s="25"/>
      <c r="H721" s="25"/>
      <c r="I721" s="24"/>
      <c r="J721" s="25"/>
      <c r="K721" s="24"/>
      <c r="L721" s="25"/>
      <c r="M721" s="26"/>
      <c r="N721" s="24"/>
    </row>
    <row r="722" customFormat="false" ht="15" hidden="false" customHeight="false" outlineLevel="0" collapsed="false">
      <c r="A722" s="21"/>
      <c r="B722" s="22"/>
      <c r="C722" s="22"/>
      <c r="D722" s="23"/>
      <c r="E722" s="21"/>
      <c r="F722" s="24"/>
      <c r="G722" s="25"/>
      <c r="H722" s="25"/>
      <c r="I722" s="24"/>
      <c r="J722" s="25"/>
      <c r="K722" s="24"/>
      <c r="L722" s="25"/>
      <c r="M722" s="26"/>
      <c r="N722" s="24"/>
    </row>
    <row r="723" customFormat="false" ht="15" hidden="false" customHeight="false" outlineLevel="0" collapsed="false">
      <c r="A723" s="21"/>
      <c r="B723" s="22"/>
      <c r="C723" s="22"/>
      <c r="D723" s="23"/>
      <c r="E723" s="21"/>
      <c r="F723" s="24"/>
      <c r="G723" s="25"/>
      <c r="H723" s="25"/>
      <c r="I723" s="24"/>
      <c r="J723" s="25"/>
      <c r="K723" s="24"/>
      <c r="L723" s="25"/>
      <c r="M723" s="26"/>
      <c r="N723" s="24"/>
    </row>
    <row r="724" customFormat="false" ht="15" hidden="false" customHeight="false" outlineLevel="0" collapsed="false">
      <c r="A724" s="21"/>
      <c r="B724" s="22"/>
      <c r="C724" s="22"/>
      <c r="D724" s="23"/>
      <c r="E724" s="21"/>
      <c r="F724" s="24"/>
      <c r="G724" s="25"/>
      <c r="H724" s="25"/>
      <c r="I724" s="24"/>
      <c r="J724" s="25"/>
      <c r="K724" s="24"/>
      <c r="L724" s="25"/>
      <c r="M724" s="26"/>
      <c r="N724" s="24"/>
    </row>
    <row r="725" customFormat="false" ht="15" hidden="false" customHeight="false" outlineLevel="0" collapsed="false">
      <c r="A725" s="21"/>
      <c r="B725" s="22"/>
      <c r="C725" s="22"/>
      <c r="D725" s="23"/>
      <c r="E725" s="21"/>
      <c r="F725" s="24"/>
      <c r="G725" s="25"/>
      <c r="H725" s="25"/>
      <c r="I725" s="24"/>
      <c r="J725" s="25"/>
      <c r="K725" s="24"/>
      <c r="L725" s="25"/>
      <c r="M725" s="26"/>
      <c r="N725" s="24"/>
    </row>
    <row r="726" customFormat="false" ht="15" hidden="false" customHeight="false" outlineLevel="0" collapsed="false">
      <c r="A726" s="21"/>
      <c r="B726" s="22"/>
      <c r="C726" s="22"/>
      <c r="D726" s="23"/>
      <c r="E726" s="21"/>
      <c r="F726" s="24"/>
      <c r="G726" s="25"/>
      <c r="H726" s="25"/>
      <c r="I726" s="24"/>
      <c r="J726" s="25"/>
      <c r="K726" s="24"/>
      <c r="L726" s="25"/>
      <c r="M726" s="26"/>
      <c r="N726" s="24"/>
    </row>
    <row r="727" customFormat="false" ht="15" hidden="false" customHeight="false" outlineLevel="0" collapsed="false">
      <c r="A727" s="21"/>
      <c r="B727" s="22"/>
      <c r="C727" s="22"/>
      <c r="D727" s="23"/>
      <c r="E727" s="21"/>
      <c r="F727" s="24"/>
      <c r="G727" s="25"/>
      <c r="H727" s="25"/>
      <c r="I727" s="24"/>
      <c r="J727" s="25"/>
      <c r="K727" s="24"/>
      <c r="L727" s="25"/>
      <c r="M727" s="26"/>
      <c r="N727" s="24"/>
    </row>
    <row r="728" customFormat="false" ht="15" hidden="false" customHeight="false" outlineLevel="0" collapsed="false">
      <c r="A728" s="21"/>
      <c r="B728" s="22"/>
      <c r="C728" s="22"/>
      <c r="D728" s="23"/>
      <c r="E728" s="21"/>
      <c r="F728" s="24"/>
      <c r="G728" s="25"/>
      <c r="H728" s="25"/>
      <c r="I728" s="24"/>
      <c r="J728" s="25"/>
      <c r="K728" s="24"/>
      <c r="L728" s="25"/>
      <c r="M728" s="26"/>
      <c r="N728" s="24"/>
    </row>
    <row r="729" customFormat="false" ht="15" hidden="false" customHeight="false" outlineLevel="0" collapsed="false">
      <c r="A729" s="21"/>
      <c r="B729" s="22"/>
      <c r="C729" s="22"/>
      <c r="D729" s="23"/>
      <c r="E729" s="21"/>
      <c r="F729" s="24"/>
      <c r="G729" s="25"/>
      <c r="H729" s="25"/>
      <c r="I729" s="24"/>
      <c r="J729" s="25"/>
      <c r="K729" s="24"/>
      <c r="L729" s="25"/>
      <c r="M729" s="26"/>
      <c r="N729" s="24"/>
    </row>
    <row r="730" customFormat="false" ht="15" hidden="false" customHeight="false" outlineLevel="0" collapsed="false">
      <c r="A730" s="21"/>
      <c r="B730" s="22"/>
      <c r="C730" s="22"/>
      <c r="D730" s="23"/>
      <c r="E730" s="21"/>
      <c r="F730" s="24"/>
      <c r="G730" s="25"/>
      <c r="H730" s="25"/>
      <c r="I730" s="24"/>
      <c r="J730" s="25"/>
      <c r="K730" s="24"/>
      <c r="L730" s="25"/>
      <c r="M730" s="26"/>
      <c r="N730" s="24"/>
    </row>
    <row r="731" customFormat="false" ht="15" hidden="false" customHeight="false" outlineLevel="0" collapsed="false">
      <c r="A731" s="21"/>
      <c r="B731" s="22"/>
      <c r="C731" s="22"/>
      <c r="D731" s="23"/>
      <c r="E731" s="21"/>
      <c r="F731" s="24"/>
      <c r="G731" s="25"/>
      <c r="H731" s="25"/>
      <c r="I731" s="24"/>
      <c r="J731" s="25"/>
      <c r="K731" s="24"/>
      <c r="L731" s="25"/>
      <c r="M731" s="26"/>
      <c r="N731" s="24"/>
    </row>
    <row r="732" customFormat="false" ht="15" hidden="false" customHeight="false" outlineLevel="0" collapsed="false">
      <c r="A732" s="21"/>
      <c r="B732" s="22"/>
      <c r="C732" s="22"/>
      <c r="D732" s="23"/>
      <c r="E732" s="21"/>
      <c r="F732" s="24"/>
      <c r="G732" s="25"/>
      <c r="H732" s="25"/>
      <c r="I732" s="24"/>
      <c r="J732" s="25"/>
      <c r="K732" s="24"/>
      <c r="L732" s="25"/>
      <c r="M732" s="26"/>
      <c r="N732" s="24"/>
    </row>
    <row r="733" customFormat="false" ht="15" hidden="false" customHeight="false" outlineLevel="0" collapsed="false">
      <c r="A733" s="21"/>
      <c r="B733" s="22"/>
      <c r="C733" s="22"/>
      <c r="D733" s="23"/>
      <c r="E733" s="21"/>
      <c r="F733" s="24"/>
      <c r="G733" s="25"/>
      <c r="H733" s="25"/>
      <c r="I733" s="24"/>
      <c r="J733" s="25"/>
      <c r="K733" s="24"/>
      <c r="L733" s="25"/>
      <c r="M733" s="26"/>
      <c r="N733" s="24"/>
    </row>
    <row r="734" customFormat="false" ht="15" hidden="false" customHeight="false" outlineLevel="0" collapsed="false">
      <c r="A734" s="21"/>
      <c r="B734" s="22"/>
      <c r="C734" s="22"/>
      <c r="D734" s="23"/>
      <c r="E734" s="21"/>
      <c r="F734" s="24"/>
      <c r="G734" s="25"/>
      <c r="H734" s="25"/>
      <c r="I734" s="24"/>
      <c r="J734" s="25"/>
      <c r="K734" s="24"/>
      <c r="L734" s="25"/>
      <c r="M734" s="26"/>
      <c r="N734" s="24"/>
    </row>
    <row r="735" customFormat="false" ht="15" hidden="false" customHeight="false" outlineLevel="0" collapsed="false">
      <c r="A735" s="21"/>
      <c r="B735" s="22"/>
      <c r="C735" s="22"/>
      <c r="D735" s="23"/>
      <c r="E735" s="21"/>
      <c r="F735" s="24"/>
      <c r="G735" s="25"/>
      <c r="H735" s="25"/>
      <c r="I735" s="24"/>
      <c r="J735" s="25"/>
      <c r="K735" s="24"/>
      <c r="L735" s="25"/>
      <c r="M735" s="26"/>
      <c r="N735" s="24"/>
    </row>
    <row r="736" customFormat="false" ht="15" hidden="false" customHeight="false" outlineLevel="0" collapsed="false">
      <c r="A736" s="21"/>
      <c r="B736" s="22"/>
      <c r="C736" s="22"/>
      <c r="D736" s="23"/>
      <c r="E736" s="21"/>
      <c r="F736" s="24"/>
      <c r="G736" s="25"/>
      <c r="H736" s="25"/>
      <c r="I736" s="24"/>
      <c r="J736" s="25"/>
      <c r="K736" s="24"/>
      <c r="L736" s="25"/>
      <c r="M736" s="26"/>
      <c r="N736" s="24"/>
    </row>
    <row r="737" customFormat="false" ht="15" hidden="false" customHeight="false" outlineLevel="0" collapsed="false">
      <c r="A737" s="21"/>
      <c r="B737" s="22"/>
      <c r="C737" s="22"/>
      <c r="D737" s="23"/>
      <c r="E737" s="21"/>
      <c r="F737" s="24"/>
      <c r="G737" s="25"/>
      <c r="H737" s="25"/>
      <c r="I737" s="24"/>
      <c r="J737" s="25"/>
      <c r="K737" s="24"/>
      <c r="L737" s="25"/>
      <c r="M737" s="26"/>
      <c r="N737" s="24"/>
    </row>
    <row r="738" customFormat="false" ht="15" hidden="false" customHeight="false" outlineLevel="0" collapsed="false">
      <c r="A738" s="21"/>
      <c r="B738" s="22"/>
      <c r="C738" s="22"/>
      <c r="D738" s="23"/>
      <c r="E738" s="21"/>
      <c r="F738" s="24"/>
      <c r="G738" s="25"/>
      <c r="H738" s="25"/>
      <c r="I738" s="24"/>
      <c r="J738" s="25"/>
      <c r="K738" s="24"/>
      <c r="L738" s="25"/>
      <c r="M738" s="26"/>
      <c r="N738" s="24"/>
    </row>
    <row r="739" customFormat="false" ht="15" hidden="false" customHeight="false" outlineLevel="0" collapsed="false">
      <c r="A739" s="21"/>
      <c r="B739" s="22"/>
      <c r="C739" s="22"/>
      <c r="D739" s="23"/>
      <c r="E739" s="21"/>
      <c r="F739" s="24"/>
      <c r="G739" s="25"/>
      <c r="H739" s="25"/>
      <c r="I739" s="24"/>
      <c r="J739" s="25"/>
      <c r="K739" s="24"/>
      <c r="L739" s="25"/>
      <c r="M739" s="26"/>
      <c r="N739" s="24"/>
    </row>
    <row r="740" customFormat="false" ht="15" hidden="false" customHeight="false" outlineLevel="0" collapsed="false">
      <c r="A740" s="21"/>
      <c r="B740" s="22"/>
      <c r="C740" s="22"/>
      <c r="D740" s="23"/>
      <c r="E740" s="21"/>
      <c r="F740" s="24"/>
      <c r="G740" s="25"/>
      <c r="H740" s="25"/>
      <c r="I740" s="24"/>
      <c r="J740" s="25"/>
      <c r="K740" s="24"/>
      <c r="L740" s="25"/>
      <c r="M740" s="26"/>
      <c r="N740" s="24"/>
    </row>
    <row r="741" customFormat="false" ht="15" hidden="false" customHeight="false" outlineLevel="0" collapsed="false">
      <c r="A741" s="21"/>
      <c r="B741" s="22"/>
      <c r="C741" s="22"/>
      <c r="D741" s="23"/>
      <c r="E741" s="21"/>
      <c r="F741" s="24"/>
      <c r="G741" s="25"/>
      <c r="H741" s="25"/>
      <c r="I741" s="24"/>
      <c r="J741" s="25"/>
      <c r="K741" s="24"/>
      <c r="L741" s="25"/>
      <c r="M741" s="26"/>
      <c r="N741" s="24"/>
    </row>
    <row r="742" customFormat="false" ht="15" hidden="false" customHeight="false" outlineLevel="0" collapsed="false">
      <c r="A742" s="21"/>
      <c r="B742" s="22"/>
      <c r="C742" s="22"/>
      <c r="D742" s="23"/>
      <c r="E742" s="21"/>
      <c r="F742" s="24"/>
      <c r="G742" s="25"/>
      <c r="H742" s="25"/>
      <c r="I742" s="24"/>
      <c r="J742" s="25"/>
      <c r="K742" s="24"/>
      <c r="L742" s="25"/>
      <c r="M742" s="26"/>
      <c r="N742" s="24"/>
    </row>
    <row r="743" customFormat="false" ht="15" hidden="false" customHeight="false" outlineLevel="0" collapsed="false">
      <c r="A743" s="21"/>
      <c r="B743" s="22"/>
      <c r="C743" s="22"/>
      <c r="D743" s="23"/>
      <c r="E743" s="21"/>
      <c r="F743" s="24"/>
      <c r="G743" s="25"/>
      <c r="H743" s="25"/>
      <c r="I743" s="24"/>
      <c r="J743" s="25"/>
      <c r="K743" s="24"/>
      <c r="L743" s="25"/>
      <c r="M743" s="26"/>
      <c r="N743" s="24"/>
    </row>
    <row r="744" customFormat="false" ht="15" hidden="false" customHeight="false" outlineLevel="0" collapsed="false">
      <c r="A744" s="21"/>
      <c r="B744" s="22"/>
      <c r="C744" s="22"/>
      <c r="D744" s="23"/>
      <c r="E744" s="21"/>
      <c r="F744" s="24"/>
      <c r="G744" s="25"/>
      <c r="H744" s="25"/>
      <c r="I744" s="24"/>
      <c r="J744" s="25"/>
      <c r="K744" s="24"/>
      <c r="L744" s="25"/>
      <c r="M744" s="26"/>
      <c r="N744" s="24"/>
    </row>
    <row r="745" customFormat="false" ht="15" hidden="false" customHeight="false" outlineLevel="0" collapsed="false">
      <c r="A745" s="21"/>
      <c r="B745" s="22"/>
      <c r="C745" s="22"/>
      <c r="D745" s="23"/>
      <c r="E745" s="21"/>
      <c r="F745" s="24"/>
      <c r="G745" s="25"/>
      <c r="H745" s="25"/>
      <c r="I745" s="24"/>
      <c r="J745" s="25"/>
      <c r="K745" s="24"/>
      <c r="L745" s="25"/>
      <c r="M745" s="26"/>
      <c r="N745" s="24"/>
    </row>
    <row r="746" customFormat="false" ht="15" hidden="false" customHeight="false" outlineLevel="0" collapsed="false">
      <c r="A746" s="21"/>
      <c r="B746" s="22"/>
      <c r="C746" s="22"/>
      <c r="D746" s="23"/>
      <c r="E746" s="21"/>
      <c r="F746" s="24"/>
      <c r="G746" s="25"/>
      <c r="H746" s="25"/>
      <c r="I746" s="24"/>
      <c r="J746" s="25"/>
      <c r="K746" s="24"/>
      <c r="L746" s="25"/>
      <c r="M746" s="26"/>
      <c r="N746" s="24"/>
    </row>
    <row r="747" customFormat="false" ht="15" hidden="false" customHeight="false" outlineLevel="0" collapsed="false">
      <c r="A747" s="21"/>
      <c r="B747" s="22"/>
      <c r="C747" s="22"/>
      <c r="D747" s="23"/>
      <c r="E747" s="21"/>
      <c r="F747" s="24"/>
      <c r="G747" s="25"/>
      <c r="H747" s="25"/>
      <c r="I747" s="24"/>
      <c r="J747" s="25"/>
      <c r="K747" s="24"/>
      <c r="L747" s="25"/>
      <c r="M747" s="26"/>
      <c r="N747" s="24"/>
    </row>
    <row r="748" customFormat="false" ht="15" hidden="false" customHeight="false" outlineLevel="0" collapsed="false">
      <c r="A748" s="21"/>
      <c r="B748" s="22"/>
      <c r="C748" s="22"/>
      <c r="D748" s="23"/>
      <c r="E748" s="21"/>
      <c r="F748" s="24"/>
      <c r="G748" s="25"/>
      <c r="H748" s="25"/>
      <c r="I748" s="24"/>
      <c r="J748" s="25"/>
      <c r="K748" s="24"/>
      <c r="L748" s="25"/>
      <c r="M748" s="26"/>
      <c r="N748" s="24"/>
    </row>
    <row r="749" customFormat="false" ht="15" hidden="false" customHeight="false" outlineLevel="0" collapsed="false">
      <c r="A749" s="21"/>
      <c r="B749" s="22"/>
      <c r="C749" s="22"/>
      <c r="D749" s="23"/>
      <c r="E749" s="21"/>
      <c r="F749" s="24"/>
      <c r="G749" s="25"/>
      <c r="H749" s="25"/>
      <c r="I749" s="24"/>
      <c r="J749" s="25"/>
      <c r="K749" s="24"/>
      <c r="L749" s="25"/>
      <c r="M749" s="26"/>
      <c r="N749" s="24"/>
    </row>
    <row r="750" customFormat="false" ht="15" hidden="false" customHeight="false" outlineLevel="0" collapsed="false">
      <c r="A750" s="21"/>
      <c r="B750" s="22"/>
      <c r="C750" s="22"/>
      <c r="D750" s="23"/>
      <c r="E750" s="21"/>
      <c r="F750" s="24"/>
      <c r="G750" s="25"/>
      <c r="H750" s="25"/>
      <c r="I750" s="24"/>
      <c r="J750" s="25"/>
      <c r="K750" s="24"/>
      <c r="L750" s="25"/>
      <c r="M750" s="26"/>
      <c r="N750" s="24"/>
    </row>
    <row r="751" customFormat="false" ht="15" hidden="false" customHeight="false" outlineLevel="0" collapsed="false">
      <c r="A751" s="21"/>
      <c r="B751" s="22"/>
      <c r="C751" s="22"/>
      <c r="D751" s="23"/>
      <c r="E751" s="21"/>
      <c r="F751" s="24"/>
      <c r="G751" s="25"/>
      <c r="H751" s="25"/>
      <c r="I751" s="24"/>
      <c r="J751" s="25"/>
      <c r="K751" s="24"/>
      <c r="L751" s="25"/>
      <c r="M751" s="26"/>
      <c r="N751" s="24"/>
    </row>
    <row r="752" customFormat="false" ht="15" hidden="false" customHeight="false" outlineLevel="0" collapsed="false">
      <c r="A752" s="21"/>
      <c r="B752" s="22"/>
      <c r="C752" s="22"/>
      <c r="D752" s="23"/>
      <c r="E752" s="21"/>
      <c r="F752" s="24"/>
      <c r="G752" s="25"/>
      <c r="H752" s="25"/>
      <c r="I752" s="24"/>
      <c r="J752" s="25"/>
      <c r="K752" s="24"/>
      <c r="L752" s="25"/>
      <c r="M752" s="26"/>
      <c r="N752" s="24"/>
    </row>
    <row r="753" customFormat="false" ht="15" hidden="false" customHeight="false" outlineLevel="0" collapsed="false">
      <c r="A753" s="21"/>
      <c r="B753" s="22"/>
      <c r="C753" s="22"/>
      <c r="D753" s="23"/>
      <c r="E753" s="21"/>
      <c r="F753" s="24"/>
      <c r="G753" s="25"/>
      <c r="H753" s="25"/>
      <c r="I753" s="24"/>
      <c r="J753" s="25"/>
      <c r="K753" s="24"/>
      <c r="L753" s="25"/>
      <c r="M753" s="26"/>
      <c r="N753" s="24"/>
    </row>
    <row r="754" customFormat="false" ht="15" hidden="false" customHeight="false" outlineLevel="0" collapsed="false">
      <c r="A754" s="21"/>
      <c r="B754" s="22"/>
      <c r="C754" s="22"/>
      <c r="D754" s="23"/>
      <c r="E754" s="21"/>
      <c r="F754" s="24"/>
      <c r="G754" s="25"/>
      <c r="H754" s="25"/>
      <c r="I754" s="24"/>
      <c r="J754" s="25"/>
      <c r="K754" s="24"/>
      <c r="L754" s="25"/>
      <c r="M754" s="26"/>
      <c r="N754" s="24"/>
    </row>
    <row r="755" customFormat="false" ht="15" hidden="false" customHeight="false" outlineLevel="0" collapsed="false">
      <c r="A755" s="21"/>
      <c r="B755" s="22"/>
      <c r="C755" s="22"/>
      <c r="D755" s="23"/>
      <c r="E755" s="21"/>
      <c r="F755" s="24"/>
      <c r="G755" s="25"/>
      <c r="H755" s="25"/>
      <c r="I755" s="24"/>
      <c r="J755" s="25"/>
      <c r="K755" s="24"/>
      <c r="L755" s="25"/>
      <c r="M755" s="26"/>
      <c r="N755" s="24"/>
    </row>
    <row r="756" customFormat="false" ht="15" hidden="false" customHeight="false" outlineLevel="0" collapsed="false">
      <c r="A756" s="21"/>
      <c r="B756" s="22"/>
      <c r="C756" s="22"/>
      <c r="D756" s="23"/>
      <c r="E756" s="21"/>
      <c r="F756" s="24"/>
      <c r="G756" s="25"/>
      <c r="H756" s="25"/>
      <c r="I756" s="24"/>
      <c r="J756" s="25"/>
      <c r="K756" s="24"/>
      <c r="L756" s="25"/>
      <c r="M756" s="26"/>
      <c r="N756" s="24"/>
    </row>
    <row r="757" customFormat="false" ht="15" hidden="false" customHeight="false" outlineLevel="0" collapsed="false">
      <c r="A757" s="21"/>
      <c r="B757" s="22"/>
      <c r="C757" s="22"/>
      <c r="D757" s="23"/>
      <c r="E757" s="21"/>
      <c r="F757" s="24"/>
      <c r="G757" s="25"/>
      <c r="H757" s="25"/>
      <c r="I757" s="24"/>
      <c r="J757" s="25"/>
      <c r="K757" s="24"/>
      <c r="L757" s="25"/>
      <c r="M757" s="26"/>
      <c r="N757" s="24"/>
    </row>
    <row r="758" customFormat="false" ht="15" hidden="false" customHeight="false" outlineLevel="0" collapsed="false">
      <c r="A758" s="21"/>
      <c r="B758" s="22"/>
      <c r="C758" s="22"/>
      <c r="D758" s="23"/>
      <c r="E758" s="21"/>
      <c r="F758" s="24"/>
      <c r="G758" s="25"/>
      <c r="H758" s="25"/>
      <c r="I758" s="24"/>
      <c r="J758" s="25"/>
      <c r="K758" s="24"/>
      <c r="L758" s="25"/>
      <c r="M758" s="26"/>
      <c r="N758" s="24"/>
    </row>
    <row r="759" customFormat="false" ht="15" hidden="false" customHeight="false" outlineLevel="0" collapsed="false">
      <c r="A759" s="21"/>
      <c r="B759" s="22"/>
      <c r="C759" s="22"/>
      <c r="D759" s="23"/>
      <c r="E759" s="21"/>
      <c r="F759" s="24"/>
      <c r="G759" s="25"/>
      <c r="H759" s="25"/>
      <c r="I759" s="24"/>
      <c r="J759" s="25"/>
      <c r="K759" s="24"/>
      <c r="L759" s="25"/>
      <c r="M759" s="26"/>
      <c r="N759" s="24"/>
    </row>
    <row r="760" customFormat="false" ht="15" hidden="false" customHeight="false" outlineLevel="0" collapsed="false">
      <c r="A760" s="21"/>
      <c r="B760" s="22"/>
      <c r="C760" s="22"/>
      <c r="D760" s="23"/>
      <c r="E760" s="21"/>
      <c r="F760" s="24"/>
      <c r="G760" s="25"/>
      <c r="H760" s="25"/>
      <c r="I760" s="24"/>
      <c r="J760" s="25"/>
      <c r="K760" s="24"/>
      <c r="L760" s="25"/>
      <c r="M760" s="26"/>
      <c r="N760" s="24"/>
    </row>
    <row r="761" customFormat="false" ht="15" hidden="false" customHeight="false" outlineLevel="0" collapsed="false">
      <c r="A761" s="21"/>
      <c r="B761" s="22"/>
      <c r="C761" s="22"/>
      <c r="D761" s="23"/>
      <c r="E761" s="21"/>
      <c r="F761" s="24"/>
      <c r="G761" s="25"/>
      <c r="H761" s="25"/>
      <c r="I761" s="24"/>
      <c r="J761" s="25"/>
      <c r="K761" s="24"/>
      <c r="L761" s="25"/>
      <c r="M761" s="26"/>
      <c r="N761" s="24"/>
    </row>
    <row r="762" customFormat="false" ht="15" hidden="false" customHeight="false" outlineLevel="0" collapsed="false">
      <c r="A762" s="21"/>
      <c r="B762" s="22"/>
      <c r="C762" s="22"/>
      <c r="D762" s="23"/>
      <c r="E762" s="21"/>
      <c r="F762" s="24"/>
      <c r="G762" s="25"/>
      <c r="H762" s="25"/>
      <c r="I762" s="24"/>
      <c r="J762" s="25"/>
      <c r="K762" s="24"/>
      <c r="L762" s="25"/>
      <c r="M762" s="26"/>
      <c r="N762" s="24"/>
    </row>
    <row r="763" customFormat="false" ht="15" hidden="false" customHeight="false" outlineLevel="0" collapsed="false">
      <c r="A763" s="21"/>
      <c r="B763" s="22"/>
      <c r="C763" s="22"/>
      <c r="D763" s="23"/>
      <c r="E763" s="21"/>
      <c r="F763" s="24"/>
      <c r="G763" s="25"/>
      <c r="H763" s="25"/>
      <c r="I763" s="24"/>
      <c r="J763" s="25"/>
      <c r="K763" s="24"/>
      <c r="L763" s="25"/>
      <c r="M763" s="26"/>
      <c r="N763" s="24"/>
    </row>
    <row r="764" customFormat="false" ht="15" hidden="false" customHeight="false" outlineLevel="0" collapsed="false">
      <c r="A764" s="21"/>
      <c r="B764" s="22"/>
      <c r="C764" s="22"/>
      <c r="D764" s="23"/>
      <c r="E764" s="21"/>
      <c r="F764" s="24"/>
      <c r="G764" s="25"/>
      <c r="H764" s="25"/>
      <c r="I764" s="24"/>
      <c r="J764" s="25"/>
      <c r="K764" s="24"/>
      <c r="L764" s="25"/>
      <c r="M764" s="26"/>
      <c r="N764" s="24"/>
    </row>
    <row r="765" customFormat="false" ht="15" hidden="false" customHeight="false" outlineLevel="0" collapsed="false">
      <c r="A765" s="21"/>
      <c r="B765" s="22"/>
      <c r="C765" s="22"/>
      <c r="D765" s="23"/>
      <c r="E765" s="21"/>
      <c r="F765" s="24"/>
      <c r="G765" s="25"/>
      <c r="H765" s="25"/>
      <c r="I765" s="24"/>
      <c r="J765" s="25"/>
      <c r="K765" s="24"/>
      <c r="L765" s="25"/>
      <c r="M765" s="26"/>
      <c r="N765" s="24"/>
    </row>
    <row r="766" customFormat="false" ht="15" hidden="false" customHeight="false" outlineLevel="0" collapsed="false">
      <c r="A766" s="21"/>
      <c r="B766" s="22"/>
      <c r="C766" s="22"/>
      <c r="D766" s="23"/>
      <c r="E766" s="21"/>
      <c r="F766" s="24"/>
      <c r="G766" s="25"/>
      <c r="H766" s="25"/>
      <c r="I766" s="24"/>
      <c r="J766" s="25"/>
      <c r="K766" s="24"/>
      <c r="L766" s="25"/>
      <c r="M766" s="26"/>
      <c r="N766" s="24"/>
    </row>
    <row r="767" customFormat="false" ht="15" hidden="false" customHeight="false" outlineLevel="0" collapsed="false">
      <c r="A767" s="21"/>
      <c r="B767" s="22"/>
      <c r="C767" s="22"/>
      <c r="D767" s="23"/>
      <c r="E767" s="21"/>
      <c r="F767" s="24"/>
      <c r="G767" s="25"/>
      <c r="H767" s="25"/>
      <c r="I767" s="24"/>
      <c r="J767" s="25"/>
      <c r="K767" s="24"/>
      <c r="L767" s="25"/>
      <c r="M767" s="26"/>
      <c r="N767" s="24"/>
    </row>
    <row r="768" customFormat="false" ht="15" hidden="false" customHeight="false" outlineLevel="0" collapsed="false">
      <c r="A768" s="21"/>
      <c r="B768" s="22"/>
      <c r="C768" s="22"/>
      <c r="D768" s="23"/>
      <c r="E768" s="21"/>
      <c r="F768" s="24"/>
      <c r="G768" s="25"/>
      <c r="H768" s="25"/>
      <c r="I768" s="24"/>
      <c r="J768" s="25"/>
      <c r="K768" s="24"/>
      <c r="L768" s="25"/>
      <c r="M768" s="26"/>
      <c r="N768" s="24"/>
    </row>
    <row r="769" customFormat="false" ht="15" hidden="false" customHeight="false" outlineLevel="0" collapsed="false">
      <c r="A769" s="21"/>
      <c r="B769" s="22"/>
      <c r="C769" s="22"/>
      <c r="D769" s="23"/>
      <c r="E769" s="21"/>
      <c r="F769" s="24"/>
      <c r="G769" s="25"/>
      <c r="H769" s="25"/>
      <c r="I769" s="24"/>
      <c r="J769" s="25"/>
      <c r="K769" s="24"/>
      <c r="L769" s="25"/>
      <c r="M769" s="26"/>
      <c r="N769" s="24"/>
    </row>
    <row r="770" customFormat="false" ht="15" hidden="false" customHeight="false" outlineLevel="0" collapsed="false">
      <c r="A770" s="21"/>
      <c r="B770" s="22"/>
      <c r="C770" s="22"/>
      <c r="D770" s="23"/>
      <c r="E770" s="21"/>
      <c r="F770" s="24"/>
      <c r="G770" s="25"/>
      <c r="H770" s="25"/>
      <c r="I770" s="24"/>
      <c r="J770" s="25"/>
      <c r="K770" s="24"/>
      <c r="L770" s="25"/>
      <c r="M770" s="26"/>
      <c r="N770" s="24"/>
    </row>
    <row r="771" customFormat="false" ht="15" hidden="false" customHeight="false" outlineLevel="0" collapsed="false">
      <c r="A771" s="21"/>
      <c r="B771" s="22"/>
      <c r="C771" s="22"/>
      <c r="D771" s="23"/>
      <c r="E771" s="21"/>
      <c r="F771" s="24"/>
      <c r="G771" s="25"/>
      <c r="H771" s="25"/>
      <c r="I771" s="24"/>
      <c r="J771" s="25"/>
      <c r="K771" s="24"/>
      <c r="L771" s="25"/>
      <c r="M771" s="26"/>
      <c r="N771" s="24"/>
    </row>
    <row r="772" customFormat="false" ht="15" hidden="false" customHeight="false" outlineLevel="0" collapsed="false">
      <c r="A772" s="21"/>
      <c r="B772" s="22"/>
      <c r="C772" s="22"/>
      <c r="D772" s="23"/>
      <c r="E772" s="21"/>
      <c r="F772" s="24"/>
      <c r="G772" s="25"/>
      <c r="H772" s="25"/>
      <c r="I772" s="24"/>
      <c r="J772" s="25"/>
      <c r="K772" s="24"/>
      <c r="L772" s="25"/>
      <c r="M772" s="26"/>
      <c r="N772" s="24"/>
    </row>
    <row r="773" customFormat="false" ht="15" hidden="false" customHeight="false" outlineLevel="0" collapsed="false">
      <c r="A773" s="21"/>
      <c r="B773" s="22"/>
      <c r="C773" s="22"/>
      <c r="D773" s="23"/>
      <c r="E773" s="21"/>
      <c r="F773" s="24"/>
      <c r="G773" s="25"/>
      <c r="H773" s="25"/>
      <c r="I773" s="24"/>
      <c r="J773" s="25"/>
      <c r="K773" s="24"/>
      <c r="L773" s="25"/>
      <c r="M773" s="26"/>
      <c r="N773" s="24"/>
    </row>
    <row r="774" customFormat="false" ht="15" hidden="false" customHeight="false" outlineLevel="0" collapsed="false">
      <c r="A774" s="21"/>
      <c r="B774" s="22"/>
      <c r="C774" s="22"/>
      <c r="D774" s="23"/>
      <c r="E774" s="21"/>
      <c r="F774" s="24"/>
      <c r="G774" s="25"/>
      <c r="H774" s="25"/>
      <c r="I774" s="24"/>
      <c r="J774" s="25"/>
      <c r="K774" s="24"/>
      <c r="L774" s="25"/>
      <c r="M774" s="26"/>
      <c r="N774" s="24"/>
    </row>
    <row r="775" customFormat="false" ht="15" hidden="false" customHeight="false" outlineLevel="0" collapsed="false">
      <c r="A775" s="21"/>
      <c r="B775" s="22"/>
      <c r="C775" s="22"/>
      <c r="D775" s="23"/>
      <c r="E775" s="21"/>
      <c r="F775" s="24"/>
      <c r="G775" s="25"/>
      <c r="H775" s="25"/>
      <c r="I775" s="24"/>
      <c r="J775" s="25"/>
      <c r="K775" s="24"/>
      <c r="L775" s="25"/>
      <c r="M775" s="26"/>
      <c r="N775" s="24"/>
    </row>
    <row r="776" customFormat="false" ht="15" hidden="false" customHeight="false" outlineLevel="0" collapsed="false">
      <c r="A776" s="21"/>
      <c r="B776" s="22"/>
      <c r="C776" s="22"/>
      <c r="D776" s="23"/>
      <c r="E776" s="21"/>
      <c r="F776" s="24"/>
      <c r="G776" s="25"/>
      <c r="H776" s="25"/>
      <c r="I776" s="24"/>
      <c r="J776" s="25"/>
      <c r="K776" s="24"/>
      <c r="L776" s="25"/>
      <c r="M776" s="26"/>
      <c r="N776" s="24"/>
    </row>
    <row r="777" customFormat="false" ht="15" hidden="false" customHeight="false" outlineLevel="0" collapsed="false">
      <c r="A777" s="21"/>
      <c r="B777" s="22"/>
      <c r="C777" s="22"/>
      <c r="D777" s="23"/>
      <c r="E777" s="21"/>
      <c r="F777" s="24"/>
      <c r="G777" s="25"/>
      <c r="H777" s="25"/>
      <c r="I777" s="24"/>
      <c r="J777" s="25"/>
      <c r="K777" s="24"/>
      <c r="L777" s="25"/>
      <c r="M777" s="26"/>
      <c r="N777" s="24"/>
    </row>
    <row r="778" customFormat="false" ht="15" hidden="false" customHeight="false" outlineLevel="0" collapsed="false">
      <c r="A778" s="21"/>
      <c r="B778" s="22"/>
      <c r="C778" s="22"/>
      <c r="D778" s="23"/>
      <c r="E778" s="21"/>
      <c r="F778" s="24"/>
      <c r="G778" s="25"/>
      <c r="H778" s="25"/>
      <c r="I778" s="24"/>
      <c r="J778" s="25"/>
      <c r="K778" s="24"/>
      <c r="L778" s="25"/>
      <c r="M778" s="26"/>
      <c r="N778" s="24"/>
    </row>
    <row r="779" customFormat="false" ht="15" hidden="false" customHeight="false" outlineLevel="0" collapsed="false">
      <c r="A779" s="21"/>
      <c r="B779" s="22"/>
      <c r="C779" s="22"/>
      <c r="D779" s="23"/>
      <c r="E779" s="21"/>
      <c r="F779" s="24"/>
      <c r="G779" s="25"/>
      <c r="H779" s="25"/>
      <c r="I779" s="24"/>
      <c r="J779" s="25"/>
      <c r="K779" s="24"/>
      <c r="L779" s="25"/>
      <c r="M779" s="26"/>
      <c r="N779" s="24"/>
    </row>
    <row r="780" customFormat="false" ht="15" hidden="false" customHeight="false" outlineLevel="0" collapsed="false">
      <c r="A780" s="21"/>
      <c r="B780" s="22"/>
      <c r="C780" s="22"/>
      <c r="D780" s="23"/>
      <c r="E780" s="21"/>
      <c r="F780" s="24"/>
      <c r="G780" s="25"/>
      <c r="H780" s="25"/>
      <c r="I780" s="24"/>
      <c r="J780" s="25"/>
      <c r="K780" s="24"/>
      <c r="L780" s="25"/>
      <c r="M780" s="26"/>
      <c r="N780" s="24"/>
    </row>
    <row r="781" customFormat="false" ht="15" hidden="false" customHeight="false" outlineLevel="0" collapsed="false">
      <c r="A781" s="21"/>
      <c r="B781" s="22"/>
      <c r="C781" s="22"/>
      <c r="D781" s="23"/>
      <c r="E781" s="21"/>
      <c r="F781" s="24"/>
      <c r="G781" s="25"/>
      <c r="H781" s="25"/>
      <c r="I781" s="24"/>
      <c r="J781" s="25"/>
      <c r="K781" s="24"/>
      <c r="L781" s="25"/>
      <c r="M781" s="26"/>
      <c r="N781" s="24"/>
    </row>
    <row r="782" customFormat="false" ht="15" hidden="false" customHeight="false" outlineLevel="0" collapsed="false">
      <c r="A782" s="21"/>
      <c r="B782" s="22"/>
      <c r="C782" s="22"/>
      <c r="D782" s="23"/>
      <c r="E782" s="21"/>
      <c r="F782" s="24"/>
      <c r="G782" s="25"/>
      <c r="H782" s="25"/>
      <c r="I782" s="24"/>
      <c r="J782" s="25"/>
      <c r="K782" s="24"/>
      <c r="L782" s="25"/>
      <c r="M782" s="26"/>
      <c r="N782" s="24"/>
    </row>
    <row r="783" customFormat="false" ht="15" hidden="false" customHeight="false" outlineLevel="0" collapsed="false">
      <c r="A783" s="21"/>
      <c r="B783" s="22"/>
      <c r="C783" s="22"/>
      <c r="D783" s="23"/>
      <c r="E783" s="21"/>
      <c r="F783" s="24"/>
      <c r="G783" s="25"/>
      <c r="H783" s="25"/>
      <c r="I783" s="24"/>
      <c r="J783" s="25"/>
      <c r="K783" s="24"/>
      <c r="L783" s="25"/>
      <c r="M783" s="26"/>
      <c r="N783" s="24"/>
    </row>
    <row r="784" customFormat="false" ht="15" hidden="false" customHeight="false" outlineLevel="0" collapsed="false">
      <c r="A784" s="21"/>
      <c r="B784" s="22"/>
      <c r="C784" s="22"/>
      <c r="D784" s="23"/>
      <c r="E784" s="21"/>
      <c r="F784" s="24"/>
      <c r="G784" s="25"/>
      <c r="H784" s="25"/>
      <c r="I784" s="24"/>
      <c r="J784" s="25"/>
      <c r="K784" s="24"/>
      <c r="L784" s="25"/>
      <c r="M784" s="26"/>
      <c r="N784" s="24"/>
    </row>
    <row r="785" customFormat="false" ht="15" hidden="false" customHeight="false" outlineLevel="0" collapsed="false">
      <c r="A785" s="21"/>
      <c r="B785" s="22"/>
      <c r="C785" s="22"/>
      <c r="D785" s="23"/>
      <c r="E785" s="21"/>
      <c r="F785" s="24"/>
      <c r="G785" s="25"/>
      <c r="H785" s="25"/>
      <c r="I785" s="24"/>
      <c r="J785" s="25"/>
      <c r="K785" s="24"/>
      <c r="L785" s="25"/>
      <c r="M785" s="26"/>
      <c r="N785" s="24"/>
    </row>
    <row r="786" customFormat="false" ht="15" hidden="false" customHeight="false" outlineLevel="0" collapsed="false">
      <c r="A786" s="21"/>
      <c r="B786" s="22"/>
      <c r="C786" s="22"/>
      <c r="D786" s="23"/>
      <c r="E786" s="21"/>
      <c r="F786" s="24"/>
      <c r="G786" s="25"/>
      <c r="H786" s="25"/>
      <c r="I786" s="24"/>
      <c r="J786" s="25"/>
      <c r="K786" s="24"/>
      <c r="L786" s="25"/>
      <c r="M786" s="26"/>
      <c r="N786" s="24"/>
    </row>
    <row r="787" customFormat="false" ht="15" hidden="false" customHeight="false" outlineLevel="0" collapsed="false">
      <c r="A787" s="21"/>
      <c r="B787" s="22"/>
      <c r="C787" s="22"/>
      <c r="D787" s="23"/>
      <c r="E787" s="21"/>
      <c r="F787" s="24"/>
      <c r="G787" s="25"/>
      <c r="H787" s="25"/>
      <c r="I787" s="24"/>
      <c r="J787" s="25"/>
      <c r="K787" s="24"/>
      <c r="L787" s="25"/>
      <c r="M787" s="26"/>
      <c r="N787" s="24"/>
    </row>
    <row r="788" customFormat="false" ht="15" hidden="false" customHeight="false" outlineLevel="0" collapsed="false">
      <c r="A788" s="21"/>
      <c r="B788" s="22"/>
      <c r="C788" s="22"/>
      <c r="D788" s="23"/>
      <c r="E788" s="21"/>
      <c r="F788" s="24"/>
      <c r="G788" s="25"/>
      <c r="H788" s="25"/>
      <c r="I788" s="24"/>
      <c r="J788" s="25"/>
      <c r="K788" s="24"/>
      <c r="L788" s="25"/>
      <c r="M788" s="26"/>
      <c r="N788" s="24"/>
    </row>
    <row r="789" customFormat="false" ht="15" hidden="false" customHeight="false" outlineLevel="0" collapsed="false">
      <c r="A789" s="21"/>
      <c r="B789" s="22"/>
      <c r="C789" s="22"/>
      <c r="D789" s="23"/>
      <c r="E789" s="21"/>
      <c r="F789" s="24"/>
      <c r="G789" s="25"/>
      <c r="H789" s="25"/>
      <c r="I789" s="24"/>
      <c r="J789" s="25"/>
      <c r="K789" s="24"/>
      <c r="L789" s="25"/>
      <c r="M789" s="26"/>
      <c r="N789" s="24"/>
    </row>
    <row r="790" customFormat="false" ht="15" hidden="false" customHeight="false" outlineLevel="0" collapsed="false">
      <c r="A790" s="21"/>
      <c r="B790" s="22"/>
      <c r="C790" s="22"/>
      <c r="D790" s="23"/>
      <c r="E790" s="21"/>
      <c r="F790" s="24"/>
      <c r="G790" s="25"/>
      <c r="H790" s="25"/>
      <c r="I790" s="24"/>
      <c r="J790" s="25"/>
      <c r="K790" s="24"/>
      <c r="L790" s="25"/>
      <c r="M790" s="26"/>
      <c r="N790" s="24"/>
    </row>
    <row r="791" customFormat="false" ht="15" hidden="false" customHeight="false" outlineLevel="0" collapsed="false">
      <c r="A791" s="21"/>
      <c r="B791" s="22"/>
      <c r="C791" s="22"/>
      <c r="D791" s="23"/>
      <c r="E791" s="21"/>
      <c r="F791" s="24"/>
      <c r="G791" s="25"/>
      <c r="H791" s="25"/>
      <c r="I791" s="24"/>
      <c r="J791" s="25"/>
      <c r="K791" s="24"/>
      <c r="L791" s="25"/>
      <c r="M791" s="26"/>
      <c r="N791" s="24"/>
    </row>
    <row r="792" customFormat="false" ht="15" hidden="false" customHeight="false" outlineLevel="0" collapsed="false">
      <c r="A792" s="21"/>
      <c r="B792" s="22"/>
      <c r="C792" s="22"/>
      <c r="D792" s="23"/>
      <c r="E792" s="21"/>
      <c r="F792" s="24"/>
      <c r="G792" s="25"/>
      <c r="H792" s="25"/>
      <c r="I792" s="24"/>
      <c r="J792" s="25"/>
      <c r="K792" s="24"/>
      <c r="L792" s="25"/>
      <c r="M792" s="26"/>
      <c r="N792" s="24"/>
    </row>
    <row r="793" customFormat="false" ht="15" hidden="false" customHeight="false" outlineLevel="0" collapsed="false">
      <c r="A793" s="21"/>
      <c r="B793" s="22"/>
      <c r="C793" s="22"/>
      <c r="D793" s="23"/>
      <c r="E793" s="21"/>
      <c r="F793" s="24"/>
      <c r="G793" s="25"/>
      <c r="H793" s="25"/>
      <c r="I793" s="24"/>
      <c r="J793" s="25"/>
      <c r="K793" s="24"/>
      <c r="L793" s="25"/>
      <c r="M793" s="26"/>
      <c r="N793" s="24"/>
    </row>
    <row r="794" customFormat="false" ht="15" hidden="false" customHeight="false" outlineLevel="0" collapsed="false">
      <c r="A794" s="21"/>
      <c r="B794" s="22"/>
      <c r="C794" s="22"/>
      <c r="D794" s="23"/>
      <c r="E794" s="21"/>
      <c r="F794" s="24"/>
      <c r="G794" s="25"/>
      <c r="H794" s="25"/>
      <c r="I794" s="24"/>
      <c r="J794" s="25"/>
      <c r="K794" s="24"/>
      <c r="L794" s="25"/>
      <c r="M794" s="26"/>
      <c r="N794" s="24"/>
    </row>
    <row r="795" customFormat="false" ht="15" hidden="false" customHeight="false" outlineLevel="0" collapsed="false">
      <c r="A795" s="21"/>
      <c r="B795" s="22"/>
      <c r="C795" s="22"/>
      <c r="D795" s="23"/>
      <c r="E795" s="21"/>
      <c r="F795" s="24"/>
      <c r="G795" s="25"/>
      <c r="H795" s="25"/>
      <c r="I795" s="24"/>
      <c r="J795" s="25"/>
      <c r="K795" s="24"/>
      <c r="L795" s="25"/>
      <c r="M795" s="26"/>
      <c r="N795" s="24"/>
    </row>
    <row r="796" customFormat="false" ht="15" hidden="false" customHeight="false" outlineLevel="0" collapsed="false">
      <c r="A796" s="21"/>
      <c r="B796" s="22"/>
      <c r="C796" s="22"/>
      <c r="D796" s="23"/>
      <c r="E796" s="21"/>
      <c r="F796" s="24"/>
      <c r="G796" s="25"/>
      <c r="H796" s="25"/>
      <c r="I796" s="24"/>
      <c r="J796" s="25"/>
      <c r="K796" s="24"/>
      <c r="L796" s="25"/>
      <c r="M796" s="26"/>
      <c r="N796" s="24"/>
    </row>
    <row r="797" customFormat="false" ht="15" hidden="false" customHeight="false" outlineLevel="0" collapsed="false">
      <c r="A797" s="21"/>
      <c r="B797" s="22"/>
      <c r="C797" s="22"/>
      <c r="D797" s="23"/>
      <c r="E797" s="21"/>
      <c r="F797" s="24"/>
      <c r="G797" s="25"/>
      <c r="H797" s="25"/>
      <c r="I797" s="24"/>
      <c r="J797" s="25"/>
      <c r="K797" s="24"/>
      <c r="L797" s="25"/>
      <c r="M797" s="26"/>
      <c r="N797" s="24"/>
    </row>
    <row r="798" customFormat="false" ht="15" hidden="false" customHeight="false" outlineLevel="0" collapsed="false">
      <c r="A798" s="21"/>
      <c r="B798" s="22"/>
      <c r="C798" s="22"/>
      <c r="D798" s="23"/>
      <c r="E798" s="21"/>
      <c r="F798" s="24"/>
      <c r="G798" s="25"/>
      <c r="H798" s="25"/>
      <c r="I798" s="24"/>
      <c r="J798" s="25"/>
      <c r="K798" s="24"/>
      <c r="L798" s="25"/>
      <c r="M798" s="26"/>
      <c r="N798" s="24"/>
    </row>
    <row r="799" customFormat="false" ht="15" hidden="false" customHeight="false" outlineLevel="0" collapsed="false">
      <c r="A799" s="21"/>
      <c r="B799" s="22"/>
      <c r="C799" s="22"/>
      <c r="D799" s="23"/>
      <c r="E799" s="21"/>
      <c r="F799" s="24"/>
      <c r="G799" s="25"/>
      <c r="H799" s="25"/>
      <c r="I799" s="24"/>
      <c r="J799" s="25"/>
      <c r="K799" s="24"/>
      <c r="L799" s="25"/>
      <c r="M799" s="26"/>
      <c r="N799" s="24"/>
    </row>
    <row r="800" customFormat="false" ht="15" hidden="false" customHeight="false" outlineLevel="0" collapsed="false">
      <c r="A800" s="21"/>
      <c r="B800" s="22"/>
      <c r="C800" s="22"/>
      <c r="D800" s="23"/>
      <c r="E800" s="21"/>
      <c r="F800" s="24"/>
      <c r="G800" s="25"/>
      <c r="H800" s="25"/>
      <c r="I800" s="24"/>
      <c r="J800" s="25"/>
      <c r="K800" s="24"/>
      <c r="L800" s="25"/>
      <c r="M800" s="26"/>
      <c r="N800" s="24"/>
    </row>
    <row r="801" customFormat="false" ht="15" hidden="false" customHeight="false" outlineLevel="0" collapsed="false">
      <c r="A801" s="21"/>
      <c r="B801" s="22"/>
      <c r="C801" s="22"/>
      <c r="D801" s="23"/>
      <c r="E801" s="21"/>
      <c r="F801" s="24"/>
      <c r="G801" s="25"/>
      <c r="H801" s="25"/>
      <c r="I801" s="24"/>
      <c r="J801" s="25"/>
      <c r="K801" s="24"/>
      <c r="L801" s="25"/>
      <c r="M801" s="26"/>
      <c r="N801" s="24"/>
    </row>
    <row r="802" customFormat="false" ht="15" hidden="false" customHeight="false" outlineLevel="0" collapsed="false">
      <c r="A802" s="21"/>
      <c r="B802" s="22"/>
      <c r="C802" s="22"/>
      <c r="D802" s="23"/>
      <c r="E802" s="21"/>
      <c r="F802" s="24"/>
      <c r="G802" s="25"/>
      <c r="H802" s="25"/>
      <c r="I802" s="24"/>
      <c r="J802" s="25"/>
      <c r="K802" s="24"/>
      <c r="L802" s="25"/>
      <c r="M802" s="26"/>
      <c r="N802" s="24"/>
    </row>
    <row r="803" customFormat="false" ht="15" hidden="false" customHeight="false" outlineLevel="0" collapsed="false">
      <c r="A803" s="21"/>
      <c r="B803" s="22"/>
      <c r="C803" s="22"/>
      <c r="D803" s="23"/>
      <c r="E803" s="21"/>
      <c r="F803" s="24"/>
      <c r="G803" s="25"/>
      <c r="H803" s="25"/>
      <c r="I803" s="24"/>
      <c r="J803" s="25"/>
      <c r="K803" s="24"/>
      <c r="L803" s="25"/>
      <c r="M803" s="26"/>
      <c r="N803" s="24"/>
    </row>
    <row r="804" customFormat="false" ht="15" hidden="false" customHeight="false" outlineLevel="0" collapsed="false">
      <c r="A804" s="21"/>
      <c r="B804" s="22"/>
      <c r="C804" s="22"/>
      <c r="D804" s="23"/>
      <c r="E804" s="21"/>
      <c r="F804" s="24"/>
      <c r="G804" s="25"/>
      <c r="H804" s="25"/>
      <c r="I804" s="24"/>
      <c r="J804" s="25"/>
      <c r="K804" s="24"/>
      <c r="L804" s="25"/>
      <c r="M804" s="26"/>
      <c r="N804" s="24"/>
    </row>
    <row r="805" customFormat="false" ht="15" hidden="false" customHeight="false" outlineLevel="0" collapsed="false">
      <c r="A805" s="21"/>
      <c r="B805" s="22"/>
      <c r="C805" s="22"/>
      <c r="D805" s="23"/>
      <c r="E805" s="21"/>
      <c r="F805" s="24"/>
      <c r="G805" s="25"/>
      <c r="H805" s="25"/>
      <c r="I805" s="24"/>
      <c r="J805" s="25"/>
      <c r="K805" s="24"/>
      <c r="L805" s="25"/>
      <c r="M805" s="26"/>
      <c r="N805" s="24"/>
    </row>
    <row r="806" customFormat="false" ht="15" hidden="false" customHeight="false" outlineLevel="0" collapsed="false">
      <c r="A806" s="21"/>
      <c r="B806" s="22"/>
      <c r="C806" s="22"/>
      <c r="D806" s="23"/>
      <c r="E806" s="21"/>
      <c r="F806" s="24"/>
      <c r="G806" s="25"/>
      <c r="H806" s="25"/>
      <c r="I806" s="24"/>
      <c r="J806" s="25"/>
      <c r="K806" s="24"/>
      <c r="L806" s="25"/>
      <c r="M806" s="26"/>
      <c r="N806" s="24"/>
    </row>
    <row r="807" customFormat="false" ht="15" hidden="false" customHeight="false" outlineLevel="0" collapsed="false">
      <c r="A807" s="21"/>
      <c r="B807" s="22"/>
      <c r="C807" s="22"/>
      <c r="D807" s="23"/>
      <c r="E807" s="21"/>
      <c r="F807" s="24"/>
      <c r="G807" s="25"/>
      <c r="H807" s="25"/>
      <c r="I807" s="24"/>
      <c r="J807" s="25"/>
      <c r="K807" s="24"/>
      <c r="L807" s="25"/>
      <c r="M807" s="26"/>
      <c r="N807" s="24"/>
    </row>
    <row r="808" customFormat="false" ht="15" hidden="false" customHeight="false" outlineLevel="0" collapsed="false">
      <c r="A808" s="21"/>
      <c r="B808" s="22"/>
      <c r="C808" s="22"/>
      <c r="D808" s="23"/>
      <c r="E808" s="21"/>
      <c r="F808" s="24"/>
      <c r="G808" s="25"/>
      <c r="H808" s="25"/>
      <c r="I808" s="24"/>
      <c r="J808" s="25"/>
      <c r="K808" s="24"/>
      <c r="L808" s="25"/>
      <c r="M808" s="26"/>
      <c r="N808" s="24"/>
    </row>
    <row r="809" customFormat="false" ht="15" hidden="false" customHeight="false" outlineLevel="0" collapsed="false">
      <c r="A809" s="21"/>
      <c r="B809" s="22"/>
      <c r="C809" s="22"/>
      <c r="D809" s="23"/>
      <c r="E809" s="21"/>
      <c r="F809" s="24"/>
      <c r="G809" s="25"/>
      <c r="H809" s="25"/>
      <c r="I809" s="24"/>
      <c r="J809" s="25"/>
      <c r="K809" s="24"/>
      <c r="L809" s="25"/>
      <c r="M809" s="26"/>
      <c r="N809" s="24"/>
    </row>
    <row r="810" customFormat="false" ht="15" hidden="false" customHeight="false" outlineLevel="0" collapsed="false">
      <c r="A810" s="21"/>
      <c r="B810" s="22"/>
      <c r="C810" s="22"/>
      <c r="D810" s="23"/>
      <c r="E810" s="21"/>
      <c r="F810" s="24"/>
      <c r="G810" s="25"/>
      <c r="H810" s="25"/>
      <c r="I810" s="24"/>
      <c r="J810" s="25"/>
      <c r="K810" s="24"/>
      <c r="L810" s="25"/>
      <c r="M810" s="26"/>
      <c r="N810" s="24"/>
    </row>
    <row r="811" customFormat="false" ht="15" hidden="false" customHeight="false" outlineLevel="0" collapsed="false">
      <c r="A811" s="21"/>
      <c r="B811" s="22"/>
      <c r="C811" s="22"/>
      <c r="D811" s="23"/>
      <c r="E811" s="21"/>
      <c r="F811" s="24"/>
      <c r="G811" s="25"/>
      <c r="H811" s="25"/>
      <c r="I811" s="24"/>
      <c r="J811" s="25"/>
      <c r="K811" s="24"/>
      <c r="L811" s="25"/>
      <c r="M811" s="26"/>
      <c r="N811" s="24"/>
    </row>
    <row r="812" customFormat="false" ht="15" hidden="false" customHeight="false" outlineLevel="0" collapsed="false">
      <c r="A812" s="21"/>
      <c r="B812" s="22"/>
      <c r="C812" s="22"/>
      <c r="D812" s="23"/>
      <c r="E812" s="21"/>
      <c r="F812" s="24"/>
      <c r="G812" s="25"/>
      <c r="H812" s="25"/>
      <c r="I812" s="24"/>
      <c r="J812" s="25"/>
      <c r="K812" s="24"/>
      <c r="L812" s="25"/>
      <c r="M812" s="26"/>
      <c r="N812" s="24"/>
    </row>
    <row r="813" customFormat="false" ht="15" hidden="false" customHeight="false" outlineLevel="0" collapsed="false">
      <c r="A813" s="21"/>
      <c r="B813" s="22"/>
      <c r="C813" s="22"/>
      <c r="D813" s="23"/>
      <c r="E813" s="21"/>
      <c r="F813" s="24"/>
      <c r="G813" s="25"/>
      <c r="H813" s="25"/>
      <c r="I813" s="24"/>
      <c r="J813" s="25"/>
      <c r="K813" s="24"/>
      <c r="L813" s="25"/>
      <c r="M813" s="26"/>
      <c r="N813" s="24"/>
    </row>
    <row r="814" customFormat="false" ht="15" hidden="false" customHeight="false" outlineLevel="0" collapsed="false">
      <c r="A814" s="21"/>
      <c r="B814" s="22"/>
      <c r="C814" s="22"/>
      <c r="D814" s="23"/>
      <c r="E814" s="21"/>
      <c r="F814" s="24"/>
      <c r="G814" s="25"/>
      <c r="H814" s="25"/>
      <c r="I814" s="24"/>
      <c r="J814" s="25"/>
      <c r="K814" s="24"/>
      <c r="L814" s="25"/>
      <c r="M814" s="26"/>
      <c r="N814" s="24"/>
    </row>
    <row r="815" customFormat="false" ht="15" hidden="false" customHeight="false" outlineLevel="0" collapsed="false">
      <c r="A815" s="21"/>
      <c r="B815" s="22"/>
      <c r="C815" s="22"/>
      <c r="D815" s="23"/>
      <c r="E815" s="21"/>
      <c r="F815" s="24"/>
      <c r="G815" s="25"/>
      <c r="H815" s="25"/>
      <c r="I815" s="24"/>
      <c r="J815" s="25"/>
      <c r="K815" s="24"/>
      <c r="L815" s="25"/>
      <c r="M815" s="26"/>
      <c r="N815" s="24"/>
    </row>
    <row r="816" customFormat="false" ht="15" hidden="false" customHeight="false" outlineLevel="0" collapsed="false">
      <c r="A816" s="21"/>
      <c r="B816" s="22"/>
      <c r="C816" s="22"/>
      <c r="D816" s="23"/>
      <c r="E816" s="21"/>
      <c r="F816" s="24"/>
      <c r="G816" s="25"/>
      <c r="H816" s="25"/>
      <c r="I816" s="24"/>
      <c r="J816" s="25"/>
      <c r="K816" s="24"/>
      <c r="L816" s="25"/>
      <c r="M816" s="26"/>
      <c r="N816" s="24"/>
    </row>
    <row r="817" customFormat="false" ht="15" hidden="false" customHeight="false" outlineLevel="0" collapsed="false">
      <c r="A817" s="21"/>
      <c r="B817" s="22"/>
      <c r="C817" s="22"/>
      <c r="D817" s="23"/>
      <c r="E817" s="21"/>
      <c r="F817" s="24"/>
      <c r="G817" s="25"/>
      <c r="H817" s="25"/>
      <c r="I817" s="24"/>
      <c r="J817" s="25"/>
      <c r="K817" s="24"/>
      <c r="L817" s="25"/>
      <c r="M817" s="26"/>
      <c r="N817" s="24"/>
    </row>
    <row r="818" customFormat="false" ht="15" hidden="false" customHeight="false" outlineLevel="0" collapsed="false">
      <c r="A818" s="21"/>
      <c r="B818" s="22"/>
      <c r="C818" s="22"/>
      <c r="D818" s="23"/>
      <c r="E818" s="21"/>
      <c r="F818" s="24"/>
      <c r="G818" s="25"/>
      <c r="H818" s="25"/>
      <c r="I818" s="24"/>
      <c r="J818" s="25"/>
      <c r="K818" s="24"/>
      <c r="L818" s="25"/>
      <c r="M818" s="26"/>
      <c r="N818" s="24"/>
    </row>
    <row r="819" customFormat="false" ht="15" hidden="false" customHeight="false" outlineLevel="0" collapsed="false">
      <c r="A819" s="21"/>
      <c r="B819" s="22"/>
      <c r="C819" s="22"/>
      <c r="D819" s="23"/>
      <c r="E819" s="21"/>
      <c r="F819" s="24"/>
      <c r="G819" s="25"/>
      <c r="H819" s="25"/>
      <c r="I819" s="24"/>
      <c r="J819" s="25"/>
      <c r="K819" s="24"/>
      <c r="L819" s="25"/>
      <c r="M819" s="26"/>
      <c r="N819" s="24"/>
    </row>
    <row r="820" customFormat="false" ht="15" hidden="false" customHeight="false" outlineLevel="0" collapsed="false">
      <c r="A820" s="21"/>
      <c r="B820" s="22"/>
      <c r="C820" s="22"/>
      <c r="D820" s="23"/>
      <c r="E820" s="21"/>
      <c r="F820" s="24"/>
      <c r="G820" s="25"/>
      <c r="H820" s="25"/>
      <c r="I820" s="24"/>
      <c r="J820" s="25"/>
      <c r="K820" s="24"/>
      <c r="L820" s="25"/>
      <c r="M820" s="26"/>
      <c r="N820" s="24"/>
    </row>
    <row r="821" customFormat="false" ht="15" hidden="false" customHeight="false" outlineLevel="0" collapsed="false">
      <c r="A821" s="21"/>
      <c r="B821" s="22"/>
      <c r="C821" s="22"/>
      <c r="D821" s="23"/>
      <c r="E821" s="21"/>
      <c r="F821" s="24"/>
      <c r="G821" s="25"/>
      <c r="H821" s="25"/>
      <c r="I821" s="24"/>
      <c r="J821" s="25"/>
      <c r="K821" s="24"/>
      <c r="L821" s="25"/>
      <c r="M821" s="26"/>
      <c r="N821" s="24"/>
    </row>
    <row r="822" customFormat="false" ht="15" hidden="false" customHeight="false" outlineLevel="0" collapsed="false">
      <c r="A822" s="21"/>
      <c r="B822" s="22"/>
      <c r="C822" s="22"/>
      <c r="D822" s="23"/>
      <c r="E822" s="21"/>
      <c r="F822" s="24"/>
      <c r="G822" s="25"/>
      <c r="H822" s="25"/>
      <c r="I822" s="24"/>
      <c r="J822" s="25"/>
      <c r="K822" s="24"/>
      <c r="L822" s="25"/>
      <c r="M822" s="26"/>
      <c r="N822" s="24"/>
    </row>
    <row r="823" customFormat="false" ht="15" hidden="false" customHeight="false" outlineLevel="0" collapsed="false">
      <c r="A823" s="21"/>
      <c r="B823" s="22"/>
      <c r="C823" s="22"/>
      <c r="D823" s="23"/>
      <c r="E823" s="21"/>
      <c r="F823" s="24"/>
      <c r="G823" s="25"/>
      <c r="H823" s="25"/>
      <c r="I823" s="24"/>
      <c r="J823" s="25"/>
      <c r="K823" s="24"/>
      <c r="L823" s="25"/>
      <c r="M823" s="26"/>
      <c r="N823" s="24"/>
    </row>
    <row r="824" customFormat="false" ht="15" hidden="false" customHeight="false" outlineLevel="0" collapsed="false">
      <c r="A824" s="21"/>
      <c r="B824" s="22"/>
      <c r="C824" s="22"/>
      <c r="D824" s="23"/>
      <c r="E824" s="21"/>
      <c r="F824" s="24"/>
      <c r="G824" s="25"/>
      <c r="H824" s="25"/>
      <c r="I824" s="24"/>
      <c r="J824" s="25"/>
      <c r="K824" s="24"/>
      <c r="L824" s="25"/>
      <c r="M824" s="26"/>
      <c r="N824" s="24"/>
    </row>
    <row r="825" customFormat="false" ht="15" hidden="false" customHeight="false" outlineLevel="0" collapsed="false">
      <c r="A825" s="21"/>
      <c r="B825" s="22"/>
      <c r="C825" s="22"/>
      <c r="D825" s="23"/>
      <c r="E825" s="21"/>
      <c r="F825" s="24"/>
      <c r="G825" s="25"/>
      <c r="H825" s="25"/>
      <c r="I825" s="24"/>
      <c r="J825" s="25"/>
      <c r="K825" s="24"/>
      <c r="L825" s="25"/>
      <c r="M825" s="26"/>
      <c r="N825" s="24"/>
    </row>
    <row r="826" customFormat="false" ht="15" hidden="false" customHeight="false" outlineLevel="0" collapsed="false">
      <c r="A826" s="21"/>
      <c r="B826" s="22"/>
      <c r="C826" s="22"/>
      <c r="D826" s="23"/>
      <c r="E826" s="21"/>
      <c r="F826" s="24"/>
      <c r="G826" s="25"/>
      <c r="H826" s="25"/>
      <c r="I826" s="24"/>
      <c r="J826" s="25"/>
      <c r="K826" s="24"/>
      <c r="L826" s="25"/>
      <c r="M826" s="26"/>
      <c r="N826" s="24"/>
    </row>
    <row r="827" customFormat="false" ht="15" hidden="false" customHeight="false" outlineLevel="0" collapsed="false">
      <c r="A827" s="21"/>
      <c r="B827" s="22"/>
      <c r="C827" s="22"/>
      <c r="D827" s="23"/>
      <c r="E827" s="21"/>
      <c r="F827" s="24"/>
      <c r="G827" s="25"/>
      <c r="H827" s="25"/>
      <c r="I827" s="24"/>
      <c r="J827" s="25"/>
      <c r="K827" s="24"/>
      <c r="L827" s="25"/>
      <c r="M827" s="26"/>
      <c r="N827" s="24"/>
    </row>
    <row r="828" customFormat="false" ht="15" hidden="false" customHeight="false" outlineLevel="0" collapsed="false">
      <c r="A828" s="21"/>
      <c r="B828" s="22"/>
      <c r="C828" s="22"/>
      <c r="D828" s="23"/>
      <c r="E828" s="21"/>
      <c r="F828" s="24"/>
      <c r="G828" s="25"/>
      <c r="H828" s="25"/>
      <c r="I828" s="24"/>
      <c r="J828" s="25"/>
      <c r="K828" s="24"/>
      <c r="L828" s="25"/>
      <c r="M828" s="26"/>
      <c r="N828" s="24"/>
    </row>
    <row r="829" customFormat="false" ht="15" hidden="false" customHeight="false" outlineLevel="0" collapsed="false">
      <c r="A829" s="21"/>
      <c r="B829" s="22"/>
      <c r="C829" s="22"/>
      <c r="D829" s="23"/>
      <c r="E829" s="21"/>
      <c r="F829" s="24"/>
      <c r="G829" s="25"/>
      <c r="H829" s="25"/>
      <c r="I829" s="24"/>
      <c r="J829" s="25"/>
      <c r="K829" s="24"/>
      <c r="L829" s="25"/>
      <c r="M829" s="26"/>
      <c r="N829" s="24"/>
    </row>
    <row r="830" customFormat="false" ht="15" hidden="false" customHeight="false" outlineLevel="0" collapsed="false">
      <c r="A830" s="21"/>
      <c r="B830" s="22"/>
      <c r="C830" s="22"/>
      <c r="D830" s="23"/>
      <c r="E830" s="21"/>
      <c r="F830" s="24"/>
      <c r="G830" s="25"/>
      <c r="H830" s="25"/>
      <c r="I830" s="24"/>
      <c r="J830" s="25"/>
      <c r="K830" s="24"/>
      <c r="L830" s="25"/>
      <c r="M830" s="26"/>
      <c r="N830" s="24"/>
    </row>
    <row r="831" customFormat="false" ht="15" hidden="false" customHeight="false" outlineLevel="0" collapsed="false">
      <c r="A831" s="21"/>
      <c r="B831" s="22"/>
      <c r="C831" s="22"/>
      <c r="D831" s="23"/>
      <c r="E831" s="21"/>
      <c r="F831" s="24"/>
      <c r="G831" s="25"/>
      <c r="H831" s="25"/>
      <c r="I831" s="24"/>
      <c r="J831" s="25"/>
      <c r="K831" s="24"/>
      <c r="L831" s="25"/>
      <c r="M831" s="26"/>
      <c r="N831" s="24"/>
    </row>
    <row r="832" customFormat="false" ht="15" hidden="false" customHeight="false" outlineLevel="0" collapsed="false">
      <c r="A832" s="21"/>
      <c r="B832" s="22"/>
      <c r="C832" s="22"/>
      <c r="D832" s="23"/>
      <c r="E832" s="21"/>
      <c r="F832" s="24"/>
      <c r="G832" s="25"/>
      <c r="H832" s="25"/>
      <c r="I832" s="24"/>
      <c r="J832" s="25"/>
      <c r="K832" s="24"/>
      <c r="L832" s="25"/>
      <c r="M832" s="26"/>
      <c r="N832" s="24"/>
    </row>
    <row r="833" customFormat="false" ht="15" hidden="false" customHeight="false" outlineLevel="0" collapsed="false">
      <c r="A833" s="21"/>
      <c r="B833" s="22"/>
      <c r="C833" s="22"/>
      <c r="D833" s="23"/>
      <c r="E833" s="21"/>
      <c r="F833" s="24"/>
      <c r="G833" s="25"/>
      <c r="H833" s="25"/>
      <c r="I833" s="24"/>
      <c r="J833" s="25"/>
      <c r="K833" s="24"/>
      <c r="L833" s="25"/>
      <c r="M833" s="26"/>
      <c r="N833" s="24"/>
    </row>
    <row r="834" customFormat="false" ht="15" hidden="false" customHeight="false" outlineLevel="0" collapsed="false">
      <c r="A834" s="21"/>
      <c r="B834" s="22"/>
      <c r="C834" s="22"/>
      <c r="D834" s="23"/>
      <c r="E834" s="21"/>
      <c r="F834" s="24"/>
      <c r="G834" s="25"/>
      <c r="H834" s="25"/>
      <c r="I834" s="24"/>
      <c r="J834" s="25"/>
      <c r="K834" s="24"/>
      <c r="L834" s="25"/>
      <c r="M834" s="26"/>
      <c r="N834" s="24"/>
    </row>
    <row r="835" customFormat="false" ht="15" hidden="false" customHeight="false" outlineLevel="0" collapsed="false">
      <c r="A835" s="21"/>
      <c r="B835" s="22"/>
      <c r="C835" s="22"/>
      <c r="D835" s="23"/>
      <c r="E835" s="21"/>
      <c r="F835" s="24"/>
      <c r="G835" s="25"/>
      <c r="H835" s="25"/>
      <c r="I835" s="24"/>
      <c r="J835" s="25"/>
      <c r="K835" s="24"/>
      <c r="L835" s="25"/>
      <c r="M835" s="26"/>
      <c r="N835" s="24"/>
    </row>
    <row r="836" customFormat="false" ht="15" hidden="false" customHeight="false" outlineLevel="0" collapsed="false">
      <c r="A836" s="21"/>
      <c r="B836" s="22"/>
      <c r="C836" s="22"/>
      <c r="D836" s="23"/>
      <c r="E836" s="21"/>
      <c r="F836" s="24"/>
      <c r="G836" s="25"/>
      <c r="H836" s="25"/>
      <c r="I836" s="24"/>
      <c r="J836" s="25"/>
      <c r="K836" s="24"/>
      <c r="L836" s="25"/>
      <c r="M836" s="26"/>
      <c r="N836" s="24"/>
    </row>
    <row r="837" customFormat="false" ht="15" hidden="false" customHeight="false" outlineLevel="0" collapsed="false">
      <c r="A837" s="21"/>
      <c r="B837" s="22"/>
      <c r="C837" s="22"/>
      <c r="D837" s="23"/>
      <c r="E837" s="21"/>
      <c r="F837" s="24"/>
      <c r="G837" s="25"/>
      <c r="H837" s="25"/>
      <c r="I837" s="24"/>
      <c r="J837" s="25"/>
      <c r="K837" s="24"/>
      <c r="L837" s="25"/>
      <c r="M837" s="26"/>
      <c r="N837" s="24"/>
    </row>
    <row r="838" customFormat="false" ht="15" hidden="false" customHeight="false" outlineLevel="0" collapsed="false">
      <c r="A838" s="21"/>
      <c r="B838" s="22"/>
      <c r="C838" s="22"/>
      <c r="D838" s="23"/>
      <c r="E838" s="21"/>
      <c r="F838" s="24"/>
      <c r="G838" s="25"/>
      <c r="H838" s="25"/>
      <c r="I838" s="24"/>
      <c r="J838" s="25"/>
      <c r="K838" s="24"/>
      <c r="L838" s="25"/>
      <c r="M838" s="26"/>
      <c r="N838" s="24"/>
    </row>
    <row r="839" customFormat="false" ht="15" hidden="false" customHeight="false" outlineLevel="0" collapsed="false">
      <c r="A839" s="21"/>
      <c r="B839" s="22"/>
      <c r="C839" s="22"/>
      <c r="D839" s="23"/>
      <c r="E839" s="21"/>
      <c r="F839" s="24"/>
      <c r="G839" s="25"/>
      <c r="H839" s="25"/>
      <c r="I839" s="24"/>
      <c r="J839" s="25"/>
      <c r="K839" s="24"/>
      <c r="L839" s="25"/>
      <c r="M839" s="26"/>
      <c r="N839" s="24"/>
    </row>
    <row r="840" customFormat="false" ht="15" hidden="false" customHeight="false" outlineLevel="0" collapsed="false">
      <c r="A840" s="21"/>
      <c r="B840" s="22"/>
      <c r="C840" s="22"/>
      <c r="D840" s="23"/>
      <c r="E840" s="21"/>
      <c r="F840" s="24"/>
      <c r="G840" s="25"/>
      <c r="H840" s="25"/>
      <c r="I840" s="24"/>
      <c r="J840" s="25"/>
      <c r="K840" s="24"/>
      <c r="L840" s="25"/>
      <c r="M840" s="26"/>
      <c r="N840" s="24"/>
    </row>
    <row r="841" customFormat="false" ht="15" hidden="false" customHeight="false" outlineLevel="0" collapsed="false">
      <c r="A841" s="21"/>
      <c r="B841" s="22"/>
      <c r="C841" s="22"/>
      <c r="D841" s="23"/>
      <c r="E841" s="21"/>
      <c r="F841" s="24"/>
      <c r="G841" s="25"/>
      <c r="H841" s="25"/>
      <c r="I841" s="24"/>
      <c r="J841" s="25"/>
      <c r="K841" s="24"/>
      <c r="L841" s="25"/>
      <c r="M841" s="26"/>
      <c r="N841" s="24"/>
    </row>
    <row r="842" customFormat="false" ht="15" hidden="false" customHeight="false" outlineLevel="0" collapsed="false">
      <c r="A842" s="21"/>
      <c r="B842" s="22"/>
      <c r="C842" s="22"/>
      <c r="D842" s="23"/>
      <c r="E842" s="21"/>
      <c r="F842" s="24"/>
      <c r="G842" s="25"/>
      <c r="H842" s="25"/>
      <c r="I842" s="24"/>
      <c r="J842" s="25"/>
      <c r="K842" s="24"/>
      <c r="L842" s="25"/>
      <c r="M842" s="26"/>
      <c r="N842" s="24"/>
    </row>
    <row r="843" customFormat="false" ht="15" hidden="false" customHeight="false" outlineLevel="0" collapsed="false">
      <c r="A843" s="21"/>
      <c r="B843" s="22"/>
      <c r="C843" s="22"/>
      <c r="D843" s="23"/>
      <c r="E843" s="21"/>
      <c r="F843" s="24"/>
      <c r="G843" s="25"/>
      <c r="H843" s="25"/>
      <c r="I843" s="24"/>
      <c r="J843" s="25"/>
      <c r="K843" s="24"/>
      <c r="L843" s="25"/>
      <c r="M843" s="26"/>
      <c r="N843" s="24"/>
    </row>
    <row r="844" customFormat="false" ht="15" hidden="false" customHeight="false" outlineLevel="0" collapsed="false">
      <c r="A844" s="21"/>
      <c r="B844" s="22"/>
      <c r="C844" s="22"/>
      <c r="D844" s="23"/>
      <c r="E844" s="21"/>
      <c r="F844" s="24"/>
      <c r="G844" s="25"/>
      <c r="H844" s="25"/>
      <c r="I844" s="24"/>
      <c r="J844" s="25"/>
      <c r="K844" s="24"/>
      <c r="L844" s="25"/>
      <c r="M844" s="26"/>
      <c r="N844" s="24"/>
    </row>
    <row r="845" customFormat="false" ht="15" hidden="false" customHeight="false" outlineLevel="0" collapsed="false">
      <c r="A845" s="21"/>
      <c r="B845" s="22"/>
      <c r="C845" s="22"/>
      <c r="D845" s="23"/>
      <c r="E845" s="21"/>
      <c r="F845" s="24"/>
      <c r="G845" s="25"/>
      <c r="H845" s="25"/>
      <c r="I845" s="24"/>
      <c r="J845" s="25"/>
      <c r="K845" s="24"/>
      <c r="L845" s="25"/>
      <c r="M845" s="26"/>
      <c r="N845" s="24"/>
    </row>
    <row r="846" customFormat="false" ht="15" hidden="false" customHeight="false" outlineLevel="0" collapsed="false">
      <c r="A846" s="21"/>
      <c r="B846" s="22"/>
      <c r="C846" s="22"/>
      <c r="D846" s="23"/>
      <c r="E846" s="21"/>
      <c r="F846" s="24"/>
      <c r="G846" s="25"/>
      <c r="H846" s="25"/>
      <c r="I846" s="24"/>
      <c r="J846" s="25"/>
      <c r="K846" s="24"/>
      <c r="L846" s="25"/>
      <c r="M846" s="26"/>
      <c r="N846" s="24"/>
    </row>
    <row r="847" customFormat="false" ht="15" hidden="false" customHeight="false" outlineLevel="0" collapsed="false">
      <c r="A847" s="21"/>
      <c r="B847" s="22"/>
      <c r="C847" s="22"/>
      <c r="D847" s="23"/>
      <c r="E847" s="21"/>
      <c r="F847" s="24"/>
      <c r="G847" s="25"/>
      <c r="H847" s="25"/>
      <c r="I847" s="24"/>
      <c r="J847" s="25"/>
      <c r="K847" s="24"/>
      <c r="L847" s="25"/>
      <c r="M847" s="26"/>
      <c r="N847" s="24"/>
    </row>
    <row r="848" customFormat="false" ht="15" hidden="false" customHeight="false" outlineLevel="0" collapsed="false">
      <c r="A848" s="21"/>
      <c r="B848" s="22"/>
      <c r="C848" s="22"/>
      <c r="D848" s="23"/>
      <c r="E848" s="21"/>
      <c r="F848" s="24"/>
      <c r="G848" s="25"/>
      <c r="H848" s="25"/>
      <c r="I848" s="24"/>
      <c r="J848" s="25"/>
      <c r="K848" s="24"/>
      <c r="L848" s="25"/>
      <c r="M848" s="26"/>
      <c r="N848" s="24"/>
    </row>
    <row r="849" customFormat="false" ht="15" hidden="false" customHeight="false" outlineLevel="0" collapsed="false">
      <c r="A849" s="21"/>
      <c r="B849" s="22"/>
      <c r="C849" s="22"/>
      <c r="D849" s="23"/>
      <c r="E849" s="21"/>
      <c r="F849" s="24"/>
      <c r="G849" s="25"/>
      <c r="H849" s="25"/>
      <c r="I849" s="24"/>
      <c r="J849" s="25"/>
      <c r="K849" s="24"/>
      <c r="L849" s="25"/>
      <c r="M849" s="26"/>
      <c r="N849" s="24"/>
    </row>
    <row r="850" customFormat="false" ht="15" hidden="false" customHeight="false" outlineLevel="0" collapsed="false">
      <c r="A850" s="21"/>
      <c r="B850" s="22"/>
      <c r="C850" s="22"/>
      <c r="D850" s="23"/>
      <c r="E850" s="21"/>
      <c r="F850" s="24"/>
      <c r="G850" s="25"/>
      <c r="H850" s="25"/>
      <c r="I850" s="24"/>
      <c r="J850" s="25"/>
      <c r="K850" s="24"/>
      <c r="L850" s="25"/>
      <c r="M850" s="26"/>
      <c r="N850" s="24"/>
    </row>
    <row r="851" customFormat="false" ht="15" hidden="false" customHeight="false" outlineLevel="0" collapsed="false">
      <c r="A851" s="21"/>
      <c r="B851" s="22"/>
      <c r="C851" s="22"/>
      <c r="D851" s="23"/>
      <c r="E851" s="21"/>
      <c r="F851" s="24"/>
      <c r="G851" s="25"/>
      <c r="H851" s="25"/>
      <c r="I851" s="24"/>
      <c r="J851" s="25"/>
      <c r="K851" s="24"/>
      <c r="L851" s="25"/>
      <c r="M851" s="26"/>
      <c r="N851" s="24"/>
    </row>
    <row r="852" customFormat="false" ht="15" hidden="false" customHeight="false" outlineLevel="0" collapsed="false">
      <c r="A852" s="21"/>
      <c r="B852" s="22"/>
      <c r="C852" s="22"/>
      <c r="D852" s="23"/>
      <c r="E852" s="21"/>
      <c r="F852" s="24"/>
      <c r="G852" s="25"/>
      <c r="H852" s="25"/>
      <c r="I852" s="24"/>
      <c r="J852" s="25"/>
      <c r="K852" s="24"/>
      <c r="L852" s="25"/>
      <c r="M852" s="26"/>
      <c r="N852" s="24"/>
    </row>
    <row r="853" customFormat="false" ht="15" hidden="false" customHeight="false" outlineLevel="0" collapsed="false">
      <c r="A853" s="21"/>
      <c r="B853" s="22"/>
      <c r="C853" s="22"/>
      <c r="D853" s="23"/>
      <c r="E853" s="21"/>
      <c r="F853" s="24"/>
      <c r="G853" s="25"/>
      <c r="H853" s="25"/>
      <c r="I853" s="24"/>
      <c r="J853" s="25"/>
      <c r="K853" s="24"/>
      <c r="L853" s="25"/>
      <c r="M853" s="26"/>
      <c r="N853" s="24"/>
    </row>
    <row r="854" customFormat="false" ht="15" hidden="false" customHeight="false" outlineLevel="0" collapsed="false">
      <c r="A854" s="21"/>
      <c r="B854" s="22"/>
      <c r="C854" s="22"/>
      <c r="D854" s="23"/>
      <c r="E854" s="21"/>
      <c r="F854" s="24"/>
      <c r="G854" s="25"/>
      <c r="H854" s="25"/>
      <c r="I854" s="24"/>
      <c r="J854" s="25"/>
      <c r="K854" s="24"/>
      <c r="L854" s="25"/>
      <c r="M854" s="26"/>
      <c r="N854" s="24"/>
    </row>
    <row r="855" customFormat="false" ht="15" hidden="false" customHeight="false" outlineLevel="0" collapsed="false">
      <c r="A855" s="21"/>
      <c r="B855" s="22"/>
      <c r="C855" s="22"/>
      <c r="D855" s="23"/>
      <c r="E855" s="21"/>
      <c r="F855" s="24"/>
      <c r="G855" s="25"/>
      <c r="H855" s="25"/>
      <c r="I855" s="24"/>
      <c r="J855" s="25"/>
      <c r="K855" s="24"/>
      <c r="L855" s="25"/>
      <c r="M855" s="26"/>
      <c r="N855" s="24"/>
    </row>
    <row r="856" customFormat="false" ht="15" hidden="false" customHeight="false" outlineLevel="0" collapsed="false">
      <c r="A856" s="21"/>
      <c r="B856" s="22"/>
      <c r="C856" s="22"/>
      <c r="D856" s="23"/>
      <c r="E856" s="21"/>
      <c r="F856" s="24"/>
      <c r="G856" s="25"/>
      <c r="H856" s="25"/>
      <c r="I856" s="24"/>
      <c r="J856" s="25"/>
      <c r="K856" s="24"/>
      <c r="L856" s="25"/>
      <c r="M856" s="26"/>
      <c r="N856" s="24"/>
    </row>
    <row r="857" customFormat="false" ht="15" hidden="false" customHeight="false" outlineLevel="0" collapsed="false">
      <c r="A857" s="21"/>
      <c r="B857" s="22"/>
      <c r="C857" s="22"/>
      <c r="D857" s="23"/>
      <c r="E857" s="21"/>
      <c r="F857" s="24"/>
      <c r="G857" s="25"/>
      <c r="H857" s="25"/>
      <c r="I857" s="24"/>
      <c r="J857" s="25"/>
      <c r="K857" s="24"/>
      <c r="L857" s="25"/>
      <c r="M857" s="26"/>
      <c r="N857" s="24"/>
    </row>
    <row r="858" customFormat="false" ht="15" hidden="false" customHeight="false" outlineLevel="0" collapsed="false">
      <c r="A858" s="21"/>
      <c r="B858" s="22"/>
      <c r="C858" s="22"/>
      <c r="D858" s="23"/>
      <c r="E858" s="21"/>
      <c r="F858" s="24"/>
      <c r="G858" s="25"/>
      <c r="H858" s="25"/>
      <c r="I858" s="24"/>
      <c r="J858" s="25"/>
      <c r="K858" s="24"/>
      <c r="L858" s="25"/>
      <c r="M858" s="26"/>
      <c r="N858" s="24"/>
    </row>
    <row r="859" customFormat="false" ht="15" hidden="false" customHeight="false" outlineLevel="0" collapsed="false">
      <c r="A859" s="21"/>
      <c r="B859" s="22"/>
      <c r="C859" s="22"/>
      <c r="D859" s="23"/>
      <c r="E859" s="21"/>
      <c r="F859" s="24"/>
      <c r="G859" s="25"/>
      <c r="H859" s="25"/>
      <c r="I859" s="24"/>
      <c r="J859" s="25"/>
      <c r="K859" s="24"/>
      <c r="L859" s="25"/>
      <c r="M859" s="26"/>
      <c r="N859" s="24"/>
    </row>
    <row r="860" customFormat="false" ht="15" hidden="false" customHeight="false" outlineLevel="0" collapsed="false">
      <c r="A860" s="21"/>
      <c r="B860" s="22"/>
      <c r="C860" s="22"/>
      <c r="D860" s="23"/>
      <c r="E860" s="21"/>
      <c r="F860" s="24"/>
      <c r="G860" s="25"/>
      <c r="H860" s="25"/>
      <c r="I860" s="24"/>
      <c r="J860" s="25"/>
      <c r="K860" s="24"/>
      <c r="L860" s="25"/>
      <c r="M860" s="26"/>
      <c r="N860" s="24"/>
    </row>
    <row r="861" customFormat="false" ht="15" hidden="false" customHeight="false" outlineLevel="0" collapsed="false">
      <c r="A861" s="21"/>
      <c r="B861" s="22"/>
      <c r="C861" s="22"/>
      <c r="D861" s="23"/>
      <c r="E861" s="21"/>
      <c r="F861" s="24"/>
      <c r="G861" s="25"/>
      <c r="H861" s="25"/>
      <c r="I861" s="24"/>
      <c r="J861" s="25"/>
      <c r="K861" s="24"/>
      <c r="L861" s="25"/>
      <c r="M861" s="26"/>
      <c r="N861" s="24"/>
    </row>
    <row r="862" customFormat="false" ht="15" hidden="false" customHeight="false" outlineLevel="0" collapsed="false">
      <c r="A862" s="21"/>
      <c r="B862" s="22"/>
      <c r="C862" s="22"/>
      <c r="D862" s="23"/>
      <c r="E862" s="21"/>
      <c r="F862" s="24"/>
      <c r="G862" s="25"/>
      <c r="H862" s="25"/>
      <c r="I862" s="24"/>
      <c r="J862" s="25"/>
      <c r="K862" s="24"/>
      <c r="L862" s="25"/>
      <c r="M862" s="26"/>
      <c r="N862" s="24"/>
    </row>
    <row r="863" customFormat="false" ht="15" hidden="false" customHeight="false" outlineLevel="0" collapsed="false">
      <c r="A863" s="21"/>
      <c r="B863" s="22"/>
      <c r="C863" s="22"/>
      <c r="D863" s="23"/>
      <c r="E863" s="21"/>
      <c r="F863" s="24"/>
      <c r="G863" s="25"/>
      <c r="H863" s="25"/>
      <c r="I863" s="24"/>
      <c r="J863" s="25"/>
      <c r="K863" s="24"/>
      <c r="L863" s="25"/>
      <c r="M863" s="26"/>
      <c r="N863" s="24"/>
    </row>
    <row r="864" customFormat="false" ht="15" hidden="false" customHeight="false" outlineLevel="0" collapsed="false">
      <c r="A864" s="21"/>
      <c r="B864" s="22"/>
      <c r="C864" s="22"/>
      <c r="D864" s="23"/>
      <c r="E864" s="21"/>
      <c r="F864" s="24"/>
      <c r="G864" s="25"/>
      <c r="H864" s="25"/>
      <c r="I864" s="24"/>
      <c r="J864" s="25"/>
      <c r="K864" s="24"/>
      <c r="L864" s="25"/>
      <c r="M864" s="26"/>
      <c r="N864" s="24"/>
    </row>
    <row r="865" customFormat="false" ht="15" hidden="false" customHeight="false" outlineLevel="0" collapsed="false">
      <c r="A865" s="21"/>
      <c r="B865" s="22"/>
      <c r="C865" s="22"/>
      <c r="D865" s="23"/>
      <c r="E865" s="21"/>
      <c r="F865" s="24"/>
      <c r="G865" s="25"/>
      <c r="H865" s="25"/>
      <c r="I865" s="24"/>
      <c r="J865" s="25"/>
      <c r="K865" s="24"/>
      <c r="L865" s="25"/>
      <c r="M865" s="26"/>
      <c r="N865" s="24"/>
    </row>
    <row r="866" customFormat="false" ht="15" hidden="false" customHeight="false" outlineLevel="0" collapsed="false">
      <c r="A866" s="21"/>
      <c r="B866" s="22"/>
      <c r="C866" s="22"/>
      <c r="D866" s="23"/>
      <c r="E866" s="21"/>
      <c r="F866" s="24"/>
      <c r="G866" s="25"/>
      <c r="H866" s="25"/>
      <c r="I866" s="24"/>
      <c r="J866" s="25"/>
      <c r="K866" s="24"/>
      <c r="L866" s="25"/>
      <c r="M866" s="26"/>
      <c r="N866" s="24"/>
    </row>
    <row r="867" customFormat="false" ht="15" hidden="false" customHeight="false" outlineLevel="0" collapsed="false">
      <c r="A867" s="21"/>
      <c r="B867" s="22"/>
      <c r="C867" s="22"/>
      <c r="D867" s="23"/>
      <c r="E867" s="21"/>
      <c r="F867" s="24"/>
      <c r="G867" s="25"/>
      <c r="H867" s="25"/>
      <c r="I867" s="24"/>
      <c r="J867" s="25"/>
      <c r="K867" s="24"/>
      <c r="L867" s="25"/>
      <c r="M867" s="26"/>
      <c r="N867" s="24"/>
    </row>
    <row r="868" customFormat="false" ht="15" hidden="false" customHeight="false" outlineLevel="0" collapsed="false">
      <c r="A868" s="21"/>
      <c r="B868" s="22"/>
      <c r="C868" s="22"/>
      <c r="D868" s="23"/>
      <c r="E868" s="21"/>
      <c r="F868" s="24"/>
      <c r="G868" s="25"/>
      <c r="H868" s="25"/>
      <c r="I868" s="24"/>
      <c r="J868" s="25"/>
      <c r="K868" s="24"/>
      <c r="L868" s="25"/>
      <c r="M868" s="26"/>
      <c r="N868" s="24"/>
    </row>
    <row r="869" customFormat="false" ht="15" hidden="false" customHeight="false" outlineLevel="0" collapsed="false">
      <c r="A869" s="21"/>
      <c r="B869" s="22"/>
      <c r="C869" s="22"/>
      <c r="D869" s="23"/>
      <c r="E869" s="21"/>
      <c r="F869" s="24"/>
      <c r="G869" s="25"/>
      <c r="H869" s="25"/>
      <c r="I869" s="24"/>
      <c r="J869" s="25"/>
      <c r="K869" s="24"/>
      <c r="L869" s="25"/>
      <c r="M869" s="26"/>
      <c r="N869" s="24"/>
    </row>
    <row r="870" customFormat="false" ht="15" hidden="false" customHeight="false" outlineLevel="0" collapsed="false">
      <c r="A870" s="21"/>
      <c r="B870" s="22"/>
      <c r="C870" s="22"/>
      <c r="D870" s="23"/>
      <c r="E870" s="21"/>
      <c r="F870" s="24"/>
      <c r="G870" s="25"/>
      <c r="H870" s="25"/>
      <c r="I870" s="24"/>
      <c r="J870" s="25"/>
      <c r="K870" s="24"/>
      <c r="L870" s="25"/>
      <c r="M870" s="26"/>
      <c r="N870" s="24"/>
    </row>
    <row r="871" customFormat="false" ht="15" hidden="false" customHeight="false" outlineLevel="0" collapsed="false">
      <c r="A871" s="21"/>
      <c r="B871" s="22"/>
      <c r="C871" s="22"/>
      <c r="D871" s="23"/>
      <c r="E871" s="21"/>
      <c r="F871" s="24"/>
      <c r="G871" s="25"/>
      <c r="H871" s="25"/>
      <c r="I871" s="24"/>
      <c r="J871" s="25"/>
      <c r="K871" s="24"/>
      <c r="L871" s="25"/>
      <c r="M871" s="26"/>
      <c r="N871" s="24"/>
    </row>
    <row r="872" customFormat="false" ht="15" hidden="false" customHeight="false" outlineLevel="0" collapsed="false">
      <c r="A872" s="21"/>
      <c r="B872" s="22"/>
      <c r="C872" s="22"/>
      <c r="D872" s="23"/>
      <c r="E872" s="21"/>
      <c r="F872" s="24"/>
      <c r="G872" s="25"/>
      <c r="H872" s="25"/>
      <c r="I872" s="24"/>
      <c r="J872" s="25"/>
      <c r="K872" s="24"/>
      <c r="L872" s="25"/>
      <c r="M872" s="26"/>
      <c r="N872" s="24"/>
    </row>
    <row r="873" customFormat="false" ht="15" hidden="false" customHeight="false" outlineLevel="0" collapsed="false">
      <c r="A873" s="21"/>
      <c r="B873" s="22"/>
      <c r="C873" s="22"/>
      <c r="D873" s="23"/>
      <c r="E873" s="21"/>
      <c r="F873" s="24"/>
      <c r="G873" s="25"/>
      <c r="H873" s="25"/>
      <c r="I873" s="24"/>
      <c r="J873" s="25"/>
      <c r="K873" s="24"/>
      <c r="L873" s="25"/>
      <c r="M873" s="26"/>
      <c r="N873" s="24"/>
    </row>
    <row r="874" customFormat="false" ht="15" hidden="false" customHeight="false" outlineLevel="0" collapsed="false">
      <c r="A874" s="21"/>
      <c r="B874" s="22"/>
      <c r="C874" s="22"/>
      <c r="D874" s="23"/>
      <c r="E874" s="21"/>
      <c r="F874" s="24"/>
      <c r="G874" s="25"/>
      <c r="H874" s="25"/>
      <c r="I874" s="24"/>
      <c r="J874" s="25"/>
      <c r="K874" s="24"/>
      <c r="L874" s="25"/>
      <c r="M874" s="26"/>
      <c r="N874" s="24"/>
    </row>
    <row r="875" customFormat="false" ht="15" hidden="false" customHeight="false" outlineLevel="0" collapsed="false">
      <c r="A875" s="21"/>
      <c r="B875" s="22"/>
      <c r="C875" s="22"/>
      <c r="D875" s="23"/>
      <c r="E875" s="21"/>
      <c r="F875" s="24"/>
      <c r="G875" s="25"/>
      <c r="H875" s="25"/>
      <c r="I875" s="24"/>
      <c r="J875" s="25"/>
      <c r="K875" s="24"/>
      <c r="L875" s="25"/>
      <c r="M875" s="26"/>
      <c r="N875" s="24"/>
    </row>
    <row r="876" customFormat="false" ht="15" hidden="false" customHeight="false" outlineLevel="0" collapsed="false">
      <c r="A876" s="21"/>
      <c r="B876" s="22"/>
      <c r="C876" s="22"/>
      <c r="D876" s="23"/>
      <c r="E876" s="21"/>
      <c r="F876" s="24"/>
      <c r="G876" s="25"/>
      <c r="H876" s="25"/>
      <c r="I876" s="24"/>
      <c r="J876" s="25"/>
      <c r="K876" s="24"/>
      <c r="L876" s="25"/>
      <c r="M876" s="26"/>
      <c r="N876" s="24"/>
    </row>
    <row r="877" customFormat="false" ht="15" hidden="false" customHeight="false" outlineLevel="0" collapsed="false">
      <c r="A877" s="21"/>
      <c r="B877" s="22"/>
      <c r="C877" s="22"/>
      <c r="D877" s="23"/>
      <c r="E877" s="21"/>
      <c r="F877" s="24"/>
      <c r="G877" s="25"/>
      <c r="H877" s="25"/>
      <c r="I877" s="24"/>
      <c r="J877" s="25"/>
      <c r="K877" s="24"/>
      <c r="L877" s="25"/>
      <c r="M877" s="26"/>
      <c r="N877" s="24"/>
    </row>
    <row r="878" customFormat="false" ht="15" hidden="false" customHeight="false" outlineLevel="0" collapsed="false">
      <c r="A878" s="21"/>
      <c r="B878" s="22"/>
      <c r="C878" s="22"/>
      <c r="D878" s="23"/>
      <c r="E878" s="21"/>
      <c r="F878" s="24"/>
      <c r="G878" s="25"/>
      <c r="H878" s="25"/>
      <c r="I878" s="24"/>
      <c r="J878" s="25"/>
      <c r="K878" s="24"/>
      <c r="L878" s="25"/>
      <c r="M878" s="26"/>
      <c r="N878" s="24"/>
    </row>
    <row r="879" customFormat="false" ht="15" hidden="false" customHeight="false" outlineLevel="0" collapsed="false">
      <c r="A879" s="21"/>
      <c r="B879" s="22"/>
      <c r="C879" s="22"/>
      <c r="D879" s="23"/>
      <c r="E879" s="21"/>
      <c r="F879" s="24"/>
      <c r="G879" s="25"/>
      <c r="H879" s="25"/>
      <c r="I879" s="24"/>
      <c r="J879" s="25"/>
      <c r="K879" s="24"/>
      <c r="L879" s="25"/>
      <c r="M879" s="26"/>
      <c r="N879" s="24"/>
    </row>
    <row r="880" customFormat="false" ht="15" hidden="false" customHeight="false" outlineLevel="0" collapsed="false">
      <c r="A880" s="21"/>
      <c r="B880" s="22"/>
      <c r="C880" s="22"/>
      <c r="D880" s="23"/>
      <c r="E880" s="21"/>
      <c r="F880" s="24"/>
      <c r="G880" s="25"/>
      <c r="H880" s="25"/>
      <c r="I880" s="24"/>
      <c r="J880" s="25"/>
      <c r="K880" s="24"/>
      <c r="L880" s="25"/>
      <c r="M880" s="26"/>
      <c r="N880" s="24"/>
    </row>
    <row r="881" customFormat="false" ht="15" hidden="false" customHeight="false" outlineLevel="0" collapsed="false">
      <c r="A881" s="21"/>
      <c r="B881" s="22"/>
      <c r="C881" s="22"/>
      <c r="D881" s="23"/>
      <c r="E881" s="21"/>
      <c r="F881" s="24"/>
      <c r="G881" s="25"/>
      <c r="H881" s="25"/>
      <c r="I881" s="24"/>
      <c r="J881" s="25"/>
      <c r="K881" s="24"/>
      <c r="L881" s="25"/>
      <c r="M881" s="26"/>
      <c r="N881" s="24"/>
    </row>
    <row r="882" customFormat="false" ht="15" hidden="false" customHeight="false" outlineLevel="0" collapsed="false">
      <c r="A882" s="21"/>
      <c r="B882" s="22"/>
      <c r="C882" s="22"/>
      <c r="D882" s="23"/>
      <c r="E882" s="21"/>
      <c r="F882" s="24"/>
      <c r="G882" s="25"/>
      <c r="H882" s="25"/>
      <c r="I882" s="24"/>
      <c r="J882" s="25"/>
      <c r="K882" s="24"/>
      <c r="L882" s="25"/>
      <c r="M882" s="26"/>
      <c r="N882" s="24"/>
    </row>
    <row r="883" customFormat="false" ht="15" hidden="false" customHeight="false" outlineLevel="0" collapsed="false">
      <c r="A883" s="21"/>
      <c r="B883" s="22"/>
      <c r="C883" s="22"/>
      <c r="D883" s="23"/>
      <c r="E883" s="21"/>
      <c r="F883" s="24"/>
      <c r="G883" s="25"/>
      <c r="H883" s="25"/>
      <c r="I883" s="24"/>
      <c r="J883" s="25"/>
      <c r="K883" s="24"/>
      <c r="L883" s="25"/>
      <c r="M883" s="26"/>
      <c r="N883" s="24"/>
    </row>
    <row r="884" customFormat="false" ht="15" hidden="false" customHeight="false" outlineLevel="0" collapsed="false">
      <c r="A884" s="21"/>
      <c r="B884" s="22"/>
      <c r="C884" s="22"/>
      <c r="D884" s="23"/>
      <c r="E884" s="21"/>
      <c r="F884" s="24"/>
      <c r="G884" s="25"/>
      <c r="H884" s="25"/>
      <c r="I884" s="24"/>
      <c r="J884" s="25"/>
      <c r="K884" s="24"/>
      <c r="L884" s="25"/>
      <c r="M884" s="26"/>
      <c r="N884" s="24"/>
    </row>
    <row r="885" customFormat="false" ht="15" hidden="false" customHeight="false" outlineLevel="0" collapsed="false">
      <c r="A885" s="21"/>
      <c r="B885" s="22"/>
      <c r="C885" s="22"/>
      <c r="D885" s="23"/>
      <c r="E885" s="21"/>
      <c r="F885" s="24"/>
      <c r="G885" s="25"/>
      <c r="H885" s="25"/>
      <c r="I885" s="24"/>
      <c r="J885" s="25"/>
      <c r="K885" s="24"/>
      <c r="L885" s="25"/>
      <c r="M885" s="26"/>
      <c r="N885" s="24"/>
    </row>
    <row r="886" customFormat="false" ht="15" hidden="false" customHeight="false" outlineLevel="0" collapsed="false">
      <c r="A886" s="21"/>
      <c r="B886" s="22"/>
      <c r="C886" s="22"/>
      <c r="D886" s="23"/>
      <c r="E886" s="21"/>
      <c r="F886" s="24"/>
      <c r="G886" s="25"/>
      <c r="H886" s="25"/>
      <c r="I886" s="24"/>
      <c r="J886" s="25"/>
      <c r="K886" s="24"/>
      <c r="L886" s="25"/>
      <c r="M886" s="26"/>
      <c r="N886" s="24"/>
    </row>
    <row r="887" customFormat="false" ht="15" hidden="false" customHeight="false" outlineLevel="0" collapsed="false">
      <c r="A887" s="21"/>
      <c r="B887" s="22"/>
      <c r="C887" s="22"/>
      <c r="D887" s="23"/>
      <c r="E887" s="21"/>
      <c r="F887" s="24"/>
      <c r="G887" s="25"/>
      <c r="H887" s="25"/>
      <c r="I887" s="24"/>
      <c r="J887" s="25"/>
      <c r="K887" s="24"/>
      <c r="L887" s="25"/>
      <c r="M887" s="26"/>
      <c r="N887" s="24"/>
    </row>
    <row r="888" customFormat="false" ht="15" hidden="false" customHeight="false" outlineLevel="0" collapsed="false">
      <c r="A888" s="21"/>
      <c r="B888" s="22"/>
      <c r="C888" s="22"/>
      <c r="D888" s="23"/>
      <c r="E888" s="21"/>
      <c r="F888" s="24"/>
      <c r="G888" s="25"/>
      <c r="H888" s="25"/>
      <c r="I888" s="24"/>
      <c r="J888" s="25"/>
      <c r="K888" s="24"/>
      <c r="L888" s="25"/>
      <c r="M888" s="26"/>
      <c r="N888" s="24"/>
    </row>
    <row r="889" customFormat="false" ht="15" hidden="false" customHeight="false" outlineLevel="0" collapsed="false">
      <c r="A889" s="21"/>
      <c r="B889" s="22"/>
      <c r="C889" s="22"/>
      <c r="D889" s="23"/>
      <c r="E889" s="21"/>
      <c r="F889" s="24"/>
      <c r="G889" s="25"/>
      <c r="H889" s="25"/>
      <c r="I889" s="24"/>
      <c r="J889" s="25"/>
      <c r="K889" s="24"/>
      <c r="L889" s="25"/>
      <c r="M889" s="26"/>
      <c r="N889" s="24"/>
    </row>
    <row r="890" customFormat="false" ht="15" hidden="false" customHeight="false" outlineLevel="0" collapsed="false">
      <c r="A890" s="21"/>
      <c r="B890" s="22"/>
      <c r="C890" s="22"/>
      <c r="D890" s="23"/>
      <c r="E890" s="21"/>
      <c r="F890" s="24"/>
      <c r="G890" s="25"/>
      <c r="H890" s="25"/>
      <c r="I890" s="24"/>
      <c r="J890" s="25"/>
      <c r="K890" s="24"/>
      <c r="L890" s="25"/>
      <c r="M890" s="26"/>
      <c r="N890" s="24"/>
    </row>
    <row r="891" customFormat="false" ht="15" hidden="false" customHeight="false" outlineLevel="0" collapsed="false">
      <c r="A891" s="21"/>
      <c r="B891" s="22"/>
      <c r="C891" s="22"/>
      <c r="D891" s="23"/>
      <c r="E891" s="21"/>
      <c r="F891" s="24"/>
      <c r="G891" s="25"/>
      <c r="H891" s="25"/>
      <c r="I891" s="24"/>
      <c r="J891" s="25"/>
      <c r="K891" s="24"/>
      <c r="L891" s="25"/>
      <c r="M891" s="26"/>
      <c r="N891" s="24"/>
    </row>
    <row r="892" customFormat="false" ht="15" hidden="false" customHeight="false" outlineLevel="0" collapsed="false">
      <c r="A892" s="21"/>
      <c r="B892" s="22"/>
      <c r="C892" s="22"/>
      <c r="D892" s="23"/>
      <c r="E892" s="21"/>
      <c r="F892" s="24"/>
      <c r="G892" s="25"/>
      <c r="H892" s="25"/>
      <c r="I892" s="24"/>
      <c r="J892" s="25"/>
      <c r="K892" s="24"/>
      <c r="L892" s="25"/>
      <c r="M892" s="26"/>
      <c r="N892" s="24"/>
    </row>
    <row r="893" customFormat="false" ht="15" hidden="false" customHeight="false" outlineLevel="0" collapsed="false">
      <c r="A893" s="21"/>
      <c r="B893" s="22"/>
      <c r="C893" s="22"/>
      <c r="D893" s="23"/>
      <c r="E893" s="21"/>
      <c r="F893" s="24"/>
      <c r="G893" s="25"/>
      <c r="H893" s="25"/>
      <c r="I893" s="24"/>
      <c r="J893" s="25"/>
      <c r="K893" s="24"/>
      <c r="L893" s="25"/>
      <c r="M893" s="26"/>
      <c r="N893" s="24"/>
    </row>
    <row r="894" customFormat="false" ht="15" hidden="false" customHeight="false" outlineLevel="0" collapsed="false">
      <c r="A894" s="21"/>
      <c r="B894" s="22"/>
      <c r="C894" s="22"/>
      <c r="D894" s="23"/>
      <c r="E894" s="21"/>
      <c r="F894" s="24"/>
      <c r="G894" s="25"/>
      <c r="H894" s="25"/>
      <c r="I894" s="24"/>
      <c r="J894" s="25"/>
      <c r="K894" s="24"/>
      <c r="L894" s="25"/>
      <c r="M894" s="26"/>
      <c r="N894" s="24"/>
    </row>
    <row r="895" customFormat="false" ht="15" hidden="false" customHeight="false" outlineLevel="0" collapsed="false">
      <c r="A895" s="21"/>
      <c r="B895" s="22"/>
      <c r="C895" s="22"/>
      <c r="D895" s="23"/>
      <c r="E895" s="21"/>
      <c r="F895" s="24"/>
      <c r="G895" s="25"/>
      <c r="H895" s="25"/>
      <c r="I895" s="24"/>
      <c r="J895" s="25"/>
      <c r="K895" s="24"/>
      <c r="L895" s="25"/>
      <c r="M895" s="26"/>
      <c r="N895" s="24"/>
    </row>
    <row r="896" customFormat="false" ht="15" hidden="false" customHeight="false" outlineLevel="0" collapsed="false">
      <c r="A896" s="21"/>
      <c r="B896" s="22"/>
      <c r="C896" s="22"/>
      <c r="D896" s="23"/>
      <c r="E896" s="21"/>
      <c r="F896" s="24"/>
      <c r="G896" s="25"/>
      <c r="H896" s="25"/>
      <c r="I896" s="24"/>
      <c r="J896" s="25"/>
      <c r="K896" s="24"/>
      <c r="L896" s="25"/>
      <c r="M896" s="26"/>
      <c r="N896" s="24"/>
    </row>
    <row r="897" customFormat="false" ht="15" hidden="false" customHeight="false" outlineLevel="0" collapsed="false">
      <c r="A897" s="21"/>
      <c r="B897" s="22"/>
      <c r="C897" s="22"/>
      <c r="D897" s="23"/>
      <c r="E897" s="21"/>
      <c r="F897" s="24"/>
      <c r="G897" s="25"/>
      <c r="H897" s="25"/>
      <c r="I897" s="24"/>
      <c r="J897" s="25"/>
      <c r="K897" s="24"/>
      <c r="L897" s="25"/>
      <c r="M897" s="26"/>
      <c r="N897" s="24"/>
    </row>
    <row r="898" customFormat="false" ht="15" hidden="false" customHeight="false" outlineLevel="0" collapsed="false">
      <c r="A898" s="21"/>
      <c r="B898" s="22"/>
      <c r="C898" s="22"/>
      <c r="D898" s="23"/>
      <c r="E898" s="21"/>
      <c r="F898" s="24"/>
      <c r="G898" s="25"/>
      <c r="H898" s="25"/>
      <c r="I898" s="24"/>
      <c r="J898" s="25"/>
      <c r="K898" s="24"/>
      <c r="L898" s="25"/>
      <c r="M898" s="26"/>
      <c r="N898" s="24"/>
    </row>
    <row r="899" customFormat="false" ht="15" hidden="false" customHeight="false" outlineLevel="0" collapsed="false">
      <c r="A899" s="21"/>
      <c r="B899" s="22"/>
      <c r="C899" s="22"/>
      <c r="D899" s="23"/>
      <c r="E899" s="21"/>
      <c r="F899" s="24"/>
      <c r="G899" s="25"/>
      <c r="H899" s="25"/>
      <c r="I899" s="24"/>
      <c r="J899" s="25"/>
      <c r="K899" s="24"/>
      <c r="L899" s="25"/>
      <c r="M899" s="26"/>
      <c r="N899" s="24"/>
    </row>
    <row r="900" customFormat="false" ht="15" hidden="false" customHeight="false" outlineLevel="0" collapsed="false">
      <c r="A900" s="21"/>
      <c r="B900" s="22"/>
      <c r="C900" s="22"/>
      <c r="D900" s="23"/>
      <c r="E900" s="21"/>
      <c r="F900" s="24"/>
      <c r="G900" s="25"/>
      <c r="H900" s="25"/>
      <c r="I900" s="24"/>
      <c r="J900" s="25"/>
      <c r="K900" s="24"/>
      <c r="L900" s="25"/>
      <c r="M900" s="26"/>
      <c r="N900" s="24"/>
    </row>
    <row r="901" customFormat="false" ht="15" hidden="false" customHeight="false" outlineLevel="0" collapsed="false">
      <c r="A901" s="21"/>
      <c r="B901" s="22"/>
      <c r="C901" s="22"/>
      <c r="D901" s="23"/>
      <c r="E901" s="21"/>
      <c r="F901" s="24"/>
      <c r="G901" s="25"/>
      <c r="H901" s="25"/>
      <c r="I901" s="24"/>
      <c r="J901" s="25"/>
      <c r="K901" s="24"/>
      <c r="L901" s="25"/>
      <c r="M901" s="26"/>
      <c r="N901" s="24"/>
    </row>
    <row r="902" customFormat="false" ht="15" hidden="false" customHeight="false" outlineLevel="0" collapsed="false">
      <c r="A902" s="21"/>
      <c r="B902" s="22"/>
      <c r="C902" s="22"/>
      <c r="D902" s="23"/>
      <c r="E902" s="21"/>
      <c r="F902" s="24"/>
      <c r="G902" s="25"/>
      <c r="H902" s="25"/>
      <c r="I902" s="24"/>
      <c r="J902" s="25"/>
      <c r="K902" s="24"/>
      <c r="L902" s="25"/>
      <c r="M902" s="26"/>
      <c r="N902" s="24"/>
    </row>
    <row r="903" customFormat="false" ht="15" hidden="false" customHeight="false" outlineLevel="0" collapsed="false">
      <c r="A903" s="21"/>
      <c r="B903" s="22"/>
      <c r="C903" s="22"/>
      <c r="D903" s="23"/>
      <c r="E903" s="21"/>
      <c r="F903" s="24"/>
      <c r="G903" s="25"/>
      <c r="H903" s="25"/>
      <c r="I903" s="24"/>
      <c r="J903" s="25"/>
      <c r="K903" s="24"/>
      <c r="L903" s="25"/>
      <c r="M903" s="26"/>
      <c r="N903" s="24"/>
    </row>
    <row r="904" customFormat="false" ht="15" hidden="false" customHeight="false" outlineLevel="0" collapsed="false">
      <c r="A904" s="21"/>
      <c r="B904" s="22"/>
      <c r="C904" s="22"/>
      <c r="D904" s="23"/>
      <c r="E904" s="21"/>
      <c r="F904" s="24"/>
      <c r="G904" s="25"/>
      <c r="H904" s="25"/>
      <c r="I904" s="24"/>
      <c r="J904" s="25"/>
      <c r="K904" s="24"/>
      <c r="L904" s="25"/>
      <c r="M904" s="26"/>
      <c r="N904" s="24"/>
    </row>
    <row r="905" customFormat="false" ht="15" hidden="false" customHeight="false" outlineLevel="0" collapsed="false">
      <c r="A905" s="21"/>
      <c r="B905" s="22"/>
      <c r="C905" s="22"/>
      <c r="D905" s="23"/>
      <c r="E905" s="21"/>
      <c r="F905" s="24"/>
      <c r="G905" s="25"/>
      <c r="H905" s="25"/>
      <c r="I905" s="24"/>
      <c r="J905" s="25"/>
      <c r="K905" s="24"/>
      <c r="L905" s="25"/>
      <c r="M905" s="26"/>
      <c r="N905" s="24"/>
    </row>
    <row r="906" customFormat="false" ht="15" hidden="false" customHeight="false" outlineLevel="0" collapsed="false">
      <c r="A906" s="21"/>
      <c r="B906" s="22"/>
      <c r="C906" s="22"/>
      <c r="D906" s="23"/>
      <c r="E906" s="21"/>
      <c r="F906" s="24"/>
      <c r="G906" s="25"/>
      <c r="H906" s="25"/>
      <c r="I906" s="24"/>
      <c r="J906" s="25"/>
      <c r="K906" s="24"/>
      <c r="L906" s="25"/>
      <c r="M906" s="26"/>
      <c r="N906" s="24"/>
    </row>
    <row r="907" customFormat="false" ht="15" hidden="false" customHeight="false" outlineLevel="0" collapsed="false">
      <c r="A907" s="21"/>
      <c r="B907" s="22"/>
      <c r="C907" s="22"/>
      <c r="D907" s="23"/>
      <c r="E907" s="21"/>
      <c r="F907" s="24"/>
      <c r="G907" s="25"/>
      <c r="H907" s="25"/>
      <c r="I907" s="24"/>
      <c r="J907" s="25"/>
      <c r="K907" s="24"/>
      <c r="L907" s="25"/>
      <c r="M907" s="26"/>
      <c r="N907" s="24"/>
    </row>
    <row r="908" customFormat="false" ht="15" hidden="false" customHeight="false" outlineLevel="0" collapsed="false">
      <c r="A908" s="21"/>
      <c r="B908" s="22"/>
      <c r="C908" s="22"/>
      <c r="D908" s="23"/>
      <c r="E908" s="21"/>
      <c r="F908" s="24"/>
      <c r="G908" s="25"/>
      <c r="H908" s="25"/>
      <c r="I908" s="24"/>
      <c r="J908" s="25"/>
      <c r="K908" s="24"/>
      <c r="L908" s="25"/>
      <c r="M908" s="26"/>
      <c r="N908" s="24"/>
    </row>
    <row r="909" customFormat="false" ht="15" hidden="false" customHeight="false" outlineLevel="0" collapsed="false">
      <c r="A909" s="21"/>
      <c r="B909" s="22"/>
      <c r="C909" s="22"/>
      <c r="D909" s="23"/>
      <c r="E909" s="21"/>
      <c r="F909" s="24"/>
      <c r="G909" s="25"/>
      <c r="H909" s="25"/>
      <c r="I909" s="24"/>
      <c r="J909" s="25"/>
      <c r="K909" s="24"/>
      <c r="L909" s="25"/>
      <c r="M909" s="26"/>
      <c r="N909" s="24"/>
    </row>
    <row r="910" customFormat="false" ht="15" hidden="false" customHeight="false" outlineLevel="0" collapsed="false">
      <c r="A910" s="21"/>
      <c r="B910" s="22"/>
      <c r="C910" s="22"/>
      <c r="D910" s="23"/>
      <c r="E910" s="21"/>
      <c r="F910" s="24"/>
      <c r="G910" s="25"/>
      <c r="H910" s="25"/>
      <c r="I910" s="24"/>
      <c r="J910" s="25"/>
      <c r="K910" s="24"/>
      <c r="L910" s="25"/>
      <c r="M910" s="26"/>
      <c r="N910" s="24"/>
    </row>
    <row r="911" customFormat="false" ht="15" hidden="false" customHeight="false" outlineLevel="0" collapsed="false">
      <c r="A911" s="21"/>
      <c r="B911" s="22"/>
      <c r="C911" s="22"/>
      <c r="D911" s="23"/>
      <c r="E911" s="21"/>
      <c r="F911" s="24"/>
      <c r="G911" s="25"/>
      <c r="H911" s="25"/>
      <c r="I911" s="24"/>
      <c r="J911" s="25"/>
      <c r="K911" s="24"/>
      <c r="L911" s="25"/>
      <c r="M911" s="26"/>
      <c r="N911" s="24"/>
    </row>
    <row r="912" customFormat="false" ht="15" hidden="false" customHeight="false" outlineLevel="0" collapsed="false">
      <c r="A912" s="21"/>
      <c r="B912" s="22"/>
      <c r="C912" s="22"/>
      <c r="D912" s="23"/>
      <c r="E912" s="21"/>
      <c r="F912" s="24"/>
      <c r="G912" s="25"/>
      <c r="H912" s="25"/>
      <c r="I912" s="24"/>
      <c r="J912" s="25"/>
      <c r="K912" s="24"/>
      <c r="L912" s="25"/>
      <c r="M912" s="26"/>
      <c r="N912" s="24"/>
    </row>
    <row r="913" customFormat="false" ht="15" hidden="false" customHeight="false" outlineLevel="0" collapsed="false">
      <c r="A913" s="21"/>
      <c r="B913" s="22"/>
      <c r="C913" s="22"/>
      <c r="D913" s="23"/>
      <c r="E913" s="21"/>
      <c r="F913" s="24"/>
      <c r="G913" s="25"/>
      <c r="H913" s="25"/>
      <c r="I913" s="24"/>
      <c r="J913" s="25"/>
      <c r="K913" s="24"/>
      <c r="L913" s="25"/>
      <c r="M913" s="26"/>
      <c r="N913" s="24"/>
    </row>
    <row r="914" customFormat="false" ht="15" hidden="false" customHeight="false" outlineLevel="0" collapsed="false">
      <c r="A914" s="21"/>
      <c r="B914" s="22"/>
      <c r="C914" s="22"/>
      <c r="D914" s="23"/>
      <c r="E914" s="21"/>
      <c r="F914" s="24"/>
      <c r="G914" s="25"/>
      <c r="H914" s="25"/>
      <c r="I914" s="24"/>
      <c r="J914" s="25"/>
      <c r="K914" s="24"/>
      <c r="L914" s="25"/>
      <c r="M914" s="26"/>
      <c r="N914" s="24"/>
    </row>
    <row r="915" customFormat="false" ht="15" hidden="false" customHeight="false" outlineLevel="0" collapsed="false">
      <c r="A915" s="21"/>
      <c r="B915" s="22"/>
      <c r="C915" s="22"/>
      <c r="D915" s="23"/>
      <c r="E915" s="21"/>
      <c r="F915" s="24"/>
      <c r="G915" s="25"/>
      <c r="H915" s="25"/>
      <c r="I915" s="24"/>
      <c r="J915" s="25"/>
      <c r="K915" s="24"/>
      <c r="L915" s="25"/>
      <c r="M915" s="26"/>
      <c r="N915" s="24"/>
    </row>
    <row r="916" customFormat="false" ht="15" hidden="false" customHeight="false" outlineLevel="0" collapsed="false">
      <c r="A916" s="21"/>
      <c r="B916" s="22"/>
      <c r="C916" s="22"/>
      <c r="D916" s="23"/>
      <c r="E916" s="21"/>
      <c r="F916" s="24"/>
      <c r="G916" s="25"/>
      <c r="H916" s="25"/>
      <c r="I916" s="24"/>
      <c r="J916" s="25"/>
      <c r="K916" s="24"/>
      <c r="L916" s="25"/>
      <c r="M916" s="26"/>
      <c r="N916" s="24"/>
    </row>
    <row r="917" customFormat="false" ht="15" hidden="false" customHeight="false" outlineLevel="0" collapsed="false">
      <c r="A917" s="21"/>
      <c r="B917" s="22"/>
      <c r="C917" s="22"/>
      <c r="D917" s="23"/>
      <c r="E917" s="21"/>
      <c r="F917" s="24"/>
      <c r="G917" s="25"/>
      <c r="H917" s="25"/>
      <c r="I917" s="24"/>
      <c r="J917" s="25"/>
      <c r="K917" s="24"/>
      <c r="L917" s="25"/>
      <c r="M917" s="26"/>
      <c r="N917" s="24"/>
    </row>
    <row r="918" customFormat="false" ht="15" hidden="false" customHeight="false" outlineLevel="0" collapsed="false">
      <c r="A918" s="21"/>
      <c r="B918" s="22"/>
      <c r="C918" s="22"/>
      <c r="D918" s="23"/>
      <c r="E918" s="21"/>
      <c r="F918" s="24"/>
      <c r="G918" s="25"/>
      <c r="H918" s="25"/>
      <c r="I918" s="24"/>
      <c r="J918" s="25"/>
      <c r="K918" s="24"/>
      <c r="L918" s="25"/>
      <c r="M918" s="26"/>
      <c r="N918" s="24"/>
    </row>
    <row r="919" customFormat="false" ht="15" hidden="false" customHeight="false" outlineLevel="0" collapsed="false">
      <c r="A919" s="21"/>
      <c r="B919" s="22"/>
      <c r="C919" s="22"/>
      <c r="D919" s="23"/>
      <c r="E919" s="21"/>
      <c r="F919" s="24"/>
      <c r="G919" s="25"/>
      <c r="H919" s="25"/>
      <c r="I919" s="24"/>
      <c r="J919" s="25"/>
      <c r="K919" s="24"/>
      <c r="L919" s="25"/>
      <c r="M919" s="26"/>
      <c r="N919" s="24"/>
    </row>
    <row r="920" customFormat="false" ht="15" hidden="false" customHeight="false" outlineLevel="0" collapsed="false">
      <c r="A920" s="21"/>
      <c r="B920" s="22"/>
      <c r="C920" s="22"/>
      <c r="D920" s="23"/>
      <c r="E920" s="21"/>
      <c r="F920" s="24"/>
      <c r="G920" s="25"/>
      <c r="H920" s="25"/>
      <c r="I920" s="24"/>
      <c r="J920" s="25"/>
      <c r="K920" s="24"/>
      <c r="L920" s="25"/>
      <c r="M920" s="26"/>
      <c r="N920" s="24"/>
    </row>
    <row r="921" customFormat="false" ht="15" hidden="false" customHeight="false" outlineLevel="0" collapsed="false">
      <c r="A921" s="21"/>
      <c r="B921" s="22"/>
      <c r="C921" s="22"/>
      <c r="D921" s="23"/>
      <c r="E921" s="21"/>
      <c r="F921" s="24"/>
      <c r="G921" s="25"/>
      <c r="H921" s="25"/>
      <c r="I921" s="24"/>
      <c r="J921" s="25"/>
      <c r="K921" s="24"/>
      <c r="L921" s="25"/>
      <c r="M921" s="26"/>
      <c r="N921" s="24"/>
    </row>
    <row r="922" customFormat="false" ht="15" hidden="false" customHeight="false" outlineLevel="0" collapsed="false">
      <c r="A922" s="21"/>
      <c r="B922" s="22"/>
      <c r="C922" s="22"/>
      <c r="D922" s="23"/>
      <c r="E922" s="21"/>
      <c r="F922" s="24"/>
      <c r="G922" s="25"/>
      <c r="H922" s="25"/>
      <c r="I922" s="24"/>
      <c r="J922" s="25"/>
      <c r="K922" s="24"/>
      <c r="L922" s="25"/>
      <c r="M922" s="26"/>
      <c r="N922" s="24"/>
    </row>
    <row r="923" customFormat="false" ht="15" hidden="false" customHeight="false" outlineLevel="0" collapsed="false">
      <c r="A923" s="21"/>
      <c r="B923" s="22"/>
      <c r="C923" s="22"/>
      <c r="D923" s="23"/>
      <c r="E923" s="21"/>
      <c r="F923" s="24"/>
      <c r="G923" s="25"/>
      <c r="H923" s="25"/>
      <c r="I923" s="24"/>
      <c r="J923" s="25"/>
      <c r="K923" s="24"/>
      <c r="L923" s="25"/>
      <c r="M923" s="26"/>
      <c r="N923" s="24"/>
    </row>
    <row r="924" customFormat="false" ht="15" hidden="false" customHeight="false" outlineLevel="0" collapsed="false">
      <c r="A924" s="21"/>
      <c r="B924" s="22"/>
      <c r="C924" s="22"/>
      <c r="D924" s="23"/>
      <c r="E924" s="21"/>
      <c r="F924" s="24"/>
      <c r="G924" s="25"/>
      <c r="H924" s="25"/>
      <c r="I924" s="24"/>
      <c r="J924" s="25"/>
      <c r="K924" s="24"/>
      <c r="L924" s="25"/>
      <c r="M924" s="26"/>
      <c r="N924" s="24"/>
    </row>
    <row r="925" customFormat="false" ht="15" hidden="false" customHeight="false" outlineLevel="0" collapsed="false">
      <c r="A925" s="21"/>
      <c r="B925" s="22"/>
      <c r="C925" s="22"/>
      <c r="D925" s="23"/>
      <c r="E925" s="21"/>
      <c r="F925" s="24"/>
      <c r="G925" s="25"/>
      <c r="H925" s="25"/>
      <c r="I925" s="24"/>
      <c r="J925" s="25"/>
      <c r="K925" s="24"/>
      <c r="L925" s="25"/>
      <c r="M925" s="26"/>
      <c r="N925" s="24"/>
    </row>
    <row r="926" customFormat="false" ht="15" hidden="false" customHeight="false" outlineLevel="0" collapsed="false">
      <c r="A926" s="21"/>
      <c r="B926" s="22"/>
      <c r="C926" s="22"/>
      <c r="D926" s="23"/>
      <c r="E926" s="21"/>
      <c r="F926" s="24"/>
      <c r="G926" s="25"/>
      <c r="H926" s="25"/>
      <c r="I926" s="24"/>
      <c r="J926" s="25"/>
      <c r="K926" s="24"/>
      <c r="L926" s="25"/>
      <c r="M926" s="26"/>
      <c r="N926" s="24"/>
    </row>
    <row r="927" customFormat="false" ht="15" hidden="false" customHeight="false" outlineLevel="0" collapsed="false">
      <c r="A927" s="21"/>
      <c r="B927" s="22"/>
      <c r="C927" s="22"/>
      <c r="D927" s="23"/>
      <c r="E927" s="21"/>
      <c r="F927" s="24"/>
      <c r="G927" s="25"/>
      <c r="H927" s="25"/>
      <c r="I927" s="24"/>
      <c r="J927" s="25"/>
      <c r="K927" s="24"/>
      <c r="L927" s="25"/>
      <c r="M927" s="26"/>
      <c r="N927" s="24"/>
    </row>
    <row r="928" customFormat="false" ht="15" hidden="false" customHeight="false" outlineLevel="0" collapsed="false">
      <c r="A928" s="21"/>
      <c r="B928" s="22"/>
      <c r="C928" s="22"/>
      <c r="D928" s="23"/>
      <c r="E928" s="21"/>
      <c r="F928" s="24"/>
      <c r="G928" s="25"/>
      <c r="H928" s="25"/>
      <c r="I928" s="24"/>
      <c r="J928" s="25"/>
      <c r="K928" s="24"/>
      <c r="L928" s="25"/>
      <c r="M928" s="26"/>
      <c r="N928" s="24"/>
    </row>
    <row r="929" customFormat="false" ht="15" hidden="false" customHeight="false" outlineLevel="0" collapsed="false">
      <c r="A929" s="21"/>
      <c r="B929" s="22"/>
      <c r="C929" s="22"/>
      <c r="D929" s="23"/>
      <c r="E929" s="21"/>
      <c r="F929" s="24"/>
      <c r="G929" s="25"/>
      <c r="H929" s="25"/>
      <c r="I929" s="24"/>
      <c r="J929" s="25"/>
      <c r="K929" s="24"/>
      <c r="L929" s="25"/>
      <c r="M929" s="26"/>
      <c r="N929" s="24"/>
    </row>
    <row r="930" customFormat="false" ht="15" hidden="false" customHeight="false" outlineLevel="0" collapsed="false">
      <c r="A930" s="21"/>
      <c r="B930" s="22"/>
      <c r="C930" s="22"/>
      <c r="D930" s="23"/>
      <c r="E930" s="21"/>
      <c r="F930" s="24"/>
      <c r="G930" s="25"/>
      <c r="H930" s="25"/>
      <c r="I930" s="24"/>
      <c r="J930" s="25"/>
      <c r="K930" s="24"/>
      <c r="L930" s="25"/>
      <c r="M930" s="26"/>
      <c r="N930" s="24"/>
    </row>
    <row r="931" customFormat="false" ht="15" hidden="false" customHeight="false" outlineLevel="0" collapsed="false">
      <c r="A931" s="21"/>
      <c r="B931" s="22"/>
      <c r="C931" s="22"/>
      <c r="D931" s="23"/>
      <c r="E931" s="21"/>
      <c r="F931" s="24"/>
      <c r="G931" s="25"/>
      <c r="H931" s="25"/>
      <c r="I931" s="24"/>
      <c r="J931" s="25"/>
      <c r="K931" s="24"/>
      <c r="L931" s="25"/>
      <c r="M931" s="26"/>
      <c r="N931" s="24"/>
    </row>
    <row r="932" customFormat="false" ht="15" hidden="false" customHeight="false" outlineLevel="0" collapsed="false">
      <c r="A932" s="21"/>
      <c r="B932" s="22"/>
      <c r="C932" s="22"/>
      <c r="D932" s="23"/>
      <c r="E932" s="21"/>
      <c r="F932" s="24"/>
      <c r="G932" s="25"/>
      <c r="H932" s="25"/>
      <c r="I932" s="24"/>
      <c r="J932" s="25"/>
      <c r="K932" s="24"/>
      <c r="L932" s="25"/>
      <c r="M932" s="26"/>
      <c r="N932" s="24"/>
    </row>
    <row r="933" customFormat="false" ht="15" hidden="false" customHeight="false" outlineLevel="0" collapsed="false">
      <c r="A933" s="21"/>
      <c r="B933" s="22"/>
      <c r="C933" s="22"/>
      <c r="D933" s="23"/>
      <c r="E933" s="21"/>
      <c r="F933" s="24"/>
      <c r="G933" s="25"/>
      <c r="H933" s="25"/>
      <c r="I933" s="24"/>
      <c r="J933" s="25"/>
      <c r="K933" s="24"/>
      <c r="L933" s="25"/>
      <c r="M933" s="26"/>
      <c r="N933" s="24"/>
    </row>
    <row r="934" customFormat="false" ht="15" hidden="false" customHeight="false" outlineLevel="0" collapsed="false">
      <c r="A934" s="21"/>
      <c r="B934" s="22"/>
      <c r="C934" s="22"/>
      <c r="D934" s="23"/>
      <c r="E934" s="21"/>
      <c r="F934" s="24"/>
      <c r="G934" s="25"/>
      <c r="H934" s="25"/>
      <c r="I934" s="24"/>
      <c r="J934" s="25"/>
      <c r="K934" s="24"/>
      <c r="L934" s="25"/>
      <c r="M934" s="26"/>
      <c r="N934" s="24"/>
    </row>
    <row r="935" customFormat="false" ht="15" hidden="false" customHeight="false" outlineLevel="0" collapsed="false">
      <c r="A935" s="21"/>
      <c r="B935" s="22"/>
      <c r="C935" s="22"/>
      <c r="D935" s="23"/>
      <c r="E935" s="21"/>
      <c r="F935" s="24"/>
      <c r="G935" s="25"/>
      <c r="H935" s="25"/>
      <c r="I935" s="24"/>
      <c r="J935" s="25"/>
      <c r="K935" s="24"/>
      <c r="L935" s="25"/>
      <c r="M935" s="26"/>
      <c r="N935" s="24"/>
    </row>
    <row r="936" customFormat="false" ht="15" hidden="false" customHeight="false" outlineLevel="0" collapsed="false">
      <c r="A936" s="21"/>
      <c r="B936" s="22"/>
      <c r="C936" s="22"/>
      <c r="D936" s="23"/>
      <c r="E936" s="21"/>
      <c r="F936" s="24"/>
      <c r="G936" s="25"/>
      <c r="H936" s="25"/>
      <c r="I936" s="24"/>
      <c r="J936" s="25"/>
      <c r="K936" s="24"/>
      <c r="L936" s="25"/>
      <c r="M936" s="26"/>
      <c r="N936" s="24"/>
    </row>
    <row r="937" customFormat="false" ht="15" hidden="false" customHeight="false" outlineLevel="0" collapsed="false">
      <c r="A937" s="21"/>
      <c r="B937" s="22"/>
      <c r="C937" s="22"/>
      <c r="D937" s="23"/>
      <c r="E937" s="21"/>
      <c r="F937" s="24"/>
      <c r="G937" s="25"/>
      <c r="H937" s="25"/>
      <c r="I937" s="24"/>
      <c r="J937" s="25"/>
      <c r="K937" s="24"/>
      <c r="L937" s="25"/>
      <c r="M937" s="26"/>
      <c r="N937" s="24"/>
    </row>
    <row r="938" customFormat="false" ht="15" hidden="false" customHeight="false" outlineLevel="0" collapsed="false">
      <c r="A938" s="21"/>
      <c r="B938" s="22"/>
      <c r="C938" s="22"/>
      <c r="D938" s="23"/>
      <c r="E938" s="21"/>
      <c r="F938" s="24"/>
      <c r="G938" s="25"/>
      <c r="H938" s="25"/>
      <c r="I938" s="24"/>
      <c r="J938" s="25"/>
      <c r="K938" s="24"/>
      <c r="L938" s="25"/>
      <c r="M938" s="26"/>
      <c r="N938" s="24"/>
    </row>
    <row r="939" customFormat="false" ht="15" hidden="false" customHeight="false" outlineLevel="0" collapsed="false">
      <c r="A939" s="21"/>
      <c r="B939" s="22"/>
      <c r="C939" s="22"/>
      <c r="D939" s="23"/>
      <c r="E939" s="21"/>
      <c r="F939" s="24"/>
      <c r="G939" s="25"/>
      <c r="H939" s="25"/>
      <c r="I939" s="24"/>
      <c r="J939" s="25"/>
      <c r="K939" s="24"/>
      <c r="L939" s="25"/>
      <c r="M939" s="26"/>
      <c r="N939" s="24"/>
    </row>
    <row r="940" customFormat="false" ht="15" hidden="false" customHeight="false" outlineLevel="0" collapsed="false">
      <c r="A940" s="21"/>
      <c r="B940" s="22"/>
      <c r="C940" s="22"/>
      <c r="D940" s="23"/>
      <c r="E940" s="21"/>
      <c r="F940" s="24"/>
      <c r="G940" s="25"/>
      <c r="H940" s="25"/>
      <c r="I940" s="24"/>
      <c r="J940" s="25"/>
      <c r="K940" s="24"/>
      <c r="L940" s="25"/>
      <c r="M940" s="26"/>
      <c r="N940" s="24"/>
    </row>
    <row r="941" customFormat="false" ht="15" hidden="false" customHeight="false" outlineLevel="0" collapsed="false">
      <c r="A941" s="21"/>
      <c r="B941" s="22"/>
      <c r="C941" s="22"/>
      <c r="D941" s="23"/>
      <c r="E941" s="21"/>
      <c r="F941" s="24"/>
      <c r="G941" s="25"/>
      <c r="H941" s="25"/>
      <c r="I941" s="24"/>
      <c r="J941" s="25"/>
      <c r="K941" s="24"/>
      <c r="L941" s="25"/>
      <c r="M941" s="26"/>
      <c r="N941" s="24"/>
    </row>
    <row r="942" customFormat="false" ht="15" hidden="false" customHeight="false" outlineLevel="0" collapsed="false">
      <c r="A942" s="21"/>
      <c r="B942" s="22"/>
      <c r="C942" s="22"/>
      <c r="D942" s="23"/>
      <c r="E942" s="21"/>
      <c r="F942" s="24"/>
      <c r="G942" s="25"/>
      <c r="H942" s="25"/>
      <c r="I942" s="24"/>
      <c r="J942" s="25"/>
      <c r="K942" s="24"/>
      <c r="L942" s="25"/>
      <c r="M942" s="26"/>
      <c r="N942" s="24"/>
    </row>
    <row r="943" customFormat="false" ht="15" hidden="false" customHeight="false" outlineLevel="0" collapsed="false">
      <c r="A943" s="21"/>
      <c r="B943" s="22"/>
      <c r="C943" s="22"/>
      <c r="D943" s="23"/>
      <c r="E943" s="21"/>
      <c r="F943" s="24"/>
      <c r="G943" s="25"/>
      <c r="H943" s="25"/>
      <c r="I943" s="24"/>
      <c r="J943" s="25"/>
      <c r="K943" s="24"/>
      <c r="L943" s="25"/>
      <c r="M943" s="26"/>
      <c r="N943" s="24"/>
    </row>
    <row r="944" customFormat="false" ht="15" hidden="false" customHeight="false" outlineLevel="0" collapsed="false">
      <c r="A944" s="21"/>
      <c r="B944" s="22"/>
      <c r="C944" s="22"/>
      <c r="D944" s="23"/>
      <c r="E944" s="21"/>
      <c r="F944" s="24"/>
      <c r="G944" s="25"/>
      <c r="H944" s="25"/>
      <c r="I944" s="24"/>
      <c r="J944" s="25"/>
      <c r="K944" s="24"/>
      <c r="L944" s="25"/>
      <c r="M944" s="26"/>
      <c r="N944" s="24"/>
    </row>
    <row r="945" customFormat="false" ht="15" hidden="false" customHeight="false" outlineLevel="0" collapsed="false">
      <c r="A945" s="21"/>
      <c r="B945" s="22"/>
      <c r="C945" s="22"/>
      <c r="D945" s="23"/>
      <c r="E945" s="21"/>
      <c r="F945" s="24"/>
      <c r="G945" s="25"/>
      <c r="H945" s="25"/>
      <c r="I945" s="24"/>
      <c r="J945" s="25"/>
      <c r="K945" s="24"/>
      <c r="L945" s="25"/>
      <c r="M945" s="26"/>
      <c r="N945" s="24"/>
    </row>
    <row r="946" customFormat="false" ht="15" hidden="false" customHeight="false" outlineLevel="0" collapsed="false">
      <c r="A946" s="21"/>
      <c r="B946" s="22"/>
      <c r="C946" s="22"/>
      <c r="D946" s="23"/>
      <c r="E946" s="21"/>
      <c r="F946" s="24"/>
      <c r="G946" s="25"/>
      <c r="H946" s="25"/>
      <c r="I946" s="24"/>
      <c r="J946" s="25"/>
      <c r="K946" s="24"/>
      <c r="L946" s="25"/>
      <c r="M946" s="26"/>
      <c r="N946" s="24"/>
    </row>
    <row r="947" customFormat="false" ht="15" hidden="false" customHeight="false" outlineLevel="0" collapsed="false">
      <c r="A947" s="21"/>
      <c r="B947" s="22"/>
      <c r="C947" s="22"/>
      <c r="D947" s="23"/>
      <c r="E947" s="21"/>
      <c r="F947" s="24"/>
      <c r="G947" s="25"/>
      <c r="H947" s="25"/>
      <c r="I947" s="24"/>
      <c r="J947" s="25"/>
      <c r="K947" s="24"/>
      <c r="L947" s="25"/>
      <c r="M947" s="26"/>
      <c r="N947" s="24"/>
    </row>
    <row r="948" customFormat="false" ht="15" hidden="false" customHeight="false" outlineLevel="0" collapsed="false">
      <c r="A948" s="21"/>
      <c r="B948" s="22"/>
      <c r="C948" s="22"/>
      <c r="D948" s="23"/>
      <c r="E948" s="21"/>
      <c r="F948" s="24"/>
      <c r="G948" s="25"/>
      <c r="H948" s="25"/>
      <c r="I948" s="24"/>
      <c r="J948" s="25"/>
      <c r="K948" s="24"/>
      <c r="L948" s="25"/>
      <c r="M948" s="26"/>
      <c r="N948" s="24"/>
    </row>
    <row r="949" customFormat="false" ht="15" hidden="false" customHeight="false" outlineLevel="0" collapsed="false">
      <c r="A949" s="21"/>
      <c r="B949" s="22"/>
      <c r="C949" s="22"/>
      <c r="D949" s="23"/>
      <c r="E949" s="21"/>
      <c r="F949" s="24"/>
      <c r="G949" s="25"/>
      <c r="H949" s="25"/>
      <c r="I949" s="24"/>
      <c r="J949" s="25"/>
      <c r="K949" s="24"/>
      <c r="L949" s="25"/>
      <c r="M949" s="26"/>
      <c r="N949" s="24"/>
    </row>
    <row r="950" customFormat="false" ht="15" hidden="false" customHeight="false" outlineLevel="0" collapsed="false">
      <c r="A950" s="21"/>
      <c r="B950" s="22"/>
      <c r="C950" s="22"/>
      <c r="D950" s="23"/>
      <c r="E950" s="21"/>
      <c r="F950" s="24"/>
      <c r="G950" s="25"/>
      <c r="H950" s="25"/>
      <c r="I950" s="24"/>
      <c r="J950" s="25"/>
      <c r="K950" s="24"/>
      <c r="L950" s="25"/>
      <c r="M950" s="26"/>
      <c r="N950" s="24"/>
    </row>
    <row r="951" customFormat="false" ht="15" hidden="false" customHeight="false" outlineLevel="0" collapsed="false">
      <c r="A951" s="21"/>
      <c r="B951" s="22"/>
      <c r="C951" s="22"/>
      <c r="D951" s="23"/>
      <c r="E951" s="21"/>
      <c r="F951" s="24"/>
      <c r="G951" s="25"/>
      <c r="H951" s="25"/>
      <c r="I951" s="24"/>
      <c r="J951" s="25"/>
      <c r="K951" s="24"/>
      <c r="L951" s="25"/>
      <c r="M951" s="26"/>
      <c r="N951" s="24"/>
    </row>
    <row r="952" customFormat="false" ht="15" hidden="false" customHeight="false" outlineLevel="0" collapsed="false">
      <c r="A952" s="21"/>
      <c r="B952" s="22"/>
      <c r="C952" s="22"/>
      <c r="D952" s="23"/>
      <c r="E952" s="21"/>
      <c r="F952" s="24"/>
      <c r="G952" s="25"/>
      <c r="H952" s="25"/>
      <c r="I952" s="24"/>
      <c r="J952" s="25"/>
      <c r="K952" s="24"/>
      <c r="L952" s="25"/>
      <c r="M952" s="26"/>
      <c r="N952" s="24"/>
    </row>
    <row r="953" customFormat="false" ht="15" hidden="false" customHeight="false" outlineLevel="0" collapsed="false">
      <c r="A953" s="21"/>
      <c r="B953" s="22"/>
      <c r="C953" s="22"/>
      <c r="D953" s="23"/>
      <c r="E953" s="21"/>
      <c r="F953" s="24"/>
      <c r="G953" s="25"/>
      <c r="H953" s="25"/>
      <c r="I953" s="24"/>
      <c r="J953" s="25"/>
      <c r="K953" s="24"/>
      <c r="L953" s="25"/>
      <c r="M953" s="26"/>
      <c r="N953" s="24"/>
    </row>
    <row r="954" customFormat="false" ht="15" hidden="false" customHeight="false" outlineLevel="0" collapsed="false">
      <c r="A954" s="21"/>
      <c r="B954" s="22"/>
      <c r="C954" s="22"/>
      <c r="D954" s="23"/>
      <c r="E954" s="21"/>
      <c r="F954" s="24"/>
      <c r="G954" s="25"/>
      <c r="H954" s="25"/>
      <c r="I954" s="24"/>
      <c r="J954" s="25"/>
      <c r="K954" s="24"/>
      <c r="L954" s="25"/>
      <c r="M954" s="26"/>
      <c r="N954" s="24"/>
    </row>
    <row r="955" customFormat="false" ht="15" hidden="false" customHeight="false" outlineLevel="0" collapsed="false">
      <c r="A955" s="21"/>
      <c r="B955" s="22"/>
      <c r="C955" s="22"/>
      <c r="D955" s="23"/>
      <c r="E955" s="21"/>
      <c r="F955" s="24"/>
      <c r="G955" s="25"/>
      <c r="H955" s="25"/>
      <c r="I955" s="24"/>
      <c r="J955" s="25"/>
      <c r="K955" s="24"/>
      <c r="L955" s="25"/>
      <c r="M955" s="26"/>
      <c r="N955" s="24"/>
    </row>
    <row r="956" customFormat="false" ht="15" hidden="false" customHeight="false" outlineLevel="0" collapsed="false">
      <c r="A956" s="21"/>
      <c r="B956" s="22"/>
      <c r="C956" s="22"/>
      <c r="D956" s="23"/>
      <c r="E956" s="21"/>
      <c r="F956" s="24"/>
      <c r="G956" s="25"/>
      <c r="H956" s="25"/>
      <c r="I956" s="24"/>
      <c r="J956" s="25"/>
      <c r="K956" s="24"/>
      <c r="L956" s="25"/>
      <c r="M956" s="26"/>
      <c r="N956" s="24"/>
    </row>
    <row r="957" customFormat="false" ht="15" hidden="false" customHeight="false" outlineLevel="0" collapsed="false">
      <c r="A957" s="21"/>
      <c r="B957" s="22"/>
      <c r="C957" s="22"/>
      <c r="D957" s="23"/>
      <c r="E957" s="21"/>
      <c r="F957" s="24"/>
      <c r="G957" s="25"/>
      <c r="H957" s="25"/>
      <c r="I957" s="24"/>
      <c r="J957" s="25"/>
      <c r="K957" s="24"/>
      <c r="L957" s="25"/>
      <c r="M957" s="26"/>
      <c r="N957" s="24"/>
    </row>
    <row r="958" customFormat="false" ht="15" hidden="false" customHeight="false" outlineLevel="0" collapsed="false">
      <c r="A958" s="21"/>
      <c r="B958" s="22"/>
      <c r="C958" s="22"/>
      <c r="D958" s="23"/>
      <c r="E958" s="21"/>
      <c r="F958" s="24"/>
      <c r="G958" s="25"/>
      <c r="H958" s="25"/>
      <c r="I958" s="24"/>
      <c r="J958" s="25"/>
      <c r="K958" s="24"/>
      <c r="L958" s="25"/>
      <c r="M958" s="26"/>
      <c r="N958" s="24"/>
    </row>
    <row r="959" customFormat="false" ht="15" hidden="false" customHeight="false" outlineLevel="0" collapsed="false">
      <c r="A959" s="21"/>
      <c r="B959" s="22"/>
      <c r="C959" s="22"/>
      <c r="D959" s="23"/>
      <c r="E959" s="21"/>
      <c r="F959" s="24"/>
      <c r="G959" s="25"/>
      <c r="H959" s="25"/>
      <c r="I959" s="24"/>
      <c r="J959" s="25"/>
      <c r="K959" s="24"/>
      <c r="L959" s="25"/>
      <c r="M959" s="26"/>
      <c r="N959" s="24"/>
    </row>
    <row r="960" customFormat="false" ht="15" hidden="false" customHeight="false" outlineLevel="0" collapsed="false">
      <c r="A960" s="21"/>
      <c r="B960" s="22"/>
      <c r="C960" s="22"/>
      <c r="D960" s="23"/>
      <c r="E960" s="21"/>
      <c r="F960" s="24"/>
      <c r="G960" s="25"/>
      <c r="H960" s="25"/>
      <c r="I960" s="24"/>
      <c r="J960" s="25"/>
      <c r="K960" s="24"/>
      <c r="L960" s="25"/>
      <c r="M960" s="26"/>
      <c r="N960" s="24"/>
    </row>
    <row r="961" customFormat="false" ht="15" hidden="false" customHeight="false" outlineLevel="0" collapsed="false">
      <c r="A961" s="21"/>
      <c r="B961" s="22"/>
      <c r="C961" s="22"/>
      <c r="D961" s="23"/>
      <c r="E961" s="21"/>
      <c r="F961" s="24"/>
      <c r="G961" s="25"/>
      <c r="H961" s="25"/>
      <c r="I961" s="24"/>
      <c r="J961" s="25"/>
      <c r="K961" s="24"/>
      <c r="L961" s="25"/>
      <c r="M961" s="26"/>
      <c r="N961" s="24"/>
    </row>
    <row r="962" customFormat="false" ht="15" hidden="false" customHeight="false" outlineLevel="0" collapsed="false">
      <c r="A962" s="21"/>
      <c r="B962" s="22"/>
      <c r="C962" s="22"/>
      <c r="D962" s="23"/>
      <c r="E962" s="21"/>
      <c r="F962" s="24"/>
      <c r="G962" s="25"/>
      <c r="H962" s="25"/>
      <c r="I962" s="24"/>
      <c r="J962" s="25"/>
      <c r="K962" s="24"/>
      <c r="L962" s="25"/>
      <c r="M962" s="26"/>
      <c r="N962" s="24"/>
    </row>
    <row r="963" customFormat="false" ht="15" hidden="false" customHeight="false" outlineLevel="0" collapsed="false">
      <c r="A963" s="21"/>
      <c r="B963" s="22"/>
      <c r="C963" s="22"/>
      <c r="D963" s="23"/>
      <c r="E963" s="21"/>
      <c r="F963" s="24"/>
      <c r="G963" s="25"/>
      <c r="H963" s="25"/>
      <c r="I963" s="24"/>
      <c r="J963" s="25"/>
      <c r="K963" s="24"/>
      <c r="L963" s="25"/>
      <c r="M963" s="26"/>
      <c r="N963" s="24"/>
    </row>
    <row r="964" customFormat="false" ht="15" hidden="false" customHeight="false" outlineLevel="0" collapsed="false">
      <c r="A964" s="21"/>
      <c r="B964" s="22"/>
      <c r="C964" s="22"/>
      <c r="D964" s="23"/>
      <c r="E964" s="21"/>
      <c r="F964" s="24"/>
      <c r="G964" s="25"/>
      <c r="H964" s="25"/>
      <c r="I964" s="24"/>
      <c r="J964" s="25"/>
      <c r="K964" s="24"/>
      <c r="L964" s="25"/>
      <c r="M964" s="26"/>
      <c r="N964" s="24"/>
    </row>
    <row r="965" customFormat="false" ht="15" hidden="false" customHeight="false" outlineLevel="0" collapsed="false">
      <c r="A965" s="21"/>
      <c r="B965" s="22"/>
      <c r="C965" s="22"/>
      <c r="D965" s="23"/>
      <c r="E965" s="21"/>
      <c r="F965" s="24"/>
      <c r="G965" s="25"/>
      <c r="H965" s="25"/>
      <c r="I965" s="24"/>
      <c r="J965" s="25"/>
      <c r="K965" s="24"/>
      <c r="L965" s="25"/>
      <c r="M965" s="26"/>
      <c r="N965" s="24"/>
    </row>
    <row r="966" customFormat="false" ht="15" hidden="false" customHeight="false" outlineLevel="0" collapsed="false">
      <c r="A966" s="21"/>
      <c r="B966" s="22"/>
      <c r="C966" s="22"/>
      <c r="D966" s="23"/>
      <c r="E966" s="21"/>
      <c r="F966" s="24"/>
      <c r="G966" s="25"/>
      <c r="H966" s="25"/>
      <c r="I966" s="24"/>
      <c r="J966" s="25"/>
      <c r="K966" s="24"/>
      <c r="L966" s="25"/>
      <c r="M966" s="26"/>
      <c r="N966" s="24"/>
    </row>
    <row r="967" customFormat="false" ht="15" hidden="false" customHeight="false" outlineLevel="0" collapsed="false">
      <c r="A967" s="21"/>
      <c r="B967" s="22"/>
      <c r="C967" s="22"/>
      <c r="D967" s="23"/>
      <c r="E967" s="21"/>
      <c r="F967" s="24"/>
      <c r="G967" s="25"/>
      <c r="H967" s="25"/>
      <c r="I967" s="24"/>
      <c r="J967" s="25"/>
      <c r="K967" s="24"/>
      <c r="L967" s="25"/>
      <c r="M967" s="26"/>
      <c r="N967" s="24"/>
    </row>
    <row r="968" customFormat="false" ht="15" hidden="false" customHeight="false" outlineLevel="0" collapsed="false">
      <c r="A968" s="21"/>
      <c r="B968" s="22"/>
      <c r="C968" s="22"/>
      <c r="D968" s="23"/>
      <c r="E968" s="21"/>
      <c r="F968" s="24"/>
      <c r="G968" s="25"/>
      <c r="H968" s="25"/>
      <c r="I968" s="24"/>
      <c r="J968" s="25"/>
      <c r="K968" s="24"/>
      <c r="L968" s="25"/>
      <c r="M968" s="26"/>
      <c r="N968" s="24"/>
    </row>
    <row r="969" customFormat="false" ht="15" hidden="false" customHeight="false" outlineLevel="0" collapsed="false">
      <c r="A969" s="21"/>
      <c r="B969" s="22"/>
      <c r="C969" s="22"/>
      <c r="D969" s="23"/>
      <c r="E969" s="21"/>
      <c r="F969" s="24"/>
      <c r="G969" s="25"/>
      <c r="H969" s="25"/>
      <c r="I969" s="24"/>
      <c r="J969" s="25"/>
      <c r="K969" s="24"/>
      <c r="L969" s="25"/>
      <c r="M969" s="26"/>
      <c r="N969" s="24"/>
    </row>
    <row r="970" customFormat="false" ht="15" hidden="false" customHeight="false" outlineLevel="0" collapsed="false">
      <c r="A970" s="21"/>
      <c r="B970" s="22"/>
      <c r="C970" s="22"/>
      <c r="D970" s="23"/>
      <c r="E970" s="21"/>
      <c r="F970" s="24"/>
      <c r="G970" s="25"/>
      <c r="H970" s="25"/>
      <c r="I970" s="24"/>
      <c r="J970" s="25"/>
      <c r="K970" s="24"/>
      <c r="L970" s="25"/>
      <c r="M970" s="26"/>
      <c r="N970" s="24"/>
    </row>
    <row r="971" customFormat="false" ht="15" hidden="false" customHeight="false" outlineLevel="0" collapsed="false">
      <c r="A971" s="21"/>
      <c r="B971" s="22"/>
      <c r="C971" s="22"/>
      <c r="D971" s="23"/>
      <c r="E971" s="21"/>
      <c r="F971" s="24"/>
      <c r="G971" s="25"/>
      <c r="H971" s="25"/>
      <c r="I971" s="24"/>
      <c r="J971" s="25"/>
      <c r="K971" s="24"/>
      <c r="L971" s="25"/>
      <c r="M971" s="26"/>
      <c r="N971" s="24"/>
    </row>
    <row r="972" customFormat="false" ht="15" hidden="false" customHeight="false" outlineLevel="0" collapsed="false">
      <c r="A972" s="21"/>
      <c r="B972" s="22"/>
      <c r="C972" s="22"/>
      <c r="D972" s="23"/>
      <c r="E972" s="21"/>
      <c r="F972" s="24"/>
      <c r="G972" s="25"/>
      <c r="H972" s="25"/>
      <c r="I972" s="24"/>
      <c r="J972" s="25"/>
      <c r="K972" s="24"/>
      <c r="L972" s="25"/>
      <c r="M972" s="26"/>
      <c r="N972" s="24"/>
    </row>
    <row r="973" customFormat="false" ht="15" hidden="false" customHeight="false" outlineLevel="0" collapsed="false">
      <c r="A973" s="21"/>
      <c r="B973" s="22"/>
      <c r="C973" s="22"/>
      <c r="D973" s="23"/>
      <c r="E973" s="21"/>
      <c r="F973" s="24"/>
      <c r="G973" s="25"/>
      <c r="H973" s="25"/>
      <c r="I973" s="24"/>
      <c r="J973" s="25"/>
      <c r="K973" s="24"/>
      <c r="L973" s="25"/>
      <c r="M973" s="26"/>
      <c r="N973" s="24"/>
    </row>
    <row r="974" customFormat="false" ht="15" hidden="false" customHeight="false" outlineLevel="0" collapsed="false">
      <c r="A974" s="21"/>
      <c r="B974" s="22"/>
      <c r="C974" s="22"/>
      <c r="D974" s="23"/>
      <c r="E974" s="21"/>
      <c r="F974" s="24"/>
      <c r="G974" s="25"/>
      <c r="H974" s="25"/>
      <c r="I974" s="24"/>
      <c r="J974" s="25"/>
      <c r="K974" s="24"/>
      <c r="L974" s="25"/>
      <c r="M974" s="26"/>
      <c r="N974" s="24"/>
    </row>
    <row r="975" customFormat="false" ht="15" hidden="false" customHeight="false" outlineLevel="0" collapsed="false">
      <c r="A975" s="21"/>
      <c r="B975" s="22"/>
      <c r="C975" s="22"/>
      <c r="D975" s="23"/>
      <c r="E975" s="21"/>
      <c r="F975" s="24"/>
      <c r="G975" s="25"/>
      <c r="H975" s="25"/>
      <c r="I975" s="24"/>
      <c r="J975" s="25"/>
      <c r="K975" s="24"/>
      <c r="L975" s="25"/>
      <c r="M975" s="26"/>
      <c r="N975" s="24"/>
    </row>
    <row r="976" customFormat="false" ht="15" hidden="false" customHeight="false" outlineLevel="0" collapsed="false">
      <c r="A976" s="21"/>
      <c r="B976" s="22"/>
      <c r="C976" s="22"/>
      <c r="D976" s="23"/>
      <c r="E976" s="21"/>
      <c r="F976" s="24"/>
      <c r="G976" s="25"/>
      <c r="H976" s="25"/>
      <c r="I976" s="24"/>
      <c r="J976" s="25"/>
      <c r="K976" s="24"/>
      <c r="L976" s="25"/>
      <c r="M976" s="26"/>
      <c r="N976" s="24"/>
    </row>
    <row r="977" customFormat="false" ht="15" hidden="false" customHeight="false" outlineLevel="0" collapsed="false">
      <c r="A977" s="21"/>
      <c r="B977" s="22"/>
      <c r="C977" s="22"/>
      <c r="D977" s="23"/>
      <c r="E977" s="21"/>
      <c r="F977" s="24"/>
      <c r="G977" s="25"/>
      <c r="H977" s="25"/>
      <c r="I977" s="24"/>
      <c r="J977" s="25"/>
      <c r="K977" s="24"/>
      <c r="L977" s="25"/>
      <c r="M977" s="26"/>
      <c r="N977" s="24"/>
    </row>
    <row r="978" customFormat="false" ht="15" hidden="false" customHeight="false" outlineLevel="0" collapsed="false">
      <c r="A978" s="21"/>
      <c r="B978" s="22"/>
      <c r="C978" s="22"/>
      <c r="D978" s="23"/>
      <c r="E978" s="21"/>
      <c r="F978" s="24"/>
      <c r="G978" s="25"/>
      <c r="H978" s="25"/>
      <c r="I978" s="24"/>
      <c r="J978" s="25"/>
      <c r="K978" s="24"/>
      <c r="L978" s="25"/>
      <c r="M978" s="26"/>
      <c r="N978" s="24"/>
    </row>
    <row r="979" customFormat="false" ht="15" hidden="false" customHeight="false" outlineLevel="0" collapsed="false">
      <c r="A979" s="21"/>
      <c r="B979" s="22"/>
      <c r="C979" s="22"/>
      <c r="D979" s="23"/>
      <c r="E979" s="21"/>
      <c r="F979" s="24"/>
      <c r="G979" s="25"/>
      <c r="H979" s="25"/>
      <c r="I979" s="24"/>
      <c r="J979" s="25"/>
      <c r="K979" s="24"/>
      <c r="L979" s="25"/>
      <c r="M979" s="26"/>
      <c r="N979" s="24"/>
    </row>
    <row r="980" customFormat="false" ht="15" hidden="false" customHeight="false" outlineLevel="0" collapsed="false">
      <c r="A980" s="21"/>
      <c r="B980" s="22"/>
      <c r="C980" s="22"/>
      <c r="D980" s="23"/>
      <c r="E980" s="21"/>
      <c r="F980" s="24"/>
      <c r="G980" s="25"/>
      <c r="H980" s="25"/>
      <c r="I980" s="24"/>
      <c r="J980" s="25"/>
      <c r="K980" s="24"/>
      <c r="L980" s="25"/>
      <c r="M980" s="26"/>
      <c r="N980" s="24"/>
    </row>
    <row r="981" customFormat="false" ht="15" hidden="false" customHeight="false" outlineLevel="0" collapsed="false">
      <c r="A981" s="21"/>
      <c r="B981" s="22"/>
      <c r="C981" s="22"/>
      <c r="D981" s="23"/>
      <c r="E981" s="21"/>
      <c r="F981" s="24"/>
      <c r="G981" s="25"/>
      <c r="H981" s="25"/>
      <c r="I981" s="24"/>
      <c r="J981" s="25"/>
      <c r="K981" s="24"/>
      <c r="L981" s="25"/>
      <c r="M981" s="26"/>
      <c r="N981" s="24"/>
    </row>
    <row r="982" customFormat="false" ht="15" hidden="false" customHeight="false" outlineLevel="0" collapsed="false">
      <c r="A982" s="21"/>
      <c r="B982" s="22"/>
      <c r="C982" s="22"/>
      <c r="D982" s="23"/>
      <c r="E982" s="21"/>
      <c r="F982" s="24"/>
      <c r="G982" s="25"/>
      <c r="H982" s="25"/>
      <c r="I982" s="24"/>
      <c r="J982" s="25"/>
      <c r="K982" s="24"/>
      <c r="L982" s="25"/>
      <c r="M982" s="26"/>
      <c r="N982" s="24"/>
    </row>
    <row r="983" customFormat="false" ht="15" hidden="false" customHeight="false" outlineLevel="0" collapsed="false">
      <c r="A983" s="21"/>
      <c r="B983" s="22"/>
      <c r="C983" s="22"/>
      <c r="D983" s="23"/>
      <c r="E983" s="21"/>
      <c r="F983" s="24"/>
      <c r="G983" s="25"/>
      <c r="H983" s="25"/>
      <c r="I983" s="24"/>
      <c r="J983" s="25"/>
      <c r="K983" s="24"/>
      <c r="L983" s="25"/>
      <c r="M983" s="26"/>
      <c r="N983" s="24"/>
    </row>
    <row r="984" customFormat="false" ht="15" hidden="false" customHeight="false" outlineLevel="0" collapsed="false">
      <c r="A984" s="21"/>
      <c r="B984" s="22"/>
      <c r="C984" s="22"/>
      <c r="D984" s="23"/>
      <c r="E984" s="21"/>
      <c r="F984" s="24"/>
      <c r="G984" s="25"/>
      <c r="H984" s="25"/>
      <c r="I984" s="24"/>
      <c r="J984" s="25"/>
      <c r="K984" s="24"/>
      <c r="L984" s="25"/>
      <c r="M984" s="26"/>
      <c r="N984" s="24"/>
    </row>
    <row r="985" customFormat="false" ht="15" hidden="false" customHeight="false" outlineLevel="0" collapsed="false">
      <c r="A985" s="21"/>
      <c r="B985" s="22"/>
      <c r="C985" s="22"/>
      <c r="D985" s="23"/>
      <c r="E985" s="21"/>
      <c r="F985" s="24"/>
      <c r="G985" s="25"/>
      <c r="H985" s="25"/>
      <c r="I985" s="24"/>
      <c r="J985" s="25"/>
      <c r="K985" s="24"/>
      <c r="L985" s="25"/>
      <c r="M985" s="26"/>
      <c r="N985" s="24"/>
    </row>
    <row r="986" customFormat="false" ht="15" hidden="false" customHeight="false" outlineLevel="0" collapsed="false">
      <c r="A986" s="21"/>
      <c r="B986" s="22"/>
      <c r="C986" s="22"/>
      <c r="D986" s="23"/>
      <c r="E986" s="21"/>
      <c r="F986" s="24"/>
      <c r="G986" s="25"/>
      <c r="H986" s="25"/>
      <c r="I986" s="24"/>
      <c r="J986" s="25"/>
      <c r="K986" s="24"/>
      <c r="L986" s="25"/>
      <c r="M986" s="26"/>
      <c r="N986" s="24"/>
    </row>
    <row r="987" customFormat="false" ht="15" hidden="false" customHeight="false" outlineLevel="0" collapsed="false">
      <c r="A987" s="21"/>
      <c r="B987" s="22"/>
      <c r="C987" s="22"/>
      <c r="D987" s="23"/>
      <c r="E987" s="21"/>
      <c r="F987" s="24"/>
      <c r="G987" s="25"/>
      <c r="H987" s="25"/>
      <c r="I987" s="24"/>
      <c r="J987" s="25"/>
      <c r="K987" s="24"/>
      <c r="L987" s="25"/>
      <c r="M987" s="26"/>
      <c r="N987" s="24"/>
    </row>
    <row r="988" customFormat="false" ht="15" hidden="false" customHeight="false" outlineLevel="0" collapsed="false">
      <c r="A988" s="21"/>
      <c r="B988" s="22"/>
      <c r="C988" s="22"/>
      <c r="D988" s="23"/>
      <c r="E988" s="21"/>
      <c r="F988" s="24"/>
      <c r="G988" s="25"/>
      <c r="H988" s="25"/>
      <c r="I988" s="24"/>
      <c r="J988" s="25"/>
      <c r="K988" s="24"/>
      <c r="L988" s="25"/>
      <c r="M988" s="26"/>
      <c r="N988" s="24"/>
    </row>
    <row r="989" customFormat="false" ht="15" hidden="false" customHeight="false" outlineLevel="0" collapsed="false">
      <c r="A989" s="21"/>
      <c r="B989" s="22"/>
      <c r="C989" s="22"/>
      <c r="D989" s="23"/>
      <c r="E989" s="21"/>
      <c r="F989" s="24"/>
      <c r="G989" s="25"/>
      <c r="H989" s="25"/>
      <c r="I989" s="24"/>
      <c r="J989" s="25"/>
      <c r="K989" s="24"/>
      <c r="L989" s="25"/>
      <c r="M989" s="26"/>
      <c r="N989" s="24"/>
    </row>
    <row r="990" customFormat="false" ht="15" hidden="false" customHeight="false" outlineLevel="0" collapsed="false">
      <c r="A990" s="21"/>
      <c r="B990" s="22"/>
      <c r="C990" s="22"/>
      <c r="D990" s="23"/>
      <c r="E990" s="21"/>
      <c r="F990" s="24"/>
      <c r="G990" s="25"/>
      <c r="H990" s="25"/>
      <c r="I990" s="24"/>
      <c r="J990" s="25"/>
      <c r="K990" s="24"/>
      <c r="L990" s="25"/>
      <c r="M990" s="26"/>
      <c r="N990" s="24"/>
    </row>
    <row r="991" customFormat="false" ht="15" hidden="false" customHeight="false" outlineLevel="0" collapsed="false">
      <c r="A991" s="21"/>
      <c r="B991" s="22"/>
      <c r="C991" s="22"/>
      <c r="D991" s="23"/>
      <c r="E991" s="21"/>
      <c r="F991" s="24"/>
      <c r="G991" s="25"/>
      <c r="H991" s="25"/>
      <c r="I991" s="24"/>
      <c r="J991" s="25"/>
      <c r="K991" s="24"/>
      <c r="L991" s="25"/>
      <c r="M991" s="26"/>
      <c r="N991" s="24"/>
    </row>
    <row r="992" customFormat="false" ht="15" hidden="false" customHeight="false" outlineLevel="0" collapsed="false">
      <c r="A992" s="21"/>
      <c r="B992" s="22"/>
      <c r="C992" s="22"/>
      <c r="D992" s="23"/>
      <c r="E992" s="21"/>
      <c r="F992" s="24"/>
      <c r="G992" s="25"/>
      <c r="H992" s="25"/>
      <c r="I992" s="24"/>
      <c r="J992" s="25"/>
      <c r="K992" s="24"/>
      <c r="L992" s="25"/>
      <c r="M992" s="26"/>
      <c r="N992" s="24"/>
    </row>
    <row r="993" customFormat="false" ht="15" hidden="false" customHeight="false" outlineLevel="0" collapsed="false">
      <c r="A993" s="21"/>
      <c r="B993" s="22"/>
      <c r="C993" s="22"/>
      <c r="D993" s="23"/>
      <c r="E993" s="21"/>
      <c r="F993" s="24"/>
      <c r="G993" s="25"/>
      <c r="H993" s="25"/>
      <c r="I993" s="24"/>
      <c r="J993" s="25"/>
      <c r="K993" s="24"/>
      <c r="L993" s="25"/>
      <c r="M993" s="26"/>
      <c r="N993" s="24"/>
    </row>
    <row r="994" customFormat="false" ht="15" hidden="false" customHeight="false" outlineLevel="0" collapsed="false">
      <c r="A994" s="21"/>
      <c r="B994" s="22"/>
      <c r="C994" s="22"/>
      <c r="D994" s="23"/>
      <c r="E994" s="21"/>
      <c r="F994" s="24"/>
      <c r="G994" s="25"/>
      <c r="H994" s="25"/>
      <c r="I994" s="24"/>
      <c r="J994" s="25"/>
      <c r="K994" s="24"/>
      <c r="L994" s="25"/>
      <c r="M994" s="26"/>
      <c r="N994" s="24"/>
    </row>
    <row r="995" customFormat="false" ht="15" hidden="false" customHeight="false" outlineLevel="0" collapsed="false">
      <c r="A995" s="21"/>
      <c r="B995" s="22"/>
      <c r="C995" s="22"/>
      <c r="D995" s="23"/>
      <c r="E995" s="21"/>
      <c r="F995" s="24"/>
      <c r="G995" s="25"/>
      <c r="H995" s="25"/>
      <c r="I995" s="24"/>
      <c r="J995" s="25"/>
      <c r="K995" s="24"/>
      <c r="L995" s="25"/>
      <c r="M995" s="26"/>
      <c r="N995" s="24"/>
    </row>
    <row r="996" customFormat="false" ht="15" hidden="false" customHeight="false" outlineLevel="0" collapsed="false">
      <c r="A996" s="21"/>
      <c r="B996" s="22"/>
      <c r="C996" s="22"/>
      <c r="D996" s="23"/>
      <c r="E996" s="21"/>
      <c r="F996" s="24"/>
      <c r="G996" s="25"/>
      <c r="H996" s="25"/>
      <c r="I996" s="24"/>
      <c r="J996" s="25"/>
      <c r="K996" s="24"/>
      <c r="L996" s="25"/>
      <c r="M996" s="26"/>
      <c r="N996" s="24"/>
    </row>
    <row r="997" customFormat="false" ht="15" hidden="false" customHeight="false" outlineLevel="0" collapsed="false">
      <c r="A997" s="21"/>
      <c r="B997" s="22"/>
      <c r="C997" s="22"/>
      <c r="D997" s="23"/>
      <c r="E997" s="21"/>
      <c r="F997" s="24"/>
      <c r="G997" s="25"/>
      <c r="H997" s="25"/>
      <c r="I997" s="24"/>
      <c r="J997" s="25"/>
      <c r="K997" s="24"/>
      <c r="L997" s="25"/>
      <c r="M997" s="26"/>
      <c r="N997" s="24"/>
    </row>
    <row r="998" customFormat="false" ht="15" hidden="false" customHeight="false" outlineLevel="0" collapsed="false">
      <c r="A998" s="21"/>
      <c r="B998" s="22"/>
      <c r="C998" s="22"/>
      <c r="D998" s="23"/>
      <c r="E998" s="21"/>
      <c r="F998" s="24"/>
      <c r="G998" s="25"/>
      <c r="H998" s="25"/>
      <c r="I998" s="24"/>
      <c r="J998" s="25"/>
      <c r="K998" s="24"/>
      <c r="L998" s="25"/>
      <c r="M998" s="26"/>
      <c r="N998" s="24"/>
    </row>
    <row r="999" customFormat="false" ht="15" hidden="false" customHeight="false" outlineLevel="0" collapsed="false">
      <c r="A999" s="21"/>
      <c r="B999" s="22"/>
      <c r="C999" s="22"/>
      <c r="D999" s="23"/>
      <c r="E999" s="21"/>
      <c r="F999" s="24"/>
      <c r="G999" s="25"/>
      <c r="H999" s="25"/>
      <c r="I999" s="24"/>
      <c r="J999" s="25"/>
      <c r="K999" s="24"/>
      <c r="L999" s="25"/>
      <c r="M999" s="26"/>
      <c r="N999" s="24"/>
    </row>
    <row r="1000" customFormat="false" ht="15" hidden="false" customHeight="false" outlineLevel="0" collapsed="false">
      <c r="A1000" s="21"/>
      <c r="B1000" s="22"/>
      <c r="C1000" s="22"/>
      <c r="D1000" s="23"/>
      <c r="E1000" s="21"/>
      <c r="F1000" s="24"/>
      <c r="G1000" s="25"/>
      <c r="H1000" s="25"/>
      <c r="I1000" s="24"/>
      <c r="J1000" s="25"/>
      <c r="K1000" s="24"/>
      <c r="L1000" s="25"/>
      <c r="M1000" s="26"/>
      <c r="N1000" s="24"/>
    </row>
    <row r="1001" customFormat="false" ht="15" hidden="false" customHeight="false" outlineLevel="0" collapsed="false">
      <c r="A1001" s="21"/>
      <c r="B1001" s="22"/>
      <c r="C1001" s="22"/>
      <c r="D1001" s="23"/>
      <c r="E1001" s="21"/>
      <c r="F1001" s="24"/>
      <c r="G1001" s="25"/>
      <c r="H1001" s="25"/>
      <c r="I1001" s="24"/>
      <c r="J1001" s="25"/>
      <c r="K1001" s="24"/>
      <c r="L1001" s="25"/>
      <c r="M1001" s="26"/>
      <c r="N1001" s="24"/>
    </row>
    <row r="1002" customFormat="false" ht="15" hidden="false" customHeight="false" outlineLevel="0" collapsed="false">
      <c r="A1002" s="21"/>
      <c r="B1002" s="22"/>
      <c r="C1002" s="22"/>
      <c r="D1002" s="23"/>
      <c r="E1002" s="21"/>
      <c r="F1002" s="24"/>
      <c r="G1002" s="25"/>
      <c r="H1002" s="25"/>
      <c r="I1002" s="24"/>
      <c r="J1002" s="25"/>
      <c r="K1002" s="24"/>
      <c r="L1002" s="25"/>
      <c r="M1002" s="26"/>
      <c r="N1002" s="24"/>
    </row>
    <row r="1003" customFormat="false" ht="15" hidden="false" customHeight="false" outlineLevel="0" collapsed="false">
      <c r="A1003" s="21"/>
      <c r="B1003" s="22"/>
      <c r="C1003" s="22"/>
      <c r="D1003" s="23"/>
      <c r="E1003" s="21"/>
      <c r="F1003" s="24"/>
      <c r="G1003" s="25"/>
      <c r="H1003" s="25"/>
      <c r="I1003" s="24"/>
      <c r="J1003" s="25"/>
      <c r="K1003" s="24"/>
      <c r="L1003" s="25"/>
      <c r="M1003" s="26"/>
      <c r="N1003" s="24"/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M1004" s="21"/>
    </row>
    <row r="1006" customFormat="false" ht="19.5" hidden="false" customHeight="true" outlineLevel="0" collapsed="false">
      <c r="A1006" s="11" t="s">
        <v>50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N3"/>
    <mergeCell ref="A1006:AN1006"/>
  </mergeCells>
  <conditionalFormatting sqref="I6">
    <cfRule type="cellIs" priority="2" operator="greaterThan" aboveAverage="0" equalAverage="0" bottom="0" percent="0" rank="0" text="" dxfId="7">
      <formula>0</formula>
    </cfRule>
  </conditionalFormatting>
  <conditionalFormatting sqref="K6">
    <cfRule type="cellIs" priority="3" operator="greaterThan" aboveAverage="0" equalAverage="0" bottom="0" percent="0" rank="0" text="" dxfId="7">
      <formula>0</formula>
    </cfRule>
  </conditionalFormatting>
  <conditionalFormatting sqref="N6">
    <cfRule type="cellIs" priority="4" operator="greaterThan" aboveAverage="0" equalAverage="0" bottom="0" percent="0" rank="0" text="" dxfId="7">
      <formula>0</formula>
    </cfRule>
    <cfRule type="cellIs" priority="5" operator="lessThan" aboveAverage="0" equalAverage="0" bottom="0" percent="0" rank="0" text="" dxfId="8">
      <formula>0</formula>
    </cfRule>
  </conditionalFormatting>
  <conditionalFormatting sqref="I7">
    <cfRule type="cellIs" priority="6" operator="greaterThan" aboveAverage="0" equalAverage="0" bottom="0" percent="0" rank="0" text="" dxfId="7">
      <formula>0</formula>
    </cfRule>
  </conditionalFormatting>
  <conditionalFormatting sqref="K7">
    <cfRule type="cellIs" priority="7" operator="greaterThan" aboveAverage="0" equalAverage="0" bottom="0" percent="0" rank="0" text="" dxfId="7">
      <formula>0</formula>
    </cfRule>
  </conditionalFormatting>
  <conditionalFormatting sqref="N7">
    <cfRule type="cellIs" priority="8" operator="greaterThan" aboveAverage="0" equalAverage="0" bottom="0" percent="0" rank="0" text="" dxfId="7">
      <formula>0</formula>
    </cfRule>
    <cfRule type="cellIs" priority="9" operator="lessThan" aboveAverage="0" equalAverage="0" bottom="0" percent="0" rank="0" text="" dxfId="8">
      <formula>0</formula>
    </cfRule>
  </conditionalFormatting>
  <conditionalFormatting sqref="I8">
    <cfRule type="cellIs" priority="10" operator="greaterThan" aboveAverage="0" equalAverage="0" bottom="0" percent="0" rank="0" text="" dxfId="7">
      <formula>0</formula>
    </cfRule>
  </conditionalFormatting>
  <conditionalFormatting sqref="K8">
    <cfRule type="cellIs" priority="11" operator="greaterThan" aboveAverage="0" equalAverage="0" bottom="0" percent="0" rank="0" text="" dxfId="7">
      <formula>0</formula>
    </cfRule>
  </conditionalFormatting>
  <conditionalFormatting sqref="N8">
    <cfRule type="cellIs" priority="12" operator="greaterThan" aboveAverage="0" equalAverage="0" bottom="0" percent="0" rank="0" text="" dxfId="7">
      <formula>0</formula>
    </cfRule>
    <cfRule type="cellIs" priority="13" operator="lessThan" aboveAverage="0" equalAverage="0" bottom="0" percent="0" rank="0" text="" dxfId="8">
      <formula>0</formula>
    </cfRule>
  </conditionalFormatting>
  <conditionalFormatting sqref="I9">
    <cfRule type="cellIs" priority="14" operator="greaterThan" aboveAverage="0" equalAverage="0" bottom="0" percent="0" rank="0" text="" dxfId="7">
      <formula>0</formula>
    </cfRule>
  </conditionalFormatting>
  <conditionalFormatting sqref="K9">
    <cfRule type="cellIs" priority="15" operator="greaterThan" aboveAverage="0" equalAverage="0" bottom="0" percent="0" rank="0" text="" dxfId="7">
      <formula>0</formula>
    </cfRule>
  </conditionalFormatting>
  <conditionalFormatting sqref="N9">
    <cfRule type="cellIs" priority="16" operator="greaterThan" aboveAverage="0" equalAverage="0" bottom="0" percent="0" rank="0" text="" dxfId="7">
      <formula>0</formula>
    </cfRule>
    <cfRule type="cellIs" priority="17" operator="lessThan" aboveAverage="0" equalAverage="0" bottom="0" percent="0" rank="0" text="" dxfId="8">
      <formula>0</formula>
    </cfRule>
  </conditionalFormatting>
  <conditionalFormatting sqref="I10">
    <cfRule type="cellIs" priority="18" operator="greaterThan" aboveAverage="0" equalAverage="0" bottom="0" percent="0" rank="0" text="" dxfId="7">
      <formula>0</formula>
    </cfRule>
  </conditionalFormatting>
  <conditionalFormatting sqref="K10">
    <cfRule type="cellIs" priority="19" operator="greaterThan" aboveAverage="0" equalAverage="0" bottom="0" percent="0" rank="0" text="" dxfId="7">
      <formula>0</formula>
    </cfRule>
  </conditionalFormatting>
  <conditionalFormatting sqref="N10">
    <cfRule type="cellIs" priority="20" operator="greaterThan" aboveAverage="0" equalAverage="0" bottom="0" percent="0" rank="0" text="" dxfId="7">
      <formula>0</formula>
    </cfRule>
    <cfRule type="cellIs" priority="21" operator="lessThan" aboveAverage="0" equalAverage="0" bottom="0" percent="0" rank="0" text="" dxfId="8">
      <formula>0</formula>
    </cfRule>
  </conditionalFormatting>
  <conditionalFormatting sqref="I11">
    <cfRule type="cellIs" priority="22" operator="greaterThan" aboveAverage="0" equalAverage="0" bottom="0" percent="0" rank="0" text="" dxfId="7">
      <formula>0</formula>
    </cfRule>
  </conditionalFormatting>
  <conditionalFormatting sqref="K11">
    <cfRule type="cellIs" priority="23" operator="greaterThan" aboveAverage="0" equalAverage="0" bottom="0" percent="0" rank="0" text="" dxfId="7">
      <formula>0</formula>
    </cfRule>
  </conditionalFormatting>
  <conditionalFormatting sqref="N11">
    <cfRule type="cellIs" priority="24" operator="greaterThan" aboveAverage="0" equalAverage="0" bottom="0" percent="0" rank="0" text="" dxfId="7">
      <formula>0</formula>
    </cfRule>
    <cfRule type="cellIs" priority="25" operator="lessThan" aboveAverage="0" equalAverage="0" bottom="0" percent="0" rank="0" text="" dxfId="8">
      <formula>0</formula>
    </cfRule>
  </conditionalFormatting>
  <conditionalFormatting sqref="I12">
    <cfRule type="cellIs" priority="26" operator="greaterThan" aboveAverage="0" equalAverage="0" bottom="0" percent="0" rank="0" text="" dxfId="7">
      <formula>0</formula>
    </cfRule>
  </conditionalFormatting>
  <conditionalFormatting sqref="K12">
    <cfRule type="cellIs" priority="27" operator="greaterThan" aboveAverage="0" equalAverage="0" bottom="0" percent="0" rank="0" text="" dxfId="7">
      <formula>0</formula>
    </cfRule>
  </conditionalFormatting>
  <conditionalFormatting sqref="N12">
    <cfRule type="cellIs" priority="28" operator="greaterThan" aboveAverage="0" equalAverage="0" bottom="0" percent="0" rank="0" text="" dxfId="7">
      <formula>0</formula>
    </cfRule>
    <cfRule type="cellIs" priority="29" operator="lessThan" aboveAverage="0" equalAverage="0" bottom="0" percent="0" rank="0" text="" dxfId="8">
      <formula>0</formula>
    </cfRule>
  </conditionalFormatting>
  <conditionalFormatting sqref="I13">
    <cfRule type="cellIs" priority="30" operator="greaterThan" aboveAverage="0" equalAverage="0" bottom="0" percent="0" rank="0" text="" dxfId="7">
      <formula>0</formula>
    </cfRule>
  </conditionalFormatting>
  <conditionalFormatting sqref="K13">
    <cfRule type="cellIs" priority="31" operator="greaterThan" aboveAverage="0" equalAverage="0" bottom="0" percent="0" rank="0" text="" dxfId="7">
      <formula>0</formula>
    </cfRule>
  </conditionalFormatting>
  <conditionalFormatting sqref="N13">
    <cfRule type="cellIs" priority="32" operator="greaterThan" aboveAverage="0" equalAverage="0" bottom="0" percent="0" rank="0" text="" dxfId="7">
      <formula>0</formula>
    </cfRule>
    <cfRule type="cellIs" priority="33" operator="lessThan" aboveAverage="0" equalAverage="0" bottom="0" percent="0" rank="0" text="" dxfId="8">
      <formula>0</formula>
    </cfRule>
  </conditionalFormatting>
  <conditionalFormatting sqref="I14">
    <cfRule type="cellIs" priority="34" operator="greaterThan" aboveAverage="0" equalAverage="0" bottom="0" percent="0" rank="0" text="" dxfId="7">
      <formula>0</formula>
    </cfRule>
  </conditionalFormatting>
  <conditionalFormatting sqref="K14">
    <cfRule type="cellIs" priority="35" operator="greaterThan" aboveAverage="0" equalAverage="0" bottom="0" percent="0" rank="0" text="" dxfId="7">
      <formula>0</formula>
    </cfRule>
  </conditionalFormatting>
  <conditionalFormatting sqref="N14">
    <cfRule type="cellIs" priority="36" operator="greaterThan" aboveAverage="0" equalAverage="0" bottom="0" percent="0" rank="0" text="" dxfId="7">
      <formula>0</formula>
    </cfRule>
    <cfRule type="cellIs" priority="37" operator="lessThan" aboveAverage="0" equalAverage="0" bottom="0" percent="0" rank="0" text="" dxfId="8">
      <formula>0</formula>
    </cfRule>
  </conditionalFormatting>
  <conditionalFormatting sqref="I15">
    <cfRule type="cellIs" priority="38" operator="greaterThan" aboveAverage="0" equalAverage="0" bottom="0" percent="0" rank="0" text="" dxfId="7">
      <formula>0</formula>
    </cfRule>
  </conditionalFormatting>
  <conditionalFormatting sqref="K15">
    <cfRule type="cellIs" priority="39" operator="greaterThan" aboveAverage="0" equalAverage="0" bottom="0" percent="0" rank="0" text="" dxfId="7">
      <formula>0</formula>
    </cfRule>
  </conditionalFormatting>
  <conditionalFormatting sqref="N15">
    <cfRule type="cellIs" priority="40" operator="greaterThan" aboveAverage="0" equalAverage="0" bottom="0" percent="0" rank="0" text="" dxfId="7">
      <formula>0</formula>
    </cfRule>
    <cfRule type="cellIs" priority="41" operator="lessThan" aboveAverage="0" equalAverage="0" bottom="0" percent="0" rank="0" text="" dxfId="8">
      <formula>0</formula>
    </cfRule>
  </conditionalFormatting>
  <conditionalFormatting sqref="I16">
    <cfRule type="cellIs" priority="42" operator="greaterThan" aboveAverage="0" equalAverage="0" bottom="0" percent="0" rank="0" text="" dxfId="7">
      <formula>0</formula>
    </cfRule>
  </conditionalFormatting>
  <conditionalFormatting sqref="K16">
    <cfRule type="cellIs" priority="43" operator="greaterThan" aboveAverage="0" equalAverage="0" bottom="0" percent="0" rank="0" text="" dxfId="7">
      <formula>0</formula>
    </cfRule>
  </conditionalFormatting>
  <conditionalFormatting sqref="N16">
    <cfRule type="cellIs" priority="44" operator="greaterThan" aboveAverage="0" equalAverage="0" bottom="0" percent="0" rank="0" text="" dxfId="7">
      <formula>0</formula>
    </cfRule>
    <cfRule type="cellIs" priority="45" operator="lessThan" aboveAverage="0" equalAverage="0" bottom="0" percent="0" rank="0" text="" dxfId="8">
      <formula>0</formula>
    </cfRule>
  </conditionalFormatting>
  <conditionalFormatting sqref="I17">
    <cfRule type="cellIs" priority="46" operator="greaterThan" aboveAverage="0" equalAverage="0" bottom="0" percent="0" rank="0" text="" dxfId="7">
      <formula>0</formula>
    </cfRule>
  </conditionalFormatting>
  <conditionalFormatting sqref="K17">
    <cfRule type="cellIs" priority="47" operator="greaterThan" aboveAverage="0" equalAverage="0" bottom="0" percent="0" rank="0" text="" dxfId="7">
      <formula>0</formula>
    </cfRule>
  </conditionalFormatting>
  <conditionalFormatting sqref="N17">
    <cfRule type="cellIs" priority="48" operator="greaterThan" aboveAverage="0" equalAverage="0" bottom="0" percent="0" rank="0" text="" dxfId="7">
      <formula>0</formula>
    </cfRule>
    <cfRule type="cellIs" priority="49" operator="lessThan" aboveAverage="0" equalAverage="0" bottom="0" percent="0" rank="0" text="" dxfId="8">
      <formula>0</formula>
    </cfRule>
  </conditionalFormatting>
  <conditionalFormatting sqref="I18">
    <cfRule type="cellIs" priority="50" operator="greaterThan" aboveAverage="0" equalAverage="0" bottom="0" percent="0" rank="0" text="" dxfId="7">
      <formula>0</formula>
    </cfRule>
  </conditionalFormatting>
  <conditionalFormatting sqref="K18">
    <cfRule type="cellIs" priority="51" operator="greaterThan" aboveAverage="0" equalAverage="0" bottom="0" percent="0" rank="0" text="" dxfId="7">
      <formula>0</formula>
    </cfRule>
  </conditionalFormatting>
  <conditionalFormatting sqref="N18">
    <cfRule type="cellIs" priority="52" operator="greaterThan" aboveAverage="0" equalAverage="0" bottom="0" percent="0" rank="0" text="" dxfId="7">
      <formula>0</formula>
    </cfRule>
    <cfRule type="cellIs" priority="53" operator="lessThan" aboveAverage="0" equalAverage="0" bottom="0" percent="0" rank="0" text="" dxfId="8">
      <formula>0</formula>
    </cfRule>
  </conditionalFormatting>
  <conditionalFormatting sqref="I19">
    <cfRule type="cellIs" priority="54" operator="greaterThan" aboveAverage="0" equalAverage="0" bottom="0" percent="0" rank="0" text="" dxfId="7">
      <formula>0</formula>
    </cfRule>
  </conditionalFormatting>
  <conditionalFormatting sqref="K19">
    <cfRule type="cellIs" priority="55" operator="greaterThan" aboveAverage="0" equalAverage="0" bottom="0" percent="0" rank="0" text="" dxfId="7">
      <formula>0</formula>
    </cfRule>
  </conditionalFormatting>
  <conditionalFormatting sqref="N19">
    <cfRule type="cellIs" priority="56" operator="greaterThan" aboveAverage="0" equalAverage="0" bottom="0" percent="0" rank="0" text="" dxfId="7">
      <formula>0</formula>
    </cfRule>
    <cfRule type="cellIs" priority="57" operator="lessThan" aboveAverage="0" equalAverage="0" bottom="0" percent="0" rank="0" text="" dxfId="8">
      <formula>0</formula>
    </cfRule>
  </conditionalFormatting>
  <conditionalFormatting sqref="I20">
    <cfRule type="cellIs" priority="58" operator="greaterThan" aboveAverage="0" equalAverage="0" bottom="0" percent="0" rank="0" text="" dxfId="7">
      <formula>0</formula>
    </cfRule>
  </conditionalFormatting>
  <conditionalFormatting sqref="K20">
    <cfRule type="cellIs" priority="59" operator="greaterThan" aboveAverage="0" equalAverage="0" bottom="0" percent="0" rank="0" text="" dxfId="7">
      <formula>0</formula>
    </cfRule>
  </conditionalFormatting>
  <conditionalFormatting sqref="N20">
    <cfRule type="cellIs" priority="60" operator="greaterThan" aboveAverage="0" equalAverage="0" bottom="0" percent="0" rank="0" text="" dxfId="7">
      <formula>0</formula>
    </cfRule>
    <cfRule type="cellIs" priority="61" operator="lessThan" aboveAverage="0" equalAverage="0" bottom="0" percent="0" rank="0" text="" dxfId="8">
      <formula>0</formula>
    </cfRule>
  </conditionalFormatting>
  <conditionalFormatting sqref="I21">
    <cfRule type="cellIs" priority="62" operator="greaterThan" aboveAverage="0" equalAverage="0" bottom="0" percent="0" rank="0" text="" dxfId="7">
      <formula>0</formula>
    </cfRule>
  </conditionalFormatting>
  <conditionalFormatting sqref="K21">
    <cfRule type="cellIs" priority="63" operator="greaterThan" aboveAverage="0" equalAverage="0" bottom="0" percent="0" rank="0" text="" dxfId="7">
      <formula>0</formula>
    </cfRule>
  </conditionalFormatting>
  <conditionalFormatting sqref="N21">
    <cfRule type="cellIs" priority="64" operator="greaterThan" aboveAverage="0" equalAverage="0" bottom="0" percent="0" rank="0" text="" dxfId="7">
      <formula>0</formula>
    </cfRule>
    <cfRule type="cellIs" priority="65" operator="lessThan" aboveAverage="0" equalAverage="0" bottom="0" percent="0" rank="0" text="" dxfId="8">
      <formula>0</formula>
    </cfRule>
  </conditionalFormatting>
  <conditionalFormatting sqref="I22">
    <cfRule type="cellIs" priority="66" operator="greaterThan" aboveAverage="0" equalAverage="0" bottom="0" percent="0" rank="0" text="" dxfId="7">
      <formula>0</formula>
    </cfRule>
  </conditionalFormatting>
  <conditionalFormatting sqref="K22">
    <cfRule type="cellIs" priority="67" operator="greaterThan" aboveAverage="0" equalAverage="0" bottom="0" percent="0" rank="0" text="" dxfId="7">
      <formula>0</formula>
    </cfRule>
  </conditionalFormatting>
  <conditionalFormatting sqref="N22">
    <cfRule type="cellIs" priority="68" operator="greaterThan" aboveAverage="0" equalAverage="0" bottom="0" percent="0" rank="0" text="" dxfId="7">
      <formula>0</formula>
    </cfRule>
    <cfRule type="cellIs" priority="69" operator="lessThan" aboveAverage="0" equalAverage="0" bottom="0" percent="0" rank="0" text="" dxfId="8">
      <formula>0</formula>
    </cfRule>
  </conditionalFormatting>
  <conditionalFormatting sqref="I23">
    <cfRule type="cellIs" priority="70" operator="greaterThan" aboveAverage="0" equalAverage="0" bottom="0" percent="0" rank="0" text="" dxfId="7">
      <formula>0</formula>
    </cfRule>
  </conditionalFormatting>
  <conditionalFormatting sqref="K23">
    <cfRule type="cellIs" priority="71" operator="greaterThan" aboveAverage="0" equalAverage="0" bottom="0" percent="0" rank="0" text="" dxfId="7">
      <formula>0</formula>
    </cfRule>
  </conditionalFormatting>
  <conditionalFormatting sqref="N23">
    <cfRule type="cellIs" priority="72" operator="greaterThan" aboveAverage="0" equalAverage="0" bottom="0" percent="0" rank="0" text="" dxfId="7">
      <formula>0</formula>
    </cfRule>
    <cfRule type="cellIs" priority="73" operator="lessThan" aboveAverage="0" equalAverage="0" bottom="0" percent="0" rank="0" text="" dxfId="8">
      <formula>0</formula>
    </cfRule>
  </conditionalFormatting>
  <conditionalFormatting sqref="I24">
    <cfRule type="cellIs" priority="74" operator="greaterThan" aboveAverage="0" equalAverage="0" bottom="0" percent="0" rank="0" text="" dxfId="7">
      <formula>0</formula>
    </cfRule>
  </conditionalFormatting>
  <conditionalFormatting sqref="K24">
    <cfRule type="cellIs" priority="75" operator="greaterThan" aboveAverage="0" equalAverage="0" bottom="0" percent="0" rank="0" text="" dxfId="7">
      <formula>0</formula>
    </cfRule>
  </conditionalFormatting>
  <conditionalFormatting sqref="N24">
    <cfRule type="cellIs" priority="76" operator="greaterThan" aboveAverage="0" equalAverage="0" bottom="0" percent="0" rank="0" text="" dxfId="7">
      <formula>0</formula>
    </cfRule>
    <cfRule type="cellIs" priority="77" operator="lessThan" aboveAverage="0" equalAverage="0" bottom="0" percent="0" rank="0" text="" dxfId="8">
      <formula>0</formula>
    </cfRule>
  </conditionalFormatting>
  <conditionalFormatting sqref="I25">
    <cfRule type="cellIs" priority="78" operator="greaterThan" aboveAverage="0" equalAverage="0" bottom="0" percent="0" rank="0" text="" dxfId="7">
      <formula>0</formula>
    </cfRule>
  </conditionalFormatting>
  <conditionalFormatting sqref="K25">
    <cfRule type="cellIs" priority="79" operator="greaterThan" aboveAverage="0" equalAverage="0" bottom="0" percent="0" rank="0" text="" dxfId="7">
      <formula>0</formula>
    </cfRule>
  </conditionalFormatting>
  <conditionalFormatting sqref="N25">
    <cfRule type="cellIs" priority="80" operator="greaterThan" aboveAverage="0" equalAverage="0" bottom="0" percent="0" rank="0" text="" dxfId="7">
      <formula>0</formula>
    </cfRule>
    <cfRule type="cellIs" priority="81" operator="lessThan" aboveAverage="0" equalAverage="0" bottom="0" percent="0" rank="0" text="" dxfId="8">
      <formula>0</formula>
    </cfRule>
  </conditionalFormatting>
  <conditionalFormatting sqref="I26">
    <cfRule type="cellIs" priority="82" operator="greaterThan" aboveAverage="0" equalAverage="0" bottom="0" percent="0" rank="0" text="" dxfId="7">
      <formula>0</formula>
    </cfRule>
  </conditionalFormatting>
  <conditionalFormatting sqref="K26">
    <cfRule type="cellIs" priority="83" operator="greaterThan" aboveAverage="0" equalAverage="0" bottom="0" percent="0" rank="0" text="" dxfId="7">
      <formula>0</formula>
    </cfRule>
  </conditionalFormatting>
  <conditionalFormatting sqref="N26">
    <cfRule type="cellIs" priority="84" operator="greaterThan" aboveAverage="0" equalAverage="0" bottom="0" percent="0" rank="0" text="" dxfId="7">
      <formula>0</formula>
    </cfRule>
    <cfRule type="cellIs" priority="85" operator="lessThan" aboveAverage="0" equalAverage="0" bottom="0" percent="0" rank="0" text="" dxfId="8">
      <formula>0</formula>
    </cfRule>
  </conditionalFormatting>
  <conditionalFormatting sqref="I27">
    <cfRule type="cellIs" priority="86" operator="greaterThan" aboveAverage="0" equalAverage="0" bottom="0" percent="0" rank="0" text="" dxfId="7">
      <formula>0</formula>
    </cfRule>
  </conditionalFormatting>
  <conditionalFormatting sqref="K27">
    <cfRule type="cellIs" priority="87" operator="greaterThan" aboveAverage="0" equalAverage="0" bottom="0" percent="0" rank="0" text="" dxfId="7">
      <formula>0</formula>
    </cfRule>
  </conditionalFormatting>
  <conditionalFormatting sqref="N27">
    <cfRule type="cellIs" priority="88" operator="greaterThan" aboveAverage="0" equalAverage="0" bottom="0" percent="0" rank="0" text="" dxfId="7">
      <formula>0</formula>
    </cfRule>
    <cfRule type="cellIs" priority="89" operator="lessThan" aboveAverage="0" equalAverage="0" bottom="0" percent="0" rank="0" text="" dxfId="8">
      <formula>0</formula>
    </cfRule>
  </conditionalFormatting>
  <conditionalFormatting sqref="I28">
    <cfRule type="cellIs" priority="90" operator="greaterThan" aboveAverage="0" equalAverage="0" bottom="0" percent="0" rank="0" text="" dxfId="7">
      <formula>0</formula>
    </cfRule>
  </conditionalFormatting>
  <conditionalFormatting sqref="K28">
    <cfRule type="cellIs" priority="91" operator="greaterThan" aboveAverage="0" equalAverage="0" bottom="0" percent="0" rank="0" text="" dxfId="7">
      <formula>0</formula>
    </cfRule>
  </conditionalFormatting>
  <conditionalFormatting sqref="N28">
    <cfRule type="cellIs" priority="92" operator="greaterThan" aboveAverage="0" equalAverage="0" bottom="0" percent="0" rank="0" text="" dxfId="7">
      <formula>0</formula>
    </cfRule>
    <cfRule type="cellIs" priority="93" operator="lessThan" aboveAverage="0" equalAverage="0" bottom="0" percent="0" rank="0" text="" dxfId="8">
      <formula>0</formula>
    </cfRule>
  </conditionalFormatting>
  <conditionalFormatting sqref="I29">
    <cfRule type="cellIs" priority="94" operator="greaterThan" aboveAverage="0" equalAverage="0" bottom="0" percent="0" rank="0" text="" dxfId="7">
      <formula>0</formula>
    </cfRule>
  </conditionalFormatting>
  <conditionalFormatting sqref="K29">
    <cfRule type="cellIs" priority="95" operator="greaterThan" aboveAverage="0" equalAverage="0" bottom="0" percent="0" rank="0" text="" dxfId="7">
      <formula>0</formula>
    </cfRule>
  </conditionalFormatting>
  <conditionalFormatting sqref="N29">
    <cfRule type="cellIs" priority="96" operator="greaterThan" aboveAverage="0" equalAverage="0" bottom="0" percent="0" rank="0" text="" dxfId="7">
      <formula>0</formula>
    </cfRule>
    <cfRule type="cellIs" priority="97" operator="lessThan" aboveAverage="0" equalAverage="0" bottom="0" percent="0" rank="0" text="" dxfId="8">
      <formula>0</formula>
    </cfRule>
  </conditionalFormatting>
  <conditionalFormatting sqref="I30">
    <cfRule type="cellIs" priority="98" operator="greaterThan" aboveAverage="0" equalAverage="0" bottom="0" percent="0" rank="0" text="" dxfId="7">
      <formula>0</formula>
    </cfRule>
  </conditionalFormatting>
  <conditionalFormatting sqref="K30">
    <cfRule type="cellIs" priority="99" operator="greaterThan" aboveAverage="0" equalAverage="0" bottom="0" percent="0" rank="0" text="" dxfId="7">
      <formula>0</formula>
    </cfRule>
  </conditionalFormatting>
  <conditionalFormatting sqref="N30">
    <cfRule type="cellIs" priority="100" operator="greaterThan" aboveAverage="0" equalAverage="0" bottom="0" percent="0" rank="0" text="" dxfId="7">
      <formula>0</formula>
    </cfRule>
    <cfRule type="cellIs" priority="101" operator="lessThan" aboveAverage="0" equalAverage="0" bottom="0" percent="0" rank="0" text="" dxfId="8">
      <formula>0</formula>
    </cfRule>
  </conditionalFormatting>
  <conditionalFormatting sqref="I31">
    <cfRule type="cellIs" priority="102" operator="greaterThan" aboveAverage="0" equalAverage="0" bottom="0" percent="0" rank="0" text="" dxfId="7">
      <formula>0</formula>
    </cfRule>
  </conditionalFormatting>
  <conditionalFormatting sqref="K31">
    <cfRule type="cellIs" priority="103" operator="greaterThan" aboveAverage="0" equalAverage="0" bottom="0" percent="0" rank="0" text="" dxfId="7">
      <formula>0</formula>
    </cfRule>
  </conditionalFormatting>
  <conditionalFormatting sqref="N31">
    <cfRule type="cellIs" priority="104" operator="greaterThan" aboveAverage="0" equalAverage="0" bottom="0" percent="0" rank="0" text="" dxfId="7">
      <formula>0</formula>
    </cfRule>
    <cfRule type="cellIs" priority="105" operator="lessThan" aboveAverage="0" equalAverage="0" bottom="0" percent="0" rank="0" text="" dxfId="8">
      <formula>0</formula>
    </cfRule>
  </conditionalFormatting>
  <conditionalFormatting sqref="I32">
    <cfRule type="cellIs" priority="106" operator="greaterThan" aboveAverage="0" equalAverage="0" bottom="0" percent="0" rank="0" text="" dxfId="7">
      <formula>0</formula>
    </cfRule>
  </conditionalFormatting>
  <conditionalFormatting sqref="K32">
    <cfRule type="cellIs" priority="107" operator="greaterThan" aboveAverage="0" equalAverage="0" bottom="0" percent="0" rank="0" text="" dxfId="7">
      <formula>0</formula>
    </cfRule>
  </conditionalFormatting>
  <conditionalFormatting sqref="N32">
    <cfRule type="cellIs" priority="108" operator="greaterThan" aboveAverage="0" equalAverage="0" bottom="0" percent="0" rank="0" text="" dxfId="7">
      <formula>0</formula>
    </cfRule>
    <cfRule type="cellIs" priority="109" operator="lessThan" aboveAverage="0" equalAverage="0" bottom="0" percent="0" rank="0" text="" dxfId="8">
      <formula>0</formula>
    </cfRule>
  </conditionalFormatting>
  <conditionalFormatting sqref="I33">
    <cfRule type="cellIs" priority="110" operator="greaterThan" aboveAverage="0" equalAverage="0" bottom="0" percent="0" rank="0" text="" dxfId="7">
      <formula>0</formula>
    </cfRule>
  </conditionalFormatting>
  <conditionalFormatting sqref="K33">
    <cfRule type="cellIs" priority="111" operator="greaterThan" aboveAverage="0" equalAverage="0" bottom="0" percent="0" rank="0" text="" dxfId="7">
      <formula>0</formula>
    </cfRule>
  </conditionalFormatting>
  <conditionalFormatting sqref="N33">
    <cfRule type="cellIs" priority="112" operator="greaterThan" aboveAverage="0" equalAverage="0" bottom="0" percent="0" rank="0" text="" dxfId="7">
      <formula>0</formula>
    </cfRule>
    <cfRule type="cellIs" priority="113" operator="lessThan" aboveAverage="0" equalAverage="0" bottom="0" percent="0" rank="0" text="" dxfId="8">
      <formula>0</formula>
    </cfRule>
  </conditionalFormatting>
  <conditionalFormatting sqref="I34">
    <cfRule type="cellIs" priority="114" operator="greaterThan" aboveAverage="0" equalAverage="0" bottom="0" percent="0" rank="0" text="" dxfId="7">
      <formula>0</formula>
    </cfRule>
  </conditionalFormatting>
  <conditionalFormatting sqref="K34">
    <cfRule type="cellIs" priority="115" operator="greaterThan" aboveAverage="0" equalAverage="0" bottom="0" percent="0" rank="0" text="" dxfId="7">
      <formula>0</formula>
    </cfRule>
  </conditionalFormatting>
  <conditionalFormatting sqref="N34">
    <cfRule type="cellIs" priority="116" operator="greaterThan" aboveAverage="0" equalAverage="0" bottom="0" percent="0" rank="0" text="" dxfId="7">
      <formula>0</formula>
    </cfRule>
    <cfRule type="cellIs" priority="117" operator="lessThan" aboveAverage="0" equalAverage="0" bottom="0" percent="0" rank="0" text="" dxfId="8">
      <formula>0</formula>
    </cfRule>
  </conditionalFormatting>
  <conditionalFormatting sqref="I35">
    <cfRule type="cellIs" priority="118" operator="greaterThan" aboveAverage="0" equalAverage="0" bottom="0" percent="0" rank="0" text="" dxfId="7">
      <formula>0</formula>
    </cfRule>
  </conditionalFormatting>
  <conditionalFormatting sqref="K35">
    <cfRule type="cellIs" priority="119" operator="greaterThan" aboveAverage="0" equalAverage="0" bottom="0" percent="0" rank="0" text="" dxfId="7">
      <formula>0</formula>
    </cfRule>
  </conditionalFormatting>
  <conditionalFormatting sqref="N35">
    <cfRule type="cellIs" priority="120" operator="greaterThan" aboveAverage="0" equalAverage="0" bottom="0" percent="0" rank="0" text="" dxfId="7">
      <formula>0</formula>
    </cfRule>
    <cfRule type="cellIs" priority="121" operator="lessThan" aboveAverage="0" equalAverage="0" bottom="0" percent="0" rank="0" text="" dxfId="8">
      <formula>0</formula>
    </cfRule>
  </conditionalFormatting>
  <conditionalFormatting sqref="I36">
    <cfRule type="cellIs" priority="122" operator="greaterThan" aboveAverage="0" equalAverage="0" bottom="0" percent="0" rank="0" text="" dxfId="7">
      <formula>0</formula>
    </cfRule>
  </conditionalFormatting>
  <conditionalFormatting sqref="K36">
    <cfRule type="cellIs" priority="123" operator="greaterThan" aboveAverage="0" equalAverage="0" bottom="0" percent="0" rank="0" text="" dxfId="7">
      <formula>0</formula>
    </cfRule>
  </conditionalFormatting>
  <conditionalFormatting sqref="N36">
    <cfRule type="cellIs" priority="124" operator="greaterThan" aboveAverage="0" equalAverage="0" bottom="0" percent="0" rank="0" text="" dxfId="7">
      <formula>0</formula>
    </cfRule>
    <cfRule type="cellIs" priority="125" operator="lessThan" aboveAverage="0" equalAverage="0" bottom="0" percent="0" rank="0" text="" dxfId="8">
      <formula>0</formula>
    </cfRule>
  </conditionalFormatting>
  <conditionalFormatting sqref="I37">
    <cfRule type="cellIs" priority="126" operator="greaterThan" aboveAverage="0" equalAverage="0" bottom="0" percent="0" rank="0" text="" dxfId="7">
      <formula>0</formula>
    </cfRule>
  </conditionalFormatting>
  <conditionalFormatting sqref="K37">
    <cfRule type="cellIs" priority="127" operator="greaterThan" aboveAverage="0" equalAverage="0" bottom="0" percent="0" rank="0" text="" dxfId="7">
      <formula>0</formula>
    </cfRule>
  </conditionalFormatting>
  <conditionalFormatting sqref="N37">
    <cfRule type="cellIs" priority="128" operator="greaterThan" aboveAverage="0" equalAverage="0" bottom="0" percent="0" rank="0" text="" dxfId="7">
      <formula>0</formula>
    </cfRule>
    <cfRule type="cellIs" priority="129" operator="lessThan" aboveAverage="0" equalAverage="0" bottom="0" percent="0" rank="0" text="" dxfId="8">
      <formula>0</formula>
    </cfRule>
  </conditionalFormatting>
  <conditionalFormatting sqref="I38">
    <cfRule type="cellIs" priority="130" operator="greaterThan" aboveAverage="0" equalAverage="0" bottom="0" percent="0" rank="0" text="" dxfId="7">
      <formula>0</formula>
    </cfRule>
  </conditionalFormatting>
  <conditionalFormatting sqref="K38">
    <cfRule type="cellIs" priority="131" operator="greaterThan" aboveAverage="0" equalAverage="0" bottom="0" percent="0" rank="0" text="" dxfId="7">
      <formula>0</formula>
    </cfRule>
  </conditionalFormatting>
  <conditionalFormatting sqref="N38">
    <cfRule type="cellIs" priority="132" operator="greaterThan" aboveAverage="0" equalAverage="0" bottom="0" percent="0" rank="0" text="" dxfId="7">
      <formula>0</formula>
    </cfRule>
    <cfRule type="cellIs" priority="133" operator="lessThan" aboveAverage="0" equalAverage="0" bottom="0" percent="0" rank="0" text="" dxfId="8">
      <formula>0</formula>
    </cfRule>
  </conditionalFormatting>
  <conditionalFormatting sqref="I39">
    <cfRule type="cellIs" priority="134" operator="greaterThan" aboveAverage="0" equalAverage="0" bottom="0" percent="0" rank="0" text="" dxfId="7">
      <formula>0</formula>
    </cfRule>
  </conditionalFormatting>
  <conditionalFormatting sqref="K39">
    <cfRule type="cellIs" priority="135" operator="greaterThan" aboveAverage="0" equalAverage="0" bottom="0" percent="0" rank="0" text="" dxfId="7">
      <formula>0</formula>
    </cfRule>
  </conditionalFormatting>
  <conditionalFormatting sqref="N39">
    <cfRule type="cellIs" priority="136" operator="greaterThan" aboveAverage="0" equalAverage="0" bottom="0" percent="0" rank="0" text="" dxfId="7">
      <formula>0</formula>
    </cfRule>
    <cfRule type="cellIs" priority="137" operator="lessThan" aboveAverage="0" equalAverage="0" bottom="0" percent="0" rank="0" text="" dxfId="8">
      <formula>0</formula>
    </cfRule>
  </conditionalFormatting>
  <conditionalFormatting sqref="I40">
    <cfRule type="cellIs" priority="138" operator="greaterThan" aboveAverage="0" equalAverage="0" bottom="0" percent="0" rank="0" text="" dxfId="7">
      <formula>0</formula>
    </cfRule>
  </conditionalFormatting>
  <conditionalFormatting sqref="K40">
    <cfRule type="cellIs" priority="139" operator="greaterThan" aboveAverage="0" equalAverage="0" bottom="0" percent="0" rank="0" text="" dxfId="7">
      <formula>0</formula>
    </cfRule>
  </conditionalFormatting>
  <conditionalFormatting sqref="N40">
    <cfRule type="cellIs" priority="140" operator="greaterThan" aboveAverage="0" equalAverage="0" bottom="0" percent="0" rank="0" text="" dxfId="7">
      <formula>0</formula>
    </cfRule>
    <cfRule type="cellIs" priority="141" operator="lessThan" aboveAverage="0" equalAverage="0" bottom="0" percent="0" rank="0" text="" dxfId="8">
      <formula>0</formula>
    </cfRule>
  </conditionalFormatting>
  <conditionalFormatting sqref="I41">
    <cfRule type="cellIs" priority="142" operator="greaterThan" aboveAverage="0" equalAverage="0" bottom="0" percent="0" rank="0" text="" dxfId="7">
      <formula>0</formula>
    </cfRule>
  </conditionalFormatting>
  <conditionalFormatting sqref="K41">
    <cfRule type="cellIs" priority="143" operator="greaterThan" aboveAverage="0" equalAverage="0" bottom="0" percent="0" rank="0" text="" dxfId="7">
      <formula>0</formula>
    </cfRule>
  </conditionalFormatting>
  <conditionalFormatting sqref="N41">
    <cfRule type="cellIs" priority="144" operator="greaterThan" aboveAverage="0" equalAverage="0" bottom="0" percent="0" rank="0" text="" dxfId="7">
      <formula>0</formula>
    </cfRule>
    <cfRule type="cellIs" priority="145" operator="lessThan" aboveAverage="0" equalAverage="0" bottom="0" percent="0" rank="0" text="" dxfId="8">
      <formula>0</formula>
    </cfRule>
  </conditionalFormatting>
  <conditionalFormatting sqref="I42">
    <cfRule type="cellIs" priority="146" operator="greaterThan" aboveAverage="0" equalAverage="0" bottom="0" percent="0" rank="0" text="" dxfId="7">
      <formula>0</formula>
    </cfRule>
  </conditionalFormatting>
  <conditionalFormatting sqref="K42">
    <cfRule type="cellIs" priority="147" operator="greaterThan" aboveAverage="0" equalAverage="0" bottom="0" percent="0" rank="0" text="" dxfId="7">
      <formula>0</formula>
    </cfRule>
  </conditionalFormatting>
  <conditionalFormatting sqref="N42">
    <cfRule type="cellIs" priority="148" operator="greaterThan" aboveAverage="0" equalAverage="0" bottom="0" percent="0" rank="0" text="" dxfId="7">
      <formula>0</formula>
    </cfRule>
    <cfRule type="cellIs" priority="149" operator="lessThan" aboveAverage="0" equalAverage="0" bottom="0" percent="0" rank="0" text="" dxfId="8">
      <formula>0</formula>
    </cfRule>
  </conditionalFormatting>
  <conditionalFormatting sqref="I43">
    <cfRule type="cellIs" priority="150" operator="greaterThan" aboveAverage="0" equalAverage="0" bottom="0" percent="0" rank="0" text="" dxfId="7">
      <formula>0</formula>
    </cfRule>
  </conditionalFormatting>
  <conditionalFormatting sqref="K43">
    <cfRule type="cellIs" priority="151" operator="greaterThan" aboveAverage="0" equalAverage="0" bottom="0" percent="0" rank="0" text="" dxfId="7">
      <formula>0</formula>
    </cfRule>
  </conditionalFormatting>
  <conditionalFormatting sqref="N43">
    <cfRule type="cellIs" priority="152" operator="greaterThan" aboveAverage="0" equalAverage="0" bottom="0" percent="0" rank="0" text="" dxfId="7">
      <formula>0</formula>
    </cfRule>
    <cfRule type="cellIs" priority="153" operator="lessThan" aboveAverage="0" equalAverage="0" bottom="0" percent="0" rank="0" text="" dxfId="8">
      <formula>0</formula>
    </cfRule>
  </conditionalFormatting>
  <conditionalFormatting sqref="I44">
    <cfRule type="cellIs" priority="154" operator="greaterThan" aboveAverage="0" equalAverage="0" bottom="0" percent="0" rank="0" text="" dxfId="7">
      <formula>0</formula>
    </cfRule>
  </conditionalFormatting>
  <conditionalFormatting sqref="K44">
    <cfRule type="cellIs" priority="155" operator="greaterThan" aboveAverage="0" equalAverage="0" bottom="0" percent="0" rank="0" text="" dxfId="7">
      <formula>0</formula>
    </cfRule>
  </conditionalFormatting>
  <conditionalFormatting sqref="N44">
    <cfRule type="cellIs" priority="156" operator="greaterThan" aboveAverage="0" equalAverage="0" bottom="0" percent="0" rank="0" text="" dxfId="7">
      <formula>0</formula>
    </cfRule>
    <cfRule type="cellIs" priority="157" operator="lessThan" aboveAverage="0" equalAverage="0" bottom="0" percent="0" rank="0" text="" dxfId="8">
      <formula>0</formula>
    </cfRule>
  </conditionalFormatting>
  <conditionalFormatting sqref="I45">
    <cfRule type="cellIs" priority="158" operator="greaterThan" aboveAverage="0" equalAverage="0" bottom="0" percent="0" rank="0" text="" dxfId="7">
      <formula>0</formula>
    </cfRule>
  </conditionalFormatting>
  <conditionalFormatting sqref="K45">
    <cfRule type="cellIs" priority="159" operator="greaterThan" aboveAverage="0" equalAverage="0" bottom="0" percent="0" rank="0" text="" dxfId="7">
      <formula>0</formula>
    </cfRule>
  </conditionalFormatting>
  <conditionalFormatting sqref="N45">
    <cfRule type="cellIs" priority="160" operator="greaterThan" aboveAverage="0" equalAverage="0" bottom="0" percent="0" rank="0" text="" dxfId="7">
      <formula>0</formula>
    </cfRule>
    <cfRule type="cellIs" priority="161" operator="lessThan" aboveAverage="0" equalAverage="0" bottom="0" percent="0" rank="0" text="" dxfId="8">
      <formula>0</formula>
    </cfRule>
  </conditionalFormatting>
  <conditionalFormatting sqref="I46">
    <cfRule type="cellIs" priority="162" operator="greaterThan" aboveAverage="0" equalAverage="0" bottom="0" percent="0" rank="0" text="" dxfId="7">
      <formula>0</formula>
    </cfRule>
  </conditionalFormatting>
  <conditionalFormatting sqref="K46">
    <cfRule type="cellIs" priority="163" operator="greaterThan" aboveAverage="0" equalAverage="0" bottom="0" percent="0" rank="0" text="" dxfId="7">
      <formula>0</formula>
    </cfRule>
  </conditionalFormatting>
  <conditionalFormatting sqref="N46">
    <cfRule type="cellIs" priority="164" operator="greaterThan" aboveAverage="0" equalAverage="0" bottom="0" percent="0" rank="0" text="" dxfId="7">
      <formula>0</formula>
    </cfRule>
    <cfRule type="cellIs" priority="165" operator="lessThan" aboveAverage="0" equalAverage="0" bottom="0" percent="0" rank="0" text="" dxfId="8">
      <formula>0</formula>
    </cfRule>
  </conditionalFormatting>
  <conditionalFormatting sqref="I47">
    <cfRule type="cellIs" priority="166" operator="greaterThan" aboveAverage="0" equalAverage="0" bottom="0" percent="0" rank="0" text="" dxfId="7">
      <formula>0</formula>
    </cfRule>
  </conditionalFormatting>
  <conditionalFormatting sqref="K47">
    <cfRule type="cellIs" priority="167" operator="greaterThan" aboveAverage="0" equalAverage="0" bottom="0" percent="0" rank="0" text="" dxfId="7">
      <formula>0</formula>
    </cfRule>
  </conditionalFormatting>
  <conditionalFormatting sqref="N47">
    <cfRule type="cellIs" priority="168" operator="greaterThan" aboveAverage="0" equalAverage="0" bottom="0" percent="0" rank="0" text="" dxfId="7">
      <formula>0</formula>
    </cfRule>
    <cfRule type="cellIs" priority="169" operator="lessThan" aboveAverage="0" equalAverage="0" bottom="0" percent="0" rank="0" text="" dxfId="8">
      <formula>0</formula>
    </cfRule>
  </conditionalFormatting>
  <conditionalFormatting sqref="I48">
    <cfRule type="cellIs" priority="170" operator="greaterThan" aboveAverage="0" equalAverage="0" bottom="0" percent="0" rank="0" text="" dxfId="7">
      <formula>0</formula>
    </cfRule>
  </conditionalFormatting>
  <conditionalFormatting sqref="K48">
    <cfRule type="cellIs" priority="171" operator="greaterThan" aboveAverage="0" equalAverage="0" bottom="0" percent="0" rank="0" text="" dxfId="7">
      <formula>0</formula>
    </cfRule>
  </conditionalFormatting>
  <conditionalFormatting sqref="N48">
    <cfRule type="cellIs" priority="172" operator="greaterThan" aboveAverage="0" equalAverage="0" bottom="0" percent="0" rank="0" text="" dxfId="7">
      <formula>0</formula>
    </cfRule>
    <cfRule type="cellIs" priority="173" operator="lessThan" aboveAverage="0" equalAverage="0" bottom="0" percent="0" rank="0" text="" dxfId="8">
      <formula>0</formula>
    </cfRule>
  </conditionalFormatting>
  <conditionalFormatting sqref="I49">
    <cfRule type="cellIs" priority="174" operator="greaterThan" aboveAverage="0" equalAverage="0" bottom="0" percent="0" rank="0" text="" dxfId="7">
      <formula>0</formula>
    </cfRule>
  </conditionalFormatting>
  <conditionalFormatting sqref="K49">
    <cfRule type="cellIs" priority="175" operator="greaterThan" aboveAverage="0" equalAverage="0" bottom="0" percent="0" rank="0" text="" dxfId="7">
      <formula>0</formula>
    </cfRule>
  </conditionalFormatting>
  <conditionalFormatting sqref="N49">
    <cfRule type="cellIs" priority="176" operator="greaterThan" aboveAverage="0" equalAverage="0" bottom="0" percent="0" rank="0" text="" dxfId="7">
      <formula>0</formula>
    </cfRule>
    <cfRule type="cellIs" priority="177" operator="lessThan" aboveAverage="0" equalAverage="0" bottom="0" percent="0" rank="0" text="" dxfId="8">
      <formula>0</formula>
    </cfRule>
  </conditionalFormatting>
  <conditionalFormatting sqref="I50">
    <cfRule type="cellIs" priority="178" operator="greaterThan" aboveAverage="0" equalAverage="0" bottom="0" percent="0" rank="0" text="" dxfId="7">
      <formula>0</formula>
    </cfRule>
  </conditionalFormatting>
  <conditionalFormatting sqref="K50">
    <cfRule type="cellIs" priority="179" operator="greaterThan" aboveAverage="0" equalAverage="0" bottom="0" percent="0" rank="0" text="" dxfId="7">
      <formula>0</formula>
    </cfRule>
  </conditionalFormatting>
  <conditionalFormatting sqref="N50">
    <cfRule type="cellIs" priority="180" operator="greaterThan" aboveAverage="0" equalAverage="0" bottom="0" percent="0" rank="0" text="" dxfId="7">
      <formula>0</formula>
    </cfRule>
    <cfRule type="cellIs" priority="181" operator="lessThan" aboveAverage="0" equalAverage="0" bottom="0" percent="0" rank="0" text="" dxfId="8">
      <formula>0</formula>
    </cfRule>
  </conditionalFormatting>
  <conditionalFormatting sqref="I51">
    <cfRule type="cellIs" priority="182" operator="greaterThan" aboveAverage="0" equalAverage="0" bottom="0" percent="0" rank="0" text="" dxfId="7">
      <formula>0</formula>
    </cfRule>
  </conditionalFormatting>
  <conditionalFormatting sqref="K51">
    <cfRule type="cellIs" priority="183" operator="greaterThan" aboveAverage="0" equalAverage="0" bottom="0" percent="0" rank="0" text="" dxfId="7">
      <formula>0</formula>
    </cfRule>
  </conditionalFormatting>
  <conditionalFormatting sqref="N51">
    <cfRule type="cellIs" priority="184" operator="greaterThan" aboveAverage="0" equalAverage="0" bottom="0" percent="0" rank="0" text="" dxfId="7">
      <formula>0</formula>
    </cfRule>
    <cfRule type="cellIs" priority="185" operator="lessThan" aboveAverage="0" equalAverage="0" bottom="0" percent="0" rank="0" text="" dxfId="8">
      <formula>0</formula>
    </cfRule>
  </conditionalFormatting>
  <conditionalFormatting sqref="I52">
    <cfRule type="cellIs" priority="186" operator="greaterThan" aboveAverage="0" equalAverage="0" bottom="0" percent="0" rank="0" text="" dxfId="7">
      <formula>0</formula>
    </cfRule>
  </conditionalFormatting>
  <conditionalFormatting sqref="K52">
    <cfRule type="cellIs" priority="187" operator="greaterThan" aboveAverage="0" equalAverage="0" bottom="0" percent="0" rank="0" text="" dxfId="7">
      <formula>0</formula>
    </cfRule>
  </conditionalFormatting>
  <conditionalFormatting sqref="N52">
    <cfRule type="cellIs" priority="188" operator="greaterThan" aboveAverage="0" equalAverage="0" bottom="0" percent="0" rank="0" text="" dxfId="7">
      <formula>0</formula>
    </cfRule>
    <cfRule type="cellIs" priority="189" operator="lessThan" aboveAverage="0" equalAverage="0" bottom="0" percent="0" rank="0" text="" dxfId="8">
      <formula>0</formula>
    </cfRule>
  </conditionalFormatting>
  <conditionalFormatting sqref="I53">
    <cfRule type="cellIs" priority="190" operator="greaterThan" aboveAverage="0" equalAverage="0" bottom="0" percent="0" rank="0" text="" dxfId="7">
      <formula>0</formula>
    </cfRule>
  </conditionalFormatting>
  <conditionalFormatting sqref="K53">
    <cfRule type="cellIs" priority="191" operator="greaterThan" aboveAverage="0" equalAverage="0" bottom="0" percent="0" rank="0" text="" dxfId="7">
      <formula>0</formula>
    </cfRule>
  </conditionalFormatting>
  <conditionalFormatting sqref="N53">
    <cfRule type="cellIs" priority="192" operator="greaterThan" aboveAverage="0" equalAverage="0" bottom="0" percent="0" rank="0" text="" dxfId="7">
      <formula>0</formula>
    </cfRule>
    <cfRule type="cellIs" priority="193" operator="lessThan" aboveAverage="0" equalAverage="0" bottom="0" percent="0" rank="0" text="" dxfId="8">
      <formula>0</formula>
    </cfRule>
  </conditionalFormatting>
  <conditionalFormatting sqref="I54">
    <cfRule type="cellIs" priority="194" operator="greaterThan" aboveAverage="0" equalAverage="0" bottom="0" percent="0" rank="0" text="" dxfId="7">
      <formula>0</formula>
    </cfRule>
  </conditionalFormatting>
  <conditionalFormatting sqref="K54">
    <cfRule type="cellIs" priority="195" operator="greaterThan" aboveAverage="0" equalAverage="0" bottom="0" percent="0" rank="0" text="" dxfId="7">
      <formula>0</formula>
    </cfRule>
  </conditionalFormatting>
  <conditionalFormatting sqref="N54">
    <cfRule type="cellIs" priority="196" operator="greaterThan" aboveAverage="0" equalAverage="0" bottom="0" percent="0" rank="0" text="" dxfId="7">
      <formula>0</formula>
    </cfRule>
    <cfRule type="cellIs" priority="197" operator="lessThan" aboveAverage="0" equalAverage="0" bottom="0" percent="0" rank="0" text="" dxfId="8">
      <formula>0</formula>
    </cfRule>
  </conditionalFormatting>
  <conditionalFormatting sqref="I55">
    <cfRule type="cellIs" priority="198" operator="greaterThan" aboveAverage="0" equalAverage="0" bottom="0" percent="0" rank="0" text="" dxfId="7">
      <formula>0</formula>
    </cfRule>
  </conditionalFormatting>
  <conditionalFormatting sqref="K55">
    <cfRule type="cellIs" priority="199" operator="greaterThan" aboveAverage="0" equalAverage="0" bottom="0" percent="0" rank="0" text="" dxfId="7">
      <formula>0</formula>
    </cfRule>
  </conditionalFormatting>
  <conditionalFormatting sqref="N55">
    <cfRule type="cellIs" priority="200" operator="greaterThan" aboveAverage="0" equalAverage="0" bottom="0" percent="0" rank="0" text="" dxfId="7">
      <formula>0</formula>
    </cfRule>
    <cfRule type="cellIs" priority="201" operator="lessThan" aboveAverage="0" equalAverage="0" bottom="0" percent="0" rank="0" text="" dxfId="8">
      <formula>0</formula>
    </cfRule>
  </conditionalFormatting>
  <conditionalFormatting sqref="I56">
    <cfRule type="cellIs" priority="202" operator="greaterThan" aboveAverage="0" equalAverage="0" bottom="0" percent="0" rank="0" text="" dxfId="7">
      <formula>0</formula>
    </cfRule>
  </conditionalFormatting>
  <conditionalFormatting sqref="K56">
    <cfRule type="cellIs" priority="203" operator="greaterThan" aboveAverage="0" equalAverage="0" bottom="0" percent="0" rank="0" text="" dxfId="7">
      <formula>0</formula>
    </cfRule>
  </conditionalFormatting>
  <conditionalFormatting sqref="N56">
    <cfRule type="cellIs" priority="204" operator="greaterThan" aboveAverage="0" equalAverage="0" bottom="0" percent="0" rank="0" text="" dxfId="7">
      <formula>0</formula>
    </cfRule>
    <cfRule type="cellIs" priority="205" operator="lessThan" aboveAverage="0" equalAverage="0" bottom="0" percent="0" rank="0" text="" dxfId="8">
      <formula>0</formula>
    </cfRule>
  </conditionalFormatting>
  <conditionalFormatting sqref="I57">
    <cfRule type="cellIs" priority="206" operator="greaterThan" aboveAverage="0" equalAverage="0" bottom="0" percent="0" rank="0" text="" dxfId="7">
      <formula>0</formula>
    </cfRule>
  </conditionalFormatting>
  <conditionalFormatting sqref="K57">
    <cfRule type="cellIs" priority="207" operator="greaterThan" aboveAverage="0" equalAverage="0" bottom="0" percent="0" rank="0" text="" dxfId="7">
      <formula>0</formula>
    </cfRule>
  </conditionalFormatting>
  <conditionalFormatting sqref="N57">
    <cfRule type="cellIs" priority="208" operator="greaterThan" aboveAverage="0" equalAverage="0" bottom="0" percent="0" rank="0" text="" dxfId="7">
      <formula>0</formula>
    </cfRule>
    <cfRule type="cellIs" priority="209" operator="lessThan" aboveAverage="0" equalAverage="0" bottom="0" percent="0" rank="0" text="" dxfId="8">
      <formula>0</formula>
    </cfRule>
  </conditionalFormatting>
  <conditionalFormatting sqref="I58">
    <cfRule type="cellIs" priority="210" operator="greaterThan" aboveAverage="0" equalAverage="0" bottom="0" percent="0" rank="0" text="" dxfId="7">
      <formula>0</formula>
    </cfRule>
  </conditionalFormatting>
  <conditionalFormatting sqref="K58">
    <cfRule type="cellIs" priority="211" operator="greaterThan" aboveAverage="0" equalAverage="0" bottom="0" percent="0" rank="0" text="" dxfId="7">
      <formula>0</formula>
    </cfRule>
  </conditionalFormatting>
  <conditionalFormatting sqref="N58">
    <cfRule type="cellIs" priority="212" operator="greaterThan" aboveAverage="0" equalAverage="0" bottom="0" percent="0" rank="0" text="" dxfId="7">
      <formula>0</formula>
    </cfRule>
    <cfRule type="cellIs" priority="213" operator="lessThan" aboveAverage="0" equalAverage="0" bottom="0" percent="0" rank="0" text="" dxfId="8">
      <formula>0</formula>
    </cfRule>
  </conditionalFormatting>
  <conditionalFormatting sqref="I59">
    <cfRule type="cellIs" priority="214" operator="greaterThan" aboveAverage="0" equalAverage="0" bottom="0" percent="0" rank="0" text="" dxfId="7">
      <formula>0</formula>
    </cfRule>
  </conditionalFormatting>
  <conditionalFormatting sqref="K59">
    <cfRule type="cellIs" priority="215" operator="greaterThan" aboveAverage="0" equalAverage="0" bottom="0" percent="0" rank="0" text="" dxfId="7">
      <formula>0</formula>
    </cfRule>
  </conditionalFormatting>
  <conditionalFormatting sqref="N59">
    <cfRule type="cellIs" priority="216" operator="greaterThan" aboveAverage="0" equalAverage="0" bottom="0" percent="0" rank="0" text="" dxfId="7">
      <formula>0</formula>
    </cfRule>
    <cfRule type="cellIs" priority="217" operator="lessThan" aboveAverage="0" equalAverage="0" bottom="0" percent="0" rank="0" text="" dxfId="8">
      <formula>0</formula>
    </cfRule>
  </conditionalFormatting>
  <conditionalFormatting sqref="I60">
    <cfRule type="cellIs" priority="218" operator="greaterThan" aboveAverage="0" equalAverage="0" bottom="0" percent="0" rank="0" text="" dxfId="7">
      <formula>0</formula>
    </cfRule>
  </conditionalFormatting>
  <conditionalFormatting sqref="K60">
    <cfRule type="cellIs" priority="219" operator="greaterThan" aboveAverage="0" equalAverage="0" bottom="0" percent="0" rank="0" text="" dxfId="7">
      <formula>0</formula>
    </cfRule>
  </conditionalFormatting>
  <conditionalFormatting sqref="N60">
    <cfRule type="cellIs" priority="220" operator="greaterThan" aboveAverage="0" equalAverage="0" bottom="0" percent="0" rank="0" text="" dxfId="7">
      <formula>0</formula>
    </cfRule>
    <cfRule type="cellIs" priority="221" operator="lessThan" aboveAverage="0" equalAverage="0" bottom="0" percent="0" rank="0" text="" dxfId="8">
      <formula>0</formula>
    </cfRule>
  </conditionalFormatting>
  <conditionalFormatting sqref="I61">
    <cfRule type="cellIs" priority="222" operator="greaterThan" aboveAverage="0" equalAverage="0" bottom="0" percent="0" rank="0" text="" dxfId="7">
      <formula>0</formula>
    </cfRule>
  </conditionalFormatting>
  <conditionalFormatting sqref="K61">
    <cfRule type="cellIs" priority="223" operator="greaterThan" aboveAverage="0" equalAverage="0" bottom="0" percent="0" rank="0" text="" dxfId="7">
      <formula>0</formula>
    </cfRule>
  </conditionalFormatting>
  <conditionalFormatting sqref="N61">
    <cfRule type="cellIs" priority="224" operator="greaterThan" aboveAverage="0" equalAverage="0" bottom="0" percent="0" rank="0" text="" dxfId="7">
      <formula>0</formula>
    </cfRule>
    <cfRule type="cellIs" priority="225" operator="lessThan" aboveAverage="0" equalAverage="0" bottom="0" percent="0" rank="0" text="" dxfId="8">
      <formula>0</formula>
    </cfRule>
  </conditionalFormatting>
  <conditionalFormatting sqref="I62">
    <cfRule type="cellIs" priority="226" operator="greaterThan" aboveAverage="0" equalAverage="0" bottom="0" percent="0" rank="0" text="" dxfId="7">
      <formula>0</formula>
    </cfRule>
  </conditionalFormatting>
  <conditionalFormatting sqref="K62">
    <cfRule type="cellIs" priority="227" operator="greaterThan" aboveAverage="0" equalAverage="0" bottom="0" percent="0" rank="0" text="" dxfId="7">
      <formula>0</formula>
    </cfRule>
  </conditionalFormatting>
  <conditionalFormatting sqref="N62">
    <cfRule type="cellIs" priority="228" operator="greaterThan" aboveAverage="0" equalAverage="0" bottom="0" percent="0" rank="0" text="" dxfId="7">
      <formula>0</formula>
    </cfRule>
    <cfRule type="cellIs" priority="229" operator="lessThan" aboveAverage="0" equalAverage="0" bottom="0" percent="0" rank="0" text="" dxfId="8">
      <formula>0</formula>
    </cfRule>
  </conditionalFormatting>
  <conditionalFormatting sqref="I63">
    <cfRule type="cellIs" priority="230" operator="greaterThan" aboveAverage="0" equalAverage="0" bottom="0" percent="0" rank="0" text="" dxfId="7">
      <formula>0</formula>
    </cfRule>
  </conditionalFormatting>
  <conditionalFormatting sqref="K63">
    <cfRule type="cellIs" priority="231" operator="greaterThan" aboveAverage="0" equalAverage="0" bottom="0" percent="0" rank="0" text="" dxfId="7">
      <formula>0</formula>
    </cfRule>
  </conditionalFormatting>
  <conditionalFormatting sqref="N63">
    <cfRule type="cellIs" priority="232" operator="greaterThan" aboveAverage="0" equalAverage="0" bottom="0" percent="0" rank="0" text="" dxfId="7">
      <formula>0</formula>
    </cfRule>
    <cfRule type="cellIs" priority="233" operator="lessThan" aboveAverage="0" equalAverage="0" bottom="0" percent="0" rank="0" text="" dxfId="8">
      <formula>0</formula>
    </cfRule>
  </conditionalFormatting>
  <conditionalFormatting sqref="I64">
    <cfRule type="cellIs" priority="234" operator="greaterThan" aboveAverage="0" equalAverage="0" bottom="0" percent="0" rank="0" text="" dxfId="7">
      <formula>0</formula>
    </cfRule>
  </conditionalFormatting>
  <conditionalFormatting sqref="K64">
    <cfRule type="cellIs" priority="235" operator="greaterThan" aboveAverage="0" equalAverage="0" bottom="0" percent="0" rank="0" text="" dxfId="7">
      <formula>0</formula>
    </cfRule>
  </conditionalFormatting>
  <conditionalFormatting sqref="N64">
    <cfRule type="cellIs" priority="236" operator="greaterThan" aboveAverage="0" equalAverage="0" bottom="0" percent="0" rank="0" text="" dxfId="7">
      <formula>0</formula>
    </cfRule>
    <cfRule type="cellIs" priority="237" operator="lessThan" aboveAverage="0" equalAverage="0" bottom="0" percent="0" rank="0" text="" dxfId="8">
      <formula>0</formula>
    </cfRule>
  </conditionalFormatting>
  <conditionalFormatting sqref="I65">
    <cfRule type="cellIs" priority="238" operator="greaterThan" aboveAverage="0" equalAverage="0" bottom="0" percent="0" rank="0" text="" dxfId="7">
      <formula>0</formula>
    </cfRule>
  </conditionalFormatting>
  <conditionalFormatting sqref="K65">
    <cfRule type="cellIs" priority="239" operator="greaterThan" aboveAverage="0" equalAverage="0" bottom="0" percent="0" rank="0" text="" dxfId="7">
      <formula>0</formula>
    </cfRule>
  </conditionalFormatting>
  <conditionalFormatting sqref="N65">
    <cfRule type="cellIs" priority="240" operator="greaterThan" aboveAverage="0" equalAverage="0" bottom="0" percent="0" rank="0" text="" dxfId="7">
      <formula>0</formula>
    </cfRule>
    <cfRule type="cellIs" priority="241" operator="lessThan" aboveAverage="0" equalAverage="0" bottom="0" percent="0" rank="0" text="" dxfId="8">
      <formula>0</formula>
    </cfRule>
  </conditionalFormatting>
  <conditionalFormatting sqref="I66">
    <cfRule type="cellIs" priority="242" operator="greaterThan" aboveAverage="0" equalAverage="0" bottom="0" percent="0" rank="0" text="" dxfId="7">
      <formula>0</formula>
    </cfRule>
  </conditionalFormatting>
  <conditionalFormatting sqref="K66">
    <cfRule type="cellIs" priority="243" operator="greaterThan" aboveAverage="0" equalAverage="0" bottom="0" percent="0" rank="0" text="" dxfId="7">
      <formula>0</formula>
    </cfRule>
  </conditionalFormatting>
  <conditionalFormatting sqref="N66">
    <cfRule type="cellIs" priority="244" operator="greaterThan" aboveAverage="0" equalAverage="0" bottom="0" percent="0" rank="0" text="" dxfId="7">
      <formula>0</formula>
    </cfRule>
    <cfRule type="cellIs" priority="245" operator="lessThan" aboveAverage="0" equalAverage="0" bottom="0" percent="0" rank="0" text="" dxfId="8">
      <formula>0</formula>
    </cfRule>
  </conditionalFormatting>
  <conditionalFormatting sqref="I67">
    <cfRule type="cellIs" priority="246" operator="greaterThan" aboveAverage="0" equalAverage="0" bottom="0" percent="0" rank="0" text="" dxfId="7">
      <formula>0</formula>
    </cfRule>
  </conditionalFormatting>
  <conditionalFormatting sqref="K67">
    <cfRule type="cellIs" priority="247" operator="greaterThan" aboveAverage="0" equalAverage="0" bottom="0" percent="0" rank="0" text="" dxfId="7">
      <formula>0</formula>
    </cfRule>
  </conditionalFormatting>
  <conditionalFormatting sqref="N67">
    <cfRule type="cellIs" priority="248" operator="greaterThan" aboveAverage="0" equalAverage="0" bottom="0" percent="0" rank="0" text="" dxfId="7">
      <formula>0</formula>
    </cfRule>
    <cfRule type="cellIs" priority="249" operator="lessThan" aboveAverage="0" equalAverage="0" bottom="0" percent="0" rank="0" text="" dxfId="8">
      <formula>0</formula>
    </cfRule>
  </conditionalFormatting>
  <conditionalFormatting sqref="I68">
    <cfRule type="cellIs" priority="250" operator="greaterThan" aboveAverage="0" equalAverage="0" bottom="0" percent="0" rank="0" text="" dxfId="7">
      <formula>0</formula>
    </cfRule>
  </conditionalFormatting>
  <conditionalFormatting sqref="K68">
    <cfRule type="cellIs" priority="251" operator="greaterThan" aboveAverage="0" equalAverage="0" bottom="0" percent="0" rank="0" text="" dxfId="7">
      <formula>0</formula>
    </cfRule>
  </conditionalFormatting>
  <conditionalFormatting sqref="N68">
    <cfRule type="cellIs" priority="252" operator="greaterThan" aboveAverage="0" equalAverage="0" bottom="0" percent="0" rank="0" text="" dxfId="7">
      <formula>0</formula>
    </cfRule>
    <cfRule type="cellIs" priority="253" operator="lessThan" aboveAverage="0" equalAverage="0" bottom="0" percent="0" rank="0" text="" dxfId="8">
      <formula>0</formula>
    </cfRule>
  </conditionalFormatting>
  <conditionalFormatting sqref="I69">
    <cfRule type="cellIs" priority="254" operator="greaterThan" aboveAverage="0" equalAverage="0" bottom="0" percent="0" rank="0" text="" dxfId="7">
      <formula>0</formula>
    </cfRule>
  </conditionalFormatting>
  <conditionalFormatting sqref="K69">
    <cfRule type="cellIs" priority="255" operator="greaterThan" aboveAverage="0" equalAverage="0" bottom="0" percent="0" rank="0" text="" dxfId="7">
      <formula>0</formula>
    </cfRule>
  </conditionalFormatting>
  <conditionalFormatting sqref="N69">
    <cfRule type="cellIs" priority="256" operator="greaterThan" aboveAverage="0" equalAverage="0" bottom="0" percent="0" rank="0" text="" dxfId="7">
      <formula>0</formula>
    </cfRule>
    <cfRule type="cellIs" priority="257" operator="lessThan" aboveAverage="0" equalAverage="0" bottom="0" percent="0" rank="0" text="" dxfId="8">
      <formula>0</formula>
    </cfRule>
  </conditionalFormatting>
  <conditionalFormatting sqref="I70">
    <cfRule type="cellIs" priority="258" operator="greaterThan" aboveAverage="0" equalAverage="0" bottom="0" percent="0" rank="0" text="" dxfId="7">
      <formula>0</formula>
    </cfRule>
  </conditionalFormatting>
  <conditionalFormatting sqref="K70">
    <cfRule type="cellIs" priority="259" operator="greaterThan" aboveAverage="0" equalAverage="0" bottom="0" percent="0" rank="0" text="" dxfId="7">
      <formula>0</formula>
    </cfRule>
  </conditionalFormatting>
  <conditionalFormatting sqref="N70">
    <cfRule type="cellIs" priority="260" operator="greaterThan" aboveAverage="0" equalAverage="0" bottom="0" percent="0" rank="0" text="" dxfId="7">
      <formula>0</formula>
    </cfRule>
    <cfRule type="cellIs" priority="261" operator="lessThan" aboveAverage="0" equalAverage="0" bottom="0" percent="0" rank="0" text="" dxfId="8">
      <formula>0</formula>
    </cfRule>
  </conditionalFormatting>
  <conditionalFormatting sqref="I71">
    <cfRule type="cellIs" priority="262" operator="greaterThan" aboveAverage="0" equalAverage="0" bottom="0" percent="0" rank="0" text="" dxfId="7">
      <formula>0</formula>
    </cfRule>
  </conditionalFormatting>
  <conditionalFormatting sqref="K71">
    <cfRule type="cellIs" priority="263" operator="greaterThan" aboveAverage="0" equalAverage="0" bottom="0" percent="0" rank="0" text="" dxfId="7">
      <formula>0</formula>
    </cfRule>
  </conditionalFormatting>
  <conditionalFormatting sqref="N71">
    <cfRule type="cellIs" priority="264" operator="greaterThan" aboveAverage="0" equalAverage="0" bottom="0" percent="0" rank="0" text="" dxfId="7">
      <formula>0</formula>
    </cfRule>
    <cfRule type="cellIs" priority="265" operator="lessThan" aboveAverage="0" equalAverage="0" bottom="0" percent="0" rank="0" text="" dxfId="8">
      <formula>0</formula>
    </cfRule>
  </conditionalFormatting>
  <conditionalFormatting sqref="I72">
    <cfRule type="cellIs" priority="266" operator="greaterThan" aboveAverage="0" equalAverage="0" bottom="0" percent="0" rank="0" text="" dxfId="7">
      <formula>0</formula>
    </cfRule>
  </conditionalFormatting>
  <conditionalFormatting sqref="K72">
    <cfRule type="cellIs" priority="267" operator="greaterThan" aboveAverage="0" equalAverage="0" bottom="0" percent="0" rank="0" text="" dxfId="7">
      <formula>0</formula>
    </cfRule>
  </conditionalFormatting>
  <conditionalFormatting sqref="N72">
    <cfRule type="cellIs" priority="268" operator="greaterThan" aboveAverage="0" equalAverage="0" bottom="0" percent="0" rank="0" text="" dxfId="7">
      <formula>0</formula>
    </cfRule>
    <cfRule type="cellIs" priority="269" operator="lessThan" aboveAverage="0" equalAverage="0" bottom="0" percent="0" rank="0" text="" dxfId="8">
      <formula>0</formula>
    </cfRule>
  </conditionalFormatting>
  <conditionalFormatting sqref="I73">
    <cfRule type="cellIs" priority="270" operator="greaterThan" aboveAverage="0" equalAverage="0" bottom="0" percent="0" rank="0" text="" dxfId="7">
      <formula>0</formula>
    </cfRule>
  </conditionalFormatting>
  <conditionalFormatting sqref="K73">
    <cfRule type="cellIs" priority="271" operator="greaterThan" aboveAverage="0" equalAverage="0" bottom="0" percent="0" rank="0" text="" dxfId="7">
      <formula>0</formula>
    </cfRule>
  </conditionalFormatting>
  <conditionalFormatting sqref="N73">
    <cfRule type="cellIs" priority="272" operator="greaterThan" aboveAverage="0" equalAverage="0" bottom="0" percent="0" rank="0" text="" dxfId="7">
      <formula>0</formula>
    </cfRule>
    <cfRule type="cellIs" priority="273" operator="lessThan" aboveAverage="0" equalAverage="0" bottom="0" percent="0" rank="0" text="" dxfId="8">
      <formula>0</formula>
    </cfRule>
  </conditionalFormatting>
  <conditionalFormatting sqref="I74">
    <cfRule type="cellIs" priority="274" operator="greaterThan" aboveAverage="0" equalAverage="0" bottom="0" percent="0" rank="0" text="" dxfId="7">
      <formula>0</formula>
    </cfRule>
  </conditionalFormatting>
  <conditionalFormatting sqref="K74">
    <cfRule type="cellIs" priority="275" operator="greaterThan" aboveAverage="0" equalAverage="0" bottom="0" percent="0" rank="0" text="" dxfId="7">
      <formula>0</formula>
    </cfRule>
  </conditionalFormatting>
  <conditionalFormatting sqref="N74">
    <cfRule type="cellIs" priority="276" operator="greaterThan" aboveAverage="0" equalAverage="0" bottom="0" percent="0" rank="0" text="" dxfId="7">
      <formula>0</formula>
    </cfRule>
    <cfRule type="cellIs" priority="277" operator="lessThan" aboveAverage="0" equalAverage="0" bottom="0" percent="0" rank="0" text="" dxfId="8">
      <formula>0</formula>
    </cfRule>
  </conditionalFormatting>
  <conditionalFormatting sqref="I75">
    <cfRule type="cellIs" priority="278" operator="greaterThan" aboveAverage="0" equalAverage="0" bottom="0" percent="0" rank="0" text="" dxfId="7">
      <formula>0</formula>
    </cfRule>
  </conditionalFormatting>
  <conditionalFormatting sqref="K75">
    <cfRule type="cellIs" priority="279" operator="greaterThan" aboveAverage="0" equalAverage="0" bottom="0" percent="0" rank="0" text="" dxfId="7">
      <formula>0</formula>
    </cfRule>
  </conditionalFormatting>
  <conditionalFormatting sqref="N75">
    <cfRule type="cellIs" priority="280" operator="greaterThan" aboveAverage="0" equalAverage="0" bottom="0" percent="0" rank="0" text="" dxfId="7">
      <formula>0</formula>
    </cfRule>
    <cfRule type="cellIs" priority="281" operator="lessThan" aboveAverage="0" equalAverage="0" bottom="0" percent="0" rank="0" text="" dxfId="8">
      <formula>0</formula>
    </cfRule>
  </conditionalFormatting>
  <conditionalFormatting sqref="I76">
    <cfRule type="cellIs" priority="282" operator="greaterThan" aboveAverage="0" equalAverage="0" bottom="0" percent="0" rank="0" text="" dxfId="7">
      <formula>0</formula>
    </cfRule>
  </conditionalFormatting>
  <conditionalFormatting sqref="K76">
    <cfRule type="cellIs" priority="283" operator="greaterThan" aboveAverage="0" equalAverage="0" bottom="0" percent="0" rank="0" text="" dxfId="7">
      <formula>0</formula>
    </cfRule>
  </conditionalFormatting>
  <conditionalFormatting sqref="N76">
    <cfRule type="cellIs" priority="284" operator="greaterThan" aboveAverage="0" equalAverage="0" bottom="0" percent="0" rank="0" text="" dxfId="7">
      <formula>0</formula>
    </cfRule>
    <cfRule type="cellIs" priority="285" operator="lessThan" aboveAverage="0" equalAverage="0" bottom="0" percent="0" rank="0" text="" dxfId="8">
      <formula>0</formula>
    </cfRule>
  </conditionalFormatting>
  <conditionalFormatting sqref="I77">
    <cfRule type="cellIs" priority="286" operator="greaterThan" aboveAverage="0" equalAverage="0" bottom="0" percent="0" rank="0" text="" dxfId="7">
      <formula>0</formula>
    </cfRule>
  </conditionalFormatting>
  <conditionalFormatting sqref="K77">
    <cfRule type="cellIs" priority="287" operator="greaterThan" aboveAverage="0" equalAverage="0" bottom="0" percent="0" rank="0" text="" dxfId="7">
      <formula>0</formula>
    </cfRule>
  </conditionalFormatting>
  <conditionalFormatting sqref="N77">
    <cfRule type="cellIs" priority="288" operator="greaterThan" aboveAverage="0" equalAverage="0" bottom="0" percent="0" rank="0" text="" dxfId="7">
      <formula>0</formula>
    </cfRule>
    <cfRule type="cellIs" priority="289" operator="lessThan" aboveAverage="0" equalAverage="0" bottom="0" percent="0" rank="0" text="" dxfId="8">
      <formula>0</formula>
    </cfRule>
  </conditionalFormatting>
  <conditionalFormatting sqref="I78">
    <cfRule type="cellIs" priority="290" operator="greaterThan" aboveAverage="0" equalAverage="0" bottom="0" percent="0" rank="0" text="" dxfId="7">
      <formula>0</formula>
    </cfRule>
  </conditionalFormatting>
  <conditionalFormatting sqref="K78">
    <cfRule type="cellIs" priority="291" operator="greaterThan" aboveAverage="0" equalAverage="0" bottom="0" percent="0" rank="0" text="" dxfId="7">
      <formula>0</formula>
    </cfRule>
  </conditionalFormatting>
  <conditionalFormatting sqref="N78">
    <cfRule type="cellIs" priority="292" operator="greaterThan" aboveAverage="0" equalAverage="0" bottom="0" percent="0" rank="0" text="" dxfId="7">
      <formula>0</formula>
    </cfRule>
    <cfRule type="cellIs" priority="293" operator="lessThan" aboveAverage="0" equalAverage="0" bottom="0" percent="0" rank="0" text="" dxfId="8">
      <formula>0</formula>
    </cfRule>
  </conditionalFormatting>
  <conditionalFormatting sqref="I79">
    <cfRule type="cellIs" priority="294" operator="greaterThan" aboveAverage="0" equalAverage="0" bottom="0" percent="0" rank="0" text="" dxfId="7">
      <formula>0</formula>
    </cfRule>
  </conditionalFormatting>
  <conditionalFormatting sqref="K79">
    <cfRule type="cellIs" priority="295" operator="greaterThan" aboveAverage="0" equalAverage="0" bottom="0" percent="0" rank="0" text="" dxfId="7">
      <formula>0</formula>
    </cfRule>
  </conditionalFormatting>
  <conditionalFormatting sqref="N79">
    <cfRule type="cellIs" priority="296" operator="greaterThan" aboveAverage="0" equalAverage="0" bottom="0" percent="0" rank="0" text="" dxfId="7">
      <formula>0</formula>
    </cfRule>
    <cfRule type="cellIs" priority="297" operator="lessThan" aboveAverage="0" equalAverage="0" bottom="0" percent="0" rank="0" text="" dxfId="8">
      <formula>0</formula>
    </cfRule>
  </conditionalFormatting>
  <conditionalFormatting sqref="I80">
    <cfRule type="cellIs" priority="298" operator="greaterThan" aboveAverage="0" equalAverage="0" bottom="0" percent="0" rank="0" text="" dxfId="7">
      <formula>0</formula>
    </cfRule>
  </conditionalFormatting>
  <conditionalFormatting sqref="K80">
    <cfRule type="cellIs" priority="299" operator="greaterThan" aboveAverage="0" equalAverage="0" bottom="0" percent="0" rank="0" text="" dxfId="7">
      <formula>0</formula>
    </cfRule>
  </conditionalFormatting>
  <conditionalFormatting sqref="N80">
    <cfRule type="cellIs" priority="300" operator="greaterThan" aboveAverage="0" equalAverage="0" bottom="0" percent="0" rank="0" text="" dxfId="7">
      <formula>0</formula>
    </cfRule>
    <cfRule type="cellIs" priority="301" operator="lessThan" aboveAverage="0" equalAverage="0" bottom="0" percent="0" rank="0" text="" dxfId="8">
      <formula>0</formula>
    </cfRule>
  </conditionalFormatting>
  <conditionalFormatting sqref="I81">
    <cfRule type="cellIs" priority="302" operator="greaterThan" aboveAverage="0" equalAverage="0" bottom="0" percent="0" rank="0" text="" dxfId="7">
      <formula>0</formula>
    </cfRule>
  </conditionalFormatting>
  <conditionalFormatting sqref="K81">
    <cfRule type="cellIs" priority="303" operator="greaterThan" aboveAverage="0" equalAverage="0" bottom="0" percent="0" rank="0" text="" dxfId="7">
      <formula>0</formula>
    </cfRule>
  </conditionalFormatting>
  <conditionalFormatting sqref="N81">
    <cfRule type="cellIs" priority="304" operator="greaterThan" aboveAverage="0" equalAverage="0" bottom="0" percent="0" rank="0" text="" dxfId="7">
      <formula>0</formula>
    </cfRule>
    <cfRule type="cellIs" priority="305" operator="lessThan" aboveAverage="0" equalAverage="0" bottom="0" percent="0" rank="0" text="" dxfId="8">
      <formula>0</formula>
    </cfRule>
  </conditionalFormatting>
  <conditionalFormatting sqref="I82">
    <cfRule type="cellIs" priority="306" operator="greaterThan" aboveAverage="0" equalAverage="0" bottom="0" percent="0" rank="0" text="" dxfId="7">
      <formula>0</formula>
    </cfRule>
  </conditionalFormatting>
  <conditionalFormatting sqref="K82">
    <cfRule type="cellIs" priority="307" operator="greaterThan" aboveAverage="0" equalAverage="0" bottom="0" percent="0" rank="0" text="" dxfId="7">
      <formula>0</formula>
    </cfRule>
  </conditionalFormatting>
  <conditionalFormatting sqref="N82">
    <cfRule type="cellIs" priority="308" operator="greaterThan" aboveAverage="0" equalAverage="0" bottom="0" percent="0" rank="0" text="" dxfId="7">
      <formula>0</formula>
    </cfRule>
    <cfRule type="cellIs" priority="309" operator="lessThan" aboveAverage="0" equalAverage="0" bottom="0" percent="0" rank="0" text="" dxfId="8">
      <formula>0</formula>
    </cfRule>
  </conditionalFormatting>
  <conditionalFormatting sqref="I83">
    <cfRule type="cellIs" priority="310" operator="greaterThan" aboveAverage="0" equalAverage="0" bottom="0" percent="0" rank="0" text="" dxfId="7">
      <formula>0</formula>
    </cfRule>
  </conditionalFormatting>
  <conditionalFormatting sqref="K83">
    <cfRule type="cellIs" priority="311" operator="greaterThan" aboveAverage="0" equalAverage="0" bottom="0" percent="0" rank="0" text="" dxfId="7">
      <formula>0</formula>
    </cfRule>
  </conditionalFormatting>
  <conditionalFormatting sqref="N83">
    <cfRule type="cellIs" priority="312" operator="greaterThan" aboveAverage="0" equalAverage="0" bottom="0" percent="0" rank="0" text="" dxfId="7">
      <formula>0</formula>
    </cfRule>
    <cfRule type="cellIs" priority="313" operator="lessThan" aboveAverage="0" equalAverage="0" bottom="0" percent="0" rank="0" text="" dxfId="8">
      <formula>0</formula>
    </cfRule>
  </conditionalFormatting>
  <conditionalFormatting sqref="I84">
    <cfRule type="cellIs" priority="314" operator="greaterThan" aboveAverage="0" equalAverage="0" bottom="0" percent="0" rank="0" text="" dxfId="7">
      <formula>0</formula>
    </cfRule>
  </conditionalFormatting>
  <conditionalFormatting sqref="K84">
    <cfRule type="cellIs" priority="315" operator="greaterThan" aboveAverage="0" equalAverage="0" bottom="0" percent="0" rank="0" text="" dxfId="7">
      <formula>0</formula>
    </cfRule>
  </conditionalFormatting>
  <conditionalFormatting sqref="N84">
    <cfRule type="cellIs" priority="316" operator="greaterThan" aboveAverage="0" equalAverage="0" bottom="0" percent="0" rank="0" text="" dxfId="7">
      <formula>0</formula>
    </cfRule>
    <cfRule type="cellIs" priority="317" operator="lessThan" aboveAverage="0" equalAverage="0" bottom="0" percent="0" rank="0" text="" dxfId="8">
      <formula>0</formula>
    </cfRule>
  </conditionalFormatting>
  <conditionalFormatting sqref="I85">
    <cfRule type="cellIs" priority="318" operator="greaterThan" aboveAverage="0" equalAverage="0" bottom="0" percent="0" rank="0" text="" dxfId="7">
      <formula>0</formula>
    </cfRule>
  </conditionalFormatting>
  <conditionalFormatting sqref="K85">
    <cfRule type="cellIs" priority="319" operator="greaterThan" aboveAverage="0" equalAverage="0" bottom="0" percent="0" rank="0" text="" dxfId="7">
      <formula>0</formula>
    </cfRule>
  </conditionalFormatting>
  <conditionalFormatting sqref="N85">
    <cfRule type="cellIs" priority="320" operator="greaterThan" aboveAverage="0" equalAverage="0" bottom="0" percent="0" rank="0" text="" dxfId="7">
      <formula>0</formula>
    </cfRule>
    <cfRule type="cellIs" priority="321" operator="lessThan" aboveAverage="0" equalAverage="0" bottom="0" percent="0" rank="0" text="" dxfId="8">
      <formula>0</formula>
    </cfRule>
  </conditionalFormatting>
  <conditionalFormatting sqref="I86">
    <cfRule type="cellIs" priority="322" operator="greaterThan" aboveAverage="0" equalAverage="0" bottom="0" percent="0" rank="0" text="" dxfId="7">
      <formula>0</formula>
    </cfRule>
  </conditionalFormatting>
  <conditionalFormatting sqref="K86">
    <cfRule type="cellIs" priority="323" operator="greaterThan" aboveAverage="0" equalAverage="0" bottom="0" percent="0" rank="0" text="" dxfId="7">
      <formula>0</formula>
    </cfRule>
  </conditionalFormatting>
  <conditionalFormatting sqref="N86">
    <cfRule type="cellIs" priority="324" operator="greaterThan" aboveAverage="0" equalAverage="0" bottom="0" percent="0" rank="0" text="" dxfId="7">
      <formula>0</formula>
    </cfRule>
    <cfRule type="cellIs" priority="325" operator="lessThan" aboveAverage="0" equalAverage="0" bottom="0" percent="0" rank="0" text="" dxfId="8">
      <formula>0</formula>
    </cfRule>
  </conditionalFormatting>
  <conditionalFormatting sqref="I87">
    <cfRule type="cellIs" priority="326" operator="greaterThan" aboveAverage="0" equalAverage="0" bottom="0" percent="0" rank="0" text="" dxfId="7">
      <formula>0</formula>
    </cfRule>
  </conditionalFormatting>
  <conditionalFormatting sqref="K87">
    <cfRule type="cellIs" priority="327" operator="greaterThan" aboveAverage="0" equalAverage="0" bottom="0" percent="0" rank="0" text="" dxfId="7">
      <formula>0</formula>
    </cfRule>
  </conditionalFormatting>
  <conditionalFormatting sqref="N87">
    <cfRule type="cellIs" priority="328" operator="greaterThan" aboveAverage="0" equalAverage="0" bottom="0" percent="0" rank="0" text="" dxfId="7">
      <formula>0</formula>
    </cfRule>
    <cfRule type="cellIs" priority="329" operator="lessThan" aboveAverage="0" equalAverage="0" bottom="0" percent="0" rank="0" text="" dxfId="8">
      <formula>0</formula>
    </cfRule>
  </conditionalFormatting>
  <conditionalFormatting sqref="I88">
    <cfRule type="cellIs" priority="330" operator="greaterThan" aboveAverage="0" equalAverage="0" bottom="0" percent="0" rank="0" text="" dxfId="7">
      <formula>0</formula>
    </cfRule>
  </conditionalFormatting>
  <conditionalFormatting sqref="K88">
    <cfRule type="cellIs" priority="331" operator="greaterThan" aboveAverage="0" equalAverage="0" bottom="0" percent="0" rank="0" text="" dxfId="7">
      <formula>0</formula>
    </cfRule>
  </conditionalFormatting>
  <conditionalFormatting sqref="N88">
    <cfRule type="cellIs" priority="332" operator="greaterThan" aboveAverage="0" equalAverage="0" bottom="0" percent="0" rank="0" text="" dxfId="7">
      <formula>0</formula>
    </cfRule>
    <cfRule type="cellIs" priority="333" operator="lessThan" aboveAverage="0" equalAverage="0" bottom="0" percent="0" rank="0" text="" dxfId="8">
      <formula>0</formula>
    </cfRule>
  </conditionalFormatting>
  <conditionalFormatting sqref="I89">
    <cfRule type="cellIs" priority="334" operator="greaterThan" aboveAverage="0" equalAverage="0" bottom="0" percent="0" rank="0" text="" dxfId="7">
      <formula>0</formula>
    </cfRule>
  </conditionalFormatting>
  <conditionalFormatting sqref="K89">
    <cfRule type="cellIs" priority="335" operator="greaterThan" aboveAverage="0" equalAverage="0" bottom="0" percent="0" rank="0" text="" dxfId="7">
      <formula>0</formula>
    </cfRule>
  </conditionalFormatting>
  <conditionalFormatting sqref="N89">
    <cfRule type="cellIs" priority="336" operator="greaterThan" aboveAverage="0" equalAverage="0" bottom="0" percent="0" rank="0" text="" dxfId="7">
      <formula>0</formula>
    </cfRule>
    <cfRule type="cellIs" priority="337" operator="lessThan" aboveAverage="0" equalAverage="0" bottom="0" percent="0" rank="0" text="" dxfId="8">
      <formula>0</formula>
    </cfRule>
  </conditionalFormatting>
  <conditionalFormatting sqref="I90">
    <cfRule type="cellIs" priority="338" operator="greaterThan" aboveAverage="0" equalAverage="0" bottom="0" percent="0" rank="0" text="" dxfId="7">
      <formula>0</formula>
    </cfRule>
  </conditionalFormatting>
  <conditionalFormatting sqref="K90">
    <cfRule type="cellIs" priority="339" operator="greaterThan" aboveAverage="0" equalAverage="0" bottom="0" percent="0" rank="0" text="" dxfId="7">
      <formula>0</formula>
    </cfRule>
  </conditionalFormatting>
  <conditionalFormatting sqref="N90">
    <cfRule type="cellIs" priority="340" operator="greaterThan" aboveAverage="0" equalAverage="0" bottom="0" percent="0" rank="0" text="" dxfId="7">
      <formula>0</formula>
    </cfRule>
    <cfRule type="cellIs" priority="341" operator="lessThan" aboveAverage="0" equalAverage="0" bottom="0" percent="0" rank="0" text="" dxfId="8">
      <formula>0</formula>
    </cfRule>
  </conditionalFormatting>
  <conditionalFormatting sqref="I91">
    <cfRule type="cellIs" priority="342" operator="greaterThan" aboveAverage="0" equalAverage="0" bottom="0" percent="0" rank="0" text="" dxfId="7">
      <formula>0</formula>
    </cfRule>
  </conditionalFormatting>
  <conditionalFormatting sqref="K91">
    <cfRule type="cellIs" priority="343" operator="greaterThan" aboveAverage="0" equalAverage="0" bottom="0" percent="0" rank="0" text="" dxfId="7">
      <formula>0</formula>
    </cfRule>
  </conditionalFormatting>
  <conditionalFormatting sqref="N91">
    <cfRule type="cellIs" priority="344" operator="greaterThan" aboveAverage="0" equalAverage="0" bottom="0" percent="0" rank="0" text="" dxfId="7">
      <formula>0</formula>
    </cfRule>
    <cfRule type="cellIs" priority="345" operator="lessThan" aboveAverage="0" equalAverage="0" bottom="0" percent="0" rank="0" text="" dxfId="8">
      <formula>0</formula>
    </cfRule>
  </conditionalFormatting>
  <conditionalFormatting sqref="I92">
    <cfRule type="cellIs" priority="346" operator="greaterThan" aboveAverage="0" equalAverage="0" bottom="0" percent="0" rank="0" text="" dxfId="7">
      <formula>0</formula>
    </cfRule>
  </conditionalFormatting>
  <conditionalFormatting sqref="K92">
    <cfRule type="cellIs" priority="347" operator="greaterThan" aboveAverage="0" equalAverage="0" bottom="0" percent="0" rank="0" text="" dxfId="7">
      <formula>0</formula>
    </cfRule>
  </conditionalFormatting>
  <conditionalFormatting sqref="N92">
    <cfRule type="cellIs" priority="348" operator="greaterThan" aboveAverage="0" equalAverage="0" bottom="0" percent="0" rank="0" text="" dxfId="7">
      <formula>0</formula>
    </cfRule>
    <cfRule type="cellIs" priority="349" operator="lessThan" aboveAverage="0" equalAverage="0" bottom="0" percent="0" rank="0" text="" dxfId="8">
      <formula>0</formula>
    </cfRule>
  </conditionalFormatting>
  <conditionalFormatting sqref="I93">
    <cfRule type="cellIs" priority="350" operator="greaterThan" aboveAverage="0" equalAverage="0" bottom="0" percent="0" rank="0" text="" dxfId="7">
      <formula>0</formula>
    </cfRule>
  </conditionalFormatting>
  <conditionalFormatting sqref="K93">
    <cfRule type="cellIs" priority="351" operator="greaterThan" aboveAverage="0" equalAverage="0" bottom="0" percent="0" rank="0" text="" dxfId="7">
      <formula>0</formula>
    </cfRule>
  </conditionalFormatting>
  <conditionalFormatting sqref="N93">
    <cfRule type="cellIs" priority="352" operator="greaterThan" aboveAverage="0" equalAverage="0" bottom="0" percent="0" rank="0" text="" dxfId="7">
      <formula>0</formula>
    </cfRule>
    <cfRule type="cellIs" priority="353" operator="lessThan" aboveAverage="0" equalAverage="0" bottom="0" percent="0" rank="0" text="" dxfId="8">
      <formula>0</formula>
    </cfRule>
  </conditionalFormatting>
  <conditionalFormatting sqref="I94">
    <cfRule type="cellIs" priority="354" operator="greaterThan" aboveAverage="0" equalAverage="0" bottom="0" percent="0" rank="0" text="" dxfId="7">
      <formula>0</formula>
    </cfRule>
  </conditionalFormatting>
  <conditionalFormatting sqref="K94">
    <cfRule type="cellIs" priority="355" operator="greaterThan" aboveAverage="0" equalAverage="0" bottom="0" percent="0" rank="0" text="" dxfId="7">
      <formula>0</formula>
    </cfRule>
  </conditionalFormatting>
  <conditionalFormatting sqref="N94">
    <cfRule type="cellIs" priority="356" operator="greaterThan" aboveAverage="0" equalAverage="0" bottom="0" percent="0" rank="0" text="" dxfId="7">
      <formula>0</formula>
    </cfRule>
    <cfRule type="cellIs" priority="357" operator="lessThan" aboveAverage="0" equalAverage="0" bottom="0" percent="0" rank="0" text="" dxfId="8">
      <formula>0</formula>
    </cfRule>
  </conditionalFormatting>
  <conditionalFormatting sqref="I95">
    <cfRule type="cellIs" priority="358" operator="greaterThan" aboveAverage="0" equalAverage="0" bottom="0" percent="0" rank="0" text="" dxfId="7">
      <formula>0</formula>
    </cfRule>
  </conditionalFormatting>
  <conditionalFormatting sqref="K95">
    <cfRule type="cellIs" priority="359" operator="greaterThan" aboveAverage="0" equalAverage="0" bottom="0" percent="0" rank="0" text="" dxfId="7">
      <formula>0</formula>
    </cfRule>
  </conditionalFormatting>
  <conditionalFormatting sqref="N95">
    <cfRule type="cellIs" priority="360" operator="greaterThan" aboveAverage="0" equalAverage="0" bottom="0" percent="0" rank="0" text="" dxfId="7">
      <formula>0</formula>
    </cfRule>
    <cfRule type="cellIs" priority="361" operator="lessThan" aboveAverage="0" equalAverage="0" bottom="0" percent="0" rank="0" text="" dxfId="8">
      <formula>0</formula>
    </cfRule>
  </conditionalFormatting>
  <conditionalFormatting sqref="I96">
    <cfRule type="cellIs" priority="362" operator="greaterThan" aboveAverage="0" equalAverage="0" bottom="0" percent="0" rank="0" text="" dxfId="7">
      <formula>0</formula>
    </cfRule>
  </conditionalFormatting>
  <conditionalFormatting sqref="K96">
    <cfRule type="cellIs" priority="363" operator="greaterThan" aboveAverage="0" equalAverage="0" bottom="0" percent="0" rank="0" text="" dxfId="7">
      <formula>0</formula>
    </cfRule>
  </conditionalFormatting>
  <conditionalFormatting sqref="N96">
    <cfRule type="cellIs" priority="364" operator="greaterThan" aboveAverage="0" equalAverage="0" bottom="0" percent="0" rank="0" text="" dxfId="7">
      <formula>0</formula>
    </cfRule>
    <cfRule type="cellIs" priority="365" operator="lessThan" aboveAverage="0" equalAverage="0" bottom="0" percent="0" rank="0" text="" dxfId="8">
      <formula>0</formula>
    </cfRule>
  </conditionalFormatting>
  <conditionalFormatting sqref="I97">
    <cfRule type="cellIs" priority="366" operator="greaterThan" aboveAverage="0" equalAverage="0" bottom="0" percent="0" rank="0" text="" dxfId="7">
      <formula>0</formula>
    </cfRule>
  </conditionalFormatting>
  <conditionalFormatting sqref="K97">
    <cfRule type="cellIs" priority="367" operator="greaterThan" aboveAverage="0" equalAverage="0" bottom="0" percent="0" rank="0" text="" dxfId="7">
      <formula>0</formula>
    </cfRule>
  </conditionalFormatting>
  <conditionalFormatting sqref="N97">
    <cfRule type="cellIs" priority="368" operator="greaterThan" aboveAverage="0" equalAverage="0" bottom="0" percent="0" rank="0" text="" dxfId="7">
      <formula>0</formula>
    </cfRule>
    <cfRule type="cellIs" priority="369" operator="lessThan" aboveAverage="0" equalAverage="0" bottom="0" percent="0" rank="0" text="" dxfId="8">
      <formula>0</formula>
    </cfRule>
  </conditionalFormatting>
  <conditionalFormatting sqref="I98">
    <cfRule type="cellIs" priority="370" operator="greaterThan" aboveAverage="0" equalAverage="0" bottom="0" percent="0" rank="0" text="" dxfId="7">
      <formula>0</formula>
    </cfRule>
  </conditionalFormatting>
  <conditionalFormatting sqref="K98">
    <cfRule type="cellIs" priority="371" operator="greaterThan" aboveAverage="0" equalAverage="0" bottom="0" percent="0" rank="0" text="" dxfId="7">
      <formula>0</formula>
    </cfRule>
  </conditionalFormatting>
  <conditionalFormatting sqref="N98">
    <cfRule type="cellIs" priority="372" operator="greaterThan" aboveAverage="0" equalAverage="0" bottom="0" percent="0" rank="0" text="" dxfId="7">
      <formula>0</formula>
    </cfRule>
    <cfRule type="cellIs" priority="373" operator="lessThan" aboveAverage="0" equalAverage="0" bottom="0" percent="0" rank="0" text="" dxfId="8">
      <formula>0</formula>
    </cfRule>
  </conditionalFormatting>
  <conditionalFormatting sqref="I99">
    <cfRule type="cellIs" priority="374" operator="greaterThan" aboveAverage="0" equalAverage="0" bottom="0" percent="0" rank="0" text="" dxfId="7">
      <formula>0</formula>
    </cfRule>
  </conditionalFormatting>
  <conditionalFormatting sqref="K99">
    <cfRule type="cellIs" priority="375" operator="greaterThan" aboveAverage="0" equalAverage="0" bottom="0" percent="0" rank="0" text="" dxfId="7">
      <formula>0</formula>
    </cfRule>
  </conditionalFormatting>
  <conditionalFormatting sqref="N99">
    <cfRule type="cellIs" priority="376" operator="greaterThan" aboveAverage="0" equalAverage="0" bottom="0" percent="0" rank="0" text="" dxfId="7">
      <formula>0</formula>
    </cfRule>
    <cfRule type="cellIs" priority="377" operator="lessThan" aboveAverage="0" equalAverage="0" bottom="0" percent="0" rank="0" text="" dxfId="8">
      <formula>0</formula>
    </cfRule>
  </conditionalFormatting>
  <conditionalFormatting sqref="I100">
    <cfRule type="cellIs" priority="378" operator="greaterThan" aboveAverage="0" equalAverage="0" bottom="0" percent="0" rank="0" text="" dxfId="7">
      <formula>0</formula>
    </cfRule>
  </conditionalFormatting>
  <conditionalFormatting sqref="K100">
    <cfRule type="cellIs" priority="379" operator="greaterThan" aboveAverage="0" equalAverage="0" bottom="0" percent="0" rank="0" text="" dxfId="7">
      <formula>0</formula>
    </cfRule>
  </conditionalFormatting>
  <conditionalFormatting sqref="N100">
    <cfRule type="cellIs" priority="380" operator="greaterThan" aboveAverage="0" equalAverage="0" bottom="0" percent="0" rank="0" text="" dxfId="7">
      <formula>0</formula>
    </cfRule>
    <cfRule type="cellIs" priority="381" operator="lessThan" aboveAverage="0" equalAverage="0" bottom="0" percent="0" rank="0" text="" dxfId="8">
      <formula>0</formula>
    </cfRule>
  </conditionalFormatting>
  <conditionalFormatting sqref="I101">
    <cfRule type="cellIs" priority="382" operator="greaterThan" aboveAverage="0" equalAverage="0" bottom="0" percent="0" rank="0" text="" dxfId="7">
      <formula>0</formula>
    </cfRule>
  </conditionalFormatting>
  <conditionalFormatting sqref="K101">
    <cfRule type="cellIs" priority="383" operator="greaterThan" aboveAverage="0" equalAverage="0" bottom="0" percent="0" rank="0" text="" dxfId="7">
      <formula>0</formula>
    </cfRule>
  </conditionalFormatting>
  <conditionalFormatting sqref="N101">
    <cfRule type="cellIs" priority="384" operator="greaterThan" aboveAverage="0" equalAverage="0" bottom="0" percent="0" rank="0" text="" dxfId="7">
      <formula>0</formula>
    </cfRule>
    <cfRule type="cellIs" priority="385" operator="lessThan" aboveAverage="0" equalAverage="0" bottom="0" percent="0" rank="0" text="" dxfId="8">
      <formula>0</formula>
    </cfRule>
  </conditionalFormatting>
  <conditionalFormatting sqref="I102">
    <cfRule type="cellIs" priority="386" operator="greaterThan" aboveAverage="0" equalAverage="0" bottom="0" percent="0" rank="0" text="" dxfId="7">
      <formula>0</formula>
    </cfRule>
  </conditionalFormatting>
  <conditionalFormatting sqref="K102">
    <cfRule type="cellIs" priority="387" operator="greaterThan" aboveAverage="0" equalAverage="0" bottom="0" percent="0" rank="0" text="" dxfId="7">
      <formula>0</formula>
    </cfRule>
  </conditionalFormatting>
  <conditionalFormatting sqref="N102">
    <cfRule type="cellIs" priority="388" operator="greaterThan" aboveAverage="0" equalAverage="0" bottom="0" percent="0" rank="0" text="" dxfId="7">
      <formula>0</formula>
    </cfRule>
    <cfRule type="cellIs" priority="389" operator="lessThan" aboveAverage="0" equalAverage="0" bottom="0" percent="0" rank="0" text="" dxfId="8">
      <formula>0</formula>
    </cfRule>
  </conditionalFormatting>
  <conditionalFormatting sqref="I103">
    <cfRule type="cellIs" priority="390" operator="greaterThan" aboveAverage="0" equalAverage="0" bottom="0" percent="0" rank="0" text="" dxfId="7">
      <formula>0</formula>
    </cfRule>
  </conditionalFormatting>
  <conditionalFormatting sqref="K103">
    <cfRule type="cellIs" priority="391" operator="greaterThan" aboveAverage="0" equalAverage="0" bottom="0" percent="0" rank="0" text="" dxfId="7">
      <formula>0</formula>
    </cfRule>
  </conditionalFormatting>
  <conditionalFormatting sqref="N103">
    <cfRule type="cellIs" priority="392" operator="greaterThan" aboveAverage="0" equalAverage="0" bottom="0" percent="0" rank="0" text="" dxfId="7">
      <formula>0</formula>
    </cfRule>
    <cfRule type="cellIs" priority="393" operator="lessThan" aboveAverage="0" equalAverage="0" bottom="0" percent="0" rank="0" text="" dxfId="8">
      <formula>0</formula>
    </cfRule>
  </conditionalFormatting>
  <conditionalFormatting sqref="I104">
    <cfRule type="cellIs" priority="394" operator="greaterThan" aboveAverage="0" equalAverage="0" bottom="0" percent="0" rank="0" text="" dxfId="7">
      <formula>0</formula>
    </cfRule>
  </conditionalFormatting>
  <conditionalFormatting sqref="K104">
    <cfRule type="cellIs" priority="395" operator="greaterThan" aboveAverage="0" equalAverage="0" bottom="0" percent="0" rank="0" text="" dxfId="7">
      <formula>0</formula>
    </cfRule>
  </conditionalFormatting>
  <conditionalFormatting sqref="N104">
    <cfRule type="cellIs" priority="396" operator="greaterThan" aboveAverage="0" equalAverage="0" bottom="0" percent="0" rank="0" text="" dxfId="7">
      <formula>0</formula>
    </cfRule>
    <cfRule type="cellIs" priority="397" operator="lessThan" aboveAverage="0" equalAverage="0" bottom="0" percent="0" rank="0" text="" dxfId="8">
      <formula>0</formula>
    </cfRule>
  </conditionalFormatting>
  <conditionalFormatting sqref="I105">
    <cfRule type="cellIs" priority="398" operator="greaterThan" aboveAverage="0" equalAverage="0" bottom="0" percent="0" rank="0" text="" dxfId="7">
      <formula>0</formula>
    </cfRule>
  </conditionalFormatting>
  <conditionalFormatting sqref="K105">
    <cfRule type="cellIs" priority="399" operator="greaterThan" aboveAverage="0" equalAverage="0" bottom="0" percent="0" rank="0" text="" dxfId="7">
      <formula>0</formula>
    </cfRule>
  </conditionalFormatting>
  <conditionalFormatting sqref="N105">
    <cfRule type="cellIs" priority="400" operator="greaterThan" aboveAverage="0" equalAverage="0" bottom="0" percent="0" rank="0" text="" dxfId="7">
      <formula>0</formula>
    </cfRule>
    <cfRule type="cellIs" priority="401" operator="lessThan" aboveAverage="0" equalAverage="0" bottom="0" percent="0" rank="0" text="" dxfId="8">
      <formula>0</formula>
    </cfRule>
  </conditionalFormatting>
  <conditionalFormatting sqref="I106">
    <cfRule type="cellIs" priority="402" operator="greaterThan" aboveAverage="0" equalAverage="0" bottom="0" percent="0" rank="0" text="" dxfId="7">
      <formula>0</formula>
    </cfRule>
  </conditionalFormatting>
  <conditionalFormatting sqref="K106">
    <cfRule type="cellIs" priority="403" operator="greaterThan" aboveAverage="0" equalAverage="0" bottom="0" percent="0" rank="0" text="" dxfId="7">
      <formula>0</formula>
    </cfRule>
  </conditionalFormatting>
  <conditionalFormatting sqref="N106">
    <cfRule type="cellIs" priority="404" operator="greaterThan" aboveAverage="0" equalAverage="0" bottom="0" percent="0" rank="0" text="" dxfId="7">
      <formula>0</formula>
    </cfRule>
    <cfRule type="cellIs" priority="405" operator="lessThan" aboveAverage="0" equalAverage="0" bottom="0" percent="0" rank="0" text="" dxfId="8">
      <formula>0</formula>
    </cfRule>
  </conditionalFormatting>
  <conditionalFormatting sqref="I107">
    <cfRule type="cellIs" priority="406" operator="greaterThan" aboveAverage="0" equalAverage="0" bottom="0" percent="0" rank="0" text="" dxfId="7">
      <formula>0</formula>
    </cfRule>
  </conditionalFormatting>
  <conditionalFormatting sqref="K107">
    <cfRule type="cellIs" priority="407" operator="greaterThan" aboveAverage="0" equalAverage="0" bottom="0" percent="0" rank="0" text="" dxfId="7">
      <formula>0</formula>
    </cfRule>
  </conditionalFormatting>
  <conditionalFormatting sqref="N107">
    <cfRule type="cellIs" priority="408" operator="greaterThan" aboveAverage="0" equalAverage="0" bottom="0" percent="0" rank="0" text="" dxfId="7">
      <formula>0</formula>
    </cfRule>
    <cfRule type="cellIs" priority="409" operator="lessThan" aboveAverage="0" equalAverage="0" bottom="0" percent="0" rank="0" text="" dxfId="8">
      <formula>0</formula>
    </cfRule>
  </conditionalFormatting>
  <conditionalFormatting sqref="I108">
    <cfRule type="cellIs" priority="410" operator="greaterThan" aboveAverage="0" equalAverage="0" bottom="0" percent="0" rank="0" text="" dxfId="7">
      <formula>0</formula>
    </cfRule>
  </conditionalFormatting>
  <conditionalFormatting sqref="K108">
    <cfRule type="cellIs" priority="411" operator="greaterThan" aboveAverage="0" equalAverage="0" bottom="0" percent="0" rank="0" text="" dxfId="7">
      <formula>0</formula>
    </cfRule>
  </conditionalFormatting>
  <conditionalFormatting sqref="N108">
    <cfRule type="cellIs" priority="412" operator="greaterThan" aboveAverage="0" equalAverage="0" bottom="0" percent="0" rank="0" text="" dxfId="7">
      <formula>0</formula>
    </cfRule>
    <cfRule type="cellIs" priority="413" operator="lessThan" aboveAverage="0" equalAverage="0" bottom="0" percent="0" rank="0" text="" dxfId="8">
      <formula>0</formula>
    </cfRule>
  </conditionalFormatting>
  <conditionalFormatting sqref="I109">
    <cfRule type="cellIs" priority="414" operator="greaterThan" aboveAverage="0" equalAverage="0" bottom="0" percent="0" rank="0" text="" dxfId="7">
      <formula>0</formula>
    </cfRule>
  </conditionalFormatting>
  <conditionalFormatting sqref="K109">
    <cfRule type="cellIs" priority="415" operator="greaterThan" aboveAverage="0" equalAverage="0" bottom="0" percent="0" rank="0" text="" dxfId="7">
      <formula>0</formula>
    </cfRule>
  </conditionalFormatting>
  <conditionalFormatting sqref="N109">
    <cfRule type="cellIs" priority="416" operator="greaterThan" aboveAverage="0" equalAverage="0" bottom="0" percent="0" rank="0" text="" dxfId="7">
      <formula>0</formula>
    </cfRule>
    <cfRule type="cellIs" priority="417" operator="lessThan" aboveAverage="0" equalAverage="0" bottom="0" percent="0" rank="0" text="" dxfId="8">
      <formula>0</formula>
    </cfRule>
  </conditionalFormatting>
  <conditionalFormatting sqref="I110">
    <cfRule type="cellIs" priority="418" operator="greaterThan" aboveAverage="0" equalAverage="0" bottom="0" percent="0" rank="0" text="" dxfId="7">
      <formula>0</formula>
    </cfRule>
  </conditionalFormatting>
  <conditionalFormatting sqref="K110">
    <cfRule type="cellIs" priority="419" operator="greaterThan" aboveAverage="0" equalAverage="0" bottom="0" percent="0" rank="0" text="" dxfId="7">
      <formula>0</formula>
    </cfRule>
  </conditionalFormatting>
  <conditionalFormatting sqref="N110">
    <cfRule type="cellIs" priority="420" operator="greaterThan" aboveAverage="0" equalAverage="0" bottom="0" percent="0" rank="0" text="" dxfId="7">
      <formula>0</formula>
    </cfRule>
    <cfRule type="cellIs" priority="421" operator="lessThan" aboveAverage="0" equalAverage="0" bottom="0" percent="0" rank="0" text="" dxfId="8">
      <formula>0</formula>
    </cfRule>
  </conditionalFormatting>
  <conditionalFormatting sqref="I111">
    <cfRule type="cellIs" priority="422" operator="greaterThan" aboveAverage="0" equalAverage="0" bottom="0" percent="0" rank="0" text="" dxfId="7">
      <formula>0</formula>
    </cfRule>
  </conditionalFormatting>
  <conditionalFormatting sqref="K111">
    <cfRule type="cellIs" priority="423" operator="greaterThan" aboveAverage="0" equalAverage="0" bottom="0" percent="0" rank="0" text="" dxfId="7">
      <formula>0</formula>
    </cfRule>
  </conditionalFormatting>
  <conditionalFormatting sqref="N111">
    <cfRule type="cellIs" priority="424" operator="greaterThan" aboveAverage="0" equalAverage="0" bottom="0" percent="0" rank="0" text="" dxfId="7">
      <formula>0</formula>
    </cfRule>
    <cfRule type="cellIs" priority="425" operator="lessThan" aboveAverage="0" equalAverage="0" bottom="0" percent="0" rank="0" text="" dxfId="8">
      <formula>0</formula>
    </cfRule>
  </conditionalFormatting>
  <conditionalFormatting sqref="I112">
    <cfRule type="cellIs" priority="426" operator="greaterThan" aboveAverage="0" equalAverage="0" bottom="0" percent="0" rank="0" text="" dxfId="7">
      <formula>0</formula>
    </cfRule>
  </conditionalFormatting>
  <conditionalFormatting sqref="K112">
    <cfRule type="cellIs" priority="427" operator="greaterThan" aboveAverage="0" equalAverage="0" bottom="0" percent="0" rank="0" text="" dxfId="7">
      <formula>0</formula>
    </cfRule>
  </conditionalFormatting>
  <conditionalFormatting sqref="N112">
    <cfRule type="cellIs" priority="428" operator="greaterThan" aboveAverage="0" equalAverage="0" bottom="0" percent="0" rank="0" text="" dxfId="7">
      <formula>0</formula>
    </cfRule>
    <cfRule type="cellIs" priority="429" operator="lessThan" aboveAverage="0" equalAverage="0" bottom="0" percent="0" rank="0" text="" dxfId="8">
      <formula>0</formula>
    </cfRule>
  </conditionalFormatting>
  <conditionalFormatting sqref="I113">
    <cfRule type="cellIs" priority="430" operator="greaterThan" aboveAverage="0" equalAverage="0" bottom="0" percent="0" rank="0" text="" dxfId="7">
      <formula>0</formula>
    </cfRule>
  </conditionalFormatting>
  <conditionalFormatting sqref="K113">
    <cfRule type="cellIs" priority="431" operator="greaterThan" aboveAverage="0" equalAverage="0" bottom="0" percent="0" rank="0" text="" dxfId="7">
      <formula>0</formula>
    </cfRule>
  </conditionalFormatting>
  <conditionalFormatting sqref="N113">
    <cfRule type="cellIs" priority="432" operator="greaterThan" aboveAverage="0" equalAverage="0" bottom="0" percent="0" rank="0" text="" dxfId="7">
      <formula>0</formula>
    </cfRule>
    <cfRule type="cellIs" priority="433" operator="lessThan" aboveAverage="0" equalAverage="0" bottom="0" percent="0" rank="0" text="" dxfId="8">
      <formula>0</formula>
    </cfRule>
  </conditionalFormatting>
  <conditionalFormatting sqref="I114">
    <cfRule type="cellIs" priority="434" operator="greaterThan" aboveAverage="0" equalAverage="0" bottom="0" percent="0" rank="0" text="" dxfId="7">
      <formula>0</formula>
    </cfRule>
  </conditionalFormatting>
  <conditionalFormatting sqref="K114">
    <cfRule type="cellIs" priority="435" operator="greaterThan" aboveAverage="0" equalAverage="0" bottom="0" percent="0" rank="0" text="" dxfId="7">
      <formula>0</formula>
    </cfRule>
  </conditionalFormatting>
  <conditionalFormatting sqref="N114">
    <cfRule type="cellIs" priority="436" operator="greaterThan" aboveAverage="0" equalAverage="0" bottom="0" percent="0" rank="0" text="" dxfId="7">
      <formula>0</formula>
    </cfRule>
    <cfRule type="cellIs" priority="437" operator="lessThan" aboveAverage="0" equalAverage="0" bottom="0" percent="0" rank="0" text="" dxfId="8">
      <formula>0</formula>
    </cfRule>
  </conditionalFormatting>
  <conditionalFormatting sqref="I115">
    <cfRule type="cellIs" priority="438" operator="greaterThan" aboveAverage="0" equalAverage="0" bottom="0" percent="0" rank="0" text="" dxfId="7">
      <formula>0</formula>
    </cfRule>
  </conditionalFormatting>
  <conditionalFormatting sqref="K115">
    <cfRule type="cellIs" priority="439" operator="greaterThan" aboveAverage="0" equalAverage="0" bottom="0" percent="0" rank="0" text="" dxfId="7">
      <formula>0</formula>
    </cfRule>
  </conditionalFormatting>
  <conditionalFormatting sqref="N115">
    <cfRule type="cellIs" priority="440" operator="greaterThan" aboveAverage="0" equalAverage="0" bottom="0" percent="0" rank="0" text="" dxfId="7">
      <formula>0</formula>
    </cfRule>
    <cfRule type="cellIs" priority="441" operator="lessThan" aboveAverage="0" equalAverage="0" bottom="0" percent="0" rank="0" text="" dxfId="8">
      <formula>0</formula>
    </cfRule>
  </conditionalFormatting>
  <conditionalFormatting sqref="I116">
    <cfRule type="cellIs" priority="442" operator="greaterThan" aboveAverage="0" equalAverage="0" bottom="0" percent="0" rank="0" text="" dxfId="7">
      <formula>0</formula>
    </cfRule>
  </conditionalFormatting>
  <conditionalFormatting sqref="K116">
    <cfRule type="cellIs" priority="443" operator="greaterThan" aboveAverage="0" equalAverage="0" bottom="0" percent="0" rank="0" text="" dxfId="7">
      <formula>0</formula>
    </cfRule>
  </conditionalFormatting>
  <conditionalFormatting sqref="N116">
    <cfRule type="cellIs" priority="444" operator="greaterThan" aboveAverage="0" equalAverage="0" bottom="0" percent="0" rank="0" text="" dxfId="7">
      <formula>0</formula>
    </cfRule>
    <cfRule type="cellIs" priority="445" operator="lessThan" aboveAverage="0" equalAverage="0" bottom="0" percent="0" rank="0" text="" dxfId="8">
      <formula>0</formula>
    </cfRule>
  </conditionalFormatting>
  <conditionalFormatting sqref="I117">
    <cfRule type="cellIs" priority="446" operator="greaterThan" aboveAverage="0" equalAverage="0" bottom="0" percent="0" rank="0" text="" dxfId="7">
      <formula>0</formula>
    </cfRule>
  </conditionalFormatting>
  <conditionalFormatting sqref="K117">
    <cfRule type="cellIs" priority="447" operator="greaterThan" aboveAverage="0" equalAverage="0" bottom="0" percent="0" rank="0" text="" dxfId="7">
      <formula>0</formula>
    </cfRule>
  </conditionalFormatting>
  <conditionalFormatting sqref="N117">
    <cfRule type="cellIs" priority="448" operator="greaterThan" aboveAverage="0" equalAverage="0" bottom="0" percent="0" rank="0" text="" dxfId="7">
      <formula>0</formula>
    </cfRule>
    <cfRule type="cellIs" priority="449" operator="lessThan" aboveAverage="0" equalAverage="0" bottom="0" percent="0" rank="0" text="" dxfId="8">
      <formula>0</formula>
    </cfRule>
  </conditionalFormatting>
  <conditionalFormatting sqref="I118">
    <cfRule type="cellIs" priority="450" operator="greaterThan" aboveAverage="0" equalAverage="0" bottom="0" percent="0" rank="0" text="" dxfId="7">
      <formula>0</formula>
    </cfRule>
  </conditionalFormatting>
  <conditionalFormatting sqref="K118">
    <cfRule type="cellIs" priority="451" operator="greaterThan" aboveAverage="0" equalAverage="0" bottom="0" percent="0" rank="0" text="" dxfId="7">
      <formula>0</formula>
    </cfRule>
  </conditionalFormatting>
  <conditionalFormatting sqref="N118">
    <cfRule type="cellIs" priority="452" operator="greaterThan" aboveAverage="0" equalAverage="0" bottom="0" percent="0" rank="0" text="" dxfId="7">
      <formula>0</formula>
    </cfRule>
    <cfRule type="cellIs" priority="453" operator="lessThan" aboveAverage="0" equalAverage="0" bottom="0" percent="0" rank="0" text="" dxfId="8">
      <formula>0</formula>
    </cfRule>
  </conditionalFormatting>
  <conditionalFormatting sqref="I119">
    <cfRule type="cellIs" priority="454" operator="greaterThan" aboveAverage="0" equalAverage="0" bottom="0" percent="0" rank="0" text="" dxfId="7">
      <formula>0</formula>
    </cfRule>
  </conditionalFormatting>
  <conditionalFormatting sqref="K119">
    <cfRule type="cellIs" priority="455" operator="greaterThan" aboveAverage="0" equalAverage="0" bottom="0" percent="0" rank="0" text="" dxfId="7">
      <formula>0</formula>
    </cfRule>
  </conditionalFormatting>
  <conditionalFormatting sqref="N119">
    <cfRule type="cellIs" priority="456" operator="greaterThan" aboveAverage="0" equalAverage="0" bottom="0" percent="0" rank="0" text="" dxfId="7">
      <formula>0</formula>
    </cfRule>
    <cfRule type="cellIs" priority="457" operator="lessThan" aboveAverage="0" equalAverage="0" bottom="0" percent="0" rank="0" text="" dxfId="8">
      <formula>0</formula>
    </cfRule>
  </conditionalFormatting>
  <conditionalFormatting sqref="I120">
    <cfRule type="cellIs" priority="458" operator="greaterThan" aboveAverage="0" equalAverage="0" bottom="0" percent="0" rank="0" text="" dxfId="7">
      <formula>0</formula>
    </cfRule>
  </conditionalFormatting>
  <conditionalFormatting sqref="K120">
    <cfRule type="cellIs" priority="459" operator="greaterThan" aboveAverage="0" equalAverage="0" bottom="0" percent="0" rank="0" text="" dxfId="7">
      <formula>0</formula>
    </cfRule>
  </conditionalFormatting>
  <conditionalFormatting sqref="N120">
    <cfRule type="cellIs" priority="460" operator="greaterThan" aboveAverage="0" equalAverage="0" bottom="0" percent="0" rank="0" text="" dxfId="7">
      <formula>0</formula>
    </cfRule>
    <cfRule type="cellIs" priority="461" operator="lessThan" aboveAverage="0" equalAverage="0" bottom="0" percent="0" rank="0" text="" dxfId="8">
      <formula>0</formula>
    </cfRule>
  </conditionalFormatting>
  <conditionalFormatting sqref="I121">
    <cfRule type="cellIs" priority="462" operator="greaterThan" aboveAverage="0" equalAverage="0" bottom="0" percent="0" rank="0" text="" dxfId="7">
      <formula>0</formula>
    </cfRule>
  </conditionalFormatting>
  <conditionalFormatting sqref="K121">
    <cfRule type="cellIs" priority="463" operator="greaterThan" aboveAverage="0" equalAverage="0" bottom="0" percent="0" rank="0" text="" dxfId="7">
      <formula>0</formula>
    </cfRule>
  </conditionalFormatting>
  <conditionalFormatting sqref="N121">
    <cfRule type="cellIs" priority="464" operator="greaterThan" aboveAverage="0" equalAverage="0" bottom="0" percent="0" rank="0" text="" dxfId="7">
      <formula>0</formula>
    </cfRule>
    <cfRule type="cellIs" priority="465" operator="lessThan" aboveAverage="0" equalAverage="0" bottom="0" percent="0" rank="0" text="" dxfId="8">
      <formula>0</formula>
    </cfRule>
  </conditionalFormatting>
  <conditionalFormatting sqref="I122">
    <cfRule type="cellIs" priority="466" operator="greaterThan" aboveAverage="0" equalAverage="0" bottom="0" percent="0" rank="0" text="" dxfId="7">
      <formula>0</formula>
    </cfRule>
  </conditionalFormatting>
  <conditionalFormatting sqref="K122">
    <cfRule type="cellIs" priority="467" operator="greaterThan" aboveAverage="0" equalAverage="0" bottom="0" percent="0" rank="0" text="" dxfId="7">
      <formula>0</formula>
    </cfRule>
  </conditionalFormatting>
  <conditionalFormatting sqref="N122">
    <cfRule type="cellIs" priority="468" operator="greaterThan" aboveAverage="0" equalAverage="0" bottom="0" percent="0" rank="0" text="" dxfId="7">
      <formula>0</formula>
    </cfRule>
    <cfRule type="cellIs" priority="469" operator="lessThan" aboveAverage="0" equalAverage="0" bottom="0" percent="0" rank="0" text="" dxfId="8">
      <formula>0</formula>
    </cfRule>
  </conditionalFormatting>
  <conditionalFormatting sqref="I123">
    <cfRule type="cellIs" priority="470" operator="greaterThan" aboveAverage="0" equalAverage="0" bottom="0" percent="0" rank="0" text="" dxfId="7">
      <formula>0</formula>
    </cfRule>
  </conditionalFormatting>
  <conditionalFormatting sqref="K123">
    <cfRule type="cellIs" priority="471" operator="greaterThan" aboveAverage="0" equalAverage="0" bottom="0" percent="0" rank="0" text="" dxfId="7">
      <formula>0</formula>
    </cfRule>
  </conditionalFormatting>
  <conditionalFormatting sqref="N123">
    <cfRule type="cellIs" priority="472" operator="greaterThan" aboveAverage="0" equalAverage="0" bottom="0" percent="0" rank="0" text="" dxfId="7">
      <formula>0</formula>
    </cfRule>
    <cfRule type="cellIs" priority="473" operator="lessThan" aboveAverage="0" equalAverage="0" bottom="0" percent="0" rank="0" text="" dxfId="8">
      <formula>0</formula>
    </cfRule>
  </conditionalFormatting>
  <conditionalFormatting sqref="I124">
    <cfRule type="cellIs" priority="474" operator="greaterThan" aboveAverage="0" equalAverage="0" bottom="0" percent="0" rank="0" text="" dxfId="7">
      <formula>0</formula>
    </cfRule>
  </conditionalFormatting>
  <conditionalFormatting sqref="K124">
    <cfRule type="cellIs" priority="475" operator="greaterThan" aboveAverage="0" equalAverage="0" bottom="0" percent="0" rank="0" text="" dxfId="7">
      <formula>0</formula>
    </cfRule>
  </conditionalFormatting>
  <conditionalFormatting sqref="N124">
    <cfRule type="cellIs" priority="476" operator="greaterThan" aboveAverage="0" equalAverage="0" bottom="0" percent="0" rank="0" text="" dxfId="7">
      <formula>0</formula>
    </cfRule>
    <cfRule type="cellIs" priority="477" operator="lessThan" aboveAverage="0" equalAverage="0" bottom="0" percent="0" rank="0" text="" dxfId="8">
      <formula>0</formula>
    </cfRule>
  </conditionalFormatting>
  <conditionalFormatting sqref="I125">
    <cfRule type="cellIs" priority="478" operator="greaterThan" aboveAverage="0" equalAverage="0" bottom="0" percent="0" rank="0" text="" dxfId="7">
      <formula>0</formula>
    </cfRule>
  </conditionalFormatting>
  <conditionalFormatting sqref="K125">
    <cfRule type="cellIs" priority="479" operator="greaterThan" aboveAverage="0" equalAverage="0" bottom="0" percent="0" rank="0" text="" dxfId="7">
      <formula>0</formula>
    </cfRule>
  </conditionalFormatting>
  <conditionalFormatting sqref="N125">
    <cfRule type="cellIs" priority="480" operator="greaterThan" aboveAverage="0" equalAverage="0" bottom="0" percent="0" rank="0" text="" dxfId="7">
      <formula>0</formula>
    </cfRule>
    <cfRule type="cellIs" priority="481" operator="lessThan" aboveAverage="0" equalAverage="0" bottom="0" percent="0" rank="0" text="" dxfId="8">
      <formula>0</formula>
    </cfRule>
  </conditionalFormatting>
  <conditionalFormatting sqref="I126">
    <cfRule type="cellIs" priority="482" operator="greaterThan" aboveAverage="0" equalAverage="0" bottom="0" percent="0" rank="0" text="" dxfId="7">
      <formula>0</formula>
    </cfRule>
  </conditionalFormatting>
  <conditionalFormatting sqref="K126">
    <cfRule type="cellIs" priority="483" operator="greaterThan" aboveAverage="0" equalAverage="0" bottom="0" percent="0" rank="0" text="" dxfId="7">
      <formula>0</formula>
    </cfRule>
  </conditionalFormatting>
  <conditionalFormatting sqref="N126">
    <cfRule type="cellIs" priority="484" operator="greaterThan" aboveAverage="0" equalAverage="0" bottom="0" percent="0" rank="0" text="" dxfId="7">
      <formula>0</formula>
    </cfRule>
    <cfRule type="cellIs" priority="485" operator="lessThan" aboveAverage="0" equalAverage="0" bottom="0" percent="0" rank="0" text="" dxfId="8">
      <formula>0</formula>
    </cfRule>
  </conditionalFormatting>
  <conditionalFormatting sqref="I127">
    <cfRule type="cellIs" priority="486" operator="greaterThan" aboveAverage="0" equalAverage="0" bottom="0" percent="0" rank="0" text="" dxfId="7">
      <formula>0</formula>
    </cfRule>
  </conditionalFormatting>
  <conditionalFormatting sqref="K127">
    <cfRule type="cellIs" priority="487" operator="greaterThan" aboveAverage="0" equalAverage="0" bottom="0" percent="0" rank="0" text="" dxfId="7">
      <formula>0</formula>
    </cfRule>
  </conditionalFormatting>
  <conditionalFormatting sqref="N127">
    <cfRule type="cellIs" priority="488" operator="greaterThan" aboveAverage="0" equalAverage="0" bottom="0" percent="0" rank="0" text="" dxfId="7">
      <formula>0</formula>
    </cfRule>
    <cfRule type="cellIs" priority="489" operator="lessThan" aboveAverage="0" equalAverage="0" bottom="0" percent="0" rank="0" text="" dxfId="8">
      <formula>0</formula>
    </cfRule>
  </conditionalFormatting>
  <conditionalFormatting sqref="I128">
    <cfRule type="cellIs" priority="490" operator="greaterThan" aboveAverage="0" equalAverage="0" bottom="0" percent="0" rank="0" text="" dxfId="7">
      <formula>0</formula>
    </cfRule>
  </conditionalFormatting>
  <conditionalFormatting sqref="K128">
    <cfRule type="cellIs" priority="491" operator="greaterThan" aboveAverage="0" equalAverage="0" bottom="0" percent="0" rank="0" text="" dxfId="7">
      <formula>0</formula>
    </cfRule>
  </conditionalFormatting>
  <conditionalFormatting sqref="N128">
    <cfRule type="cellIs" priority="492" operator="greaterThan" aboveAverage="0" equalAverage="0" bottom="0" percent="0" rank="0" text="" dxfId="7">
      <formula>0</formula>
    </cfRule>
    <cfRule type="cellIs" priority="493" operator="lessThan" aboveAverage="0" equalAverage="0" bottom="0" percent="0" rank="0" text="" dxfId="8">
      <formula>0</formula>
    </cfRule>
  </conditionalFormatting>
  <conditionalFormatting sqref="I129">
    <cfRule type="cellIs" priority="494" operator="greaterThan" aboveAverage="0" equalAverage="0" bottom="0" percent="0" rank="0" text="" dxfId="7">
      <formula>0</formula>
    </cfRule>
  </conditionalFormatting>
  <conditionalFormatting sqref="K129">
    <cfRule type="cellIs" priority="495" operator="greaterThan" aboveAverage="0" equalAverage="0" bottom="0" percent="0" rank="0" text="" dxfId="7">
      <formula>0</formula>
    </cfRule>
  </conditionalFormatting>
  <conditionalFormatting sqref="N129">
    <cfRule type="cellIs" priority="496" operator="greaterThan" aboveAverage="0" equalAverage="0" bottom="0" percent="0" rank="0" text="" dxfId="7">
      <formula>0</formula>
    </cfRule>
    <cfRule type="cellIs" priority="497" operator="lessThan" aboveAverage="0" equalAverage="0" bottom="0" percent="0" rank="0" text="" dxfId="8">
      <formula>0</formula>
    </cfRule>
  </conditionalFormatting>
  <conditionalFormatting sqref="I130">
    <cfRule type="cellIs" priority="498" operator="greaterThan" aboveAverage="0" equalAverage="0" bottom="0" percent="0" rank="0" text="" dxfId="7">
      <formula>0</formula>
    </cfRule>
  </conditionalFormatting>
  <conditionalFormatting sqref="K130">
    <cfRule type="cellIs" priority="499" operator="greaterThan" aboveAverage="0" equalAverage="0" bottom="0" percent="0" rank="0" text="" dxfId="7">
      <formula>0</formula>
    </cfRule>
  </conditionalFormatting>
  <conditionalFormatting sqref="N130">
    <cfRule type="cellIs" priority="500" operator="greaterThan" aboveAverage="0" equalAverage="0" bottom="0" percent="0" rank="0" text="" dxfId="7">
      <formula>0</formula>
    </cfRule>
    <cfRule type="cellIs" priority="501" operator="lessThan" aboveAverage="0" equalAverage="0" bottom="0" percent="0" rank="0" text="" dxfId="8">
      <formula>0</formula>
    </cfRule>
  </conditionalFormatting>
  <conditionalFormatting sqref="I131">
    <cfRule type="cellIs" priority="502" operator="greaterThan" aboveAverage="0" equalAverage="0" bottom="0" percent="0" rank="0" text="" dxfId="7">
      <formula>0</formula>
    </cfRule>
  </conditionalFormatting>
  <conditionalFormatting sqref="K131">
    <cfRule type="cellIs" priority="503" operator="greaterThan" aboveAverage="0" equalAverage="0" bottom="0" percent="0" rank="0" text="" dxfId="7">
      <formula>0</formula>
    </cfRule>
  </conditionalFormatting>
  <conditionalFormatting sqref="N131">
    <cfRule type="cellIs" priority="504" operator="greaterThan" aboveAverage="0" equalAverage="0" bottom="0" percent="0" rank="0" text="" dxfId="7">
      <formula>0</formula>
    </cfRule>
    <cfRule type="cellIs" priority="505" operator="lessThan" aboveAverage="0" equalAverage="0" bottom="0" percent="0" rank="0" text="" dxfId="8">
      <formula>0</formula>
    </cfRule>
  </conditionalFormatting>
  <conditionalFormatting sqref="I132">
    <cfRule type="cellIs" priority="506" operator="greaterThan" aboveAverage="0" equalAverage="0" bottom="0" percent="0" rank="0" text="" dxfId="7">
      <formula>0</formula>
    </cfRule>
  </conditionalFormatting>
  <conditionalFormatting sqref="K132">
    <cfRule type="cellIs" priority="507" operator="greaterThan" aboveAverage="0" equalAverage="0" bottom="0" percent="0" rank="0" text="" dxfId="7">
      <formula>0</formula>
    </cfRule>
  </conditionalFormatting>
  <conditionalFormatting sqref="N132">
    <cfRule type="cellIs" priority="508" operator="greaterThan" aboveAverage="0" equalAverage="0" bottom="0" percent="0" rank="0" text="" dxfId="7">
      <formula>0</formula>
    </cfRule>
    <cfRule type="cellIs" priority="509" operator="lessThan" aboveAverage="0" equalAverage="0" bottom="0" percent="0" rank="0" text="" dxfId="8">
      <formula>0</formula>
    </cfRule>
  </conditionalFormatting>
  <conditionalFormatting sqref="I133">
    <cfRule type="cellIs" priority="510" operator="greaterThan" aboveAverage="0" equalAverage="0" bottom="0" percent="0" rank="0" text="" dxfId="7">
      <formula>0</formula>
    </cfRule>
  </conditionalFormatting>
  <conditionalFormatting sqref="K133">
    <cfRule type="cellIs" priority="511" operator="greaterThan" aboveAverage="0" equalAverage="0" bottom="0" percent="0" rank="0" text="" dxfId="7">
      <formula>0</formula>
    </cfRule>
  </conditionalFormatting>
  <conditionalFormatting sqref="N133">
    <cfRule type="cellIs" priority="512" operator="greaterThan" aboveAverage="0" equalAverage="0" bottom="0" percent="0" rank="0" text="" dxfId="7">
      <formula>0</formula>
    </cfRule>
    <cfRule type="cellIs" priority="513" operator="lessThan" aboveAverage="0" equalAverage="0" bottom="0" percent="0" rank="0" text="" dxfId="8">
      <formula>0</formula>
    </cfRule>
  </conditionalFormatting>
  <conditionalFormatting sqref="I134">
    <cfRule type="cellIs" priority="514" operator="greaterThan" aboveAverage="0" equalAverage="0" bottom="0" percent="0" rank="0" text="" dxfId="7">
      <formula>0</formula>
    </cfRule>
  </conditionalFormatting>
  <conditionalFormatting sqref="K134">
    <cfRule type="cellIs" priority="515" operator="greaterThan" aboveAverage="0" equalAverage="0" bottom="0" percent="0" rank="0" text="" dxfId="7">
      <formula>0</formula>
    </cfRule>
  </conditionalFormatting>
  <conditionalFormatting sqref="N134">
    <cfRule type="cellIs" priority="516" operator="greaterThan" aboveAverage="0" equalAverage="0" bottom="0" percent="0" rank="0" text="" dxfId="7">
      <formula>0</formula>
    </cfRule>
    <cfRule type="cellIs" priority="517" operator="lessThan" aboveAverage="0" equalAverage="0" bottom="0" percent="0" rank="0" text="" dxfId="8">
      <formula>0</formula>
    </cfRule>
  </conditionalFormatting>
  <conditionalFormatting sqref="I135">
    <cfRule type="cellIs" priority="518" operator="greaterThan" aboveAverage="0" equalAverage="0" bottom="0" percent="0" rank="0" text="" dxfId="7">
      <formula>0</formula>
    </cfRule>
  </conditionalFormatting>
  <conditionalFormatting sqref="K135">
    <cfRule type="cellIs" priority="519" operator="greaterThan" aboveAverage="0" equalAverage="0" bottom="0" percent="0" rank="0" text="" dxfId="7">
      <formula>0</formula>
    </cfRule>
  </conditionalFormatting>
  <conditionalFormatting sqref="N135">
    <cfRule type="cellIs" priority="520" operator="greaterThan" aboveAverage="0" equalAverage="0" bottom="0" percent="0" rank="0" text="" dxfId="7">
      <formula>0</formula>
    </cfRule>
    <cfRule type="cellIs" priority="521" operator="lessThan" aboveAverage="0" equalAverage="0" bottom="0" percent="0" rank="0" text="" dxfId="8">
      <formula>0</formula>
    </cfRule>
  </conditionalFormatting>
  <conditionalFormatting sqref="I136">
    <cfRule type="cellIs" priority="522" operator="greaterThan" aboveAverage="0" equalAverage="0" bottom="0" percent="0" rank="0" text="" dxfId="7">
      <formula>0</formula>
    </cfRule>
  </conditionalFormatting>
  <conditionalFormatting sqref="K136">
    <cfRule type="cellIs" priority="523" operator="greaterThan" aboveAverage="0" equalAverage="0" bottom="0" percent="0" rank="0" text="" dxfId="7">
      <formula>0</formula>
    </cfRule>
  </conditionalFormatting>
  <conditionalFormatting sqref="N136">
    <cfRule type="cellIs" priority="524" operator="greaterThan" aboveAverage="0" equalAverage="0" bottom="0" percent="0" rank="0" text="" dxfId="7">
      <formula>0</formula>
    </cfRule>
    <cfRule type="cellIs" priority="525" operator="lessThan" aboveAverage="0" equalAverage="0" bottom="0" percent="0" rank="0" text="" dxfId="8">
      <formula>0</formula>
    </cfRule>
  </conditionalFormatting>
  <conditionalFormatting sqref="I137">
    <cfRule type="cellIs" priority="526" operator="greaterThan" aboveAverage="0" equalAverage="0" bottom="0" percent="0" rank="0" text="" dxfId="7">
      <formula>0</formula>
    </cfRule>
  </conditionalFormatting>
  <conditionalFormatting sqref="K137">
    <cfRule type="cellIs" priority="527" operator="greaterThan" aboveAverage="0" equalAverage="0" bottom="0" percent="0" rank="0" text="" dxfId="7">
      <formula>0</formula>
    </cfRule>
  </conditionalFormatting>
  <conditionalFormatting sqref="N137">
    <cfRule type="cellIs" priority="528" operator="greaterThan" aboveAverage="0" equalAverage="0" bottom="0" percent="0" rank="0" text="" dxfId="7">
      <formula>0</formula>
    </cfRule>
    <cfRule type="cellIs" priority="529" operator="lessThan" aboveAverage="0" equalAverage="0" bottom="0" percent="0" rank="0" text="" dxfId="8">
      <formula>0</formula>
    </cfRule>
  </conditionalFormatting>
  <conditionalFormatting sqref="I138">
    <cfRule type="cellIs" priority="530" operator="greaterThan" aboveAverage="0" equalAverage="0" bottom="0" percent="0" rank="0" text="" dxfId="7">
      <formula>0</formula>
    </cfRule>
  </conditionalFormatting>
  <conditionalFormatting sqref="K138">
    <cfRule type="cellIs" priority="531" operator="greaterThan" aboveAverage="0" equalAverage="0" bottom="0" percent="0" rank="0" text="" dxfId="7">
      <formula>0</formula>
    </cfRule>
  </conditionalFormatting>
  <conditionalFormatting sqref="N138">
    <cfRule type="cellIs" priority="532" operator="greaterThan" aboveAverage="0" equalAverage="0" bottom="0" percent="0" rank="0" text="" dxfId="7">
      <formula>0</formula>
    </cfRule>
    <cfRule type="cellIs" priority="533" operator="lessThan" aboveAverage="0" equalAverage="0" bottom="0" percent="0" rank="0" text="" dxfId="8">
      <formula>0</formula>
    </cfRule>
  </conditionalFormatting>
  <conditionalFormatting sqref="I139">
    <cfRule type="cellIs" priority="534" operator="greaterThan" aboveAverage="0" equalAverage="0" bottom="0" percent="0" rank="0" text="" dxfId="7">
      <formula>0</formula>
    </cfRule>
  </conditionalFormatting>
  <conditionalFormatting sqref="K139">
    <cfRule type="cellIs" priority="535" operator="greaterThan" aboveAverage="0" equalAverage="0" bottom="0" percent="0" rank="0" text="" dxfId="7">
      <formula>0</formula>
    </cfRule>
  </conditionalFormatting>
  <conditionalFormatting sqref="N139">
    <cfRule type="cellIs" priority="536" operator="greaterThan" aboveAverage="0" equalAverage="0" bottom="0" percent="0" rank="0" text="" dxfId="7">
      <formula>0</formula>
    </cfRule>
    <cfRule type="cellIs" priority="537" operator="lessThan" aboveAverage="0" equalAverage="0" bottom="0" percent="0" rank="0" text="" dxfId="8">
      <formula>0</formula>
    </cfRule>
  </conditionalFormatting>
  <conditionalFormatting sqref="I140">
    <cfRule type="cellIs" priority="538" operator="greaterThan" aboveAverage="0" equalAverage="0" bottom="0" percent="0" rank="0" text="" dxfId="7">
      <formula>0</formula>
    </cfRule>
  </conditionalFormatting>
  <conditionalFormatting sqref="K140">
    <cfRule type="cellIs" priority="539" operator="greaterThan" aboveAverage="0" equalAverage="0" bottom="0" percent="0" rank="0" text="" dxfId="7">
      <formula>0</formula>
    </cfRule>
  </conditionalFormatting>
  <conditionalFormatting sqref="N140">
    <cfRule type="cellIs" priority="540" operator="greaterThan" aboveAverage="0" equalAverage="0" bottom="0" percent="0" rank="0" text="" dxfId="7">
      <formula>0</formula>
    </cfRule>
    <cfRule type="cellIs" priority="541" operator="lessThan" aboveAverage="0" equalAverage="0" bottom="0" percent="0" rank="0" text="" dxfId="8">
      <formula>0</formula>
    </cfRule>
  </conditionalFormatting>
  <conditionalFormatting sqref="I141">
    <cfRule type="cellIs" priority="542" operator="greaterThan" aboveAverage="0" equalAverage="0" bottom="0" percent="0" rank="0" text="" dxfId="7">
      <formula>0</formula>
    </cfRule>
  </conditionalFormatting>
  <conditionalFormatting sqref="K141">
    <cfRule type="cellIs" priority="543" operator="greaterThan" aboveAverage="0" equalAverage="0" bottom="0" percent="0" rank="0" text="" dxfId="7">
      <formula>0</formula>
    </cfRule>
  </conditionalFormatting>
  <conditionalFormatting sqref="N141">
    <cfRule type="cellIs" priority="544" operator="greaterThan" aboveAverage="0" equalAverage="0" bottom="0" percent="0" rank="0" text="" dxfId="7">
      <formula>0</formula>
    </cfRule>
    <cfRule type="cellIs" priority="545" operator="lessThan" aboveAverage="0" equalAverage="0" bottom="0" percent="0" rank="0" text="" dxfId="8">
      <formula>0</formula>
    </cfRule>
  </conditionalFormatting>
  <conditionalFormatting sqref="I142">
    <cfRule type="cellIs" priority="546" operator="greaterThan" aboveAverage="0" equalAverage="0" bottom="0" percent="0" rank="0" text="" dxfId="7">
      <formula>0</formula>
    </cfRule>
  </conditionalFormatting>
  <conditionalFormatting sqref="K142">
    <cfRule type="cellIs" priority="547" operator="greaterThan" aboveAverage="0" equalAverage="0" bottom="0" percent="0" rank="0" text="" dxfId="7">
      <formula>0</formula>
    </cfRule>
  </conditionalFormatting>
  <conditionalFormatting sqref="N142">
    <cfRule type="cellIs" priority="548" operator="greaterThan" aboveAverage="0" equalAverage="0" bottom="0" percent="0" rank="0" text="" dxfId="7">
      <formula>0</formula>
    </cfRule>
    <cfRule type="cellIs" priority="549" operator="lessThan" aboveAverage="0" equalAverage="0" bottom="0" percent="0" rank="0" text="" dxfId="8">
      <formula>0</formula>
    </cfRule>
  </conditionalFormatting>
  <conditionalFormatting sqref="I143">
    <cfRule type="cellIs" priority="550" operator="greaterThan" aboveAverage="0" equalAverage="0" bottom="0" percent="0" rank="0" text="" dxfId="7">
      <formula>0</formula>
    </cfRule>
  </conditionalFormatting>
  <conditionalFormatting sqref="K143">
    <cfRule type="cellIs" priority="551" operator="greaterThan" aboveAverage="0" equalAverage="0" bottom="0" percent="0" rank="0" text="" dxfId="7">
      <formula>0</formula>
    </cfRule>
  </conditionalFormatting>
  <conditionalFormatting sqref="N143">
    <cfRule type="cellIs" priority="552" operator="greaterThan" aboveAverage="0" equalAverage="0" bottom="0" percent="0" rank="0" text="" dxfId="7">
      <formula>0</formula>
    </cfRule>
    <cfRule type="cellIs" priority="553" operator="lessThan" aboveAverage="0" equalAverage="0" bottom="0" percent="0" rank="0" text="" dxfId="8">
      <formula>0</formula>
    </cfRule>
  </conditionalFormatting>
  <conditionalFormatting sqref="I144">
    <cfRule type="cellIs" priority="554" operator="greaterThan" aboveAverage="0" equalAverage="0" bottom="0" percent="0" rank="0" text="" dxfId="7">
      <formula>0</formula>
    </cfRule>
  </conditionalFormatting>
  <conditionalFormatting sqref="K144">
    <cfRule type="cellIs" priority="555" operator="greaterThan" aboveAverage="0" equalAverage="0" bottom="0" percent="0" rank="0" text="" dxfId="7">
      <formula>0</formula>
    </cfRule>
  </conditionalFormatting>
  <conditionalFormatting sqref="N144">
    <cfRule type="cellIs" priority="556" operator="greaterThan" aboveAverage="0" equalAverage="0" bottom="0" percent="0" rank="0" text="" dxfId="7">
      <formula>0</formula>
    </cfRule>
    <cfRule type="cellIs" priority="557" operator="lessThan" aboveAverage="0" equalAverage="0" bottom="0" percent="0" rank="0" text="" dxfId="8">
      <formula>0</formula>
    </cfRule>
  </conditionalFormatting>
  <conditionalFormatting sqref="I145">
    <cfRule type="cellIs" priority="558" operator="greaterThan" aboveAverage="0" equalAverage="0" bottom="0" percent="0" rank="0" text="" dxfId="7">
      <formula>0</formula>
    </cfRule>
  </conditionalFormatting>
  <conditionalFormatting sqref="K145">
    <cfRule type="cellIs" priority="559" operator="greaterThan" aboveAverage="0" equalAverage="0" bottom="0" percent="0" rank="0" text="" dxfId="7">
      <formula>0</formula>
    </cfRule>
  </conditionalFormatting>
  <conditionalFormatting sqref="N145">
    <cfRule type="cellIs" priority="560" operator="greaterThan" aboveAverage="0" equalAverage="0" bottom="0" percent="0" rank="0" text="" dxfId="7">
      <formula>0</formula>
    </cfRule>
    <cfRule type="cellIs" priority="561" operator="lessThan" aboveAverage="0" equalAverage="0" bottom="0" percent="0" rank="0" text="" dxfId="8">
      <formula>0</formula>
    </cfRule>
  </conditionalFormatting>
  <conditionalFormatting sqref="I146">
    <cfRule type="cellIs" priority="562" operator="greaterThan" aboveAverage="0" equalAverage="0" bottom="0" percent="0" rank="0" text="" dxfId="7">
      <formula>0</formula>
    </cfRule>
  </conditionalFormatting>
  <conditionalFormatting sqref="K146">
    <cfRule type="cellIs" priority="563" operator="greaterThan" aboveAverage="0" equalAverage="0" bottom="0" percent="0" rank="0" text="" dxfId="7">
      <formula>0</formula>
    </cfRule>
  </conditionalFormatting>
  <conditionalFormatting sqref="N146">
    <cfRule type="cellIs" priority="564" operator="greaterThan" aboveAverage="0" equalAverage="0" bottom="0" percent="0" rank="0" text="" dxfId="7">
      <formula>0</formula>
    </cfRule>
    <cfRule type="cellIs" priority="565" operator="lessThan" aboveAverage="0" equalAverage="0" bottom="0" percent="0" rank="0" text="" dxfId="8">
      <formula>0</formula>
    </cfRule>
  </conditionalFormatting>
  <conditionalFormatting sqref="I147">
    <cfRule type="cellIs" priority="566" operator="greaterThan" aboveAverage="0" equalAverage="0" bottom="0" percent="0" rank="0" text="" dxfId="7">
      <formula>0</formula>
    </cfRule>
  </conditionalFormatting>
  <conditionalFormatting sqref="K147">
    <cfRule type="cellIs" priority="567" operator="greaterThan" aboveAverage="0" equalAverage="0" bottom="0" percent="0" rank="0" text="" dxfId="7">
      <formula>0</formula>
    </cfRule>
  </conditionalFormatting>
  <conditionalFormatting sqref="N147">
    <cfRule type="cellIs" priority="568" operator="greaterThan" aboveAverage="0" equalAverage="0" bottom="0" percent="0" rank="0" text="" dxfId="7">
      <formula>0</formula>
    </cfRule>
    <cfRule type="cellIs" priority="569" operator="lessThan" aboveAverage="0" equalAverage="0" bottom="0" percent="0" rank="0" text="" dxfId="8">
      <formula>0</formula>
    </cfRule>
  </conditionalFormatting>
  <conditionalFormatting sqref="I148">
    <cfRule type="cellIs" priority="570" operator="greaterThan" aboveAverage="0" equalAverage="0" bottom="0" percent="0" rank="0" text="" dxfId="7">
      <formula>0</formula>
    </cfRule>
  </conditionalFormatting>
  <conditionalFormatting sqref="K148">
    <cfRule type="cellIs" priority="571" operator="greaterThan" aboveAverage="0" equalAverage="0" bottom="0" percent="0" rank="0" text="" dxfId="7">
      <formula>0</formula>
    </cfRule>
  </conditionalFormatting>
  <conditionalFormatting sqref="N148">
    <cfRule type="cellIs" priority="572" operator="greaterThan" aboveAverage="0" equalAverage="0" bottom="0" percent="0" rank="0" text="" dxfId="7">
      <formula>0</formula>
    </cfRule>
    <cfRule type="cellIs" priority="573" operator="lessThan" aboveAverage="0" equalAverage="0" bottom="0" percent="0" rank="0" text="" dxfId="8">
      <formula>0</formula>
    </cfRule>
  </conditionalFormatting>
  <conditionalFormatting sqref="I149">
    <cfRule type="cellIs" priority="574" operator="greaterThan" aboveAverage="0" equalAverage="0" bottom="0" percent="0" rank="0" text="" dxfId="7">
      <formula>0</formula>
    </cfRule>
  </conditionalFormatting>
  <conditionalFormatting sqref="K149">
    <cfRule type="cellIs" priority="575" operator="greaterThan" aboveAverage="0" equalAverage="0" bottom="0" percent="0" rank="0" text="" dxfId="7">
      <formula>0</formula>
    </cfRule>
  </conditionalFormatting>
  <conditionalFormatting sqref="N149">
    <cfRule type="cellIs" priority="576" operator="greaterThan" aboveAverage="0" equalAverage="0" bottom="0" percent="0" rank="0" text="" dxfId="7">
      <formula>0</formula>
    </cfRule>
    <cfRule type="cellIs" priority="577" operator="lessThan" aboveAverage="0" equalAverage="0" bottom="0" percent="0" rank="0" text="" dxfId="8">
      <formula>0</formula>
    </cfRule>
  </conditionalFormatting>
  <conditionalFormatting sqref="I150">
    <cfRule type="cellIs" priority="578" operator="greaterThan" aboveAverage="0" equalAverage="0" bottom="0" percent="0" rank="0" text="" dxfId="7">
      <formula>0</formula>
    </cfRule>
  </conditionalFormatting>
  <conditionalFormatting sqref="K150">
    <cfRule type="cellIs" priority="579" operator="greaterThan" aboveAverage="0" equalAverage="0" bottom="0" percent="0" rank="0" text="" dxfId="7">
      <formula>0</formula>
    </cfRule>
  </conditionalFormatting>
  <conditionalFormatting sqref="N150">
    <cfRule type="cellIs" priority="580" operator="greaterThan" aboveAverage="0" equalAverage="0" bottom="0" percent="0" rank="0" text="" dxfId="7">
      <formula>0</formula>
    </cfRule>
    <cfRule type="cellIs" priority="581" operator="lessThan" aboveAverage="0" equalAverage="0" bottom="0" percent="0" rank="0" text="" dxfId="8">
      <formula>0</formula>
    </cfRule>
  </conditionalFormatting>
  <conditionalFormatting sqref="I151">
    <cfRule type="cellIs" priority="582" operator="greaterThan" aboveAverage="0" equalAverage="0" bottom="0" percent="0" rank="0" text="" dxfId="7">
      <formula>0</formula>
    </cfRule>
  </conditionalFormatting>
  <conditionalFormatting sqref="K151">
    <cfRule type="cellIs" priority="583" operator="greaterThan" aboveAverage="0" equalAverage="0" bottom="0" percent="0" rank="0" text="" dxfId="7">
      <formula>0</formula>
    </cfRule>
  </conditionalFormatting>
  <conditionalFormatting sqref="N151">
    <cfRule type="cellIs" priority="584" operator="greaterThan" aboveAverage="0" equalAverage="0" bottom="0" percent="0" rank="0" text="" dxfId="7">
      <formula>0</formula>
    </cfRule>
    <cfRule type="cellIs" priority="585" operator="lessThan" aboveAverage="0" equalAverage="0" bottom="0" percent="0" rank="0" text="" dxfId="8">
      <formula>0</formula>
    </cfRule>
  </conditionalFormatting>
  <conditionalFormatting sqref="I152">
    <cfRule type="cellIs" priority="586" operator="greaterThan" aboveAverage="0" equalAverage="0" bottom="0" percent="0" rank="0" text="" dxfId="7">
      <formula>0</formula>
    </cfRule>
  </conditionalFormatting>
  <conditionalFormatting sqref="K152">
    <cfRule type="cellIs" priority="587" operator="greaterThan" aboveAverage="0" equalAverage="0" bottom="0" percent="0" rank="0" text="" dxfId="7">
      <formula>0</formula>
    </cfRule>
  </conditionalFormatting>
  <conditionalFormatting sqref="N152">
    <cfRule type="cellIs" priority="588" operator="greaterThan" aboveAverage="0" equalAverage="0" bottom="0" percent="0" rank="0" text="" dxfId="7">
      <formula>0</formula>
    </cfRule>
    <cfRule type="cellIs" priority="589" operator="lessThan" aboveAverage="0" equalAverage="0" bottom="0" percent="0" rank="0" text="" dxfId="8">
      <formula>0</formula>
    </cfRule>
  </conditionalFormatting>
  <conditionalFormatting sqref="I153">
    <cfRule type="cellIs" priority="590" operator="greaterThan" aboveAverage="0" equalAverage="0" bottom="0" percent="0" rank="0" text="" dxfId="7">
      <formula>0</formula>
    </cfRule>
  </conditionalFormatting>
  <conditionalFormatting sqref="K153">
    <cfRule type="cellIs" priority="591" operator="greaterThan" aboveAverage="0" equalAverage="0" bottom="0" percent="0" rank="0" text="" dxfId="7">
      <formula>0</formula>
    </cfRule>
  </conditionalFormatting>
  <conditionalFormatting sqref="N153">
    <cfRule type="cellIs" priority="592" operator="greaterThan" aboveAverage="0" equalAverage="0" bottom="0" percent="0" rank="0" text="" dxfId="7">
      <formula>0</formula>
    </cfRule>
    <cfRule type="cellIs" priority="593" operator="lessThan" aboveAverage="0" equalAverage="0" bottom="0" percent="0" rank="0" text="" dxfId="8">
      <formula>0</formula>
    </cfRule>
  </conditionalFormatting>
  <conditionalFormatting sqref="I154">
    <cfRule type="cellIs" priority="594" operator="greaterThan" aboveAverage="0" equalAverage="0" bottom="0" percent="0" rank="0" text="" dxfId="7">
      <formula>0</formula>
    </cfRule>
  </conditionalFormatting>
  <conditionalFormatting sqref="K154">
    <cfRule type="cellIs" priority="595" operator="greaterThan" aboveAverage="0" equalAverage="0" bottom="0" percent="0" rank="0" text="" dxfId="7">
      <formula>0</formula>
    </cfRule>
  </conditionalFormatting>
  <conditionalFormatting sqref="N154">
    <cfRule type="cellIs" priority="596" operator="greaterThan" aboveAverage="0" equalAverage="0" bottom="0" percent="0" rank="0" text="" dxfId="7">
      <formula>0</formula>
    </cfRule>
    <cfRule type="cellIs" priority="597" operator="lessThan" aboveAverage="0" equalAverage="0" bottom="0" percent="0" rank="0" text="" dxfId="8">
      <formula>0</formula>
    </cfRule>
  </conditionalFormatting>
  <conditionalFormatting sqref="I155">
    <cfRule type="cellIs" priority="598" operator="greaterThan" aboveAverage="0" equalAverage="0" bottom="0" percent="0" rank="0" text="" dxfId="7">
      <formula>0</formula>
    </cfRule>
  </conditionalFormatting>
  <conditionalFormatting sqref="K155">
    <cfRule type="cellIs" priority="599" operator="greaterThan" aboveAverage="0" equalAverage="0" bottom="0" percent="0" rank="0" text="" dxfId="7">
      <formula>0</formula>
    </cfRule>
  </conditionalFormatting>
  <conditionalFormatting sqref="N155">
    <cfRule type="cellIs" priority="600" operator="greaterThan" aboveAverage="0" equalAverage="0" bottom="0" percent="0" rank="0" text="" dxfId="7">
      <formula>0</formula>
    </cfRule>
    <cfRule type="cellIs" priority="601" operator="lessThan" aboveAverage="0" equalAverage="0" bottom="0" percent="0" rank="0" text="" dxfId="8">
      <formula>0</formula>
    </cfRule>
  </conditionalFormatting>
  <conditionalFormatting sqref="I156">
    <cfRule type="cellIs" priority="602" operator="greaterThan" aboveAverage="0" equalAverage="0" bottom="0" percent="0" rank="0" text="" dxfId="7">
      <formula>0</formula>
    </cfRule>
  </conditionalFormatting>
  <conditionalFormatting sqref="K156">
    <cfRule type="cellIs" priority="603" operator="greaterThan" aboveAverage="0" equalAverage="0" bottom="0" percent="0" rank="0" text="" dxfId="7">
      <formula>0</formula>
    </cfRule>
  </conditionalFormatting>
  <conditionalFormatting sqref="N156">
    <cfRule type="cellIs" priority="604" operator="greaterThan" aboveAverage="0" equalAverage="0" bottom="0" percent="0" rank="0" text="" dxfId="7">
      <formula>0</formula>
    </cfRule>
    <cfRule type="cellIs" priority="605" operator="lessThan" aboveAverage="0" equalAverage="0" bottom="0" percent="0" rank="0" text="" dxfId="8">
      <formula>0</formula>
    </cfRule>
  </conditionalFormatting>
  <conditionalFormatting sqref="I157">
    <cfRule type="cellIs" priority="606" operator="greaterThan" aboveAverage="0" equalAverage="0" bottom="0" percent="0" rank="0" text="" dxfId="7">
      <formula>0</formula>
    </cfRule>
  </conditionalFormatting>
  <conditionalFormatting sqref="K157">
    <cfRule type="cellIs" priority="607" operator="greaterThan" aboveAverage="0" equalAverage="0" bottom="0" percent="0" rank="0" text="" dxfId="7">
      <formula>0</formula>
    </cfRule>
  </conditionalFormatting>
  <conditionalFormatting sqref="N157">
    <cfRule type="cellIs" priority="608" operator="greaterThan" aboveAverage="0" equalAverage="0" bottom="0" percent="0" rank="0" text="" dxfId="7">
      <formula>0</formula>
    </cfRule>
    <cfRule type="cellIs" priority="609" operator="lessThan" aboveAverage="0" equalAverage="0" bottom="0" percent="0" rank="0" text="" dxfId="8">
      <formula>0</formula>
    </cfRule>
  </conditionalFormatting>
  <conditionalFormatting sqref="I158">
    <cfRule type="cellIs" priority="610" operator="greaterThan" aboveAverage="0" equalAverage="0" bottom="0" percent="0" rank="0" text="" dxfId="7">
      <formula>0</formula>
    </cfRule>
  </conditionalFormatting>
  <conditionalFormatting sqref="K158">
    <cfRule type="cellIs" priority="611" operator="greaterThan" aboveAverage="0" equalAverage="0" bottom="0" percent="0" rank="0" text="" dxfId="7">
      <formula>0</formula>
    </cfRule>
  </conditionalFormatting>
  <conditionalFormatting sqref="N158">
    <cfRule type="cellIs" priority="612" operator="greaterThan" aboveAverage="0" equalAverage="0" bottom="0" percent="0" rank="0" text="" dxfId="7">
      <formula>0</formula>
    </cfRule>
    <cfRule type="cellIs" priority="613" operator="lessThan" aboveAverage="0" equalAverage="0" bottom="0" percent="0" rank="0" text="" dxfId="8">
      <formula>0</formula>
    </cfRule>
  </conditionalFormatting>
  <conditionalFormatting sqref="I159">
    <cfRule type="cellIs" priority="614" operator="greaterThan" aboveAverage="0" equalAverage="0" bottom="0" percent="0" rank="0" text="" dxfId="7">
      <formula>0</formula>
    </cfRule>
  </conditionalFormatting>
  <conditionalFormatting sqref="K159">
    <cfRule type="cellIs" priority="615" operator="greaterThan" aboveAverage="0" equalAverage="0" bottom="0" percent="0" rank="0" text="" dxfId="7">
      <formula>0</formula>
    </cfRule>
  </conditionalFormatting>
  <conditionalFormatting sqref="N159">
    <cfRule type="cellIs" priority="616" operator="greaterThan" aboveAverage="0" equalAverage="0" bottom="0" percent="0" rank="0" text="" dxfId="7">
      <formula>0</formula>
    </cfRule>
    <cfRule type="cellIs" priority="617" operator="lessThan" aboveAverage="0" equalAverage="0" bottom="0" percent="0" rank="0" text="" dxfId="8">
      <formula>0</formula>
    </cfRule>
  </conditionalFormatting>
  <conditionalFormatting sqref="I160">
    <cfRule type="cellIs" priority="618" operator="greaterThan" aboveAverage="0" equalAverage="0" bottom="0" percent="0" rank="0" text="" dxfId="7">
      <formula>0</formula>
    </cfRule>
  </conditionalFormatting>
  <conditionalFormatting sqref="K160">
    <cfRule type="cellIs" priority="619" operator="greaterThan" aboveAverage="0" equalAverage="0" bottom="0" percent="0" rank="0" text="" dxfId="7">
      <formula>0</formula>
    </cfRule>
  </conditionalFormatting>
  <conditionalFormatting sqref="N160">
    <cfRule type="cellIs" priority="620" operator="greaterThan" aboveAverage="0" equalAverage="0" bottom="0" percent="0" rank="0" text="" dxfId="7">
      <formula>0</formula>
    </cfRule>
    <cfRule type="cellIs" priority="621" operator="lessThan" aboveAverage="0" equalAverage="0" bottom="0" percent="0" rank="0" text="" dxfId="8">
      <formula>0</formula>
    </cfRule>
  </conditionalFormatting>
  <conditionalFormatting sqref="I161">
    <cfRule type="cellIs" priority="622" operator="greaterThan" aboveAverage="0" equalAverage="0" bottom="0" percent="0" rank="0" text="" dxfId="7">
      <formula>0</formula>
    </cfRule>
  </conditionalFormatting>
  <conditionalFormatting sqref="K161">
    <cfRule type="cellIs" priority="623" operator="greaterThan" aboveAverage="0" equalAverage="0" bottom="0" percent="0" rank="0" text="" dxfId="7">
      <formula>0</formula>
    </cfRule>
  </conditionalFormatting>
  <conditionalFormatting sqref="N161">
    <cfRule type="cellIs" priority="624" operator="greaterThan" aboveAverage="0" equalAverage="0" bottom="0" percent="0" rank="0" text="" dxfId="7">
      <formula>0</formula>
    </cfRule>
    <cfRule type="cellIs" priority="625" operator="lessThan" aboveAverage="0" equalAverage="0" bottom="0" percent="0" rank="0" text="" dxfId="8">
      <formula>0</formula>
    </cfRule>
  </conditionalFormatting>
  <conditionalFormatting sqref="I162">
    <cfRule type="cellIs" priority="626" operator="greaterThan" aboveAverage="0" equalAverage="0" bottom="0" percent="0" rank="0" text="" dxfId="7">
      <formula>0</formula>
    </cfRule>
  </conditionalFormatting>
  <conditionalFormatting sqref="K162">
    <cfRule type="cellIs" priority="627" operator="greaterThan" aboveAverage="0" equalAverage="0" bottom="0" percent="0" rank="0" text="" dxfId="7">
      <formula>0</formula>
    </cfRule>
  </conditionalFormatting>
  <conditionalFormatting sqref="N162">
    <cfRule type="cellIs" priority="628" operator="greaterThan" aboveAverage="0" equalAverage="0" bottom="0" percent="0" rank="0" text="" dxfId="7">
      <formula>0</formula>
    </cfRule>
    <cfRule type="cellIs" priority="629" operator="lessThan" aboveAverage="0" equalAverage="0" bottom="0" percent="0" rank="0" text="" dxfId="8">
      <formula>0</formula>
    </cfRule>
  </conditionalFormatting>
  <conditionalFormatting sqref="I163">
    <cfRule type="cellIs" priority="630" operator="greaterThan" aboveAverage="0" equalAverage="0" bottom="0" percent="0" rank="0" text="" dxfId="7">
      <formula>0</formula>
    </cfRule>
  </conditionalFormatting>
  <conditionalFormatting sqref="K163">
    <cfRule type="cellIs" priority="631" operator="greaterThan" aboveAverage="0" equalAverage="0" bottom="0" percent="0" rank="0" text="" dxfId="7">
      <formula>0</formula>
    </cfRule>
  </conditionalFormatting>
  <conditionalFormatting sqref="N163">
    <cfRule type="cellIs" priority="632" operator="greaterThan" aboveAverage="0" equalAverage="0" bottom="0" percent="0" rank="0" text="" dxfId="7">
      <formula>0</formula>
    </cfRule>
    <cfRule type="cellIs" priority="633" operator="lessThan" aboveAverage="0" equalAverage="0" bottom="0" percent="0" rank="0" text="" dxfId="8">
      <formula>0</formula>
    </cfRule>
  </conditionalFormatting>
  <conditionalFormatting sqref="I164">
    <cfRule type="cellIs" priority="634" operator="greaterThan" aboveAverage="0" equalAverage="0" bottom="0" percent="0" rank="0" text="" dxfId="7">
      <formula>0</formula>
    </cfRule>
  </conditionalFormatting>
  <conditionalFormatting sqref="K164">
    <cfRule type="cellIs" priority="635" operator="greaterThan" aboveAverage="0" equalAverage="0" bottom="0" percent="0" rank="0" text="" dxfId="7">
      <formula>0</formula>
    </cfRule>
  </conditionalFormatting>
  <conditionalFormatting sqref="N164">
    <cfRule type="cellIs" priority="636" operator="greaterThan" aboveAverage="0" equalAverage="0" bottom="0" percent="0" rank="0" text="" dxfId="7">
      <formula>0</formula>
    </cfRule>
    <cfRule type="cellIs" priority="637" operator="lessThan" aboveAverage="0" equalAverage="0" bottom="0" percent="0" rank="0" text="" dxfId="8">
      <formula>0</formula>
    </cfRule>
  </conditionalFormatting>
  <conditionalFormatting sqref="I165">
    <cfRule type="cellIs" priority="638" operator="greaterThan" aboveAverage="0" equalAverage="0" bottom="0" percent="0" rank="0" text="" dxfId="7">
      <formula>0</formula>
    </cfRule>
  </conditionalFormatting>
  <conditionalFormatting sqref="K165">
    <cfRule type="cellIs" priority="639" operator="greaterThan" aboveAverage="0" equalAverage="0" bottom="0" percent="0" rank="0" text="" dxfId="7">
      <formula>0</formula>
    </cfRule>
  </conditionalFormatting>
  <conditionalFormatting sqref="N165">
    <cfRule type="cellIs" priority="640" operator="greaterThan" aboveAverage="0" equalAverage="0" bottom="0" percent="0" rank="0" text="" dxfId="7">
      <formula>0</formula>
    </cfRule>
    <cfRule type="cellIs" priority="641" operator="lessThan" aboveAverage="0" equalAverage="0" bottom="0" percent="0" rank="0" text="" dxfId="8">
      <formula>0</formula>
    </cfRule>
  </conditionalFormatting>
  <conditionalFormatting sqref="I166">
    <cfRule type="cellIs" priority="642" operator="greaterThan" aboveAverage="0" equalAverage="0" bottom="0" percent="0" rank="0" text="" dxfId="7">
      <formula>0</formula>
    </cfRule>
  </conditionalFormatting>
  <conditionalFormatting sqref="K166">
    <cfRule type="cellIs" priority="643" operator="greaterThan" aboveAverage="0" equalAverage="0" bottom="0" percent="0" rank="0" text="" dxfId="7">
      <formula>0</formula>
    </cfRule>
  </conditionalFormatting>
  <conditionalFormatting sqref="N166">
    <cfRule type="cellIs" priority="644" operator="greaterThan" aboveAverage="0" equalAverage="0" bottom="0" percent="0" rank="0" text="" dxfId="7">
      <formula>0</formula>
    </cfRule>
    <cfRule type="cellIs" priority="645" operator="lessThan" aboveAverage="0" equalAverage="0" bottom="0" percent="0" rank="0" text="" dxfId="8">
      <formula>0</formula>
    </cfRule>
  </conditionalFormatting>
  <conditionalFormatting sqref="I167">
    <cfRule type="cellIs" priority="646" operator="greaterThan" aboveAverage="0" equalAverage="0" bottom="0" percent="0" rank="0" text="" dxfId="7">
      <formula>0</formula>
    </cfRule>
  </conditionalFormatting>
  <conditionalFormatting sqref="K167">
    <cfRule type="cellIs" priority="647" operator="greaterThan" aboveAverage="0" equalAverage="0" bottom="0" percent="0" rank="0" text="" dxfId="7">
      <formula>0</formula>
    </cfRule>
  </conditionalFormatting>
  <conditionalFormatting sqref="N167">
    <cfRule type="cellIs" priority="648" operator="greaterThan" aboveAverage="0" equalAverage="0" bottom="0" percent="0" rank="0" text="" dxfId="7">
      <formula>0</formula>
    </cfRule>
    <cfRule type="cellIs" priority="649" operator="lessThan" aboveAverage="0" equalAverage="0" bottom="0" percent="0" rank="0" text="" dxfId="8">
      <formula>0</formula>
    </cfRule>
  </conditionalFormatting>
  <conditionalFormatting sqref="I168">
    <cfRule type="cellIs" priority="650" operator="greaterThan" aboveAverage="0" equalAverage="0" bottom="0" percent="0" rank="0" text="" dxfId="7">
      <formula>0</formula>
    </cfRule>
  </conditionalFormatting>
  <conditionalFormatting sqref="K168">
    <cfRule type="cellIs" priority="651" operator="greaterThan" aboveAverage="0" equalAverage="0" bottom="0" percent="0" rank="0" text="" dxfId="7">
      <formula>0</formula>
    </cfRule>
  </conditionalFormatting>
  <conditionalFormatting sqref="N168">
    <cfRule type="cellIs" priority="652" operator="greaterThan" aboveAverage="0" equalAverage="0" bottom="0" percent="0" rank="0" text="" dxfId="7">
      <formula>0</formula>
    </cfRule>
    <cfRule type="cellIs" priority="653" operator="lessThan" aboveAverage="0" equalAverage="0" bottom="0" percent="0" rank="0" text="" dxfId="8">
      <formula>0</formula>
    </cfRule>
  </conditionalFormatting>
  <conditionalFormatting sqref="I169">
    <cfRule type="cellIs" priority="654" operator="greaterThan" aboveAverage="0" equalAverage="0" bottom="0" percent="0" rank="0" text="" dxfId="7">
      <formula>0</formula>
    </cfRule>
  </conditionalFormatting>
  <conditionalFormatting sqref="K169">
    <cfRule type="cellIs" priority="655" operator="greaterThan" aboveAverage="0" equalAverage="0" bottom="0" percent="0" rank="0" text="" dxfId="7">
      <formula>0</formula>
    </cfRule>
  </conditionalFormatting>
  <conditionalFormatting sqref="N169">
    <cfRule type="cellIs" priority="656" operator="greaterThan" aboveAverage="0" equalAverage="0" bottom="0" percent="0" rank="0" text="" dxfId="7">
      <formula>0</formula>
    </cfRule>
    <cfRule type="cellIs" priority="657" operator="lessThan" aboveAverage="0" equalAverage="0" bottom="0" percent="0" rank="0" text="" dxfId="8">
      <formula>0</formula>
    </cfRule>
  </conditionalFormatting>
  <conditionalFormatting sqref="I170">
    <cfRule type="cellIs" priority="658" operator="greaterThan" aboveAverage="0" equalAverage="0" bottom="0" percent="0" rank="0" text="" dxfId="7">
      <formula>0</formula>
    </cfRule>
  </conditionalFormatting>
  <conditionalFormatting sqref="K170">
    <cfRule type="cellIs" priority="659" operator="greaterThan" aboveAverage="0" equalAverage="0" bottom="0" percent="0" rank="0" text="" dxfId="7">
      <formula>0</formula>
    </cfRule>
  </conditionalFormatting>
  <conditionalFormatting sqref="N170">
    <cfRule type="cellIs" priority="660" operator="greaterThan" aboveAverage="0" equalAverage="0" bottom="0" percent="0" rank="0" text="" dxfId="7">
      <formula>0</formula>
    </cfRule>
    <cfRule type="cellIs" priority="661" operator="lessThan" aboveAverage="0" equalAverage="0" bottom="0" percent="0" rank="0" text="" dxfId="8">
      <formula>0</formula>
    </cfRule>
  </conditionalFormatting>
  <conditionalFormatting sqref="I171">
    <cfRule type="cellIs" priority="662" operator="greaterThan" aboveAverage="0" equalAverage="0" bottom="0" percent="0" rank="0" text="" dxfId="7">
      <formula>0</formula>
    </cfRule>
  </conditionalFormatting>
  <conditionalFormatting sqref="K171">
    <cfRule type="cellIs" priority="663" operator="greaterThan" aboveAverage="0" equalAverage="0" bottom="0" percent="0" rank="0" text="" dxfId="7">
      <formula>0</formula>
    </cfRule>
  </conditionalFormatting>
  <conditionalFormatting sqref="N171">
    <cfRule type="cellIs" priority="664" operator="greaterThan" aboveAverage="0" equalAverage="0" bottom="0" percent="0" rank="0" text="" dxfId="7">
      <formula>0</formula>
    </cfRule>
    <cfRule type="cellIs" priority="665" operator="lessThan" aboveAverage="0" equalAverage="0" bottom="0" percent="0" rank="0" text="" dxfId="8">
      <formula>0</formula>
    </cfRule>
  </conditionalFormatting>
  <conditionalFormatting sqref="I172">
    <cfRule type="cellIs" priority="666" operator="greaterThan" aboveAverage="0" equalAverage="0" bottom="0" percent="0" rank="0" text="" dxfId="7">
      <formula>0</formula>
    </cfRule>
  </conditionalFormatting>
  <conditionalFormatting sqref="K172">
    <cfRule type="cellIs" priority="667" operator="greaterThan" aboveAverage="0" equalAverage="0" bottom="0" percent="0" rank="0" text="" dxfId="7">
      <formula>0</formula>
    </cfRule>
  </conditionalFormatting>
  <conditionalFormatting sqref="N172">
    <cfRule type="cellIs" priority="668" operator="greaterThan" aboveAverage="0" equalAverage="0" bottom="0" percent="0" rank="0" text="" dxfId="7">
      <formula>0</formula>
    </cfRule>
    <cfRule type="cellIs" priority="669" operator="lessThan" aboveAverage="0" equalAverage="0" bottom="0" percent="0" rank="0" text="" dxfId="8">
      <formula>0</formula>
    </cfRule>
  </conditionalFormatting>
  <conditionalFormatting sqref="I173">
    <cfRule type="cellIs" priority="670" operator="greaterThan" aboveAverage="0" equalAverage="0" bottom="0" percent="0" rank="0" text="" dxfId="7">
      <formula>0</formula>
    </cfRule>
  </conditionalFormatting>
  <conditionalFormatting sqref="K173">
    <cfRule type="cellIs" priority="671" operator="greaterThan" aboveAverage="0" equalAverage="0" bottom="0" percent="0" rank="0" text="" dxfId="7">
      <formula>0</formula>
    </cfRule>
  </conditionalFormatting>
  <conditionalFormatting sqref="N173">
    <cfRule type="cellIs" priority="672" operator="greaterThan" aboveAverage="0" equalAverage="0" bottom="0" percent="0" rank="0" text="" dxfId="7">
      <formula>0</formula>
    </cfRule>
    <cfRule type="cellIs" priority="673" operator="lessThan" aboveAverage="0" equalAverage="0" bottom="0" percent="0" rank="0" text="" dxfId="8">
      <formula>0</formula>
    </cfRule>
  </conditionalFormatting>
  <conditionalFormatting sqref="I174">
    <cfRule type="cellIs" priority="674" operator="greaterThan" aboveAverage="0" equalAverage="0" bottom="0" percent="0" rank="0" text="" dxfId="7">
      <formula>0</formula>
    </cfRule>
  </conditionalFormatting>
  <conditionalFormatting sqref="K174">
    <cfRule type="cellIs" priority="675" operator="greaterThan" aboveAverage="0" equalAverage="0" bottom="0" percent="0" rank="0" text="" dxfId="7">
      <formula>0</formula>
    </cfRule>
  </conditionalFormatting>
  <conditionalFormatting sqref="N174">
    <cfRule type="cellIs" priority="676" operator="greaterThan" aboveAverage="0" equalAverage="0" bottom="0" percent="0" rank="0" text="" dxfId="7">
      <formula>0</formula>
    </cfRule>
    <cfRule type="cellIs" priority="677" operator="lessThan" aboveAverage="0" equalAverage="0" bottom="0" percent="0" rank="0" text="" dxfId="8">
      <formula>0</formula>
    </cfRule>
  </conditionalFormatting>
  <conditionalFormatting sqref="I175">
    <cfRule type="cellIs" priority="678" operator="greaterThan" aboveAverage="0" equalAverage="0" bottom="0" percent="0" rank="0" text="" dxfId="7">
      <formula>0</formula>
    </cfRule>
  </conditionalFormatting>
  <conditionalFormatting sqref="K175">
    <cfRule type="cellIs" priority="679" operator="greaterThan" aboveAverage="0" equalAverage="0" bottom="0" percent="0" rank="0" text="" dxfId="7">
      <formula>0</formula>
    </cfRule>
  </conditionalFormatting>
  <conditionalFormatting sqref="N175">
    <cfRule type="cellIs" priority="680" operator="greaterThan" aboveAverage="0" equalAverage="0" bottom="0" percent="0" rank="0" text="" dxfId="7">
      <formula>0</formula>
    </cfRule>
    <cfRule type="cellIs" priority="681" operator="lessThan" aboveAverage="0" equalAverage="0" bottom="0" percent="0" rank="0" text="" dxfId="8">
      <formula>0</formula>
    </cfRule>
  </conditionalFormatting>
  <conditionalFormatting sqref="I176">
    <cfRule type="cellIs" priority="682" operator="greaterThan" aboveAverage="0" equalAverage="0" bottom="0" percent="0" rank="0" text="" dxfId="7">
      <formula>0</formula>
    </cfRule>
  </conditionalFormatting>
  <conditionalFormatting sqref="K176">
    <cfRule type="cellIs" priority="683" operator="greaterThan" aboveAverage="0" equalAverage="0" bottom="0" percent="0" rank="0" text="" dxfId="7">
      <formula>0</formula>
    </cfRule>
  </conditionalFormatting>
  <conditionalFormatting sqref="N176">
    <cfRule type="cellIs" priority="684" operator="greaterThan" aboveAverage="0" equalAverage="0" bottom="0" percent="0" rank="0" text="" dxfId="7">
      <formula>0</formula>
    </cfRule>
    <cfRule type="cellIs" priority="685" operator="lessThan" aboveAverage="0" equalAverage="0" bottom="0" percent="0" rank="0" text="" dxfId="8">
      <formula>0</formula>
    </cfRule>
  </conditionalFormatting>
  <conditionalFormatting sqref="I177">
    <cfRule type="cellIs" priority="686" operator="greaterThan" aboveAverage="0" equalAverage="0" bottom="0" percent="0" rank="0" text="" dxfId="7">
      <formula>0</formula>
    </cfRule>
  </conditionalFormatting>
  <conditionalFormatting sqref="K177">
    <cfRule type="cellIs" priority="687" operator="greaterThan" aboveAverage="0" equalAverage="0" bottom="0" percent="0" rank="0" text="" dxfId="7">
      <formula>0</formula>
    </cfRule>
  </conditionalFormatting>
  <conditionalFormatting sqref="N177">
    <cfRule type="cellIs" priority="688" operator="greaterThan" aboveAverage="0" equalAverage="0" bottom="0" percent="0" rank="0" text="" dxfId="7">
      <formula>0</formula>
    </cfRule>
    <cfRule type="cellIs" priority="689" operator="lessThan" aboveAverage="0" equalAverage="0" bottom="0" percent="0" rank="0" text="" dxfId="8">
      <formula>0</formula>
    </cfRule>
  </conditionalFormatting>
  <conditionalFormatting sqref="I178">
    <cfRule type="cellIs" priority="690" operator="greaterThan" aboveAverage="0" equalAverage="0" bottom="0" percent="0" rank="0" text="" dxfId="7">
      <formula>0</formula>
    </cfRule>
  </conditionalFormatting>
  <conditionalFormatting sqref="K178">
    <cfRule type="cellIs" priority="691" operator="greaterThan" aboveAverage="0" equalAverage="0" bottom="0" percent="0" rank="0" text="" dxfId="7">
      <formula>0</formula>
    </cfRule>
  </conditionalFormatting>
  <conditionalFormatting sqref="N178">
    <cfRule type="cellIs" priority="692" operator="greaterThan" aboveAverage="0" equalAverage="0" bottom="0" percent="0" rank="0" text="" dxfId="7">
      <formula>0</formula>
    </cfRule>
    <cfRule type="cellIs" priority="693" operator="lessThan" aboveAverage="0" equalAverage="0" bottom="0" percent="0" rank="0" text="" dxfId="8">
      <formula>0</formula>
    </cfRule>
  </conditionalFormatting>
  <conditionalFormatting sqref="I179">
    <cfRule type="cellIs" priority="694" operator="greaterThan" aboveAverage="0" equalAverage="0" bottom="0" percent="0" rank="0" text="" dxfId="7">
      <formula>0</formula>
    </cfRule>
  </conditionalFormatting>
  <conditionalFormatting sqref="K179">
    <cfRule type="cellIs" priority="695" operator="greaterThan" aboveAverage="0" equalAverage="0" bottom="0" percent="0" rank="0" text="" dxfId="7">
      <formula>0</formula>
    </cfRule>
  </conditionalFormatting>
  <conditionalFormatting sqref="N179">
    <cfRule type="cellIs" priority="696" operator="greaterThan" aboveAverage="0" equalAverage="0" bottom="0" percent="0" rank="0" text="" dxfId="7">
      <formula>0</formula>
    </cfRule>
    <cfRule type="cellIs" priority="697" operator="lessThan" aboveAverage="0" equalAverage="0" bottom="0" percent="0" rank="0" text="" dxfId="8">
      <formula>0</formula>
    </cfRule>
  </conditionalFormatting>
  <conditionalFormatting sqref="I180">
    <cfRule type="cellIs" priority="698" operator="greaterThan" aboveAverage="0" equalAverage="0" bottom="0" percent="0" rank="0" text="" dxfId="7">
      <formula>0</formula>
    </cfRule>
  </conditionalFormatting>
  <conditionalFormatting sqref="K180">
    <cfRule type="cellIs" priority="699" operator="greaterThan" aboveAverage="0" equalAverage="0" bottom="0" percent="0" rank="0" text="" dxfId="7">
      <formula>0</formula>
    </cfRule>
  </conditionalFormatting>
  <conditionalFormatting sqref="N180">
    <cfRule type="cellIs" priority="700" operator="greaterThan" aboveAverage="0" equalAverage="0" bottom="0" percent="0" rank="0" text="" dxfId="7">
      <formula>0</formula>
    </cfRule>
    <cfRule type="cellIs" priority="701" operator="lessThan" aboveAverage="0" equalAverage="0" bottom="0" percent="0" rank="0" text="" dxfId="8">
      <formula>0</formula>
    </cfRule>
  </conditionalFormatting>
  <conditionalFormatting sqref="I181">
    <cfRule type="cellIs" priority="702" operator="greaterThan" aboveAverage="0" equalAverage="0" bottom="0" percent="0" rank="0" text="" dxfId="7">
      <formula>0</formula>
    </cfRule>
  </conditionalFormatting>
  <conditionalFormatting sqref="K181">
    <cfRule type="cellIs" priority="703" operator="greaterThan" aboveAverage="0" equalAverage="0" bottom="0" percent="0" rank="0" text="" dxfId="7">
      <formula>0</formula>
    </cfRule>
  </conditionalFormatting>
  <conditionalFormatting sqref="N181">
    <cfRule type="cellIs" priority="704" operator="greaterThan" aboveAverage="0" equalAverage="0" bottom="0" percent="0" rank="0" text="" dxfId="7">
      <formula>0</formula>
    </cfRule>
    <cfRule type="cellIs" priority="705" operator="lessThan" aboveAverage="0" equalAverage="0" bottom="0" percent="0" rank="0" text="" dxfId="8">
      <formula>0</formula>
    </cfRule>
  </conditionalFormatting>
  <conditionalFormatting sqref="I182">
    <cfRule type="cellIs" priority="706" operator="greaterThan" aboveAverage="0" equalAverage="0" bottom="0" percent="0" rank="0" text="" dxfId="7">
      <formula>0</formula>
    </cfRule>
  </conditionalFormatting>
  <conditionalFormatting sqref="K182">
    <cfRule type="cellIs" priority="707" operator="greaterThan" aboveAverage="0" equalAverage="0" bottom="0" percent="0" rank="0" text="" dxfId="7">
      <formula>0</formula>
    </cfRule>
  </conditionalFormatting>
  <conditionalFormatting sqref="N182">
    <cfRule type="cellIs" priority="708" operator="greaterThan" aboveAverage="0" equalAverage="0" bottom="0" percent="0" rank="0" text="" dxfId="7">
      <formula>0</formula>
    </cfRule>
    <cfRule type="cellIs" priority="709" operator="lessThan" aboveAverage="0" equalAverage="0" bottom="0" percent="0" rank="0" text="" dxfId="8">
      <formula>0</formula>
    </cfRule>
  </conditionalFormatting>
  <conditionalFormatting sqref="I183">
    <cfRule type="cellIs" priority="710" operator="greaterThan" aboveAverage="0" equalAverage="0" bottom="0" percent="0" rank="0" text="" dxfId="7">
      <formula>0</formula>
    </cfRule>
  </conditionalFormatting>
  <conditionalFormatting sqref="K183">
    <cfRule type="cellIs" priority="711" operator="greaterThan" aboveAverage="0" equalAverage="0" bottom="0" percent="0" rank="0" text="" dxfId="7">
      <formula>0</formula>
    </cfRule>
  </conditionalFormatting>
  <conditionalFormatting sqref="N183">
    <cfRule type="cellIs" priority="712" operator="greaterThan" aboveAverage="0" equalAverage="0" bottom="0" percent="0" rank="0" text="" dxfId="7">
      <formula>0</formula>
    </cfRule>
    <cfRule type="cellIs" priority="713" operator="lessThan" aboveAverage="0" equalAverage="0" bottom="0" percent="0" rank="0" text="" dxfId="8">
      <formula>0</formula>
    </cfRule>
  </conditionalFormatting>
  <conditionalFormatting sqref="I184">
    <cfRule type="cellIs" priority="714" operator="greaterThan" aboveAverage="0" equalAverage="0" bottom="0" percent="0" rank="0" text="" dxfId="7">
      <formula>0</formula>
    </cfRule>
  </conditionalFormatting>
  <conditionalFormatting sqref="K184">
    <cfRule type="cellIs" priority="715" operator="greaterThan" aboveAverage="0" equalAverage="0" bottom="0" percent="0" rank="0" text="" dxfId="7">
      <formula>0</formula>
    </cfRule>
  </conditionalFormatting>
  <conditionalFormatting sqref="N184">
    <cfRule type="cellIs" priority="716" operator="greaterThan" aboveAverage="0" equalAverage="0" bottom="0" percent="0" rank="0" text="" dxfId="7">
      <formula>0</formula>
    </cfRule>
    <cfRule type="cellIs" priority="717" operator="lessThan" aboveAverage="0" equalAverage="0" bottom="0" percent="0" rank="0" text="" dxfId="8">
      <formula>0</formula>
    </cfRule>
  </conditionalFormatting>
  <conditionalFormatting sqref="I185">
    <cfRule type="cellIs" priority="718" operator="greaterThan" aboveAverage="0" equalAverage="0" bottom="0" percent="0" rank="0" text="" dxfId="7">
      <formula>0</formula>
    </cfRule>
  </conditionalFormatting>
  <conditionalFormatting sqref="K185">
    <cfRule type="cellIs" priority="719" operator="greaterThan" aboveAverage="0" equalAverage="0" bottom="0" percent="0" rank="0" text="" dxfId="7">
      <formula>0</formula>
    </cfRule>
  </conditionalFormatting>
  <conditionalFormatting sqref="N185">
    <cfRule type="cellIs" priority="720" operator="greaterThan" aboveAverage="0" equalAverage="0" bottom="0" percent="0" rank="0" text="" dxfId="7">
      <formula>0</formula>
    </cfRule>
    <cfRule type="cellIs" priority="721" operator="lessThan" aboveAverage="0" equalAverage="0" bottom="0" percent="0" rank="0" text="" dxfId="8">
      <formula>0</formula>
    </cfRule>
  </conditionalFormatting>
  <conditionalFormatting sqref="I186">
    <cfRule type="cellIs" priority="722" operator="greaterThan" aboveAverage="0" equalAverage="0" bottom="0" percent="0" rank="0" text="" dxfId="7">
      <formula>0</formula>
    </cfRule>
  </conditionalFormatting>
  <conditionalFormatting sqref="K186">
    <cfRule type="cellIs" priority="723" operator="greaterThan" aboveAverage="0" equalAverage="0" bottom="0" percent="0" rank="0" text="" dxfId="7">
      <formula>0</formula>
    </cfRule>
  </conditionalFormatting>
  <conditionalFormatting sqref="N186">
    <cfRule type="cellIs" priority="724" operator="greaterThan" aboveAverage="0" equalAverage="0" bottom="0" percent="0" rank="0" text="" dxfId="7">
      <formula>0</formula>
    </cfRule>
    <cfRule type="cellIs" priority="725" operator="lessThan" aboveAverage="0" equalAverage="0" bottom="0" percent="0" rank="0" text="" dxfId="8">
      <formula>0</formula>
    </cfRule>
  </conditionalFormatting>
  <conditionalFormatting sqref="I187">
    <cfRule type="cellIs" priority="726" operator="greaterThan" aboveAverage="0" equalAverage="0" bottom="0" percent="0" rank="0" text="" dxfId="7">
      <formula>0</formula>
    </cfRule>
  </conditionalFormatting>
  <conditionalFormatting sqref="K187">
    <cfRule type="cellIs" priority="727" operator="greaterThan" aboveAverage="0" equalAverage="0" bottom="0" percent="0" rank="0" text="" dxfId="7">
      <formula>0</formula>
    </cfRule>
  </conditionalFormatting>
  <conditionalFormatting sqref="N187">
    <cfRule type="cellIs" priority="728" operator="greaterThan" aboveAverage="0" equalAverage="0" bottom="0" percent="0" rank="0" text="" dxfId="7">
      <formula>0</formula>
    </cfRule>
    <cfRule type="cellIs" priority="729" operator="lessThan" aboveAverage="0" equalAverage="0" bottom="0" percent="0" rank="0" text="" dxfId="8">
      <formula>0</formula>
    </cfRule>
  </conditionalFormatting>
  <conditionalFormatting sqref="I188">
    <cfRule type="cellIs" priority="730" operator="greaterThan" aboveAverage="0" equalAverage="0" bottom="0" percent="0" rank="0" text="" dxfId="7">
      <formula>0</formula>
    </cfRule>
  </conditionalFormatting>
  <conditionalFormatting sqref="K188">
    <cfRule type="cellIs" priority="731" operator="greaterThan" aboveAverage="0" equalAverage="0" bottom="0" percent="0" rank="0" text="" dxfId="7">
      <formula>0</formula>
    </cfRule>
  </conditionalFormatting>
  <conditionalFormatting sqref="N188">
    <cfRule type="cellIs" priority="732" operator="greaterThan" aboveAverage="0" equalAverage="0" bottom="0" percent="0" rank="0" text="" dxfId="7">
      <formula>0</formula>
    </cfRule>
    <cfRule type="cellIs" priority="733" operator="lessThan" aboveAverage="0" equalAverage="0" bottom="0" percent="0" rank="0" text="" dxfId="8">
      <formula>0</formula>
    </cfRule>
  </conditionalFormatting>
  <conditionalFormatting sqref="I189">
    <cfRule type="cellIs" priority="734" operator="greaterThan" aboveAverage="0" equalAverage="0" bottom="0" percent="0" rank="0" text="" dxfId="7">
      <formula>0</formula>
    </cfRule>
  </conditionalFormatting>
  <conditionalFormatting sqref="K189">
    <cfRule type="cellIs" priority="735" operator="greaterThan" aboveAverage="0" equalAverage="0" bottom="0" percent="0" rank="0" text="" dxfId="7">
      <formula>0</formula>
    </cfRule>
  </conditionalFormatting>
  <conditionalFormatting sqref="N189">
    <cfRule type="cellIs" priority="736" operator="greaterThan" aboveAverage="0" equalAverage="0" bottom="0" percent="0" rank="0" text="" dxfId="7">
      <formula>0</formula>
    </cfRule>
    <cfRule type="cellIs" priority="737" operator="lessThan" aboveAverage="0" equalAverage="0" bottom="0" percent="0" rank="0" text="" dxfId="8">
      <formula>0</formula>
    </cfRule>
  </conditionalFormatting>
  <conditionalFormatting sqref="I190">
    <cfRule type="cellIs" priority="738" operator="greaterThan" aboveAverage="0" equalAverage="0" bottom="0" percent="0" rank="0" text="" dxfId="7">
      <formula>0</formula>
    </cfRule>
  </conditionalFormatting>
  <conditionalFormatting sqref="K190">
    <cfRule type="cellIs" priority="739" operator="greaterThan" aboveAverage="0" equalAverage="0" bottom="0" percent="0" rank="0" text="" dxfId="7">
      <formula>0</formula>
    </cfRule>
  </conditionalFormatting>
  <conditionalFormatting sqref="N190">
    <cfRule type="cellIs" priority="740" operator="greaterThan" aboveAverage="0" equalAverage="0" bottom="0" percent="0" rank="0" text="" dxfId="7">
      <formula>0</formula>
    </cfRule>
    <cfRule type="cellIs" priority="741" operator="lessThan" aboveAverage="0" equalAverage="0" bottom="0" percent="0" rank="0" text="" dxfId="8">
      <formula>0</formula>
    </cfRule>
  </conditionalFormatting>
  <conditionalFormatting sqref="I191">
    <cfRule type="cellIs" priority="742" operator="greaterThan" aboveAverage="0" equalAverage="0" bottom="0" percent="0" rank="0" text="" dxfId="7">
      <formula>0</formula>
    </cfRule>
  </conditionalFormatting>
  <conditionalFormatting sqref="K191">
    <cfRule type="cellIs" priority="743" operator="greaterThan" aboveAverage="0" equalAverage="0" bottom="0" percent="0" rank="0" text="" dxfId="7">
      <formula>0</formula>
    </cfRule>
  </conditionalFormatting>
  <conditionalFormatting sqref="N191">
    <cfRule type="cellIs" priority="744" operator="greaterThan" aboveAverage="0" equalAverage="0" bottom="0" percent="0" rank="0" text="" dxfId="7">
      <formula>0</formula>
    </cfRule>
    <cfRule type="cellIs" priority="745" operator="lessThan" aboveAverage="0" equalAverage="0" bottom="0" percent="0" rank="0" text="" dxfId="8">
      <formula>0</formula>
    </cfRule>
  </conditionalFormatting>
  <conditionalFormatting sqref="I192">
    <cfRule type="cellIs" priority="746" operator="greaterThan" aboveAverage="0" equalAverage="0" bottom="0" percent="0" rank="0" text="" dxfId="7">
      <formula>0</formula>
    </cfRule>
  </conditionalFormatting>
  <conditionalFormatting sqref="K192">
    <cfRule type="cellIs" priority="747" operator="greaterThan" aboveAverage="0" equalAverage="0" bottom="0" percent="0" rank="0" text="" dxfId="7">
      <formula>0</formula>
    </cfRule>
  </conditionalFormatting>
  <conditionalFormatting sqref="N192">
    <cfRule type="cellIs" priority="748" operator="greaterThan" aboveAverage="0" equalAverage="0" bottom="0" percent="0" rank="0" text="" dxfId="7">
      <formula>0</formula>
    </cfRule>
    <cfRule type="cellIs" priority="749" operator="lessThan" aboveAverage="0" equalAverage="0" bottom="0" percent="0" rank="0" text="" dxfId="8">
      <formula>0</formula>
    </cfRule>
  </conditionalFormatting>
  <conditionalFormatting sqref="I193">
    <cfRule type="cellIs" priority="750" operator="greaterThan" aboveAverage="0" equalAverage="0" bottom="0" percent="0" rank="0" text="" dxfId="7">
      <formula>0</formula>
    </cfRule>
  </conditionalFormatting>
  <conditionalFormatting sqref="K193">
    <cfRule type="cellIs" priority="751" operator="greaterThan" aboveAverage="0" equalAverage="0" bottom="0" percent="0" rank="0" text="" dxfId="7">
      <formula>0</formula>
    </cfRule>
  </conditionalFormatting>
  <conditionalFormatting sqref="N193">
    <cfRule type="cellIs" priority="752" operator="greaterThan" aboveAverage="0" equalAverage="0" bottom="0" percent="0" rank="0" text="" dxfId="7">
      <formula>0</formula>
    </cfRule>
    <cfRule type="cellIs" priority="753" operator="lessThan" aboveAverage="0" equalAverage="0" bottom="0" percent="0" rank="0" text="" dxfId="8">
      <formula>0</formula>
    </cfRule>
  </conditionalFormatting>
  <conditionalFormatting sqref="I194">
    <cfRule type="cellIs" priority="754" operator="greaterThan" aboveAverage="0" equalAverage="0" bottom="0" percent="0" rank="0" text="" dxfId="7">
      <formula>0</formula>
    </cfRule>
  </conditionalFormatting>
  <conditionalFormatting sqref="K194">
    <cfRule type="cellIs" priority="755" operator="greaterThan" aboveAverage="0" equalAverage="0" bottom="0" percent="0" rank="0" text="" dxfId="7">
      <formula>0</formula>
    </cfRule>
  </conditionalFormatting>
  <conditionalFormatting sqref="N194">
    <cfRule type="cellIs" priority="756" operator="greaterThan" aboveAverage="0" equalAverage="0" bottom="0" percent="0" rank="0" text="" dxfId="7">
      <formula>0</formula>
    </cfRule>
    <cfRule type="cellIs" priority="757" operator="lessThan" aboveAverage="0" equalAverage="0" bottom="0" percent="0" rank="0" text="" dxfId="8">
      <formula>0</formula>
    </cfRule>
  </conditionalFormatting>
  <conditionalFormatting sqref="I195">
    <cfRule type="cellIs" priority="758" operator="greaterThan" aboveAverage="0" equalAverage="0" bottom="0" percent="0" rank="0" text="" dxfId="7">
      <formula>0</formula>
    </cfRule>
  </conditionalFormatting>
  <conditionalFormatting sqref="K195">
    <cfRule type="cellIs" priority="759" operator="greaterThan" aboveAverage="0" equalAverage="0" bottom="0" percent="0" rank="0" text="" dxfId="7">
      <formula>0</formula>
    </cfRule>
  </conditionalFormatting>
  <conditionalFormatting sqref="N195">
    <cfRule type="cellIs" priority="760" operator="greaterThan" aboveAverage="0" equalAverage="0" bottom="0" percent="0" rank="0" text="" dxfId="7">
      <formula>0</formula>
    </cfRule>
    <cfRule type="cellIs" priority="761" operator="lessThan" aboveAverage="0" equalAverage="0" bottom="0" percent="0" rank="0" text="" dxfId="8">
      <formula>0</formula>
    </cfRule>
  </conditionalFormatting>
  <conditionalFormatting sqref="I196">
    <cfRule type="cellIs" priority="762" operator="greaterThan" aboveAverage="0" equalAverage="0" bottom="0" percent="0" rank="0" text="" dxfId="7">
      <formula>0</formula>
    </cfRule>
  </conditionalFormatting>
  <conditionalFormatting sqref="K196">
    <cfRule type="cellIs" priority="763" operator="greaterThan" aboveAverage="0" equalAverage="0" bottom="0" percent="0" rank="0" text="" dxfId="7">
      <formula>0</formula>
    </cfRule>
  </conditionalFormatting>
  <conditionalFormatting sqref="N196">
    <cfRule type="cellIs" priority="764" operator="greaterThan" aboveAverage="0" equalAverage="0" bottom="0" percent="0" rank="0" text="" dxfId="7">
      <formula>0</formula>
    </cfRule>
    <cfRule type="cellIs" priority="765" operator="lessThan" aboveAverage="0" equalAverage="0" bottom="0" percent="0" rank="0" text="" dxfId="8">
      <formula>0</formula>
    </cfRule>
  </conditionalFormatting>
  <conditionalFormatting sqref="I197">
    <cfRule type="cellIs" priority="766" operator="greaterThan" aboveAverage="0" equalAverage="0" bottom="0" percent="0" rank="0" text="" dxfId="7">
      <formula>0</formula>
    </cfRule>
  </conditionalFormatting>
  <conditionalFormatting sqref="K197">
    <cfRule type="cellIs" priority="767" operator="greaterThan" aboveAverage="0" equalAverage="0" bottom="0" percent="0" rank="0" text="" dxfId="7">
      <formula>0</formula>
    </cfRule>
  </conditionalFormatting>
  <conditionalFormatting sqref="N197">
    <cfRule type="cellIs" priority="768" operator="greaterThan" aboveAverage="0" equalAverage="0" bottom="0" percent="0" rank="0" text="" dxfId="7">
      <formula>0</formula>
    </cfRule>
    <cfRule type="cellIs" priority="769" operator="lessThan" aboveAverage="0" equalAverage="0" bottom="0" percent="0" rank="0" text="" dxfId="8">
      <formula>0</formula>
    </cfRule>
  </conditionalFormatting>
  <conditionalFormatting sqref="I198">
    <cfRule type="cellIs" priority="770" operator="greaterThan" aboveAverage="0" equalAverage="0" bottom="0" percent="0" rank="0" text="" dxfId="7">
      <formula>0</formula>
    </cfRule>
  </conditionalFormatting>
  <conditionalFormatting sqref="K198">
    <cfRule type="cellIs" priority="771" operator="greaterThan" aboveAverage="0" equalAverage="0" bottom="0" percent="0" rank="0" text="" dxfId="7">
      <formula>0</formula>
    </cfRule>
  </conditionalFormatting>
  <conditionalFormatting sqref="N198">
    <cfRule type="cellIs" priority="772" operator="greaterThan" aboveAverage="0" equalAverage="0" bottom="0" percent="0" rank="0" text="" dxfId="7">
      <formula>0</formula>
    </cfRule>
    <cfRule type="cellIs" priority="773" operator="lessThan" aboveAverage="0" equalAverage="0" bottom="0" percent="0" rank="0" text="" dxfId="8">
      <formula>0</formula>
    </cfRule>
  </conditionalFormatting>
  <conditionalFormatting sqref="I199">
    <cfRule type="cellIs" priority="774" operator="greaterThan" aboveAverage="0" equalAverage="0" bottom="0" percent="0" rank="0" text="" dxfId="7">
      <formula>0</formula>
    </cfRule>
  </conditionalFormatting>
  <conditionalFormatting sqref="K199">
    <cfRule type="cellIs" priority="775" operator="greaterThan" aboveAverage="0" equalAverage="0" bottom="0" percent="0" rank="0" text="" dxfId="7">
      <formula>0</formula>
    </cfRule>
  </conditionalFormatting>
  <conditionalFormatting sqref="N199">
    <cfRule type="cellIs" priority="776" operator="greaterThan" aboveAverage="0" equalAverage="0" bottom="0" percent="0" rank="0" text="" dxfId="7">
      <formula>0</formula>
    </cfRule>
    <cfRule type="cellIs" priority="777" operator="lessThan" aboveAverage="0" equalAverage="0" bottom="0" percent="0" rank="0" text="" dxfId="8">
      <formula>0</formula>
    </cfRule>
  </conditionalFormatting>
  <conditionalFormatting sqref="I200">
    <cfRule type="cellIs" priority="778" operator="greaterThan" aboveAverage="0" equalAverage="0" bottom="0" percent="0" rank="0" text="" dxfId="7">
      <formula>0</formula>
    </cfRule>
  </conditionalFormatting>
  <conditionalFormatting sqref="K200">
    <cfRule type="cellIs" priority="779" operator="greaterThan" aboveAverage="0" equalAverage="0" bottom="0" percent="0" rank="0" text="" dxfId="7">
      <formula>0</formula>
    </cfRule>
  </conditionalFormatting>
  <conditionalFormatting sqref="N200">
    <cfRule type="cellIs" priority="780" operator="greaterThan" aboveAverage="0" equalAverage="0" bottom="0" percent="0" rank="0" text="" dxfId="7">
      <formula>0</formula>
    </cfRule>
    <cfRule type="cellIs" priority="781" operator="lessThan" aboveAverage="0" equalAverage="0" bottom="0" percent="0" rank="0" text="" dxfId="8">
      <formula>0</formula>
    </cfRule>
  </conditionalFormatting>
  <conditionalFormatting sqref="I201">
    <cfRule type="cellIs" priority="782" operator="greaterThan" aboveAverage="0" equalAverage="0" bottom="0" percent="0" rank="0" text="" dxfId="7">
      <formula>0</formula>
    </cfRule>
  </conditionalFormatting>
  <conditionalFormatting sqref="K201">
    <cfRule type="cellIs" priority="783" operator="greaterThan" aboveAverage="0" equalAverage="0" bottom="0" percent="0" rank="0" text="" dxfId="7">
      <formula>0</formula>
    </cfRule>
  </conditionalFormatting>
  <conditionalFormatting sqref="N201">
    <cfRule type="cellIs" priority="784" operator="greaterThan" aboveAverage="0" equalAverage="0" bottom="0" percent="0" rank="0" text="" dxfId="7">
      <formula>0</formula>
    </cfRule>
    <cfRule type="cellIs" priority="785" operator="lessThan" aboveAverage="0" equalAverage="0" bottom="0" percent="0" rank="0" text="" dxfId="8">
      <formula>0</formula>
    </cfRule>
  </conditionalFormatting>
  <conditionalFormatting sqref="I202">
    <cfRule type="cellIs" priority="786" operator="greaterThan" aboveAverage="0" equalAverage="0" bottom="0" percent="0" rank="0" text="" dxfId="7">
      <formula>0</formula>
    </cfRule>
  </conditionalFormatting>
  <conditionalFormatting sqref="K202">
    <cfRule type="cellIs" priority="787" operator="greaterThan" aboveAverage="0" equalAverage="0" bottom="0" percent="0" rank="0" text="" dxfId="7">
      <formula>0</formula>
    </cfRule>
  </conditionalFormatting>
  <conditionalFormatting sqref="N202">
    <cfRule type="cellIs" priority="788" operator="greaterThan" aboveAverage="0" equalAverage="0" bottom="0" percent="0" rank="0" text="" dxfId="7">
      <formula>0</formula>
    </cfRule>
    <cfRule type="cellIs" priority="789" operator="lessThan" aboveAverage="0" equalAverage="0" bottom="0" percent="0" rank="0" text="" dxfId="8">
      <formula>0</formula>
    </cfRule>
  </conditionalFormatting>
  <conditionalFormatting sqref="I203">
    <cfRule type="cellIs" priority="790" operator="greaterThan" aboveAverage="0" equalAverage="0" bottom="0" percent="0" rank="0" text="" dxfId="7">
      <formula>0</formula>
    </cfRule>
  </conditionalFormatting>
  <conditionalFormatting sqref="K203">
    <cfRule type="cellIs" priority="791" operator="greaterThan" aboveAverage="0" equalAverage="0" bottom="0" percent="0" rank="0" text="" dxfId="7">
      <formula>0</formula>
    </cfRule>
  </conditionalFormatting>
  <conditionalFormatting sqref="N203">
    <cfRule type="cellIs" priority="792" operator="greaterThan" aboveAverage="0" equalAverage="0" bottom="0" percent="0" rank="0" text="" dxfId="7">
      <formula>0</formula>
    </cfRule>
    <cfRule type="cellIs" priority="793" operator="lessThan" aboveAverage="0" equalAverage="0" bottom="0" percent="0" rank="0" text="" dxfId="8">
      <formula>0</formula>
    </cfRule>
  </conditionalFormatting>
  <conditionalFormatting sqref="I204">
    <cfRule type="cellIs" priority="794" operator="greaterThan" aboveAverage="0" equalAverage="0" bottom="0" percent="0" rank="0" text="" dxfId="7">
      <formula>0</formula>
    </cfRule>
  </conditionalFormatting>
  <conditionalFormatting sqref="K204">
    <cfRule type="cellIs" priority="795" operator="greaterThan" aboveAverage="0" equalAverage="0" bottom="0" percent="0" rank="0" text="" dxfId="7">
      <formula>0</formula>
    </cfRule>
  </conditionalFormatting>
  <conditionalFormatting sqref="N204">
    <cfRule type="cellIs" priority="796" operator="greaterThan" aboveAverage="0" equalAverage="0" bottom="0" percent="0" rank="0" text="" dxfId="7">
      <formula>0</formula>
    </cfRule>
    <cfRule type="cellIs" priority="797" operator="lessThan" aboveAverage="0" equalAverage="0" bottom="0" percent="0" rank="0" text="" dxfId="8">
      <formula>0</formula>
    </cfRule>
  </conditionalFormatting>
  <conditionalFormatting sqref="I205">
    <cfRule type="cellIs" priority="798" operator="greaterThan" aboveAverage="0" equalAverage="0" bottom="0" percent="0" rank="0" text="" dxfId="7">
      <formula>0</formula>
    </cfRule>
  </conditionalFormatting>
  <conditionalFormatting sqref="K205">
    <cfRule type="cellIs" priority="799" operator="greaterThan" aboveAverage="0" equalAverage="0" bottom="0" percent="0" rank="0" text="" dxfId="7">
      <formula>0</formula>
    </cfRule>
  </conditionalFormatting>
  <conditionalFormatting sqref="N205">
    <cfRule type="cellIs" priority="800" operator="greaterThan" aboveAverage="0" equalAverage="0" bottom="0" percent="0" rank="0" text="" dxfId="7">
      <formula>0</formula>
    </cfRule>
    <cfRule type="cellIs" priority="801" operator="lessThan" aboveAverage="0" equalAverage="0" bottom="0" percent="0" rank="0" text="" dxfId="8">
      <formula>0</formula>
    </cfRule>
  </conditionalFormatting>
  <conditionalFormatting sqref="I206">
    <cfRule type="cellIs" priority="802" operator="greaterThan" aboveAverage="0" equalAverage="0" bottom="0" percent="0" rank="0" text="" dxfId="7">
      <formula>0</formula>
    </cfRule>
  </conditionalFormatting>
  <conditionalFormatting sqref="K206">
    <cfRule type="cellIs" priority="803" operator="greaterThan" aboveAverage="0" equalAverage="0" bottom="0" percent="0" rank="0" text="" dxfId="7">
      <formula>0</formula>
    </cfRule>
  </conditionalFormatting>
  <conditionalFormatting sqref="N206">
    <cfRule type="cellIs" priority="804" operator="greaterThan" aboveAverage="0" equalAverage="0" bottom="0" percent="0" rank="0" text="" dxfId="7">
      <formula>0</formula>
    </cfRule>
    <cfRule type="cellIs" priority="805" operator="lessThan" aboveAverage="0" equalAverage="0" bottom="0" percent="0" rank="0" text="" dxfId="8">
      <formula>0</formula>
    </cfRule>
  </conditionalFormatting>
  <conditionalFormatting sqref="I207">
    <cfRule type="cellIs" priority="806" operator="greaterThan" aboveAverage="0" equalAverage="0" bottom="0" percent="0" rank="0" text="" dxfId="7">
      <formula>0</formula>
    </cfRule>
  </conditionalFormatting>
  <conditionalFormatting sqref="K207">
    <cfRule type="cellIs" priority="807" operator="greaterThan" aboveAverage="0" equalAverage="0" bottom="0" percent="0" rank="0" text="" dxfId="7">
      <formula>0</formula>
    </cfRule>
  </conditionalFormatting>
  <conditionalFormatting sqref="N207">
    <cfRule type="cellIs" priority="808" operator="greaterThan" aboveAverage="0" equalAverage="0" bottom="0" percent="0" rank="0" text="" dxfId="7">
      <formula>0</formula>
    </cfRule>
    <cfRule type="cellIs" priority="809" operator="lessThan" aboveAverage="0" equalAverage="0" bottom="0" percent="0" rank="0" text="" dxfId="8">
      <formula>0</formula>
    </cfRule>
  </conditionalFormatting>
  <conditionalFormatting sqref="I208">
    <cfRule type="cellIs" priority="810" operator="greaterThan" aboveAverage="0" equalAverage="0" bottom="0" percent="0" rank="0" text="" dxfId="7">
      <formula>0</formula>
    </cfRule>
  </conditionalFormatting>
  <conditionalFormatting sqref="K208">
    <cfRule type="cellIs" priority="811" operator="greaterThan" aboveAverage="0" equalAverage="0" bottom="0" percent="0" rank="0" text="" dxfId="7">
      <formula>0</formula>
    </cfRule>
  </conditionalFormatting>
  <conditionalFormatting sqref="N208">
    <cfRule type="cellIs" priority="812" operator="greaterThan" aboveAverage="0" equalAverage="0" bottom="0" percent="0" rank="0" text="" dxfId="7">
      <formula>0</formula>
    </cfRule>
    <cfRule type="cellIs" priority="813" operator="lessThan" aboveAverage="0" equalAverage="0" bottom="0" percent="0" rank="0" text="" dxfId="8">
      <formula>0</formula>
    </cfRule>
  </conditionalFormatting>
  <conditionalFormatting sqref="I209">
    <cfRule type="cellIs" priority="814" operator="greaterThan" aboveAverage="0" equalAverage="0" bottom="0" percent="0" rank="0" text="" dxfId="7">
      <formula>0</formula>
    </cfRule>
  </conditionalFormatting>
  <conditionalFormatting sqref="K209">
    <cfRule type="cellIs" priority="815" operator="greaterThan" aboveAverage="0" equalAverage="0" bottom="0" percent="0" rank="0" text="" dxfId="7">
      <formula>0</formula>
    </cfRule>
  </conditionalFormatting>
  <conditionalFormatting sqref="N209">
    <cfRule type="cellIs" priority="816" operator="greaterThan" aboveAverage="0" equalAverage="0" bottom="0" percent="0" rank="0" text="" dxfId="7">
      <formula>0</formula>
    </cfRule>
    <cfRule type="cellIs" priority="817" operator="lessThan" aboveAverage="0" equalAverage="0" bottom="0" percent="0" rank="0" text="" dxfId="8">
      <formula>0</formula>
    </cfRule>
  </conditionalFormatting>
  <conditionalFormatting sqref="I210">
    <cfRule type="cellIs" priority="818" operator="greaterThan" aboveAverage="0" equalAverage="0" bottom="0" percent="0" rank="0" text="" dxfId="7">
      <formula>0</formula>
    </cfRule>
  </conditionalFormatting>
  <conditionalFormatting sqref="K210">
    <cfRule type="cellIs" priority="819" operator="greaterThan" aboveAverage="0" equalAverage="0" bottom="0" percent="0" rank="0" text="" dxfId="7">
      <formula>0</formula>
    </cfRule>
  </conditionalFormatting>
  <conditionalFormatting sqref="N210">
    <cfRule type="cellIs" priority="820" operator="greaterThan" aboveAverage="0" equalAverage="0" bottom="0" percent="0" rank="0" text="" dxfId="7">
      <formula>0</formula>
    </cfRule>
    <cfRule type="cellIs" priority="821" operator="lessThan" aboveAverage="0" equalAverage="0" bottom="0" percent="0" rank="0" text="" dxfId="8">
      <formula>0</formula>
    </cfRule>
  </conditionalFormatting>
  <conditionalFormatting sqref="I211">
    <cfRule type="cellIs" priority="822" operator="greaterThan" aboveAverage="0" equalAverage="0" bottom="0" percent="0" rank="0" text="" dxfId="7">
      <formula>0</formula>
    </cfRule>
  </conditionalFormatting>
  <conditionalFormatting sqref="K211">
    <cfRule type="cellIs" priority="823" operator="greaterThan" aboveAverage="0" equalAverage="0" bottom="0" percent="0" rank="0" text="" dxfId="7">
      <formula>0</formula>
    </cfRule>
  </conditionalFormatting>
  <conditionalFormatting sqref="N211">
    <cfRule type="cellIs" priority="824" operator="greaterThan" aboveAverage="0" equalAverage="0" bottom="0" percent="0" rank="0" text="" dxfId="7">
      <formula>0</formula>
    </cfRule>
    <cfRule type="cellIs" priority="825" operator="lessThan" aboveAverage="0" equalAverage="0" bottom="0" percent="0" rank="0" text="" dxfId="8">
      <formula>0</formula>
    </cfRule>
  </conditionalFormatting>
  <conditionalFormatting sqref="I212">
    <cfRule type="cellIs" priority="826" operator="greaterThan" aboveAverage="0" equalAverage="0" bottom="0" percent="0" rank="0" text="" dxfId="7">
      <formula>0</formula>
    </cfRule>
  </conditionalFormatting>
  <conditionalFormatting sqref="K212">
    <cfRule type="cellIs" priority="827" operator="greaterThan" aboveAverage="0" equalAverage="0" bottom="0" percent="0" rank="0" text="" dxfId="7">
      <formula>0</formula>
    </cfRule>
  </conditionalFormatting>
  <conditionalFormatting sqref="N212">
    <cfRule type="cellIs" priority="828" operator="greaterThan" aboveAverage="0" equalAverage="0" bottom="0" percent="0" rank="0" text="" dxfId="7">
      <formula>0</formula>
    </cfRule>
    <cfRule type="cellIs" priority="829" operator="lessThan" aboveAverage="0" equalAverage="0" bottom="0" percent="0" rank="0" text="" dxfId="8">
      <formula>0</formula>
    </cfRule>
  </conditionalFormatting>
  <conditionalFormatting sqref="I213">
    <cfRule type="cellIs" priority="830" operator="greaterThan" aboveAverage="0" equalAverage="0" bottom="0" percent="0" rank="0" text="" dxfId="7">
      <formula>0</formula>
    </cfRule>
  </conditionalFormatting>
  <conditionalFormatting sqref="K213">
    <cfRule type="cellIs" priority="831" operator="greaterThan" aboveAverage="0" equalAverage="0" bottom="0" percent="0" rank="0" text="" dxfId="7">
      <formula>0</formula>
    </cfRule>
  </conditionalFormatting>
  <conditionalFormatting sqref="N213">
    <cfRule type="cellIs" priority="832" operator="greaterThan" aboveAverage="0" equalAverage="0" bottom="0" percent="0" rank="0" text="" dxfId="7">
      <formula>0</formula>
    </cfRule>
    <cfRule type="cellIs" priority="833" operator="lessThan" aboveAverage="0" equalAverage="0" bottom="0" percent="0" rank="0" text="" dxfId="8">
      <formula>0</formula>
    </cfRule>
  </conditionalFormatting>
  <conditionalFormatting sqref="I214">
    <cfRule type="cellIs" priority="834" operator="greaterThan" aboveAverage="0" equalAverage="0" bottom="0" percent="0" rank="0" text="" dxfId="7">
      <formula>0</formula>
    </cfRule>
  </conditionalFormatting>
  <conditionalFormatting sqref="K214">
    <cfRule type="cellIs" priority="835" operator="greaterThan" aboveAverage="0" equalAverage="0" bottom="0" percent="0" rank="0" text="" dxfId="7">
      <formula>0</formula>
    </cfRule>
  </conditionalFormatting>
  <conditionalFormatting sqref="N214">
    <cfRule type="cellIs" priority="836" operator="greaterThan" aboveAverage="0" equalAverage="0" bottom="0" percent="0" rank="0" text="" dxfId="7">
      <formula>0</formula>
    </cfRule>
    <cfRule type="cellIs" priority="837" operator="lessThan" aboveAverage="0" equalAverage="0" bottom="0" percent="0" rank="0" text="" dxfId="8">
      <formula>0</formula>
    </cfRule>
  </conditionalFormatting>
  <conditionalFormatting sqref="I215">
    <cfRule type="cellIs" priority="838" operator="greaterThan" aboveAverage="0" equalAverage="0" bottom="0" percent="0" rank="0" text="" dxfId="7">
      <formula>0</formula>
    </cfRule>
  </conditionalFormatting>
  <conditionalFormatting sqref="K215">
    <cfRule type="cellIs" priority="839" operator="greaterThan" aboveAverage="0" equalAverage="0" bottom="0" percent="0" rank="0" text="" dxfId="7">
      <formula>0</formula>
    </cfRule>
  </conditionalFormatting>
  <conditionalFormatting sqref="N215">
    <cfRule type="cellIs" priority="840" operator="greaterThan" aboveAverage="0" equalAverage="0" bottom="0" percent="0" rank="0" text="" dxfId="7">
      <formula>0</formula>
    </cfRule>
    <cfRule type="cellIs" priority="841" operator="lessThan" aboveAverage="0" equalAverage="0" bottom="0" percent="0" rank="0" text="" dxfId="8">
      <formula>0</formula>
    </cfRule>
  </conditionalFormatting>
  <conditionalFormatting sqref="I216">
    <cfRule type="cellIs" priority="842" operator="greaterThan" aboveAverage="0" equalAverage="0" bottom="0" percent="0" rank="0" text="" dxfId="7">
      <formula>0</formula>
    </cfRule>
  </conditionalFormatting>
  <conditionalFormatting sqref="K216">
    <cfRule type="cellIs" priority="843" operator="greaterThan" aboveAverage="0" equalAverage="0" bottom="0" percent="0" rank="0" text="" dxfId="7">
      <formula>0</formula>
    </cfRule>
  </conditionalFormatting>
  <conditionalFormatting sqref="N216">
    <cfRule type="cellIs" priority="844" operator="greaterThan" aboveAverage="0" equalAverage="0" bottom="0" percent="0" rank="0" text="" dxfId="7">
      <formula>0</formula>
    </cfRule>
    <cfRule type="cellIs" priority="845" operator="lessThan" aboveAverage="0" equalAverage="0" bottom="0" percent="0" rank="0" text="" dxfId="8">
      <formula>0</formula>
    </cfRule>
  </conditionalFormatting>
  <conditionalFormatting sqref="I217">
    <cfRule type="cellIs" priority="846" operator="greaterThan" aboveAverage="0" equalAverage="0" bottom="0" percent="0" rank="0" text="" dxfId="7">
      <formula>0</formula>
    </cfRule>
  </conditionalFormatting>
  <conditionalFormatting sqref="K217">
    <cfRule type="cellIs" priority="847" operator="greaterThan" aboveAverage="0" equalAverage="0" bottom="0" percent="0" rank="0" text="" dxfId="7">
      <formula>0</formula>
    </cfRule>
  </conditionalFormatting>
  <conditionalFormatting sqref="N217">
    <cfRule type="cellIs" priority="848" operator="greaterThan" aboveAverage="0" equalAverage="0" bottom="0" percent="0" rank="0" text="" dxfId="7">
      <formula>0</formula>
    </cfRule>
    <cfRule type="cellIs" priority="849" operator="lessThan" aboveAverage="0" equalAverage="0" bottom="0" percent="0" rank="0" text="" dxfId="8">
      <formula>0</formula>
    </cfRule>
  </conditionalFormatting>
  <conditionalFormatting sqref="I218">
    <cfRule type="cellIs" priority="850" operator="greaterThan" aboveAverage="0" equalAverage="0" bottom="0" percent="0" rank="0" text="" dxfId="7">
      <formula>0</formula>
    </cfRule>
  </conditionalFormatting>
  <conditionalFormatting sqref="K218">
    <cfRule type="cellIs" priority="851" operator="greaterThan" aboveAverage="0" equalAverage="0" bottom="0" percent="0" rank="0" text="" dxfId="7">
      <formula>0</formula>
    </cfRule>
  </conditionalFormatting>
  <conditionalFormatting sqref="N218">
    <cfRule type="cellIs" priority="852" operator="greaterThan" aboveAverage="0" equalAverage="0" bottom="0" percent="0" rank="0" text="" dxfId="7">
      <formula>0</formula>
    </cfRule>
    <cfRule type="cellIs" priority="853" operator="lessThan" aboveAverage="0" equalAverage="0" bottom="0" percent="0" rank="0" text="" dxfId="8">
      <formula>0</formula>
    </cfRule>
  </conditionalFormatting>
  <conditionalFormatting sqref="I219">
    <cfRule type="cellIs" priority="854" operator="greaterThan" aboveAverage="0" equalAverage="0" bottom="0" percent="0" rank="0" text="" dxfId="7">
      <formula>0</formula>
    </cfRule>
  </conditionalFormatting>
  <conditionalFormatting sqref="K219">
    <cfRule type="cellIs" priority="855" operator="greaterThan" aboveAverage="0" equalAverage="0" bottom="0" percent="0" rank="0" text="" dxfId="7">
      <formula>0</formula>
    </cfRule>
  </conditionalFormatting>
  <conditionalFormatting sqref="N219">
    <cfRule type="cellIs" priority="856" operator="greaterThan" aboveAverage="0" equalAverage="0" bottom="0" percent="0" rank="0" text="" dxfId="7">
      <formula>0</formula>
    </cfRule>
    <cfRule type="cellIs" priority="857" operator="lessThan" aboveAverage="0" equalAverage="0" bottom="0" percent="0" rank="0" text="" dxfId="8">
      <formula>0</formula>
    </cfRule>
  </conditionalFormatting>
  <conditionalFormatting sqref="I220">
    <cfRule type="cellIs" priority="858" operator="greaterThan" aboveAverage="0" equalAverage="0" bottom="0" percent="0" rank="0" text="" dxfId="7">
      <formula>0</formula>
    </cfRule>
  </conditionalFormatting>
  <conditionalFormatting sqref="K220">
    <cfRule type="cellIs" priority="859" operator="greaterThan" aboveAverage="0" equalAverage="0" bottom="0" percent="0" rank="0" text="" dxfId="7">
      <formula>0</formula>
    </cfRule>
  </conditionalFormatting>
  <conditionalFormatting sqref="N220">
    <cfRule type="cellIs" priority="860" operator="greaterThan" aboveAverage="0" equalAverage="0" bottom="0" percent="0" rank="0" text="" dxfId="7">
      <formula>0</formula>
    </cfRule>
    <cfRule type="cellIs" priority="861" operator="lessThan" aboveAverage="0" equalAverage="0" bottom="0" percent="0" rank="0" text="" dxfId="8">
      <formula>0</formula>
    </cfRule>
  </conditionalFormatting>
  <conditionalFormatting sqref="I221">
    <cfRule type="cellIs" priority="862" operator="greaterThan" aboveAverage="0" equalAverage="0" bottom="0" percent="0" rank="0" text="" dxfId="7">
      <formula>0</formula>
    </cfRule>
  </conditionalFormatting>
  <conditionalFormatting sqref="K221">
    <cfRule type="cellIs" priority="863" operator="greaterThan" aboveAverage="0" equalAverage="0" bottom="0" percent="0" rank="0" text="" dxfId="7">
      <formula>0</formula>
    </cfRule>
  </conditionalFormatting>
  <conditionalFormatting sqref="N221">
    <cfRule type="cellIs" priority="864" operator="greaterThan" aboveAverage="0" equalAverage="0" bottom="0" percent="0" rank="0" text="" dxfId="7">
      <formula>0</formula>
    </cfRule>
    <cfRule type="cellIs" priority="865" operator="lessThan" aboveAverage="0" equalAverage="0" bottom="0" percent="0" rank="0" text="" dxfId="8">
      <formula>0</formula>
    </cfRule>
  </conditionalFormatting>
  <conditionalFormatting sqref="I222">
    <cfRule type="cellIs" priority="866" operator="greaterThan" aboveAverage="0" equalAverage="0" bottom="0" percent="0" rank="0" text="" dxfId="7">
      <formula>0</formula>
    </cfRule>
  </conditionalFormatting>
  <conditionalFormatting sqref="K222">
    <cfRule type="cellIs" priority="867" operator="greaterThan" aboveAverage="0" equalAverage="0" bottom="0" percent="0" rank="0" text="" dxfId="7">
      <formula>0</formula>
    </cfRule>
  </conditionalFormatting>
  <conditionalFormatting sqref="N222">
    <cfRule type="cellIs" priority="868" operator="greaterThan" aboveAverage="0" equalAverage="0" bottom="0" percent="0" rank="0" text="" dxfId="7">
      <formula>0</formula>
    </cfRule>
    <cfRule type="cellIs" priority="869" operator="lessThan" aboveAverage="0" equalAverage="0" bottom="0" percent="0" rank="0" text="" dxfId="8">
      <formula>0</formula>
    </cfRule>
  </conditionalFormatting>
  <conditionalFormatting sqref="I223">
    <cfRule type="cellIs" priority="870" operator="greaterThan" aboveAverage="0" equalAverage="0" bottom="0" percent="0" rank="0" text="" dxfId="7">
      <formula>0</formula>
    </cfRule>
  </conditionalFormatting>
  <conditionalFormatting sqref="K223">
    <cfRule type="cellIs" priority="871" operator="greaterThan" aboveAverage="0" equalAverage="0" bottom="0" percent="0" rank="0" text="" dxfId="7">
      <formula>0</formula>
    </cfRule>
  </conditionalFormatting>
  <conditionalFormatting sqref="N223">
    <cfRule type="cellIs" priority="872" operator="greaterThan" aboveAverage="0" equalAverage="0" bottom="0" percent="0" rank="0" text="" dxfId="7">
      <formula>0</formula>
    </cfRule>
    <cfRule type="cellIs" priority="873" operator="lessThan" aboveAverage="0" equalAverage="0" bottom="0" percent="0" rank="0" text="" dxfId="8">
      <formula>0</formula>
    </cfRule>
  </conditionalFormatting>
  <conditionalFormatting sqref="I224">
    <cfRule type="cellIs" priority="874" operator="greaterThan" aboveAverage="0" equalAverage="0" bottom="0" percent="0" rank="0" text="" dxfId="7">
      <formula>0</formula>
    </cfRule>
  </conditionalFormatting>
  <conditionalFormatting sqref="K224">
    <cfRule type="cellIs" priority="875" operator="greaterThan" aboveAverage="0" equalAverage="0" bottom="0" percent="0" rank="0" text="" dxfId="7">
      <formula>0</formula>
    </cfRule>
  </conditionalFormatting>
  <conditionalFormatting sqref="N224">
    <cfRule type="cellIs" priority="876" operator="greaterThan" aboveAverage="0" equalAverage="0" bottom="0" percent="0" rank="0" text="" dxfId="7">
      <formula>0</formula>
    </cfRule>
    <cfRule type="cellIs" priority="877" operator="lessThan" aboveAverage="0" equalAverage="0" bottom="0" percent="0" rank="0" text="" dxfId="8">
      <formula>0</formula>
    </cfRule>
  </conditionalFormatting>
  <conditionalFormatting sqref="I225">
    <cfRule type="cellIs" priority="878" operator="greaterThan" aboveAverage="0" equalAverage="0" bottom="0" percent="0" rank="0" text="" dxfId="7">
      <formula>0</formula>
    </cfRule>
  </conditionalFormatting>
  <conditionalFormatting sqref="K225">
    <cfRule type="cellIs" priority="879" operator="greaterThan" aboveAverage="0" equalAverage="0" bottom="0" percent="0" rank="0" text="" dxfId="7">
      <formula>0</formula>
    </cfRule>
  </conditionalFormatting>
  <conditionalFormatting sqref="N225">
    <cfRule type="cellIs" priority="880" operator="greaterThan" aboveAverage="0" equalAverage="0" bottom="0" percent="0" rank="0" text="" dxfId="7">
      <formula>0</formula>
    </cfRule>
    <cfRule type="cellIs" priority="881" operator="lessThan" aboveAverage="0" equalAverage="0" bottom="0" percent="0" rank="0" text="" dxfId="8">
      <formula>0</formula>
    </cfRule>
  </conditionalFormatting>
  <conditionalFormatting sqref="I226">
    <cfRule type="cellIs" priority="882" operator="greaterThan" aboveAverage="0" equalAverage="0" bottom="0" percent="0" rank="0" text="" dxfId="7">
      <formula>0</formula>
    </cfRule>
  </conditionalFormatting>
  <conditionalFormatting sqref="K226">
    <cfRule type="cellIs" priority="883" operator="greaterThan" aboveAverage="0" equalAverage="0" bottom="0" percent="0" rank="0" text="" dxfId="7">
      <formula>0</formula>
    </cfRule>
  </conditionalFormatting>
  <conditionalFormatting sqref="N226">
    <cfRule type="cellIs" priority="884" operator="greaterThan" aboveAverage="0" equalAverage="0" bottom="0" percent="0" rank="0" text="" dxfId="7">
      <formula>0</formula>
    </cfRule>
    <cfRule type="cellIs" priority="885" operator="lessThan" aboveAverage="0" equalAverage="0" bottom="0" percent="0" rank="0" text="" dxfId="8">
      <formula>0</formula>
    </cfRule>
  </conditionalFormatting>
  <conditionalFormatting sqref="I227">
    <cfRule type="cellIs" priority="886" operator="greaterThan" aboveAverage="0" equalAverage="0" bottom="0" percent="0" rank="0" text="" dxfId="7">
      <formula>0</formula>
    </cfRule>
  </conditionalFormatting>
  <conditionalFormatting sqref="K227">
    <cfRule type="cellIs" priority="887" operator="greaterThan" aboveAverage="0" equalAverage="0" bottom="0" percent="0" rank="0" text="" dxfId="7">
      <formula>0</formula>
    </cfRule>
  </conditionalFormatting>
  <conditionalFormatting sqref="N227">
    <cfRule type="cellIs" priority="888" operator="greaterThan" aboveAverage="0" equalAverage="0" bottom="0" percent="0" rank="0" text="" dxfId="7">
      <formula>0</formula>
    </cfRule>
    <cfRule type="cellIs" priority="889" operator="lessThan" aboveAverage="0" equalAverage="0" bottom="0" percent="0" rank="0" text="" dxfId="8">
      <formula>0</formula>
    </cfRule>
  </conditionalFormatting>
  <conditionalFormatting sqref="I228">
    <cfRule type="cellIs" priority="890" operator="greaterThan" aboveAverage="0" equalAverage="0" bottom="0" percent="0" rank="0" text="" dxfId="7">
      <formula>0</formula>
    </cfRule>
  </conditionalFormatting>
  <conditionalFormatting sqref="K228">
    <cfRule type="cellIs" priority="891" operator="greaterThan" aboveAverage="0" equalAverage="0" bottom="0" percent="0" rank="0" text="" dxfId="7">
      <formula>0</formula>
    </cfRule>
  </conditionalFormatting>
  <conditionalFormatting sqref="N228">
    <cfRule type="cellIs" priority="892" operator="greaterThan" aboveAverage="0" equalAverage="0" bottom="0" percent="0" rank="0" text="" dxfId="7">
      <formula>0</formula>
    </cfRule>
    <cfRule type="cellIs" priority="893" operator="lessThan" aboveAverage="0" equalAverage="0" bottom="0" percent="0" rank="0" text="" dxfId="8">
      <formula>0</formula>
    </cfRule>
  </conditionalFormatting>
  <conditionalFormatting sqref="I229">
    <cfRule type="cellIs" priority="894" operator="greaterThan" aboveAverage="0" equalAverage="0" bottom="0" percent="0" rank="0" text="" dxfId="7">
      <formula>0</formula>
    </cfRule>
  </conditionalFormatting>
  <conditionalFormatting sqref="K229">
    <cfRule type="cellIs" priority="895" operator="greaterThan" aboveAverage="0" equalAverage="0" bottom="0" percent="0" rank="0" text="" dxfId="7">
      <formula>0</formula>
    </cfRule>
  </conditionalFormatting>
  <conditionalFormatting sqref="N229">
    <cfRule type="cellIs" priority="896" operator="greaterThan" aboveAverage="0" equalAverage="0" bottom="0" percent="0" rank="0" text="" dxfId="7">
      <formula>0</formula>
    </cfRule>
    <cfRule type="cellIs" priority="897" operator="lessThan" aboveAverage="0" equalAverage="0" bottom="0" percent="0" rank="0" text="" dxfId="8">
      <formula>0</formula>
    </cfRule>
  </conditionalFormatting>
  <conditionalFormatting sqref="I230">
    <cfRule type="cellIs" priority="898" operator="greaterThan" aboveAverage="0" equalAverage="0" bottom="0" percent="0" rank="0" text="" dxfId="7">
      <formula>0</formula>
    </cfRule>
  </conditionalFormatting>
  <conditionalFormatting sqref="K230">
    <cfRule type="cellIs" priority="899" operator="greaterThan" aboveAverage="0" equalAverage="0" bottom="0" percent="0" rank="0" text="" dxfId="7">
      <formula>0</formula>
    </cfRule>
  </conditionalFormatting>
  <conditionalFormatting sqref="N230">
    <cfRule type="cellIs" priority="900" operator="greaterThan" aboveAverage="0" equalAverage="0" bottom="0" percent="0" rank="0" text="" dxfId="7">
      <formula>0</formula>
    </cfRule>
    <cfRule type="cellIs" priority="901" operator="lessThan" aboveAverage="0" equalAverage="0" bottom="0" percent="0" rank="0" text="" dxfId="8">
      <formula>0</formula>
    </cfRule>
  </conditionalFormatting>
  <conditionalFormatting sqref="I231">
    <cfRule type="cellIs" priority="902" operator="greaterThan" aboveAverage="0" equalAverage="0" bottom="0" percent="0" rank="0" text="" dxfId="7">
      <formula>0</formula>
    </cfRule>
  </conditionalFormatting>
  <conditionalFormatting sqref="K231">
    <cfRule type="cellIs" priority="903" operator="greaterThan" aboveAverage="0" equalAverage="0" bottom="0" percent="0" rank="0" text="" dxfId="7">
      <formula>0</formula>
    </cfRule>
  </conditionalFormatting>
  <conditionalFormatting sqref="N231">
    <cfRule type="cellIs" priority="904" operator="greaterThan" aboveAverage="0" equalAverage="0" bottom="0" percent="0" rank="0" text="" dxfId="7">
      <formula>0</formula>
    </cfRule>
    <cfRule type="cellIs" priority="905" operator="lessThan" aboveAverage="0" equalAverage="0" bottom="0" percent="0" rank="0" text="" dxfId="8">
      <formula>0</formula>
    </cfRule>
  </conditionalFormatting>
  <conditionalFormatting sqref="I232">
    <cfRule type="cellIs" priority="906" operator="greaterThan" aboveAverage="0" equalAverage="0" bottom="0" percent="0" rank="0" text="" dxfId="7">
      <formula>0</formula>
    </cfRule>
  </conditionalFormatting>
  <conditionalFormatting sqref="K232">
    <cfRule type="cellIs" priority="907" operator="greaterThan" aboveAverage="0" equalAverage="0" bottom="0" percent="0" rank="0" text="" dxfId="7">
      <formula>0</formula>
    </cfRule>
  </conditionalFormatting>
  <conditionalFormatting sqref="N232">
    <cfRule type="cellIs" priority="908" operator="greaterThan" aboveAverage="0" equalAverage="0" bottom="0" percent="0" rank="0" text="" dxfId="7">
      <formula>0</formula>
    </cfRule>
    <cfRule type="cellIs" priority="909" operator="lessThan" aboveAverage="0" equalAverage="0" bottom="0" percent="0" rank="0" text="" dxfId="8">
      <formula>0</formula>
    </cfRule>
  </conditionalFormatting>
  <conditionalFormatting sqref="I233">
    <cfRule type="cellIs" priority="910" operator="greaterThan" aboveAverage="0" equalAverage="0" bottom="0" percent="0" rank="0" text="" dxfId="7">
      <formula>0</formula>
    </cfRule>
  </conditionalFormatting>
  <conditionalFormatting sqref="K233">
    <cfRule type="cellIs" priority="911" operator="greaterThan" aboveAverage="0" equalAverage="0" bottom="0" percent="0" rank="0" text="" dxfId="7">
      <formula>0</formula>
    </cfRule>
  </conditionalFormatting>
  <conditionalFormatting sqref="N233">
    <cfRule type="cellIs" priority="912" operator="greaterThan" aboveAverage="0" equalAverage="0" bottom="0" percent="0" rank="0" text="" dxfId="7">
      <formula>0</formula>
    </cfRule>
    <cfRule type="cellIs" priority="913" operator="lessThan" aboveAverage="0" equalAverage="0" bottom="0" percent="0" rank="0" text="" dxfId="8">
      <formula>0</formula>
    </cfRule>
  </conditionalFormatting>
  <conditionalFormatting sqref="I234">
    <cfRule type="cellIs" priority="914" operator="greaterThan" aboveAverage="0" equalAverage="0" bottom="0" percent="0" rank="0" text="" dxfId="7">
      <formula>0</formula>
    </cfRule>
  </conditionalFormatting>
  <conditionalFormatting sqref="K234">
    <cfRule type="cellIs" priority="915" operator="greaterThan" aboveAverage="0" equalAverage="0" bottom="0" percent="0" rank="0" text="" dxfId="7">
      <formula>0</formula>
    </cfRule>
  </conditionalFormatting>
  <conditionalFormatting sqref="N234">
    <cfRule type="cellIs" priority="916" operator="greaterThan" aboveAverage="0" equalAverage="0" bottom="0" percent="0" rank="0" text="" dxfId="7">
      <formula>0</formula>
    </cfRule>
    <cfRule type="cellIs" priority="917" operator="lessThan" aboveAverage="0" equalAverage="0" bottom="0" percent="0" rank="0" text="" dxfId="8">
      <formula>0</formula>
    </cfRule>
  </conditionalFormatting>
  <conditionalFormatting sqref="I235">
    <cfRule type="cellIs" priority="918" operator="greaterThan" aboveAverage="0" equalAverage="0" bottom="0" percent="0" rank="0" text="" dxfId="7">
      <formula>0</formula>
    </cfRule>
  </conditionalFormatting>
  <conditionalFormatting sqref="K235">
    <cfRule type="cellIs" priority="919" operator="greaterThan" aboveAverage="0" equalAverage="0" bottom="0" percent="0" rank="0" text="" dxfId="7">
      <formula>0</formula>
    </cfRule>
  </conditionalFormatting>
  <conditionalFormatting sqref="N235">
    <cfRule type="cellIs" priority="920" operator="greaterThan" aboveAverage="0" equalAverage="0" bottom="0" percent="0" rank="0" text="" dxfId="7">
      <formula>0</formula>
    </cfRule>
    <cfRule type="cellIs" priority="921" operator="lessThan" aboveAverage="0" equalAverage="0" bottom="0" percent="0" rank="0" text="" dxfId="8">
      <formula>0</formula>
    </cfRule>
  </conditionalFormatting>
  <conditionalFormatting sqref="I236">
    <cfRule type="cellIs" priority="922" operator="greaterThan" aboveAverage="0" equalAverage="0" bottom="0" percent="0" rank="0" text="" dxfId="7">
      <formula>0</formula>
    </cfRule>
  </conditionalFormatting>
  <conditionalFormatting sqref="K236">
    <cfRule type="cellIs" priority="923" operator="greaterThan" aboveAverage="0" equalAverage="0" bottom="0" percent="0" rank="0" text="" dxfId="7">
      <formula>0</formula>
    </cfRule>
  </conditionalFormatting>
  <conditionalFormatting sqref="N236">
    <cfRule type="cellIs" priority="924" operator="greaterThan" aboveAverage="0" equalAverage="0" bottom="0" percent="0" rank="0" text="" dxfId="7">
      <formula>0</formula>
    </cfRule>
    <cfRule type="cellIs" priority="925" operator="lessThan" aboveAverage="0" equalAverage="0" bottom="0" percent="0" rank="0" text="" dxfId="8">
      <formula>0</formula>
    </cfRule>
  </conditionalFormatting>
  <conditionalFormatting sqref="I237">
    <cfRule type="cellIs" priority="926" operator="greaterThan" aboveAverage="0" equalAverage="0" bottom="0" percent="0" rank="0" text="" dxfId="7">
      <formula>0</formula>
    </cfRule>
  </conditionalFormatting>
  <conditionalFormatting sqref="K237">
    <cfRule type="cellIs" priority="927" operator="greaterThan" aboveAverage="0" equalAverage="0" bottom="0" percent="0" rank="0" text="" dxfId="7">
      <formula>0</formula>
    </cfRule>
  </conditionalFormatting>
  <conditionalFormatting sqref="N237">
    <cfRule type="cellIs" priority="928" operator="greaterThan" aboveAverage="0" equalAverage="0" bottom="0" percent="0" rank="0" text="" dxfId="7">
      <formula>0</formula>
    </cfRule>
    <cfRule type="cellIs" priority="929" operator="lessThan" aboveAverage="0" equalAverage="0" bottom="0" percent="0" rank="0" text="" dxfId="8">
      <formula>0</formula>
    </cfRule>
  </conditionalFormatting>
  <conditionalFormatting sqref="I238">
    <cfRule type="cellIs" priority="930" operator="greaterThan" aboveAverage="0" equalAverage="0" bottom="0" percent="0" rank="0" text="" dxfId="7">
      <formula>0</formula>
    </cfRule>
  </conditionalFormatting>
  <conditionalFormatting sqref="K238">
    <cfRule type="cellIs" priority="931" operator="greaterThan" aboveAverage="0" equalAverage="0" bottom="0" percent="0" rank="0" text="" dxfId="7">
      <formula>0</formula>
    </cfRule>
  </conditionalFormatting>
  <conditionalFormatting sqref="N238">
    <cfRule type="cellIs" priority="932" operator="greaterThan" aboveAverage="0" equalAverage="0" bottom="0" percent="0" rank="0" text="" dxfId="7">
      <formula>0</formula>
    </cfRule>
    <cfRule type="cellIs" priority="933" operator="lessThan" aboveAverage="0" equalAverage="0" bottom="0" percent="0" rank="0" text="" dxfId="8">
      <formula>0</formula>
    </cfRule>
  </conditionalFormatting>
  <conditionalFormatting sqref="I239">
    <cfRule type="cellIs" priority="934" operator="greaterThan" aboveAverage="0" equalAverage="0" bottom="0" percent="0" rank="0" text="" dxfId="7">
      <formula>0</formula>
    </cfRule>
  </conditionalFormatting>
  <conditionalFormatting sqref="K239">
    <cfRule type="cellIs" priority="935" operator="greaterThan" aboveAverage="0" equalAverage="0" bottom="0" percent="0" rank="0" text="" dxfId="7">
      <formula>0</formula>
    </cfRule>
  </conditionalFormatting>
  <conditionalFormatting sqref="N239">
    <cfRule type="cellIs" priority="936" operator="greaterThan" aboveAverage="0" equalAverage="0" bottom="0" percent="0" rank="0" text="" dxfId="7">
      <formula>0</formula>
    </cfRule>
    <cfRule type="cellIs" priority="937" operator="lessThan" aboveAverage="0" equalAverage="0" bottom="0" percent="0" rank="0" text="" dxfId="8">
      <formula>0</formula>
    </cfRule>
  </conditionalFormatting>
  <conditionalFormatting sqref="I240">
    <cfRule type="cellIs" priority="938" operator="greaterThan" aboveAverage="0" equalAverage="0" bottom="0" percent="0" rank="0" text="" dxfId="7">
      <formula>0</formula>
    </cfRule>
  </conditionalFormatting>
  <conditionalFormatting sqref="K240">
    <cfRule type="cellIs" priority="939" operator="greaterThan" aboveAverage="0" equalAverage="0" bottom="0" percent="0" rank="0" text="" dxfId="7">
      <formula>0</formula>
    </cfRule>
  </conditionalFormatting>
  <conditionalFormatting sqref="N240">
    <cfRule type="cellIs" priority="940" operator="greaterThan" aboveAverage="0" equalAverage="0" bottom="0" percent="0" rank="0" text="" dxfId="7">
      <formula>0</formula>
    </cfRule>
    <cfRule type="cellIs" priority="941" operator="lessThan" aboveAverage="0" equalAverage="0" bottom="0" percent="0" rank="0" text="" dxfId="8">
      <formula>0</formula>
    </cfRule>
  </conditionalFormatting>
  <conditionalFormatting sqref="I241">
    <cfRule type="cellIs" priority="942" operator="greaterThan" aboveAverage="0" equalAverage="0" bottom="0" percent="0" rank="0" text="" dxfId="7">
      <formula>0</formula>
    </cfRule>
  </conditionalFormatting>
  <conditionalFormatting sqref="K241">
    <cfRule type="cellIs" priority="943" operator="greaterThan" aboveAverage="0" equalAverage="0" bottom="0" percent="0" rank="0" text="" dxfId="7">
      <formula>0</formula>
    </cfRule>
  </conditionalFormatting>
  <conditionalFormatting sqref="N241">
    <cfRule type="cellIs" priority="944" operator="greaterThan" aboveAverage="0" equalAverage="0" bottom="0" percent="0" rank="0" text="" dxfId="7">
      <formula>0</formula>
    </cfRule>
    <cfRule type="cellIs" priority="945" operator="lessThan" aboveAverage="0" equalAverage="0" bottom="0" percent="0" rank="0" text="" dxfId="8">
      <formula>0</formula>
    </cfRule>
  </conditionalFormatting>
  <conditionalFormatting sqref="I242">
    <cfRule type="cellIs" priority="946" operator="greaterThan" aboveAverage="0" equalAverage="0" bottom="0" percent="0" rank="0" text="" dxfId="7">
      <formula>0</formula>
    </cfRule>
  </conditionalFormatting>
  <conditionalFormatting sqref="K242">
    <cfRule type="cellIs" priority="947" operator="greaterThan" aboveAverage="0" equalAverage="0" bottom="0" percent="0" rank="0" text="" dxfId="7">
      <formula>0</formula>
    </cfRule>
  </conditionalFormatting>
  <conditionalFormatting sqref="N242">
    <cfRule type="cellIs" priority="948" operator="greaterThan" aboveAverage="0" equalAverage="0" bottom="0" percent="0" rank="0" text="" dxfId="7">
      <formula>0</formula>
    </cfRule>
    <cfRule type="cellIs" priority="949" operator="lessThan" aboveAverage="0" equalAverage="0" bottom="0" percent="0" rank="0" text="" dxfId="8">
      <formula>0</formula>
    </cfRule>
  </conditionalFormatting>
  <conditionalFormatting sqref="I243">
    <cfRule type="cellIs" priority="950" operator="greaterThan" aboveAverage="0" equalAverage="0" bottom="0" percent="0" rank="0" text="" dxfId="7">
      <formula>0</formula>
    </cfRule>
  </conditionalFormatting>
  <conditionalFormatting sqref="K243">
    <cfRule type="cellIs" priority="951" operator="greaterThan" aboveAverage="0" equalAverage="0" bottom="0" percent="0" rank="0" text="" dxfId="7">
      <formula>0</formula>
    </cfRule>
  </conditionalFormatting>
  <conditionalFormatting sqref="N243">
    <cfRule type="cellIs" priority="952" operator="greaterThan" aboveAverage="0" equalAverage="0" bottom="0" percent="0" rank="0" text="" dxfId="7">
      <formula>0</formula>
    </cfRule>
    <cfRule type="cellIs" priority="953" operator="lessThan" aboveAverage="0" equalAverage="0" bottom="0" percent="0" rank="0" text="" dxfId="8">
      <formula>0</formula>
    </cfRule>
  </conditionalFormatting>
  <conditionalFormatting sqref="I244">
    <cfRule type="cellIs" priority="954" operator="greaterThan" aboveAverage="0" equalAverage="0" bottom="0" percent="0" rank="0" text="" dxfId="7">
      <formula>0</formula>
    </cfRule>
  </conditionalFormatting>
  <conditionalFormatting sqref="K244">
    <cfRule type="cellIs" priority="955" operator="greaterThan" aboveAverage="0" equalAverage="0" bottom="0" percent="0" rank="0" text="" dxfId="7">
      <formula>0</formula>
    </cfRule>
  </conditionalFormatting>
  <conditionalFormatting sqref="N244">
    <cfRule type="cellIs" priority="956" operator="greaterThan" aboveAverage="0" equalAverage="0" bottom="0" percent="0" rank="0" text="" dxfId="7">
      <formula>0</formula>
    </cfRule>
    <cfRule type="cellIs" priority="957" operator="lessThan" aboveAverage="0" equalAverage="0" bottom="0" percent="0" rank="0" text="" dxfId="8">
      <formula>0</formula>
    </cfRule>
  </conditionalFormatting>
  <conditionalFormatting sqref="I245">
    <cfRule type="cellIs" priority="958" operator="greaterThan" aboveAverage="0" equalAverage="0" bottom="0" percent="0" rank="0" text="" dxfId="7">
      <formula>0</formula>
    </cfRule>
  </conditionalFormatting>
  <conditionalFormatting sqref="K245">
    <cfRule type="cellIs" priority="959" operator="greaterThan" aboveAverage="0" equalAverage="0" bottom="0" percent="0" rank="0" text="" dxfId="7">
      <formula>0</formula>
    </cfRule>
  </conditionalFormatting>
  <conditionalFormatting sqref="N245">
    <cfRule type="cellIs" priority="960" operator="greaterThan" aboveAverage="0" equalAverage="0" bottom="0" percent="0" rank="0" text="" dxfId="7">
      <formula>0</formula>
    </cfRule>
    <cfRule type="cellIs" priority="961" operator="lessThan" aboveAverage="0" equalAverage="0" bottom="0" percent="0" rank="0" text="" dxfId="8">
      <formula>0</formula>
    </cfRule>
  </conditionalFormatting>
  <conditionalFormatting sqref="I246">
    <cfRule type="cellIs" priority="962" operator="greaterThan" aboveAverage="0" equalAverage="0" bottom="0" percent="0" rank="0" text="" dxfId="7">
      <formula>0</formula>
    </cfRule>
  </conditionalFormatting>
  <conditionalFormatting sqref="K246">
    <cfRule type="cellIs" priority="963" operator="greaterThan" aboveAverage="0" equalAverage="0" bottom="0" percent="0" rank="0" text="" dxfId="7">
      <formula>0</formula>
    </cfRule>
  </conditionalFormatting>
  <conditionalFormatting sqref="N246">
    <cfRule type="cellIs" priority="964" operator="greaterThan" aboveAverage="0" equalAverage="0" bottom="0" percent="0" rank="0" text="" dxfId="7">
      <formula>0</formula>
    </cfRule>
    <cfRule type="cellIs" priority="965" operator="lessThan" aboveAverage="0" equalAverage="0" bottom="0" percent="0" rank="0" text="" dxfId="8">
      <formula>0</formula>
    </cfRule>
  </conditionalFormatting>
  <conditionalFormatting sqref="I247">
    <cfRule type="cellIs" priority="966" operator="greaterThan" aboveAverage="0" equalAverage="0" bottom="0" percent="0" rank="0" text="" dxfId="7">
      <formula>0</formula>
    </cfRule>
  </conditionalFormatting>
  <conditionalFormatting sqref="K247">
    <cfRule type="cellIs" priority="967" operator="greaterThan" aboveAverage="0" equalAverage="0" bottom="0" percent="0" rank="0" text="" dxfId="7">
      <formula>0</formula>
    </cfRule>
  </conditionalFormatting>
  <conditionalFormatting sqref="N247">
    <cfRule type="cellIs" priority="968" operator="greaterThan" aboveAverage="0" equalAverage="0" bottom="0" percent="0" rank="0" text="" dxfId="7">
      <formula>0</formula>
    </cfRule>
    <cfRule type="cellIs" priority="969" operator="lessThan" aboveAverage="0" equalAverage="0" bottom="0" percent="0" rank="0" text="" dxfId="8">
      <formula>0</formula>
    </cfRule>
  </conditionalFormatting>
  <conditionalFormatting sqref="I248">
    <cfRule type="cellIs" priority="970" operator="greaterThan" aboveAverage="0" equalAverage="0" bottom="0" percent="0" rank="0" text="" dxfId="7">
      <formula>0</formula>
    </cfRule>
  </conditionalFormatting>
  <conditionalFormatting sqref="K248">
    <cfRule type="cellIs" priority="971" operator="greaterThan" aboveAverage="0" equalAverage="0" bottom="0" percent="0" rank="0" text="" dxfId="7">
      <formula>0</formula>
    </cfRule>
  </conditionalFormatting>
  <conditionalFormatting sqref="N248">
    <cfRule type="cellIs" priority="972" operator="greaterThan" aboveAverage="0" equalAverage="0" bottom="0" percent="0" rank="0" text="" dxfId="7">
      <formula>0</formula>
    </cfRule>
    <cfRule type="cellIs" priority="973" operator="lessThan" aboveAverage="0" equalAverage="0" bottom="0" percent="0" rank="0" text="" dxfId="8">
      <formula>0</formula>
    </cfRule>
  </conditionalFormatting>
  <conditionalFormatting sqref="I249">
    <cfRule type="cellIs" priority="974" operator="greaterThan" aboveAverage="0" equalAverage="0" bottom="0" percent="0" rank="0" text="" dxfId="7">
      <formula>0</formula>
    </cfRule>
  </conditionalFormatting>
  <conditionalFormatting sqref="K249">
    <cfRule type="cellIs" priority="975" operator="greaterThan" aboveAverage="0" equalAverage="0" bottom="0" percent="0" rank="0" text="" dxfId="7">
      <formula>0</formula>
    </cfRule>
  </conditionalFormatting>
  <conditionalFormatting sqref="N249">
    <cfRule type="cellIs" priority="976" operator="greaterThan" aboveAverage="0" equalAverage="0" bottom="0" percent="0" rank="0" text="" dxfId="7">
      <formula>0</formula>
    </cfRule>
    <cfRule type="cellIs" priority="977" operator="lessThan" aboveAverage="0" equalAverage="0" bottom="0" percent="0" rank="0" text="" dxfId="8">
      <formula>0</formula>
    </cfRule>
  </conditionalFormatting>
  <conditionalFormatting sqref="I250">
    <cfRule type="cellIs" priority="978" operator="greaterThan" aboveAverage="0" equalAverage="0" bottom="0" percent="0" rank="0" text="" dxfId="7">
      <formula>0</formula>
    </cfRule>
  </conditionalFormatting>
  <conditionalFormatting sqref="K250">
    <cfRule type="cellIs" priority="979" operator="greaterThan" aboveAverage="0" equalAverage="0" bottom="0" percent="0" rank="0" text="" dxfId="7">
      <formula>0</formula>
    </cfRule>
  </conditionalFormatting>
  <conditionalFormatting sqref="N250">
    <cfRule type="cellIs" priority="980" operator="greaterThan" aboveAverage="0" equalAverage="0" bottom="0" percent="0" rank="0" text="" dxfId="7">
      <formula>0</formula>
    </cfRule>
    <cfRule type="cellIs" priority="981" operator="lessThan" aboveAverage="0" equalAverage="0" bottom="0" percent="0" rank="0" text="" dxfId="8">
      <formula>0</formula>
    </cfRule>
  </conditionalFormatting>
  <conditionalFormatting sqref="I251">
    <cfRule type="cellIs" priority="982" operator="greaterThan" aboveAverage="0" equalAverage="0" bottom="0" percent="0" rank="0" text="" dxfId="7">
      <formula>0</formula>
    </cfRule>
  </conditionalFormatting>
  <conditionalFormatting sqref="K251">
    <cfRule type="cellIs" priority="983" operator="greaterThan" aboveAverage="0" equalAverage="0" bottom="0" percent="0" rank="0" text="" dxfId="7">
      <formula>0</formula>
    </cfRule>
  </conditionalFormatting>
  <conditionalFormatting sqref="N251">
    <cfRule type="cellIs" priority="984" operator="greaterThan" aboveAverage="0" equalAverage="0" bottom="0" percent="0" rank="0" text="" dxfId="7">
      <formula>0</formula>
    </cfRule>
    <cfRule type="cellIs" priority="985" operator="lessThan" aboveAverage="0" equalAverage="0" bottom="0" percent="0" rank="0" text="" dxfId="8">
      <formula>0</formula>
    </cfRule>
  </conditionalFormatting>
  <conditionalFormatting sqref="I252">
    <cfRule type="cellIs" priority="986" operator="greaterThan" aboveAverage="0" equalAverage="0" bottom="0" percent="0" rank="0" text="" dxfId="7">
      <formula>0</formula>
    </cfRule>
  </conditionalFormatting>
  <conditionalFormatting sqref="K252">
    <cfRule type="cellIs" priority="987" operator="greaterThan" aboveAverage="0" equalAverage="0" bottom="0" percent="0" rank="0" text="" dxfId="7">
      <formula>0</formula>
    </cfRule>
  </conditionalFormatting>
  <conditionalFormatting sqref="N252">
    <cfRule type="cellIs" priority="988" operator="greaterThan" aboveAverage="0" equalAverage="0" bottom="0" percent="0" rank="0" text="" dxfId="7">
      <formula>0</formula>
    </cfRule>
    <cfRule type="cellIs" priority="989" operator="lessThan" aboveAverage="0" equalAverage="0" bottom="0" percent="0" rank="0" text="" dxfId="8">
      <formula>0</formula>
    </cfRule>
  </conditionalFormatting>
  <conditionalFormatting sqref="I253">
    <cfRule type="cellIs" priority="990" operator="greaterThan" aboveAverage="0" equalAverage="0" bottom="0" percent="0" rank="0" text="" dxfId="7">
      <formula>0</formula>
    </cfRule>
  </conditionalFormatting>
  <conditionalFormatting sqref="K253">
    <cfRule type="cellIs" priority="991" operator="greaterThan" aboveAverage="0" equalAverage="0" bottom="0" percent="0" rank="0" text="" dxfId="7">
      <formula>0</formula>
    </cfRule>
  </conditionalFormatting>
  <conditionalFormatting sqref="N253">
    <cfRule type="cellIs" priority="992" operator="greaterThan" aboveAverage="0" equalAverage="0" bottom="0" percent="0" rank="0" text="" dxfId="7">
      <formula>0</formula>
    </cfRule>
    <cfRule type="cellIs" priority="993" operator="lessThan" aboveAverage="0" equalAverage="0" bottom="0" percent="0" rank="0" text="" dxfId="8">
      <formula>0</formula>
    </cfRule>
  </conditionalFormatting>
  <conditionalFormatting sqref="I254">
    <cfRule type="cellIs" priority="994" operator="greaterThan" aboveAverage="0" equalAverage="0" bottom="0" percent="0" rank="0" text="" dxfId="7">
      <formula>0</formula>
    </cfRule>
  </conditionalFormatting>
  <conditionalFormatting sqref="K254">
    <cfRule type="cellIs" priority="995" operator="greaterThan" aboveAverage="0" equalAverage="0" bottom="0" percent="0" rank="0" text="" dxfId="7">
      <formula>0</formula>
    </cfRule>
  </conditionalFormatting>
  <conditionalFormatting sqref="N254">
    <cfRule type="cellIs" priority="996" operator="greaterThan" aboveAverage="0" equalAverage="0" bottom="0" percent="0" rank="0" text="" dxfId="7">
      <formula>0</formula>
    </cfRule>
    <cfRule type="cellIs" priority="997" operator="lessThan" aboveAverage="0" equalAverage="0" bottom="0" percent="0" rank="0" text="" dxfId="8">
      <formula>0</formula>
    </cfRule>
  </conditionalFormatting>
  <conditionalFormatting sqref="I255">
    <cfRule type="cellIs" priority="998" operator="greaterThan" aboveAverage="0" equalAverage="0" bottom="0" percent="0" rank="0" text="" dxfId="7">
      <formula>0</formula>
    </cfRule>
  </conditionalFormatting>
  <conditionalFormatting sqref="K255">
    <cfRule type="cellIs" priority="999" operator="greaterThan" aboveAverage="0" equalAverage="0" bottom="0" percent="0" rank="0" text="" dxfId="7">
      <formula>0</formula>
    </cfRule>
  </conditionalFormatting>
  <conditionalFormatting sqref="N255">
    <cfRule type="cellIs" priority="1000" operator="greaterThan" aboveAverage="0" equalAverage="0" bottom="0" percent="0" rank="0" text="" dxfId="7">
      <formula>0</formula>
    </cfRule>
    <cfRule type="cellIs" priority="1001" operator="lessThan" aboveAverage="0" equalAverage="0" bottom="0" percent="0" rank="0" text="" dxfId="8">
      <formula>0</formula>
    </cfRule>
  </conditionalFormatting>
  <conditionalFormatting sqref="I256">
    <cfRule type="cellIs" priority="1002" operator="greaterThan" aboveAverage="0" equalAverage="0" bottom="0" percent="0" rank="0" text="" dxfId="7">
      <formula>0</formula>
    </cfRule>
  </conditionalFormatting>
  <conditionalFormatting sqref="K256">
    <cfRule type="cellIs" priority="1003" operator="greaterThan" aboveAverage="0" equalAverage="0" bottom="0" percent="0" rank="0" text="" dxfId="7">
      <formula>0</formula>
    </cfRule>
  </conditionalFormatting>
  <conditionalFormatting sqref="N256">
    <cfRule type="cellIs" priority="1004" operator="greaterThan" aboveAverage="0" equalAverage="0" bottom="0" percent="0" rank="0" text="" dxfId="7">
      <formula>0</formula>
    </cfRule>
    <cfRule type="cellIs" priority="1005" operator="lessThan" aboveAverage="0" equalAverage="0" bottom="0" percent="0" rank="0" text="" dxfId="8">
      <formula>0</formula>
    </cfRule>
  </conditionalFormatting>
  <conditionalFormatting sqref="I257">
    <cfRule type="cellIs" priority="1006" operator="greaterThan" aboveAverage="0" equalAverage="0" bottom="0" percent="0" rank="0" text="" dxfId="7">
      <formula>0</formula>
    </cfRule>
  </conditionalFormatting>
  <conditionalFormatting sqref="K257">
    <cfRule type="cellIs" priority="1007" operator="greaterThan" aboveAverage="0" equalAverage="0" bottom="0" percent="0" rank="0" text="" dxfId="7">
      <formula>0</formula>
    </cfRule>
  </conditionalFormatting>
  <conditionalFormatting sqref="N257">
    <cfRule type="cellIs" priority="1008" operator="greaterThan" aboveAverage="0" equalAverage="0" bottom="0" percent="0" rank="0" text="" dxfId="7">
      <formula>0</formula>
    </cfRule>
    <cfRule type="cellIs" priority="1009" operator="lessThan" aboveAverage="0" equalAverage="0" bottom="0" percent="0" rank="0" text="" dxfId="8">
      <formula>0</formula>
    </cfRule>
  </conditionalFormatting>
  <conditionalFormatting sqref="I258">
    <cfRule type="cellIs" priority="1010" operator="greaterThan" aboveAverage="0" equalAverage="0" bottom="0" percent="0" rank="0" text="" dxfId="7">
      <formula>0</formula>
    </cfRule>
  </conditionalFormatting>
  <conditionalFormatting sqref="K258">
    <cfRule type="cellIs" priority="1011" operator="greaterThan" aboveAverage="0" equalAverage="0" bottom="0" percent="0" rank="0" text="" dxfId="7">
      <formula>0</formula>
    </cfRule>
  </conditionalFormatting>
  <conditionalFormatting sqref="N258">
    <cfRule type="cellIs" priority="1012" operator="greaterThan" aboveAverage="0" equalAverage="0" bottom="0" percent="0" rank="0" text="" dxfId="7">
      <formula>0</formula>
    </cfRule>
    <cfRule type="cellIs" priority="1013" operator="lessThan" aboveAverage="0" equalAverage="0" bottom="0" percent="0" rank="0" text="" dxfId="8">
      <formula>0</formula>
    </cfRule>
  </conditionalFormatting>
  <conditionalFormatting sqref="I259">
    <cfRule type="cellIs" priority="1014" operator="greaterThan" aboveAverage="0" equalAverage="0" bottom="0" percent="0" rank="0" text="" dxfId="7">
      <formula>0</formula>
    </cfRule>
  </conditionalFormatting>
  <conditionalFormatting sqref="K259">
    <cfRule type="cellIs" priority="1015" operator="greaterThan" aboveAverage="0" equalAverage="0" bottom="0" percent="0" rank="0" text="" dxfId="7">
      <formula>0</formula>
    </cfRule>
  </conditionalFormatting>
  <conditionalFormatting sqref="N259">
    <cfRule type="cellIs" priority="1016" operator="greaterThan" aboveAverage="0" equalAverage="0" bottom="0" percent="0" rank="0" text="" dxfId="7">
      <formula>0</formula>
    </cfRule>
    <cfRule type="cellIs" priority="1017" operator="lessThan" aboveAverage="0" equalAverage="0" bottom="0" percent="0" rank="0" text="" dxfId="8">
      <formula>0</formula>
    </cfRule>
  </conditionalFormatting>
  <conditionalFormatting sqref="I260">
    <cfRule type="cellIs" priority="1018" operator="greaterThan" aboveAverage="0" equalAverage="0" bottom="0" percent="0" rank="0" text="" dxfId="7">
      <formula>0</formula>
    </cfRule>
  </conditionalFormatting>
  <conditionalFormatting sqref="K260">
    <cfRule type="cellIs" priority="1019" operator="greaterThan" aboveAverage="0" equalAverage="0" bottom="0" percent="0" rank="0" text="" dxfId="7">
      <formula>0</formula>
    </cfRule>
  </conditionalFormatting>
  <conditionalFormatting sqref="N260">
    <cfRule type="cellIs" priority="1020" operator="greaterThan" aboveAverage="0" equalAverage="0" bottom="0" percent="0" rank="0" text="" dxfId="7">
      <formula>0</formula>
    </cfRule>
    <cfRule type="cellIs" priority="1021" operator="lessThan" aboveAverage="0" equalAverage="0" bottom="0" percent="0" rank="0" text="" dxfId="8">
      <formula>0</formula>
    </cfRule>
  </conditionalFormatting>
  <conditionalFormatting sqref="I261">
    <cfRule type="cellIs" priority="1022" operator="greaterThan" aboveAverage="0" equalAverage="0" bottom="0" percent="0" rank="0" text="" dxfId="7">
      <formula>0</formula>
    </cfRule>
  </conditionalFormatting>
  <conditionalFormatting sqref="K261">
    <cfRule type="cellIs" priority="1023" operator="greaterThan" aboveAverage="0" equalAverage="0" bottom="0" percent="0" rank="0" text="" dxfId="7">
      <formula>0</formula>
    </cfRule>
  </conditionalFormatting>
  <conditionalFormatting sqref="N261">
    <cfRule type="cellIs" priority="1024" operator="greaterThan" aboveAverage="0" equalAverage="0" bottom="0" percent="0" rank="0" text="" dxfId="7">
      <formula>0</formula>
    </cfRule>
    <cfRule type="cellIs" priority="1025" operator="lessThan" aboveAverage="0" equalAverage="0" bottom="0" percent="0" rank="0" text="" dxfId="8">
      <formula>0</formula>
    </cfRule>
  </conditionalFormatting>
  <conditionalFormatting sqref="I262">
    <cfRule type="cellIs" priority="1026" operator="greaterThan" aboveAverage="0" equalAverage="0" bottom="0" percent="0" rank="0" text="" dxfId="7">
      <formula>0</formula>
    </cfRule>
  </conditionalFormatting>
  <conditionalFormatting sqref="K262">
    <cfRule type="cellIs" priority="1027" operator="greaterThan" aboveAverage="0" equalAverage="0" bottom="0" percent="0" rank="0" text="" dxfId="7">
      <formula>0</formula>
    </cfRule>
  </conditionalFormatting>
  <conditionalFormatting sqref="N262">
    <cfRule type="cellIs" priority="1028" operator="greaterThan" aboveAverage="0" equalAverage="0" bottom="0" percent="0" rank="0" text="" dxfId="7">
      <formula>0</formula>
    </cfRule>
    <cfRule type="cellIs" priority="1029" operator="lessThan" aboveAverage="0" equalAverage="0" bottom="0" percent="0" rank="0" text="" dxfId="8">
      <formula>0</formula>
    </cfRule>
  </conditionalFormatting>
  <conditionalFormatting sqref="I263">
    <cfRule type="cellIs" priority="1030" operator="greaterThan" aboveAverage="0" equalAverage="0" bottom="0" percent="0" rank="0" text="" dxfId="7">
      <formula>0</formula>
    </cfRule>
  </conditionalFormatting>
  <conditionalFormatting sqref="K263">
    <cfRule type="cellIs" priority="1031" operator="greaterThan" aboveAverage="0" equalAverage="0" bottom="0" percent="0" rank="0" text="" dxfId="7">
      <formula>0</formula>
    </cfRule>
  </conditionalFormatting>
  <conditionalFormatting sqref="N263">
    <cfRule type="cellIs" priority="1032" operator="greaterThan" aboveAverage="0" equalAverage="0" bottom="0" percent="0" rank="0" text="" dxfId="7">
      <formula>0</formula>
    </cfRule>
    <cfRule type="cellIs" priority="1033" operator="lessThan" aboveAverage="0" equalAverage="0" bottom="0" percent="0" rank="0" text="" dxfId="8">
      <formula>0</formula>
    </cfRule>
  </conditionalFormatting>
  <conditionalFormatting sqref="I264">
    <cfRule type="cellIs" priority="1034" operator="greaterThan" aboveAverage="0" equalAverage="0" bottom="0" percent="0" rank="0" text="" dxfId="7">
      <formula>0</formula>
    </cfRule>
  </conditionalFormatting>
  <conditionalFormatting sqref="K264">
    <cfRule type="cellIs" priority="1035" operator="greaterThan" aboveAverage="0" equalAverage="0" bottom="0" percent="0" rank="0" text="" dxfId="7">
      <formula>0</formula>
    </cfRule>
  </conditionalFormatting>
  <conditionalFormatting sqref="N264">
    <cfRule type="cellIs" priority="1036" operator="greaterThan" aboveAverage="0" equalAverage="0" bottom="0" percent="0" rank="0" text="" dxfId="7">
      <formula>0</formula>
    </cfRule>
    <cfRule type="cellIs" priority="1037" operator="lessThan" aboveAverage="0" equalAverage="0" bottom="0" percent="0" rank="0" text="" dxfId="8">
      <formula>0</formula>
    </cfRule>
  </conditionalFormatting>
  <conditionalFormatting sqref="I265">
    <cfRule type="cellIs" priority="1038" operator="greaterThan" aboveAverage="0" equalAverage="0" bottom="0" percent="0" rank="0" text="" dxfId="7">
      <formula>0</formula>
    </cfRule>
  </conditionalFormatting>
  <conditionalFormatting sqref="K265">
    <cfRule type="cellIs" priority="1039" operator="greaterThan" aboveAverage="0" equalAverage="0" bottom="0" percent="0" rank="0" text="" dxfId="7">
      <formula>0</formula>
    </cfRule>
  </conditionalFormatting>
  <conditionalFormatting sqref="N265">
    <cfRule type="cellIs" priority="1040" operator="greaterThan" aboveAverage="0" equalAverage="0" bottom="0" percent="0" rank="0" text="" dxfId="7">
      <formula>0</formula>
    </cfRule>
    <cfRule type="cellIs" priority="1041" operator="lessThan" aboveAverage="0" equalAverage="0" bottom="0" percent="0" rank="0" text="" dxfId="8">
      <formula>0</formula>
    </cfRule>
  </conditionalFormatting>
  <conditionalFormatting sqref="I266">
    <cfRule type="cellIs" priority="1042" operator="greaterThan" aboveAverage="0" equalAverage="0" bottom="0" percent="0" rank="0" text="" dxfId="7">
      <formula>0</formula>
    </cfRule>
  </conditionalFormatting>
  <conditionalFormatting sqref="K266">
    <cfRule type="cellIs" priority="1043" operator="greaterThan" aboveAverage="0" equalAverage="0" bottom="0" percent="0" rank="0" text="" dxfId="7">
      <formula>0</formula>
    </cfRule>
  </conditionalFormatting>
  <conditionalFormatting sqref="N266">
    <cfRule type="cellIs" priority="1044" operator="greaterThan" aboveAverage="0" equalAverage="0" bottom="0" percent="0" rank="0" text="" dxfId="7">
      <formula>0</formula>
    </cfRule>
    <cfRule type="cellIs" priority="1045" operator="lessThan" aboveAverage="0" equalAverage="0" bottom="0" percent="0" rank="0" text="" dxfId="8">
      <formula>0</formula>
    </cfRule>
  </conditionalFormatting>
  <conditionalFormatting sqref="I267">
    <cfRule type="cellIs" priority="1046" operator="greaterThan" aboveAverage="0" equalAverage="0" bottom="0" percent="0" rank="0" text="" dxfId="7">
      <formula>0</formula>
    </cfRule>
  </conditionalFormatting>
  <conditionalFormatting sqref="K267">
    <cfRule type="cellIs" priority="1047" operator="greaterThan" aboveAverage="0" equalAverage="0" bottom="0" percent="0" rank="0" text="" dxfId="7">
      <formula>0</formula>
    </cfRule>
  </conditionalFormatting>
  <conditionalFormatting sqref="N267">
    <cfRule type="cellIs" priority="1048" operator="greaterThan" aboveAverage="0" equalAverage="0" bottom="0" percent="0" rank="0" text="" dxfId="7">
      <formula>0</formula>
    </cfRule>
    <cfRule type="cellIs" priority="1049" operator="lessThan" aboveAverage="0" equalAverage="0" bottom="0" percent="0" rank="0" text="" dxfId="8">
      <formula>0</formula>
    </cfRule>
  </conditionalFormatting>
  <conditionalFormatting sqref="I268">
    <cfRule type="cellIs" priority="1050" operator="greaterThan" aboveAverage="0" equalAverage="0" bottom="0" percent="0" rank="0" text="" dxfId="7">
      <formula>0</formula>
    </cfRule>
  </conditionalFormatting>
  <conditionalFormatting sqref="K268">
    <cfRule type="cellIs" priority="1051" operator="greaterThan" aboveAverage="0" equalAverage="0" bottom="0" percent="0" rank="0" text="" dxfId="7">
      <formula>0</formula>
    </cfRule>
  </conditionalFormatting>
  <conditionalFormatting sqref="N268">
    <cfRule type="cellIs" priority="1052" operator="greaterThan" aboveAverage="0" equalAverage="0" bottom="0" percent="0" rank="0" text="" dxfId="7">
      <formula>0</formula>
    </cfRule>
    <cfRule type="cellIs" priority="1053" operator="lessThan" aboveAverage="0" equalAverage="0" bottom="0" percent="0" rank="0" text="" dxfId="8">
      <formula>0</formula>
    </cfRule>
  </conditionalFormatting>
  <conditionalFormatting sqref="I269">
    <cfRule type="cellIs" priority="1054" operator="greaterThan" aboveAverage="0" equalAverage="0" bottom="0" percent="0" rank="0" text="" dxfId="7">
      <formula>0</formula>
    </cfRule>
  </conditionalFormatting>
  <conditionalFormatting sqref="K269">
    <cfRule type="cellIs" priority="1055" operator="greaterThan" aboveAverage="0" equalAverage="0" bottom="0" percent="0" rank="0" text="" dxfId="7">
      <formula>0</formula>
    </cfRule>
  </conditionalFormatting>
  <conditionalFormatting sqref="N269">
    <cfRule type="cellIs" priority="1056" operator="greaterThan" aboveAverage="0" equalAverage="0" bottom="0" percent="0" rank="0" text="" dxfId="7">
      <formula>0</formula>
    </cfRule>
    <cfRule type="cellIs" priority="1057" operator="lessThan" aboveAverage="0" equalAverage="0" bottom="0" percent="0" rank="0" text="" dxfId="8">
      <formula>0</formula>
    </cfRule>
  </conditionalFormatting>
  <conditionalFormatting sqref="I270">
    <cfRule type="cellIs" priority="1058" operator="greaterThan" aboveAverage="0" equalAverage="0" bottom="0" percent="0" rank="0" text="" dxfId="7">
      <formula>0</formula>
    </cfRule>
  </conditionalFormatting>
  <conditionalFormatting sqref="K270">
    <cfRule type="cellIs" priority="1059" operator="greaterThan" aboveAverage="0" equalAverage="0" bottom="0" percent="0" rank="0" text="" dxfId="7">
      <formula>0</formula>
    </cfRule>
  </conditionalFormatting>
  <conditionalFormatting sqref="N270">
    <cfRule type="cellIs" priority="1060" operator="greaterThan" aboveAverage="0" equalAverage="0" bottom="0" percent="0" rank="0" text="" dxfId="7">
      <formula>0</formula>
    </cfRule>
    <cfRule type="cellIs" priority="1061" operator="lessThan" aboveAverage="0" equalAverage="0" bottom="0" percent="0" rank="0" text="" dxfId="8">
      <formula>0</formula>
    </cfRule>
  </conditionalFormatting>
  <conditionalFormatting sqref="I271">
    <cfRule type="cellIs" priority="1062" operator="greaterThan" aboveAverage="0" equalAverage="0" bottom="0" percent="0" rank="0" text="" dxfId="7">
      <formula>0</formula>
    </cfRule>
  </conditionalFormatting>
  <conditionalFormatting sqref="K271">
    <cfRule type="cellIs" priority="1063" operator="greaterThan" aboveAverage="0" equalAverage="0" bottom="0" percent="0" rank="0" text="" dxfId="7">
      <formula>0</formula>
    </cfRule>
  </conditionalFormatting>
  <conditionalFormatting sqref="N271">
    <cfRule type="cellIs" priority="1064" operator="greaterThan" aboveAverage="0" equalAverage="0" bottom="0" percent="0" rank="0" text="" dxfId="7">
      <formula>0</formula>
    </cfRule>
    <cfRule type="cellIs" priority="1065" operator="lessThan" aboveAverage="0" equalAverage="0" bottom="0" percent="0" rank="0" text="" dxfId="8">
      <formula>0</formula>
    </cfRule>
  </conditionalFormatting>
  <conditionalFormatting sqref="I272">
    <cfRule type="cellIs" priority="1066" operator="greaterThan" aboveAverage="0" equalAverage="0" bottom="0" percent="0" rank="0" text="" dxfId="7">
      <formula>0</formula>
    </cfRule>
  </conditionalFormatting>
  <conditionalFormatting sqref="K272">
    <cfRule type="cellIs" priority="1067" operator="greaterThan" aboveAverage="0" equalAverage="0" bottom="0" percent="0" rank="0" text="" dxfId="7">
      <formula>0</formula>
    </cfRule>
  </conditionalFormatting>
  <conditionalFormatting sqref="N272">
    <cfRule type="cellIs" priority="1068" operator="greaterThan" aboveAverage="0" equalAverage="0" bottom="0" percent="0" rank="0" text="" dxfId="7">
      <formula>0</formula>
    </cfRule>
    <cfRule type="cellIs" priority="1069" operator="lessThan" aboveAverage="0" equalAverage="0" bottom="0" percent="0" rank="0" text="" dxfId="8">
      <formula>0</formula>
    </cfRule>
  </conditionalFormatting>
  <conditionalFormatting sqref="I273">
    <cfRule type="cellIs" priority="1070" operator="greaterThan" aboveAverage="0" equalAverage="0" bottom="0" percent="0" rank="0" text="" dxfId="7">
      <formula>0</formula>
    </cfRule>
  </conditionalFormatting>
  <conditionalFormatting sqref="K273">
    <cfRule type="cellIs" priority="1071" operator="greaterThan" aboveAverage="0" equalAverage="0" bottom="0" percent="0" rank="0" text="" dxfId="7">
      <formula>0</formula>
    </cfRule>
  </conditionalFormatting>
  <conditionalFormatting sqref="N273">
    <cfRule type="cellIs" priority="1072" operator="greaterThan" aboveAverage="0" equalAverage="0" bottom="0" percent="0" rank="0" text="" dxfId="7">
      <formula>0</formula>
    </cfRule>
    <cfRule type="cellIs" priority="1073" operator="lessThan" aboveAverage="0" equalAverage="0" bottom="0" percent="0" rank="0" text="" dxfId="8">
      <formula>0</formula>
    </cfRule>
  </conditionalFormatting>
  <conditionalFormatting sqref="I274">
    <cfRule type="cellIs" priority="1074" operator="greaterThan" aboveAverage="0" equalAverage="0" bottom="0" percent="0" rank="0" text="" dxfId="7">
      <formula>0</formula>
    </cfRule>
  </conditionalFormatting>
  <conditionalFormatting sqref="K274">
    <cfRule type="cellIs" priority="1075" operator="greaterThan" aboveAverage="0" equalAverage="0" bottom="0" percent="0" rank="0" text="" dxfId="7">
      <formula>0</formula>
    </cfRule>
  </conditionalFormatting>
  <conditionalFormatting sqref="N274">
    <cfRule type="cellIs" priority="1076" operator="greaterThan" aboveAverage="0" equalAverage="0" bottom="0" percent="0" rank="0" text="" dxfId="7">
      <formula>0</formula>
    </cfRule>
    <cfRule type="cellIs" priority="1077" operator="lessThan" aboveAverage="0" equalAverage="0" bottom="0" percent="0" rank="0" text="" dxfId="8">
      <formula>0</formula>
    </cfRule>
  </conditionalFormatting>
  <conditionalFormatting sqref="I275">
    <cfRule type="cellIs" priority="1078" operator="greaterThan" aboveAverage="0" equalAverage="0" bottom="0" percent="0" rank="0" text="" dxfId="7">
      <formula>0</formula>
    </cfRule>
  </conditionalFormatting>
  <conditionalFormatting sqref="K275">
    <cfRule type="cellIs" priority="1079" operator="greaterThan" aboveAverage="0" equalAverage="0" bottom="0" percent="0" rank="0" text="" dxfId="7">
      <formula>0</formula>
    </cfRule>
  </conditionalFormatting>
  <conditionalFormatting sqref="N275">
    <cfRule type="cellIs" priority="1080" operator="greaterThan" aboveAverage="0" equalAverage="0" bottom="0" percent="0" rank="0" text="" dxfId="7">
      <formula>0</formula>
    </cfRule>
    <cfRule type="cellIs" priority="1081" operator="lessThan" aboveAverage="0" equalAverage="0" bottom="0" percent="0" rank="0" text="" dxfId="8">
      <formula>0</formula>
    </cfRule>
  </conditionalFormatting>
  <conditionalFormatting sqref="I276">
    <cfRule type="cellIs" priority="1082" operator="greaterThan" aboveAverage="0" equalAverage="0" bottom="0" percent="0" rank="0" text="" dxfId="7">
      <formula>0</formula>
    </cfRule>
  </conditionalFormatting>
  <conditionalFormatting sqref="K276">
    <cfRule type="cellIs" priority="1083" operator="greaterThan" aboveAverage="0" equalAverage="0" bottom="0" percent="0" rank="0" text="" dxfId="7">
      <formula>0</formula>
    </cfRule>
  </conditionalFormatting>
  <conditionalFormatting sqref="N276">
    <cfRule type="cellIs" priority="1084" operator="greaterThan" aboveAverage="0" equalAverage="0" bottom="0" percent="0" rank="0" text="" dxfId="7">
      <formula>0</formula>
    </cfRule>
    <cfRule type="cellIs" priority="1085" operator="lessThan" aboveAverage="0" equalAverage="0" bottom="0" percent="0" rank="0" text="" dxfId="8">
      <formula>0</formula>
    </cfRule>
  </conditionalFormatting>
  <conditionalFormatting sqref="I277">
    <cfRule type="cellIs" priority="1086" operator="greaterThan" aboveAverage="0" equalAverage="0" bottom="0" percent="0" rank="0" text="" dxfId="7">
      <formula>0</formula>
    </cfRule>
  </conditionalFormatting>
  <conditionalFormatting sqref="K277">
    <cfRule type="cellIs" priority="1087" operator="greaterThan" aboveAverage="0" equalAverage="0" bottom="0" percent="0" rank="0" text="" dxfId="7">
      <formula>0</formula>
    </cfRule>
  </conditionalFormatting>
  <conditionalFormatting sqref="N277">
    <cfRule type="cellIs" priority="1088" operator="greaterThan" aboveAverage="0" equalAverage="0" bottom="0" percent="0" rank="0" text="" dxfId="7">
      <formula>0</formula>
    </cfRule>
    <cfRule type="cellIs" priority="1089" operator="lessThan" aboveAverage="0" equalAverage="0" bottom="0" percent="0" rank="0" text="" dxfId="8">
      <formula>0</formula>
    </cfRule>
  </conditionalFormatting>
  <conditionalFormatting sqref="I278">
    <cfRule type="cellIs" priority="1090" operator="greaterThan" aboveAverage="0" equalAverage="0" bottom="0" percent="0" rank="0" text="" dxfId="7">
      <formula>0</formula>
    </cfRule>
  </conditionalFormatting>
  <conditionalFormatting sqref="K278">
    <cfRule type="cellIs" priority="1091" operator="greaterThan" aboveAverage="0" equalAverage="0" bottom="0" percent="0" rank="0" text="" dxfId="7">
      <formula>0</formula>
    </cfRule>
  </conditionalFormatting>
  <conditionalFormatting sqref="N278">
    <cfRule type="cellIs" priority="1092" operator="greaterThan" aboveAverage="0" equalAverage="0" bottom="0" percent="0" rank="0" text="" dxfId="7">
      <formula>0</formula>
    </cfRule>
    <cfRule type="cellIs" priority="1093" operator="lessThan" aboveAverage="0" equalAverage="0" bottom="0" percent="0" rank="0" text="" dxfId="8">
      <formula>0</formula>
    </cfRule>
  </conditionalFormatting>
  <conditionalFormatting sqref="I279">
    <cfRule type="cellIs" priority="1094" operator="greaterThan" aboveAverage="0" equalAverage="0" bottom="0" percent="0" rank="0" text="" dxfId="7">
      <formula>0</formula>
    </cfRule>
  </conditionalFormatting>
  <conditionalFormatting sqref="K279">
    <cfRule type="cellIs" priority="1095" operator="greaterThan" aboveAverage="0" equalAverage="0" bottom="0" percent="0" rank="0" text="" dxfId="7">
      <formula>0</formula>
    </cfRule>
  </conditionalFormatting>
  <conditionalFormatting sqref="N279">
    <cfRule type="cellIs" priority="1096" operator="greaterThan" aboveAverage="0" equalAverage="0" bottom="0" percent="0" rank="0" text="" dxfId="7">
      <formula>0</formula>
    </cfRule>
    <cfRule type="cellIs" priority="1097" operator="lessThan" aboveAverage="0" equalAverage="0" bottom="0" percent="0" rank="0" text="" dxfId="8">
      <formula>0</formula>
    </cfRule>
  </conditionalFormatting>
  <conditionalFormatting sqref="I280">
    <cfRule type="cellIs" priority="1098" operator="greaterThan" aboveAverage="0" equalAverage="0" bottom="0" percent="0" rank="0" text="" dxfId="7">
      <formula>0</formula>
    </cfRule>
  </conditionalFormatting>
  <conditionalFormatting sqref="K280">
    <cfRule type="cellIs" priority="1099" operator="greaterThan" aboveAverage="0" equalAverage="0" bottom="0" percent="0" rank="0" text="" dxfId="7">
      <formula>0</formula>
    </cfRule>
  </conditionalFormatting>
  <conditionalFormatting sqref="N280">
    <cfRule type="cellIs" priority="1100" operator="greaterThan" aboveAverage="0" equalAverage="0" bottom="0" percent="0" rank="0" text="" dxfId="7">
      <formula>0</formula>
    </cfRule>
    <cfRule type="cellIs" priority="1101" operator="lessThan" aboveAverage="0" equalAverage="0" bottom="0" percent="0" rank="0" text="" dxfId="8">
      <formula>0</formula>
    </cfRule>
  </conditionalFormatting>
  <conditionalFormatting sqref="I281">
    <cfRule type="cellIs" priority="1102" operator="greaterThan" aboveAverage="0" equalAverage="0" bottom="0" percent="0" rank="0" text="" dxfId="7">
      <formula>0</formula>
    </cfRule>
  </conditionalFormatting>
  <conditionalFormatting sqref="K281">
    <cfRule type="cellIs" priority="1103" operator="greaterThan" aboveAverage="0" equalAverage="0" bottom="0" percent="0" rank="0" text="" dxfId="7">
      <formula>0</formula>
    </cfRule>
  </conditionalFormatting>
  <conditionalFormatting sqref="N281">
    <cfRule type="cellIs" priority="1104" operator="greaterThan" aboveAverage="0" equalAverage="0" bottom="0" percent="0" rank="0" text="" dxfId="7">
      <formula>0</formula>
    </cfRule>
    <cfRule type="cellIs" priority="1105" operator="lessThan" aboveAverage="0" equalAverage="0" bottom="0" percent="0" rank="0" text="" dxfId="8">
      <formula>0</formula>
    </cfRule>
  </conditionalFormatting>
  <conditionalFormatting sqref="I282">
    <cfRule type="cellIs" priority="1106" operator="greaterThan" aboveAverage="0" equalAverage="0" bottom="0" percent="0" rank="0" text="" dxfId="7">
      <formula>0</formula>
    </cfRule>
  </conditionalFormatting>
  <conditionalFormatting sqref="K282">
    <cfRule type="cellIs" priority="1107" operator="greaterThan" aboveAverage="0" equalAverage="0" bottom="0" percent="0" rank="0" text="" dxfId="7">
      <formula>0</formula>
    </cfRule>
  </conditionalFormatting>
  <conditionalFormatting sqref="N282">
    <cfRule type="cellIs" priority="1108" operator="greaterThan" aboveAverage="0" equalAverage="0" bottom="0" percent="0" rank="0" text="" dxfId="7">
      <formula>0</formula>
    </cfRule>
    <cfRule type="cellIs" priority="1109" operator="lessThan" aboveAverage="0" equalAverage="0" bottom="0" percent="0" rank="0" text="" dxfId="8">
      <formula>0</formula>
    </cfRule>
  </conditionalFormatting>
  <conditionalFormatting sqref="I283">
    <cfRule type="cellIs" priority="1110" operator="greaterThan" aboveAverage="0" equalAverage="0" bottom="0" percent="0" rank="0" text="" dxfId="7">
      <formula>0</formula>
    </cfRule>
  </conditionalFormatting>
  <conditionalFormatting sqref="K283">
    <cfRule type="cellIs" priority="1111" operator="greaterThan" aboveAverage="0" equalAverage="0" bottom="0" percent="0" rank="0" text="" dxfId="7">
      <formula>0</formula>
    </cfRule>
  </conditionalFormatting>
  <conditionalFormatting sqref="N283">
    <cfRule type="cellIs" priority="1112" operator="greaterThan" aboveAverage="0" equalAverage="0" bottom="0" percent="0" rank="0" text="" dxfId="7">
      <formula>0</formula>
    </cfRule>
    <cfRule type="cellIs" priority="1113" operator="lessThan" aboveAverage="0" equalAverage="0" bottom="0" percent="0" rank="0" text="" dxfId="8">
      <formula>0</formula>
    </cfRule>
  </conditionalFormatting>
  <conditionalFormatting sqref="I284">
    <cfRule type="cellIs" priority="1114" operator="greaterThan" aboveAverage="0" equalAverage="0" bottom="0" percent="0" rank="0" text="" dxfId="7">
      <formula>0</formula>
    </cfRule>
  </conditionalFormatting>
  <conditionalFormatting sqref="K284">
    <cfRule type="cellIs" priority="1115" operator="greaterThan" aboveAverage="0" equalAverage="0" bottom="0" percent="0" rank="0" text="" dxfId="7">
      <formula>0</formula>
    </cfRule>
  </conditionalFormatting>
  <conditionalFormatting sqref="N284">
    <cfRule type="cellIs" priority="1116" operator="greaterThan" aboveAverage="0" equalAverage="0" bottom="0" percent="0" rank="0" text="" dxfId="7">
      <formula>0</formula>
    </cfRule>
    <cfRule type="cellIs" priority="1117" operator="lessThan" aboveAverage="0" equalAverage="0" bottom="0" percent="0" rank="0" text="" dxfId="8">
      <formula>0</formula>
    </cfRule>
  </conditionalFormatting>
  <conditionalFormatting sqref="I285">
    <cfRule type="cellIs" priority="1118" operator="greaterThan" aboveAverage="0" equalAverage="0" bottom="0" percent="0" rank="0" text="" dxfId="7">
      <formula>0</formula>
    </cfRule>
  </conditionalFormatting>
  <conditionalFormatting sqref="K285">
    <cfRule type="cellIs" priority="1119" operator="greaterThan" aboveAverage="0" equalAverage="0" bottom="0" percent="0" rank="0" text="" dxfId="7">
      <formula>0</formula>
    </cfRule>
  </conditionalFormatting>
  <conditionalFormatting sqref="N285">
    <cfRule type="cellIs" priority="1120" operator="greaterThan" aboveAverage="0" equalAverage="0" bottom="0" percent="0" rank="0" text="" dxfId="7">
      <formula>0</formula>
    </cfRule>
    <cfRule type="cellIs" priority="1121" operator="lessThan" aboveAverage="0" equalAverage="0" bottom="0" percent="0" rank="0" text="" dxfId="8">
      <formula>0</formula>
    </cfRule>
  </conditionalFormatting>
  <conditionalFormatting sqref="I286">
    <cfRule type="cellIs" priority="1122" operator="greaterThan" aboveAverage="0" equalAverage="0" bottom="0" percent="0" rank="0" text="" dxfId="7">
      <formula>0</formula>
    </cfRule>
  </conditionalFormatting>
  <conditionalFormatting sqref="K286">
    <cfRule type="cellIs" priority="1123" operator="greaterThan" aboveAverage="0" equalAverage="0" bottom="0" percent="0" rank="0" text="" dxfId="7">
      <formula>0</formula>
    </cfRule>
  </conditionalFormatting>
  <conditionalFormatting sqref="N286">
    <cfRule type="cellIs" priority="1124" operator="greaterThan" aboveAverage="0" equalAverage="0" bottom="0" percent="0" rank="0" text="" dxfId="7">
      <formula>0</formula>
    </cfRule>
    <cfRule type="cellIs" priority="1125" operator="lessThan" aboveAverage="0" equalAverage="0" bottom="0" percent="0" rank="0" text="" dxfId="8">
      <formula>0</formula>
    </cfRule>
  </conditionalFormatting>
  <conditionalFormatting sqref="I287">
    <cfRule type="cellIs" priority="1126" operator="greaterThan" aboveAverage="0" equalAverage="0" bottom="0" percent="0" rank="0" text="" dxfId="7">
      <formula>0</formula>
    </cfRule>
  </conditionalFormatting>
  <conditionalFormatting sqref="K287">
    <cfRule type="cellIs" priority="1127" operator="greaterThan" aboveAverage="0" equalAverage="0" bottom="0" percent="0" rank="0" text="" dxfId="7">
      <formula>0</formula>
    </cfRule>
  </conditionalFormatting>
  <conditionalFormatting sqref="N287">
    <cfRule type="cellIs" priority="1128" operator="greaterThan" aboveAverage="0" equalAverage="0" bottom="0" percent="0" rank="0" text="" dxfId="7">
      <formula>0</formula>
    </cfRule>
    <cfRule type="cellIs" priority="1129" operator="lessThan" aboveAverage="0" equalAverage="0" bottom="0" percent="0" rank="0" text="" dxfId="8">
      <formula>0</formula>
    </cfRule>
  </conditionalFormatting>
  <conditionalFormatting sqref="I288">
    <cfRule type="cellIs" priority="1130" operator="greaterThan" aboveAverage="0" equalAverage="0" bottom="0" percent="0" rank="0" text="" dxfId="7">
      <formula>0</formula>
    </cfRule>
  </conditionalFormatting>
  <conditionalFormatting sqref="K288">
    <cfRule type="cellIs" priority="1131" operator="greaterThan" aboveAverage="0" equalAverage="0" bottom="0" percent="0" rank="0" text="" dxfId="7">
      <formula>0</formula>
    </cfRule>
  </conditionalFormatting>
  <conditionalFormatting sqref="N288">
    <cfRule type="cellIs" priority="1132" operator="greaterThan" aboveAverage="0" equalAverage="0" bottom="0" percent="0" rank="0" text="" dxfId="7">
      <formula>0</formula>
    </cfRule>
    <cfRule type="cellIs" priority="1133" operator="lessThan" aboveAverage="0" equalAverage="0" bottom="0" percent="0" rank="0" text="" dxfId="8">
      <formula>0</formula>
    </cfRule>
  </conditionalFormatting>
  <conditionalFormatting sqref="I289">
    <cfRule type="cellIs" priority="1134" operator="greaterThan" aboveAverage="0" equalAverage="0" bottom="0" percent="0" rank="0" text="" dxfId="7">
      <formula>0</formula>
    </cfRule>
  </conditionalFormatting>
  <conditionalFormatting sqref="K289">
    <cfRule type="cellIs" priority="1135" operator="greaterThan" aboveAverage="0" equalAverage="0" bottom="0" percent="0" rank="0" text="" dxfId="7">
      <formula>0</formula>
    </cfRule>
  </conditionalFormatting>
  <conditionalFormatting sqref="N289">
    <cfRule type="cellIs" priority="1136" operator="greaterThan" aboveAverage="0" equalAverage="0" bottom="0" percent="0" rank="0" text="" dxfId="7">
      <formula>0</formula>
    </cfRule>
    <cfRule type="cellIs" priority="1137" operator="lessThan" aboveAverage="0" equalAverage="0" bottom="0" percent="0" rank="0" text="" dxfId="8">
      <formula>0</formula>
    </cfRule>
  </conditionalFormatting>
  <conditionalFormatting sqref="I290">
    <cfRule type="cellIs" priority="1138" operator="greaterThan" aboveAverage="0" equalAverage="0" bottom="0" percent="0" rank="0" text="" dxfId="7">
      <formula>0</formula>
    </cfRule>
  </conditionalFormatting>
  <conditionalFormatting sqref="K290">
    <cfRule type="cellIs" priority="1139" operator="greaterThan" aboveAverage="0" equalAverage="0" bottom="0" percent="0" rank="0" text="" dxfId="7">
      <formula>0</formula>
    </cfRule>
  </conditionalFormatting>
  <conditionalFormatting sqref="N290">
    <cfRule type="cellIs" priority="1140" operator="greaterThan" aboveAverage="0" equalAverage="0" bottom="0" percent="0" rank="0" text="" dxfId="7">
      <formula>0</formula>
    </cfRule>
    <cfRule type="cellIs" priority="1141" operator="lessThan" aboveAverage="0" equalAverage="0" bottom="0" percent="0" rank="0" text="" dxfId="8">
      <formula>0</formula>
    </cfRule>
  </conditionalFormatting>
  <conditionalFormatting sqref="I291">
    <cfRule type="cellIs" priority="1142" operator="greaterThan" aboveAverage="0" equalAverage="0" bottom="0" percent="0" rank="0" text="" dxfId="7">
      <formula>0</formula>
    </cfRule>
  </conditionalFormatting>
  <conditionalFormatting sqref="K291">
    <cfRule type="cellIs" priority="1143" operator="greaterThan" aboveAverage="0" equalAverage="0" bottom="0" percent="0" rank="0" text="" dxfId="7">
      <formula>0</formula>
    </cfRule>
  </conditionalFormatting>
  <conditionalFormatting sqref="N291">
    <cfRule type="cellIs" priority="1144" operator="greaterThan" aboveAverage="0" equalAverage="0" bottom="0" percent="0" rank="0" text="" dxfId="7">
      <formula>0</formula>
    </cfRule>
    <cfRule type="cellIs" priority="1145" operator="lessThan" aboveAverage="0" equalAverage="0" bottom="0" percent="0" rank="0" text="" dxfId="8">
      <formula>0</formula>
    </cfRule>
  </conditionalFormatting>
  <conditionalFormatting sqref="I292">
    <cfRule type="cellIs" priority="1146" operator="greaterThan" aboveAverage="0" equalAverage="0" bottom="0" percent="0" rank="0" text="" dxfId="7">
      <formula>0</formula>
    </cfRule>
  </conditionalFormatting>
  <conditionalFormatting sqref="K292">
    <cfRule type="cellIs" priority="1147" operator="greaterThan" aboveAverage="0" equalAverage="0" bottom="0" percent="0" rank="0" text="" dxfId="7">
      <formula>0</formula>
    </cfRule>
  </conditionalFormatting>
  <conditionalFormatting sqref="N292">
    <cfRule type="cellIs" priority="1148" operator="greaterThan" aboveAverage="0" equalAverage="0" bottom="0" percent="0" rank="0" text="" dxfId="7">
      <formula>0</formula>
    </cfRule>
    <cfRule type="cellIs" priority="1149" operator="lessThan" aboveAverage="0" equalAverage="0" bottom="0" percent="0" rank="0" text="" dxfId="8">
      <formula>0</formula>
    </cfRule>
  </conditionalFormatting>
  <conditionalFormatting sqref="I293">
    <cfRule type="cellIs" priority="1150" operator="greaterThan" aboveAverage="0" equalAverage="0" bottom="0" percent="0" rank="0" text="" dxfId="7">
      <formula>0</formula>
    </cfRule>
  </conditionalFormatting>
  <conditionalFormatting sqref="K293">
    <cfRule type="cellIs" priority="1151" operator="greaterThan" aboveAverage="0" equalAverage="0" bottom="0" percent="0" rank="0" text="" dxfId="7">
      <formula>0</formula>
    </cfRule>
  </conditionalFormatting>
  <conditionalFormatting sqref="N293">
    <cfRule type="cellIs" priority="1152" operator="greaterThan" aboveAverage="0" equalAverage="0" bottom="0" percent="0" rank="0" text="" dxfId="7">
      <formula>0</formula>
    </cfRule>
    <cfRule type="cellIs" priority="1153" operator="lessThan" aboveAverage="0" equalAverage="0" bottom="0" percent="0" rank="0" text="" dxfId="8">
      <formula>0</formula>
    </cfRule>
  </conditionalFormatting>
  <conditionalFormatting sqref="I294">
    <cfRule type="cellIs" priority="1154" operator="greaterThan" aboveAverage="0" equalAverage="0" bottom="0" percent="0" rank="0" text="" dxfId="7">
      <formula>0</formula>
    </cfRule>
  </conditionalFormatting>
  <conditionalFormatting sqref="K294">
    <cfRule type="cellIs" priority="1155" operator="greaterThan" aboveAverage="0" equalAverage="0" bottom="0" percent="0" rank="0" text="" dxfId="7">
      <formula>0</formula>
    </cfRule>
  </conditionalFormatting>
  <conditionalFormatting sqref="N294">
    <cfRule type="cellIs" priority="1156" operator="greaterThan" aboveAverage="0" equalAverage="0" bottom="0" percent="0" rank="0" text="" dxfId="7">
      <formula>0</formula>
    </cfRule>
    <cfRule type="cellIs" priority="1157" operator="lessThan" aboveAverage="0" equalAverage="0" bottom="0" percent="0" rank="0" text="" dxfId="8">
      <formula>0</formula>
    </cfRule>
  </conditionalFormatting>
  <conditionalFormatting sqref="I295">
    <cfRule type="cellIs" priority="1158" operator="greaterThan" aboveAverage="0" equalAverage="0" bottom="0" percent="0" rank="0" text="" dxfId="7">
      <formula>0</formula>
    </cfRule>
  </conditionalFormatting>
  <conditionalFormatting sqref="K295">
    <cfRule type="cellIs" priority="1159" operator="greaterThan" aboveAverage="0" equalAverage="0" bottom="0" percent="0" rank="0" text="" dxfId="7">
      <formula>0</formula>
    </cfRule>
  </conditionalFormatting>
  <conditionalFormatting sqref="N295">
    <cfRule type="cellIs" priority="1160" operator="greaterThan" aboveAverage="0" equalAverage="0" bottom="0" percent="0" rank="0" text="" dxfId="7">
      <formula>0</formula>
    </cfRule>
    <cfRule type="cellIs" priority="1161" operator="lessThan" aboveAverage="0" equalAverage="0" bottom="0" percent="0" rank="0" text="" dxfId="8">
      <formula>0</formula>
    </cfRule>
  </conditionalFormatting>
  <conditionalFormatting sqref="I296">
    <cfRule type="cellIs" priority="1162" operator="greaterThan" aboveAverage="0" equalAverage="0" bottom="0" percent="0" rank="0" text="" dxfId="7">
      <formula>0</formula>
    </cfRule>
  </conditionalFormatting>
  <conditionalFormatting sqref="K296">
    <cfRule type="cellIs" priority="1163" operator="greaterThan" aboveAverage="0" equalAverage="0" bottom="0" percent="0" rank="0" text="" dxfId="7">
      <formula>0</formula>
    </cfRule>
  </conditionalFormatting>
  <conditionalFormatting sqref="N296">
    <cfRule type="cellIs" priority="1164" operator="greaterThan" aboveAverage="0" equalAverage="0" bottom="0" percent="0" rank="0" text="" dxfId="7">
      <formula>0</formula>
    </cfRule>
    <cfRule type="cellIs" priority="1165" operator="lessThan" aboveAverage="0" equalAverage="0" bottom="0" percent="0" rank="0" text="" dxfId="8">
      <formula>0</formula>
    </cfRule>
  </conditionalFormatting>
  <conditionalFormatting sqref="I297">
    <cfRule type="cellIs" priority="1166" operator="greaterThan" aboveAverage="0" equalAverage="0" bottom="0" percent="0" rank="0" text="" dxfId="7">
      <formula>0</formula>
    </cfRule>
  </conditionalFormatting>
  <conditionalFormatting sqref="K297">
    <cfRule type="cellIs" priority="1167" operator="greaterThan" aboveAverage="0" equalAverage="0" bottom="0" percent="0" rank="0" text="" dxfId="7">
      <formula>0</formula>
    </cfRule>
  </conditionalFormatting>
  <conditionalFormatting sqref="N297">
    <cfRule type="cellIs" priority="1168" operator="greaterThan" aboveAverage="0" equalAverage="0" bottom="0" percent="0" rank="0" text="" dxfId="7">
      <formula>0</formula>
    </cfRule>
    <cfRule type="cellIs" priority="1169" operator="lessThan" aboveAverage="0" equalAverage="0" bottom="0" percent="0" rank="0" text="" dxfId="8">
      <formula>0</formula>
    </cfRule>
  </conditionalFormatting>
  <conditionalFormatting sqref="I298">
    <cfRule type="cellIs" priority="1170" operator="greaterThan" aboveAverage="0" equalAverage="0" bottom="0" percent="0" rank="0" text="" dxfId="7">
      <formula>0</formula>
    </cfRule>
  </conditionalFormatting>
  <conditionalFormatting sqref="K298">
    <cfRule type="cellIs" priority="1171" operator="greaterThan" aboveAverage="0" equalAverage="0" bottom="0" percent="0" rank="0" text="" dxfId="7">
      <formula>0</formula>
    </cfRule>
  </conditionalFormatting>
  <conditionalFormatting sqref="N298">
    <cfRule type="cellIs" priority="1172" operator="greaterThan" aboveAverage="0" equalAverage="0" bottom="0" percent="0" rank="0" text="" dxfId="7">
      <formula>0</formula>
    </cfRule>
    <cfRule type="cellIs" priority="1173" operator="lessThan" aboveAverage="0" equalAverage="0" bottom="0" percent="0" rank="0" text="" dxfId="8">
      <formula>0</formula>
    </cfRule>
  </conditionalFormatting>
  <conditionalFormatting sqref="I299">
    <cfRule type="cellIs" priority="1174" operator="greaterThan" aboveAverage="0" equalAverage="0" bottom="0" percent="0" rank="0" text="" dxfId="7">
      <formula>0</formula>
    </cfRule>
  </conditionalFormatting>
  <conditionalFormatting sqref="K299">
    <cfRule type="cellIs" priority="1175" operator="greaterThan" aboveAverage="0" equalAverage="0" bottom="0" percent="0" rank="0" text="" dxfId="7">
      <formula>0</formula>
    </cfRule>
  </conditionalFormatting>
  <conditionalFormatting sqref="N299">
    <cfRule type="cellIs" priority="1176" operator="greaterThan" aboveAverage="0" equalAverage="0" bottom="0" percent="0" rank="0" text="" dxfId="7">
      <formula>0</formula>
    </cfRule>
    <cfRule type="cellIs" priority="1177" operator="lessThan" aboveAverage="0" equalAverage="0" bottom="0" percent="0" rank="0" text="" dxfId="8">
      <formula>0</formula>
    </cfRule>
  </conditionalFormatting>
  <conditionalFormatting sqref="I300">
    <cfRule type="cellIs" priority="1178" operator="greaterThan" aboveAverage="0" equalAverage="0" bottom="0" percent="0" rank="0" text="" dxfId="7">
      <formula>0</formula>
    </cfRule>
  </conditionalFormatting>
  <conditionalFormatting sqref="K300">
    <cfRule type="cellIs" priority="1179" operator="greaterThan" aboveAverage="0" equalAverage="0" bottom="0" percent="0" rank="0" text="" dxfId="7">
      <formula>0</formula>
    </cfRule>
  </conditionalFormatting>
  <conditionalFormatting sqref="N300">
    <cfRule type="cellIs" priority="1180" operator="greaterThan" aboveAverage="0" equalAverage="0" bottom="0" percent="0" rank="0" text="" dxfId="7">
      <formula>0</formula>
    </cfRule>
    <cfRule type="cellIs" priority="1181" operator="lessThan" aboveAverage="0" equalAverage="0" bottom="0" percent="0" rank="0" text="" dxfId="8">
      <formula>0</formula>
    </cfRule>
  </conditionalFormatting>
  <conditionalFormatting sqref="I301">
    <cfRule type="cellIs" priority="1182" operator="greaterThan" aboveAverage="0" equalAverage="0" bottom="0" percent="0" rank="0" text="" dxfId="7">
      <formula>0</formula>
    </cfRule>
  </conditionalFormatting>
  <conditionalFormatting sqref="K301">
    <cfRule type="cellIs" priority="1183" operator="greaterThan" aboveAverage="0" equalAverage="0" bottom="0" percent="0" rank="0" text="" dxfId="7">
      <formula>0</formula>
    </cfRule>
  </conditionalFormatting>
  <conditionalFormatting sqref="N301">
    <cfRule type="cellIs" priority="1184" operator="greaterThan" aboveAverage="0" equalAverage="0" bottom="0" percent="0" rank="0" text="" dxfId="7">
      <formula>0</formula>
    </cfRule>
    <cfRule type="cellIs" priority="1185" operator="lessThan" aboveAverage="0" equalAverage="0" bottom="0" percent="0" rank="0" text="" dxfId="8">
      <formula>0</formula>
    </cfRule>
  </conditionalFormatting>
  <conditionalFormatting sqref="I302">
    <cfRule type="cellIs" priority="1186" operator="greaterThan" aboveAverage="0" equalAverage="0" bottom="0" percent="0" rank="0" text="" dxfId="7">
      <formula>0</formula>
    </cfRule>
  </conditionalFormatting>
  <conditionalFormatting sqref="K302">
    <cfRule type="cellIs" priority="1187" operator="greaterThan" aboveAverage="0" equalAverage="0" bottom="0" percent="0" rank="0" text="" dxfId="7">
      <formula>0</formula>
    </cfRule>
  </conditionalFormatting>
  <conditionalFormatting sqref="N302">
    <cfRule type="cellIs" priority="1188" operator="greaterThan" aboveAverage="0" equalAverage="0" bottom="0" percent="0" rank="0" text="" dxfId="7">
      <formula>0</formula>
    </cfRule>
    <cfRule type="cellIs" priority="1189" operator="lessThan" aboveAverage="0" equalAverage="0" bottom="0" percent="0" rank="0" text="" dxfId="8">
      <formula>0</formula>
    </cfRule>
  </conditionalFormatting>
  <conditionalFormatting sqref="I303">
    <cfRule type="cellIs" priority="1190" operator="greaterThan" aboveAverage="0" equalAverage="0" bottom="0" percent="0" rank="0" text="" dxfId="7">
      <formula>0</formula>
    </cfRule>
  </conditionalFormatting>
  <conditionalFormatting sqref="K303">
    <cfRule type="cellIs" priority="1191" operator="greaterThan" aboveAverage="0" equalAverage="0" bottom="0" percent="0" rank="0" text="" dxfId="7">
      <formula>0</formula>
    </cfRule>
  </conditionalFormatting>
  <conditionalFormatting sqref="N303">
    <cfRule type="cellIs" priority="1192" operator="greaterThan" aboveAverage="0" equalAverage="0" bottom="0" percent="0" rank="0" text="" dxfId="7">
      <formula>0</formula>
    </cfRule>
    <cfRule type="cellIs" priority="1193" operator="lessThan" aboveAverage="0" equalAverage="0" bottom="0" percent="0" rank="0" text="" dxfId="8">
      <formula>0</formula>
    </cfRule>
  </conditionalFormatting>
  <conditionalFormatting sqref="I304">
    <cfRule type="cellIs" priority="1194" operator="greaterThan" aboveAverage="0" equalAverage="0" bottom="0" percent="0" rank="0" text="" dxfId="7">
      <formula>0</formula>
    </cfRule>
  </conditionalFormatting>
  <conditionalFormatting sqref="K304">
    <cfRule type="cellIs" priority="1195" operator="greaterThan" aboveAverage="0" equalAverage="0" bottom="0" percent="0" rank="0" text="" dxfId="7">
      <formula>0</formula>
    </cfRule>
  </conditionalFormatting>
  <conditionalFormatting sqref="N304">
    <cfRule type="cellIs" priority="1196" operator="greaterThan" aboveAverage="0" equalAverage="0" bottom="0" percent="0" rank="0" text="" dxfId="7">
      <formula>0</formula>
    </cfRule>
    <cfRule type="cellIs" priority="1197" operator="lessThan" aboveAverage="0" equalAverage="0" bottom="0" percent="0" rank="0" text="" dxfId="8">
      <formula>0</formula>
    </cfRule>
  </conditionalFormatting>
  <conditionalFormatting sqref="I305">
    <cfRule type="cellIs" priority="1198" operator="greaterThan" aboveAverage="0" equalAverage="0" bottom="0" percent="0" rank="0" text="" dxfId="7">
      <formula>0</formula>
    </cfRule>
  </conditionalFormatting>
  <conditionalFormatting sqref="K305">
    <cfRule type="cellIs" priority="1199" operator="greaterThan" aboveAverage="0" equalAverage="0" bottom="0" percent="0" rank="0" text="" dxfId="7">
      <formula>0</formula>
    </cfRule>
  </conditionalFormatting>
  <conditionalFormatting sqref="N305">
    <cfRule type="cellIs" priority="1200" operator="greaterThan" aboveAverage="0" equalAverage="0" bottom="0" percent="0" rank="0" text="" dxfId="7">
      <formula>0</formula>
    </cfRule>
    <cfRule type="cellIs" priority="1201" operator="lessThan" aboveAverage="0" equalAverage="0" bottom="0" percent="0" rank="0" text="" dxfId="8">
      <formula>0</formula>
    </cfRule>
  </conditionalFormatting>
  <conditionalFormatting sqref="I306">
    <cfRule type="cellIs" priority="1202" operator="greaterThan" aboveAverage="0" equalAverage="0" bottom="0" percent="0" rank="0" text="" dxfId="7">
      <formula>0</formula>
    </cfRule>
  </conditionalFormatting>
  <conditionalFormatting sqref="K306">
    <cfRule type="cellIs" priority="1203" operator="greaterThan" aboveAverage="0" equalAverage="0" bottom="0" percent="0" rank="0" text="" dxfId="7">
      <formula>0</formula>
    </cfRule>
  </conditionalFormatting>
  <conditionalFormatting sqref="N306">
    <cfRule type="cellIs" priority="1204" operator="greaterThan" aboveAverage="0" equalAverage="0" bottom="0" percent="0" rank="0" text="" dxfId="7">
      <formula>0</formula>
    </cfRule>
    <cfRule type="cellIs" priority="1205" operator="lessThan" aboveAverage="0" equalAverage="0" bottom="0" percent="0" rank="0" text="" dxfId="8">
      <formula>0</formula>
    </cfRule>
  </conditionalFormatting>
  <conditionalFormatting sqref="I307">
    <cfRule type="cellIs" priority="1206" operator="greaterThan" aboveAverage="0" equalAverage="0" bottom="0" percent="0" rank="0" text="" dxfId="7">
      <formula>0</formula>
    </cfRule>
  </conditionalFormatting>
  <conditionalFormatting sqref="K307">
    <cfRule type="cellIs" priority="1207" operator="greaterThan" aboveAverage="0" equalAverage="0" bottom="0" percent="0" rank="0" text="" dxfId="7">
      <formula>0</formula>
    </cfRule>
  </conditionalFormatting>
  <conditionalFormatting sqref="N307">
    <cfRule type="cellIs" priority="1208" operator="greaterThan" aboveAverage="0" equalAverage="0" bottom="0" percent="0" rank="0" text="" dxfId="7">
      <formula>0</formula>
    </cfRule>
    <cfRule type="cellIs" priority="1209" operator="lessThan" aboveAverage="0" equalAverage="0" bottom="0" percent="0" rank="0" text="" dxfId="8">
      <formula>0</formula>
    </cfRule>
  </conditionalFormatting>
  <conditionalFormatting sqref="I308">
    <cfRule type="cellIs" priority="1210" operator="greaterThan" aboveAverage="0" equalAverage="0" bottom="0" percent="0" rank="0" text="" dxfId="7">
      <formula>0</formula>
    </cfRule>
  </conditionalFormatting>
  <conditionalFormatting sqref="K308">
    <cfRule type="cellIs" priority="1211" operator="greaterThan" aboveAverage="0" equalAverage="0" bottom="0" percent="0" rank="0" text="" dxfId="7">
      <formula>0</formula>
    </cfRule>
  </conditionalFormatting>
  <conditionalFormatting sqref="N308">
    <cfRule type="cellIs" priority="1212" operator="greaterThan" aboveAverage="0" equalAverage="0" bottom="0" percent="0" rank="0" text="" dxfId="7">
      <formula>0</formula>
    </cfRule>
    <cfRule type="cellIs" priority="1213" operator="lessThan" aboveAverage="0" equalAverage="0" bottom="0" percent="0" rank="0" text="" dxfId="8">
      <formula>0</formula>
    </cfRule>
  </conditionalFormatting>
  <conditionalFormatting sqref="I309">
    <cfRule type="cellIs" priority="1214" operator="greaterThan" aboveAverage="0" equalAverage="0" bottom="0" percent="0" rank="0" text="" dxfId="7">
      <formula>0</formula>
    </cfRule>
  </conditionalFormatting>
  <conditionalFormatting sqref="K309">
    <cfRule type="cellIs" priority="1215" operator="greaterThan" aboveAverage="0" equalAverage="0" bottom="0" percent="0" rank="0" text="" dxfId="7">
      <formula>0</formula>
    </cfRule>
  </conditionalFormatting>
  <conditionalFormatting sqref="N309">
    <cfRule type="cellIs" priority="1216" operator="greaterThan" aboveAverage="0" equalAverage="0" bottom="0" percent="0" rank="0" text="" dxfId="7">
      <formula>0</formula>
    </cfRule>
    <cfRule type="cellIs" priority="1217" operator="lessThan" aboveAverage="0" equalAverage="0" bottom="0" percent="0" rank="0" text="" dxfId="8">
      <formula>0</formula>
    </cfRule>
  </conditionalFormatting>
  <conditionalFormatting sqref="I310">
    <cfRule type="cellIs" priority="1218" operator="greaterThan" aboveAverage="0" equalAverage="0" bottom="0" percent="0" rank="0" text="" dxfId="7">
      <formula>0</formula>
    </cfRule>
  </conditionalFormatting>
  <conditionalFormatting sqref="K310">
    <cfRule type="cellIs" priority="1219" operator="greaterThan" aboveAverage="0" equalAverage="0" bottom="0" percent="0" rank="0" text="" dxfId="7">
      <formula>0</formula>
    </cfRule>
  </conditionalFormatting>
  <conditionalFormatting sqref="N310">
    <cfRule type="cellIs" priority="1220" operator="greaterThan" aboveAverage="0" equalAverage="0" bottom="0" percent="0" rank="0" text="" dxfId="7">
      <formula>0</formula>
    </cfRule>
    <cfRule type="cellIs" priority="1221" operator="lessThan" aboveAverage="0" equalAverage="0" bottom="0" percent="0" rank="0" text="" dxfId="8">
      <formula>0</formula>
    </cfRule>
  </conditionalFormatting>
  <conditionalFormatting sqref="I311">
    <cfRule type="cellIs" priority="1222" operator="greaterThan" aboveAverage="0" equalAverage="0" bottom="0" percent="0" rank="0" text="" dxfId="7">
      <formula>0</formula>
    </cfRule>
  </conditionalFormatting>
  <conditionalFormatting sqref="K311">
    <cfRule type="cellIs" priority="1223" operator="greaterThan" aboveAverage="0" equalAverage="0" bottom="0" percent="0" rank="0" text="" dxfId="7">
      <formula>0</formula>
    </cfRule>
  </conditionalFormatting>
  <conditionalFormatting sqref="N311">
    <cfRule type="cellIs" priority="1224" operator="greaterThan" aboveAverage="0" equalAverage="0" bottom="0" percent="0" rank="0" text="" dxfId="7">
      <formula>0</formula>
    </cfRule>
    <cfRule type="cellIs" priority="1225" operator="lessThan" aboveAverage="0" equalAverage="0" bottom="0" percent="0" rank="0" text="" dxfId="8">
      <formula>0</formula>
    </cfRule>
  </conditionalFormatting>
  <conditionalFormatting sqref="I312">
    <cfRule type="cellIs" priority="1226" operator="greaterThan" aboveAverage="0" equalAverage="0" bottom="0" percent="0" rank="0" text="" dxfId="7">
      <formula>0</formula>
    </cfRule>
  </conditionalFormatting>
  <conditionalFormatting sqref="K312">
    <cfRule type="cellIs" priority="1227" operator="greaterThan" aboveAverage="0" equalAverage="0" bottom="0" percent="0" rank="0" text="" dxfId="7">
      <formula>0</formula>
    </cfRule>
  </conditionalFormatting>
  <conditionalFormatting sqref="N312">
    <cfRule type="cellIs" priority="1228" operator="greaterThan" aboveAverage="0" equalAverage="0" bottom="0" percent="0" rank="0" text="" dxfId="7">
      <formula>0</formula>
    </cfRule>
    <cfRule type="cellIs" priority="1229" operator="lessThan" aboveAverage="0" equalAverage="0" bottom="0" percent="0" rank="0" text="" dxfId="8">
      <formula>0</formula>
    </cfRule>
  </conditionalFormatting>
  <conditionalFormatting sqref="I313">
    <cfRule type="cellIs" priority="1230" operator="greaterThan" aboveAverage="0" equalAverage="0" bottom="0" percent="0" rank="0" text="" dxfId="7">
      <formula>0</formula>
    </cfRule>
  </conditionalFormatting>
  <conditionalFormatting sqref="K313">
    <cfRule type="cellIs" priority="1231" operator="greaterThan" aboveAverage="0" equalAverage="0" bottom="0" percent="0" rank="0" text="" dxfId="7">
      <formula>0</formula>
    </cfRule>
  </conditionalFormatting>
  <conditionalFormatting sqref="N313">
    <cfRule type="cellIs" priority="1232" operator="greaterThan" aboveAverage="0" equalAverage="0" bottom="0" percent="0" rank="0" text="" dxfId="7">
      <formula>0</formula>
    </cfRule>
    <cfRule type="cellIs" priority="1233" operator="lessThan" aboveAverage="0" equalAverage="0" bottom="0" percent="0" rank="0" text="" dxfId="8">
      <formula>0</formula>
    </cfRule>
  </conditionalFormatting>
  <conditionalFormatting sqref="I314">
    <cfRule type="cellIs" priority="1234" operator="greaterThan" aboveAverage="0" equalAverage="0" bottom="0" percent="0" rank="0" text="" dxfId="7">
      <formula>0</formula>
    </cfRule>
  </conditionalFormatting>
  <conditionalFormatting sqref="K314">
    <cfRule type="cellIs" priority="1235" operator="greaterThan" aboveAverage="0" equalAverage="0" bottom="0" percent="0" rank="0" text="" dxfId="7">
      <formula>0</formula>
    </cfRule>
  </conditionalFormatting>
  <conditionalFormatting sqref="N314">
    <cfRule type="cellIs" priority="1236" operator="greaterThan" aboveAverage="0" equalAverage="0" bottom="0" percent="0" rank="0" text="" dxfId="7">
      <formula>0</formula>
    </cfRule>
    <cfRule type="cellIs" priority="1237" operator="lessThan" aboveAverage="0" equalAverage="0" bottom="0" percent="0" rank="0" text="" dxfId="8">
      <formula>0</formula>
    </cfRule>
  </conditionalFormatting>
  <conditionalFormatting sqref="I315">
    <cfRule type="cellIs" priority="1238" operator="greaterThan" aboveAverage="0" equalAverage="0" bottom="0" percent="0" rank="0" text="" dxfId="7">
      <formula>0</formula>
    </cfRule>
  </conditionalFormatting>
  <conditionalFormatting sqref="K315">
    <cfRule type="cellIs" priority="1239" operator="greaterThan" aboveAverage="0" equalAverage="0" bottom="0" percent="0" rank="0" text="" dxfId="7">
      <formula>0</formula>
    </cfRule>
  </conditionalFormatting>
  <conditionalFormatting sqref="N315">
    <cfRule type="cellIs" priority="1240" operator="greaterThan" aboveAverage="0" equalAverage="0" bottom="0" percent="0" rank="0" text="" dxfId="7">
      <formula>0</formula>
    </cfRule>
    <cfRule type="cellIs" priority="1241" operator="lessThan" aboveAverage="0" equalAverage="0" bottom="0" percent="0" rank="0" text="" dxfId="8">
      <formula>0</formula>
    </cfRule>
  </conditionalFormatting>
  <conditionalFormatting sqref="I316">
    <cfRule type="cellIs" priority="1242" operator="greaterThan" aboveAverage="0" equalAverage="0" bottom="0" percent="0" rank="0" text="" dxfId="7">
      <formula>0</formula>
    </cfRule>
  </conditionalFormatting>
  <conditionalFormatting sqref="K316">
    <cfRule type="cellIs" priority="1243" operator="greaterThan" aboveAverage="0" equalAverage="0" bottom="0" percent="0" rank="0" text="" dxfId="7">
      <formula>0</formula>
    </cfRule>
  </conditionalFormatting>
  <conditionalFormatting sqref="N316">
    <cfRule type="cellIs" priority="1244" operator="greaterThan" aboveAverage="0" equalAverage="0" bottom="0" percent="0" rank="0" text="" dxfId="7">
      <formula>0</formula>
    </cfRule>
    <cfRule type="cellIs" priority="1245" operator="lessThan" aboveAverage="0" equalAverage="0" bottom="0" percent="0" rank="0" text="" dxfId="8">
      <formula>0</formula>
    </cfRule>
  </conditionalFormatting>
  <conditionalFormatting sqref="I317">
    <cfRule type="cellIs" priority="1246" operator="greaterThan" aboveAverage="0" equalAverage="0" bottom="0" percent="0" rank="0" text="" dxfId="7">
      <formula>0</formula>
    </cfRule>
  </conditionalFormatting>
  <conditionalFormatting sqref="K317">
    <cfRule type="cellIs" priority="1247" operator="greaterThan" aboveAverage="0" equalAverage="0" bottom="0" percent="0" rank="0" text="" dxfId="7">
      <formula>0</formula>
    </cfRule>
  </conditionalFormatting>
  <conditionalFormatting sqref="N317">
    <cfRule type="cellIs" priority="1248" operator="greaterThan" aboveAverage="0" equalAverage="0" bottom="0" percent="0" rank="0" text="" dxfId="7">
      <formula>0</formula>
    </cfRule>
    <cfRule type="cellIs" priority="1249" operator="lessThan" aboveAverage="0" equalAverage="0" bottom="0" percent="0" rank="0" text="" dxfId="8">
      <formula>0</formula>
    </cfRule>
  </conditionalFormatting>
  <conditionalFormatting sqref="I318">
    <cfRule type="cellIs" priority="1250" operator="greaterThan" aboveAverage="0" equalAverage="0" bottom="0" percent="0" rank="0" text="" dxfId="7">
      <formula>0</formula>
    </cfRule>
  </conditionalFormatting>
  <conditionalFormatting sqref="K318">
    <cfRule type="cellIs" priority="1251" operator="greaterThan" aboveAverage="0" equalAverage="0" bottom="0" percent="0" rank="0" text="" dxfId="7">
      <formula>0</formula>
    </cfRule>
  </conditionalFormatting>
  <conditionalFormatting sqref="N318">
    <cfRule type="cellIs" priority="1252" operator="greaterThan" aboveAverage="0" equalAverage="0" bottom="0" percent="0" rank="0" text="" dxfId="7">
      <formula>0</formula>
    </cfRule>
    <cfRule type="cellIs" priority="1253" operator="lessThan" aboveAverage="0" equalAverage="0" bottom="0" percent="0" rank="0" text="" dxfId="8">
      <formula>0</formula>
    </cfRule>
  </conditionalFormatting>
  <conditionalFormatting sqref="I319">
    <cfRule type="cellIs" priority="1254" operator="greaterThan" aboveAverage="0" equalAverage="0" bottom="0" percent="0" rank="0" text="" dxfId="7">
      <formula>0</formula>
    </cfRule>
  </conditionalFormatting>
  <conditionalFormatting sqref="K319">
    <cfRule type="cellIs" priority="1255" operator="greaterThan" aboveAverage="0" equalAverage="0" bottom="0" percent="0" rank="0" text="" dxfId="7">
      <formula>0</formula>
    </cfRule>
  </conditionalFormatting>
  <conditionalFormatting sqref="N319">
    <cfRule type="cellIs" priority="1256" operator="greaterThan" aboveAverage="0" equalAverage="0" bottom="0" percent="0" rank="0" text="" dxfId="7">
      <formula>0</formula>
    </cfRule>
    <cfRule type="cellIs" priority="1257" operator="lessThan" aboveAverage="0" equalAverage="0" bottom="0" percent="0" rank="0" text="" dxfId="8">
      <formula>0</formula>
    </cfRule>
  </conditionalFormatting>
  <conditionalFormatting sqref="I320">
    <cfRule type="cellIs" priority="1258" operator="greaterThan" aboveAverage="0" equalAverage="0" bottom="0" percent="0" rank="0" text="" dxfId="7">
      <formula>0</formula>
    </cfRule>
  </conditionalFormatting>
  <conditionalFormatting sqref="K320">
    <cfRule type="cellIs" priority="1259" operator="greaterThan" aboveAverage="0" equalAverage="0" bottom="0" percent="0" rank="0" text="" dxfId="7">
      <formula>0</formula>
    </cfRule>
  </conditionalFormatting>
  <conditionalFormatting sqref="N320">
    <cfRule type="cellIs" priority="1260" operator="greaterThan" aboveAverage="0" equalAverage="0" bottom="0" percent="0" rank="0" text="" dxfId="7">
      <formula>0</formula>
    </cfRule>
    <cfRule type="cellIs" priority="1261" operator="lessThan" aboveAverage="0" equalAverage="0" bottom="0" percent="0" rank="0" text="" dxfId="8">
      <formula>0</formula>
    </cfRule>
  </conditionalFormatting>
  <conditionalFormatting sqref="I321">
    <cfRule type="cellIs" priority="1262" operator="greaterThan" aboveAverage="0" equalAverage="0" bottom="0" percent="0" rank="0" text="" dxfId="7">
      <formula>0</formula>
    </cfRule>
  </conditionalFormatting>
  <conditionalFormatting sqref="K321">
    <cfRule type="cellIs" priority="1263" operator="greaterThan" aboveAverage="0" equalAverage="0" bottom="0" percent="0" rank="0" text="" dxfId="7">
      <formula>0</formula>
    </cfRule>
  </conditionalFormatting>
  <conditionalFormatting sqref="N321">
    <cfRule type="cellIs" priority="1264" operator="greaterThan" aboveAverage="0" equalAverage="0" bottom="0" percent="0" rank="0" text="" dxfId="7">
      <formula>0</formula>
    </cfRule>
    <cfRule type="cellIs" priority="1265" operator="lessThan" aboveAverage="0" equalAverage="0" bottom="0" percent="0" rank="0" text="" dxfId="8">
      <formula>0</formula>
    </cfRule>
  </conditionalFormatting>
  <conditionalFormatting sqref="I322">
    <cfRule type="cellIs" priority="1266" operator="greaterThan" aboveAverage="0" equalAverage="0" bottom="0" percent="0" rank="0" text="" dxfId="7">
      <formula>0</formula>
    </cfRule>
  </conditionalFormatting>
  <conditionalFormatting sqref="K322">
    <cfRule type="cellIs" priority="1267" operator="greaterThan" aboveAverage="0" equalAverage="0" bottom="0" percent="0" rank="0" text="" dxfId="7">
      <formula>0</formula>
    </cfRule>
  </conditionalFormatting>
  <conditionalFormatting sqref="N322">
    <cfRule type="cellIs" priority="1268" operator="greaterThan" aboveAverage="0" equalAverage="0" bottom="0" percent="0" rank="0" text="" dxfId="7">
      <formula>0</formula>
    </cfRule>
    <cfRule type="cellIs" priority="1269" operator="lessThan" aboveAverage="0" equalAverage="0" bottom="0" percent="0" rank="0" text="" dxfId="8">
      <formula>0</formula>
    </cfRule>
  </conditionalFormatting>
  <conditionalFormatting sqref="I323">
    <cfRule type="cellIs" priority="1270" operator="greaterThan" aboveAverage="0" equalAverage="0" bottom="0" percent="0" rank="0" text="" dxfId="7">
      <formula>0</formula>
    </cfRule>
  </conditionalFormatting>
  <conditionalFormatting sqref="K323">
    <cfRule type="cellIs" priority="1271" operator="greaterThan" aboveAverage="0" equalAverage="0" bottom="0" percent="0" rank="0" text="" dxfId="7">
      <formula>0</formula>
    </cfRule>
  </conditionalFormatting>
  <conditionalFormatting sqref="N323">
    <cfRule type="cellIs" priority="1272" operator="greaterThan" aboveAverage="0" equalAverage="0" bottom="0" percent="0" rank="0" text="" dxfId="7">
      <formula>0</formula>
    </cfRule>
    <cfRule type="cellIs" priority="1273" operator="lessThan" aboveAverage="0" equalAverage="0" bottom="0" percent="0" rank="0" text="" dxfId="8">
      <formula>0</formula>
    </cfRule>
  </conditionalFormatting>
  <conditionalFormatting sqref="I324">
    <cfRule type="cellIs" priority="1274" operator="greaterThan" aboveAverage="0" equalAverage="0" bottom="0" percent="0" rank="0" text="" dxfId="7">
      <formula>0</formula>
    </cfRule>
  </conditionalFormatting>
  <conditionalFormatting sqref="K324">
    <cfRule type="cellIs" priority="1275" operator="greaterThan" aboveAverage="0" equalAverage="0" bottom="0" percent="0" rank="0" text="" dxfId="7">
      <formula>0</formula>
    </cfRule>
  </conditionalFormatting>
  <conditionalFormatting sqref="N324">
    <cfRule type="cellIs" priority="1276" operator="greaterThan" aboveAverage="0" equalAverage="0" bottom="0" percent="0" rank="0" text="" dxfId="7">
      <formula>0</formula>
    </cfRule>
    <cfRule type="cellIs" priority="1277" operator="lessThan" aboveAverage="0" equalAverage="0" bottom="0" percent="0" rank="0" text="" dxfId="8">
      <formula>0</formula>
    </cfRule>
  </conditionalFormatting>
  <conditionalFormatting sqref="I325">
    <cfRule type="cellIs" priority="1278" operator="greaterThan" aboveAverage="0" equalAverage="0" bottom="0" percent="0" rank="0" text="" dxfId="7">
      <formula>0</formula>
    </cfRule>
  </conditionalFormatting>
  <conditionalFormatting sqref="K325">
    <cfRule type="cellIs" priority="1279" operator="greaterThan" aboveAverage="0" equalAverage="0" bottom="0" percent="0" rank="0" text="" dxfId="7">
      <formula>0</formula>
    </cfRule>
  </conditionalFormatting>
  <conditionalFormatting sqref="N325">
    <cfRule type="cellIs" priority="1280" operator="greaterThan" aboveAverage="0" equalAverage="0" bottom="0" percent="0" rank="0" text="" dxfId="7">
      <formula>0</formula>
    </cfRule>
    <cfRule type="cellIs" priority="1281" operator="lessThan" aboveAverage="0" equalAverage="0" bottom="0" percent="0" rank="0" text="" dxfId="8">
      <formula>0</formula>
    </cfRule>
  </conditionalFormatting>
  <conditionalFormatting sqref="I326">
    <cfRule type="cellIs" priority="1282" operator="greaterThan" aboveAverage="0" equalAverage="0" bottom="0" percent="0" rank="0" text="" dxfId="7">
      <formula>0</formula>
    </cfRule>
  </conditionalFormatting>
  <conditionalFormatting sqref="K326">
    <cfRule type="cellIs" priority="1283" operator="greaterThan" aboveAverage="0" equalAverage="0" bottom="0" percent="0" rank="0" text="" dxfId="7">
      <formula>0</formula>
    </cfRule>
  </conditionalFormatting>
  <conditionalFormatting sqref="N326">
    <cfRule type="cellIs" priority="1284" operator="greaterThan" aboveAverage="0" equalAverage="0" bottom="0" percent="0" rank="0" text="" dxfId="7">
      <formula>0</formula>
    </cfRule>
    <cfRule type="cellIs" priority="1285" operator="lessThan" aboveAverage="0" equalAverage="0" bottom="0" percent="0" rank="0" text="" dxfId="8">
      <formula>0</formula>
    </cfRule>
  </conditionalFormatting>
  <conditionalFormatting sqref="I327">
    <cfRule type="cellIs" priority="1286" operator="greaterThan" aboveAverage="0" equalAverage="0" bottom="0" percent="0" rank="0" text="" dxfId="7">
      <formula>0</formula>
    </cfRule>
  </conditionalFormatting>
  <conditionalFormatting sqref="K327">
    <cfRule type="cellIs" priority="1287" operator="greaterThan" aboveAverage="0" equalAverage="0" bottom="0" percent="0" rank="0" text="" dxfId="7">
      <formula>0</formula>
    </cfRule>
  </conditionalFormatting>
  <conditionalFormatting sqref="N327">
    <cfRule type="cellIs" priority="1288" operator="greaterThan" aboveAverage="0" equalAverage="0" bottom="0" percent="0" rank="0" text="" dxfId="7">
      <formula>0</formula>
    </cfRule>
    <cfRule type="cellIs" priority="1289" operator="lessThan" aboveAverage="0" equalAverage="0" bottom="0" percent="0" rank="0" text="" dxfId="8">
      <formula>0</formula>
    </cfRule>
  </conditionalFormatting>
  <conditionalFormatting sqref="I328">
    <cfRule type="cellIs" priority="1290" operator="greaterThan" aboveAverage="0" equalAverage="0" bottom="0" percent="0" rank="0" text="" dxfId="7">
      <formula>0</formula>
    </cfRule>
  </conditionalFormatting>
  <conditionalFormatting sqref="K328">
    <cfRule type="cellIs" priority="1291" operator="greaterThan" aboveAverage="0" equalAverage="0" bottom="0" percent="0" rank="0" text="" dxfId="7">
      <formula>0</formula>
    </cfRule>
  </conditionalFormatting>
  <conditionalFormatting sqref="N328">
    <cfRule type="cellIs" priority="1292" operator="greaterThan" aboveAverage="0" equalAverage="0" bottom="0" percent="0" rank="0" text="" dxfId="7">
      <formula>0</formula>
    </cfRule>
    <cfRule type="cellIs" priority="1293" operator="lessThan" aboveAverage="0" equalAverage="0" bottom="0" percent="0" rank="0" text="" dxfId="8">
      <formula>0</formula>
    </cfRule>
  </conditionalFormatting>
  <conditionalFormatting sqref="I329">
    <cfRule type="cellIs" priority="1294" operator="greaterThan" aboveAverage="0" equalAverage="0" bottom="0" percent="0" rank="0" text="" dxfId="7">
      <formula>0</formula>
    </cfRule>
  </conditionalFormatting>
  <conditionalFormatting sqref="K329">
    <cfRule type="cellIs" priority="1295" operator="greaterThan" aboveAverage="0" equalAverage="0" bottom="0" percent="0" rank="0" text="" dxfId="7">
      <formula>0</formula>
    </cfRule>
  </conditionalFormatting>
  <conditionalFormatting sqref="N329">
    <cfRule type="cellIs" priority="1296" operator="greaterThan" aboveAverage="0" equalAverage="0" bottom="0" percent="0" rank="0" text="" dxfId="7">
      <formula>0</formula>
    </cfRule>
    <cfRule type="cellIs" priority="1297" operator="lessThan" aboveAverage="0" equalAverage="0" bottom="0" percent="0" rank="0" text="" dxfId="8">
      <formula>0</formula>
    </cfRule>
  </conditionalFormatting>
  <conditionalFormatting sqref="I330">
    <cfRule type="cellIs" priority="1298" operator="greaterThan" aboveAverage="0" equalAverage="0" bottom="0" percent="0" rank="0" text="" dxfId="7">
      <formula>0</formula>
    </cfRule>
  </conditionalFormatting>
  <conditionalFormatting sqref="K330">
    <cfRule type="cellIs" priority="1299" operator="greaterThan" aboveAverage="0" equalAverage="0" bottom="0" percent="0" rank="0" text="" dxfId="7">
      <formula>0</formula>
    </cfRule>
  </conditionalFormatting>
  <conditionalFormatting sqref="N330">
    <cfRule type="cellIs" priority="1300" operator="greaterThan" aboveAverage="0" equalAverage="0" bottom="0" percent="0" rank="0" text="" dxfId="7">
      <formula>0</formula>
    </cfRule>
    <cfRule type="cellIs" priority="1301" operator="lessThan" aboveAverage="0" equalAverage="0" bottom="0" percent="0" rank="0" text="" dxfId="8">
      <formula>0</formula>
    </cfRule>
  </conditionalFormatting>
  <conditionalFormatting sqref="I331">
    <cfRule type="cellIs" priority="1302" operator="greaterThan" aboveAverage="0" equalAverage="0" bottom="0" percent="0" rank="0" text="" dxfId="7">
      <formula>0</formula>
    </cfRule>
  </conditionalFormatting>
  <conditionalFormatting sqref="K331">
    <cfRule type="cellIs" priority="1303" operator="greaterThan" aboveAverage="0" equalAverage="0" bottom="0" percent="0" rank="0" text="" dxfId="7">
      <formula>0</formula>
    </cfRule>
  </conditionalFormatting>
  <conditionalFormatting sqref="N331">
    <cfRule type="cellIs" priority="1304" operator="greaterThan" aboveAverage="0" equalAverage="0" bottom="0" percent="0" rank="0" text="" dxfId="7">
      <formula>0</formula>
    </cfRule>
    <cfRule type="cellIs" priority="1305" operator="lessThan" aboveAverage="0" equalAverage="0" bottom="0" percent="0" rank="0" text="" dxfId="8">
      <formula>0</formula>
    </cfRule>
  </conditionalFormatting>
  <conditionalFormatting sqref="I332">
    <cfRule type="cellIs" priority="1306" operator="greaterThan" aboveAverage="0" equalAverage="0" bottom="0" percent="0" rank="0" text="" dxfId="7">
      <formula>0</formula>
    </cfRule>
  </conditionalFormatting>
  <conditionalFormatting sqref="K332">
    <cfRule type="cellIs" priority="1307" operator="greaterThan" aboveAverage="0" equalAverage="0" bottom="0" percent="0" rank="0" text="" dxfId="7">
      <formula>0</formula>
    </cfRule>
  </conditionalFormatting>
  <conditionalFormatting sqref="N332">
    <cfRule type="cellIs" priority="1308" operator="greaterThan" aboveAverage="0" equalAverage="0" bottom="0" percent="0" rank="0" text="" dxfId="7">
      <formula>0</formula>
    </cfRule>
    <cfRule type="cellIs" priority="1309" operator="lessThan" aboveAverage="0" equalAverage="0" bottom="0" percent="0" rank="0" text="" dxfId="8">
      <formula>0</formula>
    </cfRule>
  </conditionalFormatting>
  <conditionalFormatting sqref="I333">
    <cfRule type="cellIs" priority="1310" operator="greaterThan" aboveAverage="0" equalAverage="0" bottom="0" percent="0" rank="0" text="" dxfId="7">
      <formula>0</formula>
    </cfRule>
  </conditionalFormatting>
  <conditionalFormatting sqref="K333">
    <cfRule type="cellIs" priority="1311" operator="greaterThan" aboveAverage="0" equalAverage="0" bottom="0" percent="0" rank="0" text="" dxfId="7">
      <formula>0</formula>
    </cfRule>
  </conditionalFormatting>
  <conditionalFormatting sqref="N333">
    <cfRule type="cellIs" priority="1312" operator="greaterThan" aboveAverage="0" equalAverage="0" bottom="0" percent="0" rank="0" text="" dxfId="7">
      <formula>0</formula>
    </cfRule>
    <cfRule type="cellIs" priority="1313" operator="lessThan" aboveAverage="0" equalAverage="0" bottom="0" percent="0" rank="0" text="" dxfId="8">
      <formula>0</formula>
    </cfRule>
  </conditionalFormatting>
  <conditionalFormatting sqref="I334">
    <cfRule type="cellIs" priority="1314" operator="greaterThan" aboveAverage="0" equalAverage="0" bottom="0" percent="0" rank="0" text="" dxfId="7">
      <formula>0</formula>
    </cfRule>
  </conditionalFormatting>
  <conditionalFormatting sqref="K334">
    <cfRule type="cellIs" priority="1315" operator="greaterThan" aboveAverage="0" equalAverage="0" bottom="0" percent="0" rank="0" text="" dxfId="7">
      <formula>0</formula>
    </cfRule>
  </conditionalFormatting>
  <conditionalFormatting sqref="N334">
    <cfRule type="cellIs" priority="1316" operator="greaterThan" aboveAverage="0" equalAverage="0" bottom="0" percent="0" rank="0" text="" dxfId="7">
      <formula>0</formula>
    </cfRule>
    <cfRule type="cellIs" priority="1317" operator="lessThan" aboveAverage="0" equalAverage="0" bottom="0" percent="0" rank="0" text="" dxfId="8">
      <formula>0</formula>
    </cfRule>
  </conditionalFormatting>
  <conditionalFormatting sqref="I335">
    <cfRule type="cellIs" priority="1318" operator="greaterThan" aboveAverage="0" equalAverage="0" bottom="0" percent="0" rank="0" text="" dxfId="7">
      <formula>0</formula>
    </cfRule>
  </conditionalFormatting>
  <conditionalFormatting sqref="K335">
    <cfRule type="cellIs" priority="1319" operator="greaterThan" aboveAverage="0" equalAverage="0" bottom="0" percent="0" rank="0" text="" dxfId="7">
      <formula>0</formula>
    </cfRule>
  </conditionalFormatting>
  <conditionalFormatting sqref="N335">
    <cfRule type="cellIs" priority="1320" operator="greaterThan" aboveAverage="0" equalAverage="0" bottom="0" percent="0" rank="0" text="" dxfId="7">
      <formula>0</formula>
    </cfRule>
    <cfRule type="cellIs" priority="1321" operator="lessThan" aboveAverage="0" equalAverage="0" bottom="0" percent="0" rank="0" text="" dxfId="8">
      <formula>0</formula>
    </cfRule>
  </conditionalFormatting>
  <conditionalFormatting sqref="I336">
    <cfRule type="cellIs" priority="1322" operator="greaterThan" aboveAverage="0" equalAverage="0" bottom="0" percent="0" rank="0" text="" dxfId="7">
      <formula>0</formula>
    </cfRule>
  </conditionalFormatting>
  <conditionalFormatting sqref="K336">
    <cfRule type="cellIs" priority="1323" operator="greaterThan" aboveAverage="0" equalAverage="0" bottom="0" percent="0" rank="0" text="" dxfId="7">
      <formula>0</formula>
    </cfRule>
  </conditionalFormatting>
  <conditionalFormatting sqref="N336">
    <cfRule type="cellIs" priority="1324" operator="greaterThan" aboveAverage="0" equalAverage="0" bottom="0" percent="0" rank="0" text="" dxfId="7">
      <formula>0</formula>
    </cfRule>
    <cfRule type="cellIs" priority="1325" operator="lessThan" aboveAverage="0" equalAverage="0" bottom="0" percent="0" rank="0" text="" dxfId="8">
      <formula>0</formula>
    </cfRule>
  </conditionalFormatting>
  <conditionalFormatting sqref="I337">
    <cfRule type="cellIs" priority="1326" operator="greaterThan" aboveAverage="0" equalAverage="0" bottom="0" percent="0" rank="0" text="" dxfId="7">
      <formula>0</formula>
    </cfRule>
  </conditionalFormatting>
  <conditionalFormatting sqref="K337">
    <cfRule type="cellIs" priority="1327" operator="greaterThan" aboveAverage="0" equalAverage="0" bottom="0" percent="0" rank="0" text="" dxfId="7">
      <formula>0</formula>
    </cfRule>
  </conditionalFormatting>
  <conditionalFormatting sqref="N337">
    <cfRule type="cellIs" priority="1328" operator="greaterThan" aboveAverage="0" equalAverage="0" bottom="0" percent="0" rank="0" text="" dxfId="7">
      <formula>0</formula>
    </cfRule>
    <cfRule type="cellIs" priority="1329" operator="lessThan" aboveAverage="0" equalAverage="0" bottom="0" percent="0" rank="0" text="" dxfId="8">
      <formula>0</formula>
    </cfRule>
  </conditionalFormatting>
  <conditionalFormatting sqref="I338">
    <cfRule type="cellIs" priority="1330" operator="greaterThan" aboveAverage="0" equalAverage="0" bottom="0" percent="0" rank="0" text="" dxfId="7">
      <formula>0</formula>
    </cfRule>
  </conditionalFormatting>
  <conditionalFormatting sqref="K338">
    <cfRule type="cellIs" priority="1331" operator="greaterThan" aboveAverage="0" equalAverage="0" bottom="0" percent="0" rank="0" text="" dxfId="7">
      <formula>0</formula>
    </cfRule>
  </conditionalFormatting>
  <conditionalFormatting sqref="N338">
    <cfRule type="cellIs" priority="1332" operator="greaterThan" aboveAverage="0" equalAverage="0" bottom="0" percent="0" rank="0" text="" dxfId="7">
      <formula>0</formula>
    </cfRule>
    <cfRule type="cellIs" priority="1333" operator="lessThan" aboveAverage="0" equalAverage="0" bottom="0" percent="0" rank="0" text="" dxfId="8">
      <formula>0</formula>
    </cfRule>
  </conditionalFormatting>
  <conditionalFormatting sqref="I339">
    <cfRule type="cellIs" priority="1334" operator="greaterThan" aboveAverage="0" equalAverage="0" bottom="0" percent="0" rank="0" text="" dxfId="7">
      <formula>0</formula>
    </cfRule>
  </conditionalFormatting>
  <conditionalFormatting sqref="K339">
    <cfRule type="cellIs" priority="1335" operator="greaterThan" aboveAverage="0" equalAverage="0" bottom="0" percent="0" rank="0" text="" dxfId="7">
      <formula>0</formula>
    </cfRule>
  </conditionalFormatting>
  <conditionalFormatting sqref="N339">
    <cfRule type="cellIs" priority="1336" operator="greaterThan" aboveAverage="0" equalAverage="0" bottom="0" percent="0" rank="0" text="" dxfId="7">
      <formula>0</formula>
    </cfRule>
    <cfRule type="cellIs" priority="1337" operator="lessThan" aboveAverage="0" equalAverage="0" bottom="0" percent="0" rank="0" text="" dxfId="8">
      <formula>0</formula>
    </cfRule>
  </conditionalFormatting>
  <conditionalFormatting sqref="I340">
    <cfRule type="cellIs" priority="1338" operator="greaterThan" aboveAverage="0" equalAverage="0" bottom="0" percent="0" rank="0" text="" dxfId="7">
      <formula>0</formula>
    </cfRule>
  </conditionalFormatting>
  <conditionalFormatting sqref="K340">
    <cfRule type="cellIs" priority="1339" operator="greaterThan" aboveAverage="0" equalAverage="0" bottom="0" percent="0" rank="0" text="" dxfId="7">
      <formula>0</formula>
    </cfRule>
  </conditionalFormatting>
  <conditionalFormatting sqref="N340">
    <cfRule type="cellIs" priority="1340" operator="greaterThan" aboveAverage="0" equalAverage="0" bottom="0" percent="0" rank="0" text="" dxfId="7">
      <formula>0</formula>
    </cfRule>
    <cfRule type="cellIs" priority="1341" operator="lessThan" aboveAverage="0" equalAverage="0" bottom="0" percent="0" rank="0" text="" dxfId="8">
      <formula>0</formula>
    </cfRule>
  </conditionalFormatting>
  <conditionalFormatting sqref="I341">
    <cfRule type="cellIs" priority="1342" operator="greaterThan" aboveAverage="0" equalAverage="0" bottom="0" percent="0" rank="0" text="" dxfId="7">
      <formula>0</formula>
    </cfRule>
  </conditionalFormatting>
  <conditionalFormatting sqref="K341">
    <cfRule type="cellIs" priority="1343" operator="greaterThan" aboveAverage="0" equalAverage="0" bottom="0" percent="0" rank="0" text="" dxfId="7">
      <formula>0</formula>
    </cfRule>
  </conditionalFormatting>
  <conditionalFormatting sqref="N341">
    <cfRule type="cellIs" priority="1344" operator="greaterThan" aboveAverage="0" equalAverage="0" bottom="0" percent="0" rank="0" text="" dxfId="7">
      <formula>0</formula>
    </cfRule>
    <cfRule type="cellIs" priority="1345" operator="lessThan" aboveAverage="0" equalAverage="0" bottom="0" percent="0" rank="0" text="" dxfId="8">
      <formula>0</formula>
    </cfRule>
  </conditionalFormatting>
  <conditionalFormatting sqref="I342">
    <cfRule type="cellIs" priority="1346" operator="greaterThan" aboveAverage="0" equalAverage="0" bottom="0" percent="0" rank="0" text="" dxfId="7">
      <formula>0</formula>
    </cfRule>
  </conditionalFormatting>
  <conditionalFormatting sqref="K342">
    <cfRule type="cellIs" priority="1347" operator="greaterThan" aboveAverage="0" equalAverage="0" bottom="0" percent="0" rank="0" text="" dxfId="7">
      <formula>0</formula>
    </cfRule>
  </conditionalFormatting>
  <conditionalFormatting sqref="N342">
    <cfRule type="cellIs" priority="1348" operator="greaterThan" aboveAverage="0" equalAverage="0" bottom="0" percent="0" rank="0" text="" dxfId="7">
      <formula>0</formula>
    </cfRule>
    <cfRule type="cellIs" priority="1349" operator="lessThan" aboveAverage="0" equalAverage="0" bottom="0" percent="0" rank="0" text="" dxfId="8">
      <formula>0</formula>
    </cfRule>
  </conditionalFormatting>
  <conditionalFormatting sqref="I343">
    <cfRule type="cellIs" priority="1350" operator="greaterThan" aboveAverage="0" equalAverage="0" bottom="0" percent="0" rank="0" text="" dxfId="7">
      <formula>0</formula>
    </cfRule>
  </conditionalFormatting>
  <conditionalFormatting sqref="K343">
    <cfRule type="cellIs" priority="1351" operator="greaterThan" aboveAverage="0" equalAverage="0" bottom="0" percent="0" rank="0" text="" dxfId="7">
      <formula>0</formula>
    </cfRule>
  </conditionalFormatting>
  <conditionalFormatting sqref="N343">
    <cfRule type="cellIs" priority="1352" operator="greaterThan" aboveAverage="0" equalAverage="0" bottom="0" percent="0" rank="0" text="" dxfId="7">
      <formula>0</formula>
    </cfRule>
    <cfRule type="cellIs" priority="1353" operator="lessThan" aboveAverage="0" equalAverage="0" bottom="0" percent="0" rank="0" text="" dxfId="8">
      <formula>0</formula>
    </cfRule>
  </conditionalFormatting>
  <conditionalFormatting sqref="I344">
    <cfRule type="cellIs" priority="1354" operator="greaterThan" aboveAverage="0" equalAverage="0" bottom="0" percent="0" rank="0" text="" dxfId="7">
      <formula>0</formula>
    </cfRule>
  </conditionalFormatting>
  <conditionalFormatting sqref="K344">
    <cfRule type="cellIs" priority="1355" operator="greaterThan" aboveAverage="0" equalAverage="0" bottom="0" percent="0" rank="0" text="" dxfId="7">
      <formula>0</formula>
    </cfRule>
  </conditionalFormatting>
  <conditionalFormatting sqref="N344">
    <cfRule type="cellIs" priority="1356" operator="greaterThan" aboveAverage="0" equalAverage="0" bottom="0" percent="0" rank="0" text="" dxfId="7">
      <formula>0</formula>
    </cfRule>
    <cfRule type="cellIs" priority="1357" operator="lessThan" aboveAverage="0" equalAverage="0" bottom="0" percent="0" rank="0" text="" dxfId="8">
      <formula>0</formula>
    </cfRule>
  </conditionalFormatting>
  <conditionalFormatting sqref="I345">
    <cfRule type="cellIs" priority="1358" operator="greaterThan" aboveAverage="0" equalAverage="0" bottom="0" percent="0" rank="0" text="" dxfId="7">
      <formula>0</formula>
    </cfRule>
  </conditionalFormatting>
  <conditionalFormatting sqref="K345">
    <cfRule type="cellIs" priority="1359" operator="greaterThan" aboveAverage="0" equalAverage="0" bottom="0" percent="0" rank="0" text="" dxfId="7">
      <formula>0</formula>
    </cfRule>
  </conditionalFormatting>
  <conditionalFormatting sqref="N345">
    <cfRule type="cellIs" priority="1360" operator="greaterThan" aboveAverage="0" equalAverage="0" bottom="0" percent="0" rank="0" text="" dxfId="7">
      <formula>0</formula>
    </cfRule>
    <cfRule type="cellIs" priority="1361" operator="lessThan" aboveAverage="0" equalAverage="0" bottom="0" percent="0" rank="0" text="" dxfId="8">
      <formula>0</formula>
    </cfRule>
  </conditionalFormatting>
  <conditionalFormatting sqref="I346">
    <cfRule type="cellIs" priority="1362" operator="greaterThan" aboveAverage="0" equalAverage="0" bottom="0" percent="0" rank="0" text="" dxfId="7">
      <formula>0</formula>
    </cfRule>
  </conditionalFormatting>
  <conditionalFormatting sqref="K346">
    <cfRule type="cellIs" priority="1363" operator="greaterThan" aboveAverage="0" equalAverage="0" bottom="0" percent="0" rank="0" text="" dxfId="7">
      <formula>0</formula>
    </cfRule>
  </conditionalFormatting>
  <conditionalFormatting sqref="N346">
    <cfRule type="cellIs" priority="1364" operator="greaterThan" aboveAverage="0" equalAverage="0" bottom="0" percent="0" rank="0" text="" dxfId="7">
      <formula>0</formula>
    </cfRule>
    <cfRule type="cellIs" priority="1365" operator="lessThan" aboveAverage="0" equalAverage="0" bottom="0" percent="0" rank="0" text="" dxfId="8">
      <formula>0</formula>
    </cfRule>
  </conditionalFormatting>
  <conditionalFormatting sqref="I347">
    <cfRule type="cellIs" priority="1366" operator="greaterThan" aboveAverage="0" equalAverage="0" bottom="0" percent="0" rank="0" text="" dxfId="7">
      <formula>0</formula>
    </cfRule>
  </conditionalFormatting>
  <conditionalFormatting sqref="K347">
    <cfRule type="cellIs" priority="1367" operator="greaterThan" aboveAverage="0" equalAverage="0" bottom="0" percent="0" rank="0" text="" dxfId="7">
      <formula>0</formula>
    </cfRule>
  </conditionalFormatting>
  <conditionalFormatting sqref="N347">
    <cfRule type="cellIs" priority="1368" operator="greaterThan" aboveAverage="0" equalAverage="0" bottom="0" percent="0" rank="0" text="" dxfId="7">
      <formula>0</formula>
    </cfRule>
    <cfRule type="cellIs" priority="1369" operator="lessThan" aboveAverage="0" equalAverage="0" bottom="0" percent="0" rank="0" text="" dxfId="8">
      <formula>0</formula>
    </cfRule>
  </conditionalFormatting>
  <conditionalFormatting sqref="I348">
    <cfRule type="cellIs" priority="1370" operator="greaterThan" aboveAverage="0" equalAverage="0" bottom="0" percent="0" rank="0" text="" dxfId="7">
      <formula>0</formula>
    </cfRule>
  </conditionalFormatting>
  <conditionalFormatting sqref="K348">
    <cfRule type="cellIs" priority="1371" operator="greaterThan" aboveAverage="0" equalAverage="0" bottom="0" percent="0" rank="0" text="" dxfId="7">
      <formula>0</formula>
    </cfRule>
  </conditionalFormatting>
  <conditionalFormatting sqref="N348">
    <cfRule type="cellIs" priority="1372" operator="greaterThan" aboveAverage="0" equalAverage="0" bottom="0" percent="0" rank="0" text="" dxfId="7">
      <formula>0</formula>
    </cfRule>
    <cfRule type="cellIs" priority="1373" operator="lessThan" aboveAverage="0" equalAverage="0" bottom="0" percent="0" rank="0" text="" dxfId="8">
      <formula>0</formula>
    </cfRule>
  </conditionalFormatting>
  <conditionalFormatting sqref="I349">
    <cfRule type="cellIs" priority="1374" operator="greaterThan" aboveAverage="0" equalAverage="0" bottom="0" percent="0" rank="0" text="" dxfId="7">
      <formula>0</formula>
    </cfRule>
  </conditionalFormatting>
  <conditionalFormatting sqref="K349">
    <cfRule type="cellIs" priority="1375" operator="greaterThan" aboveAverage="0" equalAverage="0" bottom="0" percent="0" rank="0" text="" dxfId="7">
      <formula>0</formula>
    </cfRule>
  </conditionalFormatting>
  <conditionalFormatting sqref="N349">
    <cfRule type="cellIs" priority="1376" operator="greaterThan" aboveAverage="0" equalAverage="0" bottom="0" percent="0" rank="0" text="" dxfId="7">
      <formula>0</formula>
    </cfRule>
    <cfRule type="cellIs" priority="1377" operator="lessThan" aboveAverage="0" equalAverage="0" bottom="0" percent="0" rank="0" text="" dxfId="8">
      <formula>0</formula>
    </cfRule>
  </conditionalFormatting>
  <conditionalFormatting sqref="I350">
    <cfRule type="cellIs" priority="1378" operator="greaterThan" aboveAverage="0" equalAverage="0" bottom="0" percent="0" rank="0" text="" dxfId="7">
      <formula>0</formula>
    </cfRule>
  </conditionalFormatting>
  <conditionalFormatting sqref="K350">
    <cfRule type="cellIs" priority="1379" operator="greaterThan" aboveAverage="0" equalAverage="0" bottom="0" percent="0" rank="0" text="" dxfId="7">
      <formula>0</formula>
    </cfRule>
  </conditionalFormatting>
  <conditionalFormatting sqref="N350">
    <cfRule type="cellIs" priority="1380" operator="greaterThan" aboveAverage="0" equalAverage="0" bottom="0" percent="0" rank="0" text="" dxfId="7">
      <formula>0</formula>
    </cfRule>
    <cfRule type="cellIs" priority="1381" operator="lessThan" aboveAverage="0" equalAverage="0" bottom="0" percent="0" rank="0" text="" dxfId="8">
      <formula>0</formula>
    </cfRule>
  </conditionalFormatting>
  <conditionalFormatting sqref="I351">
    <cfRule type="cellIs" priority="1382" operator="greaterThan" aboveAverage="0" equalAverage="0" bottom="0" percent="0" rank="0" text="" dxfId="7">
      <formula>0</formula>
    </cfRule>
  </conditionalFormatting>
  <conditionalFormatting sqref="K351">
    <cfRule type="cellIs" priority="1383" operator="greaterThan" aboveAverage="0" equalAverage="0" bottom="0" percent="0" rank="0" text="" dxfId="7">
      <formula>0</formula>
    </cfRule>
  </conditionalFormatting>
  <conditionalFormatting sqref="N351">
    <cfRule type="cellIs" priority="1384" operator="greaterThan" aboveAverage="0" equalAverage="0" bottom="0" percent="0" rank="0" text="" dxfId="7">
      <formula>0</formula>
    </cfRule>
    <cfRule type="cellIs" priority="1385" operator="lessThan" aboveAverage="0" equalAverage="0" bottom="0" percent="0" rank="0" text="" dxfId="8">
      <formula>0</formula>
    </cfRule>
  </conditionalFormatting>
  <conditionalFormatting sqref="I352">
    <cfRule type="cellIs" priority="1386" operator="greaterThan" aboveAverage="0" equalAverage="0" bottom="0" percent="0" rank="0" text="" dxfId="7">
      <formula>0</formula>
    </cfRule>
  </conditionalFormatting>
  <conditionalFormatting sqref="K352">
    <cfRule type="cellIs" priority="1387" operator="greaterThan" aboveAverage="0" equalAverage="0" bottom="0" percent="0" rank="0" text="" dxfId="7">
      <formula>0</formula>
    </cfRule>
  </conditionalFormatting>
  <conditionalFormatting sqref="N352">
    <cfRule type="cellIs" priority="1388" operator="greaterThan" aboveAverage="0" equalAverage="0" bottom="0" percent="0" rank="0" text="" dxfId="7">
      <formula>0</formula>
    </cfRule>
    <cfRule type="cellIs" priority="1389" operator="lessThan" aboveAverage="0" equalAverage="0" bottom="0" percent="0" rank="0" text="" dxfId="8">
      <formula>0</formula>
    </cfRule>
  </conditionalFormatting>
  <conditionalFormatting sqref="I353">
    <cfRule type="cellIs" priority="1390" operator="greaterThan" aboveAverage="0" equalAverage="0" bottom="0" percent="0" rank="0" text="" dxfId="7">
      <formula>0</formula>
    </cfRule>
  </conditionalFormatting>
  <conditionalFormatting sqref="K353">
    <cfRule type="cellIs" priority="1391" operator="greaterThan" aboveAverage="0" equalAverage="0" bottom="0" percent="0" rank="0" text="" dxfId="7">
      <formula>0</formula>
    </cfRule>
  </conditionalFormatting>
  <conditionalFormatting sqref="N353">
    <cfRule type="cellIs" priority="1392" operator="greaterThan" aboveAverage="0" equalAverage="0" bottom="0" percent="0" rank="0" text="" dxfId="7">
      <formula>0</formula>
    </cfRule>
    <cfRule type="cellIs" priority="1393" operator="lessThan" aboveAverage="0" equalAverage="0" bottom="0" percent="0" rank="0" text="" dxfId="8">
      <formula>0</formula>
    </cfRule>
  </conditionalFormatting>
  <conditionalFormatting sqref="I354">
    <cfRule type="cellIs" priority="1394" operator="greaterThan" aboveAverage="0" equalAverage="0" bottom="0" percent="0" rank="0" text="" dxfId="7">
      <formula>0</formula>
    </cfRule>
  </conditionalFormatting>
  <conditionalFormatting sqref="K354">
    <cfRule type="cellIs" priority="1395" operator="greaterThan" aboveAverage="0" equalAverage="0" bottom="0" percent="0" rank="0" text="" dxfId="7">
      <formula>0</formula>
    </cfRule>
  </conditionalFormatting>
  <conditionalFormatting sqref="N354">
    <cfRule type="cellIs" priority="1396" operator="greaterThan" aboveAverage="0" equalAverage="0" bottom="0" percent="0" rank="0" text="" dxfId="7">
      <formula>0</formula>
    </cfRule>
    <cfRule type="cellIs" priority="1397" operator="lessThan" aboveAverage="0" equalAverage="0" bottom="0" percent="0" rank="0" text="" dxfId="8">
      <formula>0</formula>
    </cfRule>
  </conditionalFormatting>
  <conditionalFormatting sqref="I355">
    <cfRule type="cellIs" priority="1398" operator="greaterThan" aboveAverage="0" equalAverage="0" bottom="0" percent="0" rank="0" text="" dxfId="7">
      <formula>0</formula>
    </cfRule>
  </conditionalFormatting>
  <conditionalFormatting sqref="K355">
    <cfRule type="cellIs" priority="1399" operator="greaterThan" aboveAverage="0" equalAverage="0" bottom="0" percent="0" rank="0" text="" dxfId="7">
      <formula>0</formula>
    </cfRule>
  </conditionalFormatting>
  <conditionalFormatting sqref="N355">
    <cfRule type="cellIs" priority="1400" operator="greaterThan" aboveAverage="0" equalAverage="0" bottom="0" percent="0" rank="0" text="" dxfId="7">
      <formula>0</formula>
    </cfRule>
    <cfRule type="cellIs" priority="1401" operator="lessThan" aboveAverage="0" equalAverage="0" bottom="0" percent="0" rank="0" text="" dxfId="8">
      <formula>0</formula>
    </cfRule>
  </conditionalFormatting>
  <conditionalFormatting sqref="I356">
    <cfRule type="cellIs" priority="1402" operator="greaterThan" aboveAverage="0" equalAverage="0" bottom="0" percent="0" rank="0" text="" dxfId="7">
      <formula>0</formula>
    </cfRule>
  </conditionalFormatting>
  <conditionalFormatting sqref="K356">
    <cfRule type="cellIs" priority="1403" operator="greaterThan" aboveAverage="0" equalAverage="0" bottom="0" percent="0" rank="0" text="" dxfId="7">
      <formula>0</formula>
    </cfRule>
  </conditionalFormatting>
  <conditionalFormatting sqref="N356">
    <cfRule type="cellIs" priority="1404" operator="greaterThan" aboveAverage="0" equalAverage="0" bottom="0" percent="0" rank="0" text="" dxfId="7">
      <formula>0</formula>
    </cfRule>
    <cfRule type="cellIs" priority="1405" operator="lessThan" aboveAverage="0" equalAverage="0" bottom="0" percent="0" rank="0" text="" dxfId="8">
      <formula>0</formula>
    </cfRule>
  </conditionalFormatting>
  <conditionalFormatting sqref="I357">
    <cfRule type="cellIs" priority="1406" operator="greaterThan" aboveAverage="0" equalAverage="0" bottom="0" percent="0" rank="0" text="" dxfId="7">
      <formula>0</formula>
    </cfRule>
  </conditionalFormatting>
  <conditionalFormatting sqref="K357">
    <cfRule type="cellIs" priority="1407" operator="greaterThan" aboveAverage="0" equalAverage="0" bottom="0" percent="0" rank="0" text="" dxfId="7">
      <formula>0</formula>
    </cfRule>
  </conditionalFormatting>
  <conditionalFormatting sqref="N357">
    <cfRule type="cellIs" priority="1408" operator="greaterThan" aboveAverage="0" equalAverage="0" bottom="0" percent="0" rank="0" text="" dxfId="7">
      <formula>0</formula>
    </cfRule>
    <cfRule type="cellIs" priority="1409" operator="lessThan" aboveAverage="0" equalAverage="0" bottom="0" percent="0" rank="0" text="" dxfId="8">
      <formula>0</formula>
    </cfRule>
  </conditionalFormatting>
  <conditionalFormatting sqref="I358">
    <cfRule type="cellIs" priority="1410" operator="greaterThan" aboveAverage="0" equalAverage="0" bottom="0" percent="0" rank="0" text="" dxfId="7">
      <formula>0</formula>
    </cfRule>
  </conditionalFormatting>
  <conditionalFormatting sqref="K358">
    <cfRule type="cellIs" priority="1411" operator="greaterThan" aboveAverage="0" equalAverage="0" bottom="0" percent="0" rank="0" text="" dxfId="7">
      <formula>0</formula>
    </cfRule>
  </conditionalFormatting>
  <conditionalFormatting sqref="N358">
    <cfRule type="cellIs" priority="1412" operator="greaterThan" aboveAverage="0" equalAverage="0" bottom="0" percent="0" rank="0" text="" dxfId="7">
      <formula>0</formula>
    </cfRule>
    <cfRule type="cellIs" priority="1413" operator="lessThan" aboveAverage="0" equalAverage="0" bottom="0" percent="0" rank="0" text="" dxfId="8">
      <formula>0</formula>
    </cfRule>
  </conditionalFormatting>
  <conditionalFormatting sqref="I359">
    <cfRule type="cellIs" priority="1414" operator="greaterThan" aboveAverage="0" equalAverage="0" bottom="0" percent="0" rank="0" text="" dxfId="7">
      <formula>0</formula>
    </cfRule>
  </conditionalFormatting>
  <conditionalFormatting sqref="K359">
    <cfRule type="cellIs" priority="1415" operator="greaterThan" aboveAverage="0" equalAverage="0" bottom="0" percent="0" rank="0" text="" dxfId="7">
      <formula>0</formula>
    </cfRule>
  </conditionalFormatting>
  <conditionalFormatting sqref="N359">
    <cfRule type="cellIs" priority="1416" operator="greaterThan" aboveAverage="0" equalAverage="0" bottom="0" percent="0" rank="0" text="" dxfId="7">
      <formula>0</formula>
    </cfRule>
    <cfRule type="cellIs" priority="1417" operator="lessThan" aboveAverage="0" equalAverage="0" bottom="0" percent="0" rank="0" text="" dxfId="8">
      <formula>0</formula>
    </cfRule>
  </conditionalFormatting>
  <conditionalFormatting sqref="I360">
    <cfRule type="cellIs" priority="1418" operator="greaterThan" aboveAverage="0" equalAverage="0" bottom="0" percent="0" rank="0" text="" dxfId="7">
      <formula>0</formula>
    </cfRule>
  </conditionalFormatting>
  <conditionalFormatting sqref="K360">
    <cfRule type="cellIs" priority="1419" operator="greaterThan" aboveAverage="0" equalAverage="0" bottom="0" percent="0" rank="0" text="" dxfId="7">
      <formula>0</formula>
    </cfRule>
  </conditionalFormatting>
  <conditionalFormatting sqref="N360">
    <cfRule type="cellIs" priority="1420" operator="greaterThan" aboveAverage="0" equalAverage="0" bottom="0" percent="0" rank="0" text="" dxfId="7">
      <formula>0</formula>
    </cfRule>
    <cfRule type="cellIs" priority="1421" operator="lessThan" aboveAverage="0" equalAverage="0" bottom="0" percent="0" rank="0" text="" dxfId="8">
      <formula>0</formula>
    </cfRule>
  </conditionalFormatting>
  <conditionalFormatting sqref="I361">
    <cfRule type="cellIs" priority="1422" operator="greaterThan" aboveAverage="0" equalAverage="0" bottom="0" percent="0" rank="0" text="" dxfId="7">
      <formula>0</formula>
    </cfRule>
  </conditionalFormatting>
  <conditionalFormatting sqref="K361">
    <cfRule type="cellIs" priority="1423" operator="greaterThan" aboveAverage="0" equalAverage="0" bottom="0" percent="0" rank="0" text="" dxfId="7">
      <formula>0</formula>
    </cfRule>
  </conditionalFormatting>
  <conditionalFormatting sqref="N361">
    <cfRule type="cellIs" priority="1424" operator="greaterThan" aboveAverage="0" equalAverage="0" bottom="0" percent="0" rank="0" text="" dxfId="7">
      <formula>0</formula>
    </cfRule>
    <cfRule type="cellIs" priority="1425" operator="lessThan" aboveAverage="0" equalAverage="0" bottom="0" percent="0" rank="0" text="" dxfId="8">
      <formula>0</formula>
    </cfRule>
  </conditionalFormatting>
  <conditionalFormatting sqref="I362">
    <cfRule type="cellIs" priority="1426" operator="greaterThan" aboveAverage="0" equalAverage="0" bottom="0" percent="0" rank="0" text="" dxfId="7">
      <formula>0</formula>
    </cfRule>
  </conditionalFormatting>
  <conditionalFormatting sqref="K362">
    <cfRule type="cellIs" priority="1427" operator="greaterThan" aboveAverage="0" equalAverage="0" bottom="0" percent="0" rank="0" text="" dxfId="7">
      <formula>0</formula>
    </cfRule>
  </conditionalFormatting>
  <conditionalFormatting sqref="N362">
    <cfRule type="cellIs" priority="1428" operator="greaterThan" aboveAverage="0" equalAverage="0" bottom="0" percent="0" rank="0" text="" dxfId="7">
      <formula>0</formula>
    </cfRule>
    <cfRule type="cellIs" priority="1429" operator="lessThan" aboveAverage="0" equalAverage="0" bottom="0" percent="0" rank="0" text="" dxfId="8">
      <formula>0</formula>
    </cfRule>
  </conditionalFormatting>
  <conditionalFormatting sqref="I363">
    <cfRule type="cellIs" priority="1430" operator="greaterThan" aboveAverage="0" equalAverage="0" bottom="0" percent="0" rank="0" text="" dxfId="7">
      <formula>0</formula>
    </cfRule>
  </conditionalFormatting>
  <conditionalFormatting sqref="K363">
    <cfRule type="cellIs" priority="1431" operator="greaterThan" aboveAverage="0" equalAverage="0" bottom="0" percent="0" rank="0" text="" dxfId="7">
      <formula>0</formula>
    </cfRule>
  </conditionalFormatting>
  <conditionalFormatting sqref="N363">
    <cfRule type="cellIs" priority="1432" operator="greaterThan" aboveAverage="0" equalAverage="0" bottom="0" percent="0" rank="0" text="" dxfId="7">
      <formula>0</formula>
    </cfRule>
    <cfRule type="cellIs" priority="1433" operator="lessThan" aboveAverage="0" equalAverage="0" bottom="0" percent="0" rank="0" text="" dxfId="8">
      <formula>0</formula>
    </cfRule>
  </conditionalFormatting>
  <conditionalFormatting sqref="I364">
    <cfRule type="cellIs" priority="1434" operator="greaterThan" aboveAverage="0" equalAverage="0" bottom="0" percent="0" rank="0" text="" dxfId="7">
      <formula>0</formula>
    </cfRule>
  </conditionalFormatting>
  <conditionalFormatting sqref="K364">
    <cfRule type="cellIs" priority="1435" operator="greaterThan" aboveAverage="0" equalAverage="0" bottom="0" percent="0" rank="0" text="" dxfId="7">
      <formula>0</formula>
    </cfRule>
  </conditionalFormatting>
  <conditionalFormatting sqref="N364">
    <cfRule type="cellIs" priority="1436" operator="greaterThan" aboveAverage="0" equalAverage="0" bottom="0" percent="0" rank="0" text="" dxfId="7">
      <formula>0</formula>
    </cfRule>
    <cfRule type="cellIs" priority="1437" operator="lessThan" aboveAverage="0" equalAverage="0" bottom="0" percent="0" rank="0" text="" dxfId="8">
      <formula>0</formula>
    </cfRule>
  </conditionalFormatting>
  <conditionalFormatting sqref="I365">
    <cfRule type="cellIs" priority="1438" operator="greaterThan" aboveAverage="0" equalAverage="0" bottom="0" percent="0" rank="0" text="" dxfId="7">
      <formula>0</formula>
    </cfRule>
  </conditionalFormatting>
  <conditionalFormatting sqref="K365">
    <cfRule type="cellIs" priority="1439" operator="greaterThan" aboveAverage="0" equalAverage="0" bottom="0" percent="0" rank="0" text="" dxfId="7">
      <formula>0</formula>
    </cfRule>
  </conditionalFormatting>
  <conditionalFormatting sqref="N365">
    <cfRule type="cellIs" priority="1440" operator="greaterThan" aboveAverage="0" equalAverage="0" bottom="0" percent="0" rank="0" text="" dxfId="7">
      <formula>0</formula>
    </cfRule>
    <cfRule type="cellIs" priority="1441" operator="lessThan" aboveAverage="0" equalAverage="0" bottom="0" percent="0" rank="0" text="" dxfId="8">
      <formula>0</formula>
    </cfRule>
  </conditionalFormatting>
  <conditionalFormatting sqref="I366">
    <cfRule type="cellIs" priority="1442" operator="greaterThan" aboveAverage="0" equalAverage="0" bottom="0" percent="0" rank="0" text="" dxfId="7">
      <formula>0</formula>
    </cfRule>
  </conditionalFormatting>
  <conditionalFormatting sqref="K366">
    <cfRule type="cellIs" priority="1443" operator="greaterThan" aboveAverage="0" equalAverage="0" bottom="0" percent="0" rank="0" text="" dxfId="7">
      <formula>0</formula>
    </cfRule>
  </conditionalFormatting>
  <conditionalFormatting sqref="N366">
    <cfRule type="cellIs" priority="1444" operator="greaterThan" aboveAverage="0" equalAverage="0" bottom="0" percent="0" rank="0" text="" dxfId="7">
      <formula>0</formula>
    </cfRule>
    <cfRule type="cellIs" priority="1445" operator="lessThan" aboveAverage="0" equalAverage="0" bottom="0" percent="0" rank="0" text="" dxfId="8">
      <formula>0</formula>
    </cfRule>
  </conditionalFormatting>
  <conditionalFormatting sqref="I367">
    <cfRule type="cellIs" priority="1446" operator="greaterThan" aboveAverage="0" equalAverage="0" bottom="0" percent="0" rank="0" text="" dxfId="7">
      <formula>0</formula>
    </cfRule>
  </conditionalFormatting>
  <conditionalFormatting sqref="K367">
    <cfRule type="cellIs" priority="1447" operator="greaterThan" aboveAverage="0" equalAverage="0" bottom="0" percent="0" rank="0" text="" dxfId="7">
      <formula>0</formula>
    </cfRule>
  </conditionalFormatting>
  <conditionalFormatting sqref="N367">
    <cfRule type="cellIs" priority="1448" operator="greaterThan" aboveAverage="0" equalAverage="0" bottom="0" percent="0" rank="0" text="" dxfId="7">
      <formula>0</formula>
    </cfRule>
    <cfRule type="cellIs" priority="1449" operator="lessThan" aboveAverage="0" equalAverage="0" bottom="0" percent="0" rank="0" text="" dxfId="8">
      <formula>0</formula>
    </cfRule>
  </conditionalFormatting>
  <conditionalFormatting sqref="I368">
    <cfRule type="cellIs" priority="1450" operator="greaterThan" aboveAverage="0" equalAverage="0" bottom="0" percent="0" rank="0" text="" dxfId="7">
      <formula>0</formula>
    </cfRule>
  </conditionalFormatting>
  <conditionalFormatting sqref="K368">
    <cfRule type="cellIs" priority="1451" operator="greaterThan" aboveAverage="0" equalAverage="0" bottom="0" percent="0" rank="0" text="" dxfId="7">
      <formula>0</formula>
    </cfRule>
  </conditionalFormatting>
  <conditionalFormatting sqref="N368">
    <cfRule type="cellIs" priority="1452" operator="greaterThan" aboveAverage="0" equalAverage="0" bottom="0" percent="0" rank="0" text="" dxfId="7">
      <formula>0</formula>
    </cfRule>
    <cfRule type="cellIs" priority="1453" operator="lessThan" aboveAverage="0" equalAverage="0" bottom="0" percent="0" rank="0" text="" dxfId="8">
      <formula>0</formula>
    </cfRule>
  </conditionalFormatting>
  <conditionalFormatting sqref="I369">
    <cfRule type="cellIs" priority="1454" operator="greaterThan" aboveAverage="0" equalAverage="0" bottom="0" percent="0" rank="0" text="" dxfId="7">
      <formula>0</formula>
    </cfRule>
  </conditionalFormatting>
  <conditionalFormatting sqref="K369">
    <cfRule type="cellIs" priority="1455" operator="greaterThan" aboveAverage="0" equalAverage="0" bottom="0" percent="0" rank="0" text="" dxfId="7">
      <formula>0</formula>
    </cfRule>
  </conditionalFormatting>
  <conditionalFormatting sqref="N369">
    <cfRule type="cellIs" priority="1456" operator="greaterThan" aboveAverage="0" equalAverage="0" bottom="0" percent="0" rank="0" text="" dxfId="7">
      <formula>0</formula>
    </cfRule>
    <cfRule type="cellIs" priority="1457" operator="lessThan" aboveAverage="0" equalAverage="0" bottom="0" percent="0" rank="0" text="" dxfId="8">
      <formula>0</formula>
    </cfRule>
  </conditionalFormatting>
  <conditionalFormatting sqref="I370">
    <cfRule type="cellIs" priority="1458" operator="greaterThan" aboveAverage="0" equalAverage="0" bottom="0" percent="0" rank="0" text="" dxfId="7">
      <formula>0</formula>
    </cfRule>
  </conditionalFormatting>
  <conditionalFormatting sqref="K370">
    <cfRule type="cellIs" priority="1459" operator="greaterThan" aboveAverage="0" equalAverage="0" bottom="0" percent="0" rank="0" text="" dxfId="7">
      <formula>0</formula>
    </cfRule>
  </conditionalFormatting>
  <conditionalFormatting sqref="N370">
    <cfRule type="cellIs" priority="1460" operator="greaterThan" aboveAverage="0" equalAverage="0" bottom="0" percent="0" rank="0" text="" dxfId="7">
      <formula>0</formula>
    </cfRule>
    <cfRule type="cellIs" priority="1461" operator="lessThan" aboveAverage="0" equalAverage="0" bottom="0" percent="0" rank="0" text="" dxfId="8">
      <formula>0</formula>
    </cfRule>
  </conditionalFormatting>
  <conditionalFormatting sqref="I371">
    <cfRule type="cellIs" priority="1462" operator="greaterThan" aboveAverage="0" equalAverage="0" bottom="0" percent="0" rank="0" text="" dxfId="7">
      <formula>0</formula>
    </cfRule>
  </conditionalFormatting>
  <conditionalFormatting sqref="K371">
    <cfRule type="cellIs" priority="1463" operator="greaterThan" aboveAverage="0" equalAverage="0" bottom="0" percent="0" rank="0" text="" dxfId="7">
      <formula>0</formula>
    </cfRule>
  </conditionalFormatting>
  <conditionalFormatting sqref="N371">
    <cfRule type="cellIs" priority="1464" operator="greaterThan" aboveAverage="0" equalAverage="0" bottom="0" percent="0" rank="0" text="" dxfId="7">
      <formula>0</formula>
    </cfRule>
    <cfRule type="cellIs" priority="1465" operator="lessThan" aboveAverage="0" equalAverage="0" bottom="0" percent="0" rank="0" text="" dxfId="8">
      <formula>0</formula>
    </cfRule>
  </conditionalFormatting>
  <conditionalFormatting sqref="I372">
    <cfRule type="cellIs" priority="1466" operator="greaterThan" aboveAverage="0" equalAverage="0" bottom="0" percent="0" rank="0" text="" dxfId="7">
      <formula>0</formula>
    </cfRule>
  </conditionalFormatting>
  <conditionalFormatting sqref="K372">
    <cfRule type="cellIs" priority="1467" operator="greaterThan" aboveAverage="0" equalAverage="0" bottom="0" percent="0" rank="0" text="" dxfId="7">
      <formula>0</formula>
    </cfRule>
  </conditionalFormatting>
  <conditionalFormatting sqref="N372">
    <cfRule type="cellIs" priority="1468" operator="greaterThan" aboveAverage="0" equalAverage="0" bottom="0" percent="0" rank="0" text="" dxfId="7">
      <formula>0</formula>
    </cfRule>
    <cfRule type="cellIs" priority="1469" operator="lessThan" aboveAverage="0" equalAverage="0" bottom="0" percent="0" rank="0" text="" dxfId="8">
      <formula>0</formula>
    </cfRule>
  </conditionalFormatting>
  <conditionalFormatting sqref="I373">
    <cfRule type="cellIs" priority="1470" operator="greaterThan" aboveAverage="0" equalAverage="0" bottom="0" percent="0" rank="0" text="" dxfId="7">
      <formula>0</formula>
    </cfRule>
  </conditionalFormatting>
  <conditionalFormatting sqref="K373">
    <cfRule type="cellIs" priority="1471" operator="greaterThan" aboveAverage="0" equalAverage="0" bottom="0" percent="0" rank="0" text="" dxfId="7">
      <formula>0</formula>
    </cfRule>
  </conditionalFormatting>
  <conditionalFormatting sqref="N373">
    <cfRule type="cellIs" priority="1472" operator="greaterThan" aboveAverage="0" equalAverage="0" bottom="0" percent="0" rank="0" text="" dxfId="7">
      <formula>0</formula>
    </cfRule>
    <cfRule type="cellIs" priority="1473" operator="lessThan" aboveAverage="0" equalAverage="0" bottom="0" percent="0" rank="0" text="" dxfId="8">
      <formula>0</formula>
    </cfRule>
  </conditionalFormatting>
  <conditionalFormatting sqref="I374">
    <cfRule type="cellIs" priority="1474" operator="greaterThan" aboveAverage="0" equalAverage="0" bottom="0" percent="0" rank="0" text="" dxfId="7">
      <formula>0</formula>
    </cfRule>
  </conditionalFormatting>
  <conditionalFormatting sqref="K374">
    <cfRule type="cellIs" priority="1475" operator="greaterThan" aboveAverage="0" equalAverage="0" bottom="0" percent="0" rank="0" text="" dxfId="7">
      <formula>0</formula>
    </cfRule>
  </conditionalFormatting>
  <conditionalFormatting sqref="N374">
    <cfRule type="cellIs" priority="1476" operator="greaterThan" aboveAverage="0" equalAverage="0" bottom="0" percent="0" rank="0" text="" dxfId="7">
      <formula>0</formula>
    </cfRule>
    <cfRule type="cellIs" priority="1477" operator="lessThan" aboveAverage="0" equalAverage="0" bottom="0" percent="0" rank="0" text="" dxfId="8">
      <formula>0</formula>
    </cfRule>
  </conditionalFormatting>
  <conditionalFormatting sqref="I375">
    <cfRule type="cellIs" priority="1478" operator="greaterThan" aboveAverage="0" equalAverage="0" bottom="0" percent="0" rank="0" text="" dxfId="7">
      <formula>0</formula>
    </cfRule>
  </conditionalFormatting>
  <conditionalFormatting sqref="K375">
    <cfRule type="cellIs" priority="1479" operator="greaterThan" aboveAverage="0" equalAverage="0" bottom="0" percent="0" rank="0" text="" dxfId="7">
      <formula>0</formula>
    </cfRule>
  </conditionalFormatting>
  <conditionalFormatting sqref="N375">
    <cfRule type="cellIs" priority="1480" operator="greaterThan" aboveAverage="0" equalAverage="0" bottom="0" percent="0" rank="0" text="" dxfId="7">
      <formula>0</formula>
    </cfRule>
    <cfRule type="cellIs" priority="1481" operator="lessThan" aboveAverage="0" equalAverage="0" bottom="0" percent="0" rank="0" text="" dxfId="8">
      <formula>0</formula>
    </cfRule>
  </conditionalFormatting>
  <conditionalFormatting sqref="I376">
    <cfRule type="cellIs" priority="1482" operator="greaterThan" aboveAverage="0" equalAverage="0" bottom="0" percent="0" rank="0" text="" dxfId="7">
      <formula>0</formula>
    </cfRule>
  </conditionalFormatting>
  <conditionalFormatting sqref="K376">
    <cfRule type="cellIs" priority="1483" operator="greaterThan" aboveAverage="0" equalAverage="0" bottom="0" percent="0" rank="0" text="" dxfId="7">
      <formula>0</formula>
    </cfRule>
  </conditionalFormatting>
  <conditionalFormatting sqref="N376">
    <cfRule type="cellIs" priority="1484" operator="greaterThan" aboveAverage="0" equalAverage="0" bottom="0" percent="0" rank="0" text="" dxfId="7">
      <formula>0</formula>
    </cfRule>
    <cfRule type="cellIs" priority="1485" operator="lessThan" aboveAverage="0" equalAverage="0" bottom="0" percent="0" rank="0" text="" dxfId="8">
      <formula>0</formula>
    </cfRule>
  </conditionalFormatting>
  <conditionalFormatting sqref="I377">
    <cfRule type="cellIs" priority="1486" operator="greaterThan" aboveAverage="0" equalAverage="0" bottom="0" percent="0" rank="0" text="" dxfId="7">
      <formula>0</formula>
    </cfRule>
  </conditionalFormatting>
  <conditionalFormatting sqref="K377">
    <cfRule type="cellIs" priority="1487" operator="greaterThan" aboveAverage="0" equalAverage="0" bottom="0" percent="0" rank="0" text="" dxfId="7">
      <formula>0</formula>
    </cfRule>
  </conditionalFormatting>
  <conditionalFormatting sqref="N377">
    <cfRule type="cellIs" priority="1488" operator="greaterThan" aboveAverage="0" equalAverage="0" bottom="0" percent="0" rank="0" text="" dxfId="7">
      <formula>0</formula>
    </cfRule>
    <cfRule type="cellIs" priority="1489" operator="lessThan" aboveAverage="0" equalAverage="0" bottom="0" percent="0" rank="0" text="" dxfId="8">
      <formula>0</formula>
    </cfRule>
  </conditionalFormatting>
  <conditionalFormatting sqref="I378">
    <cfRule type="cellIs" priority="1490" operator="greaterThan" aboveAverage="0" equalAverage="0" bottom="0" percent="0" rank="0" text="" dxfId="7">
      <formula>0</formula>
    </cfRule>
  </conditionalFormatting>
  <conditionalFormatting sqref="K378">
    <cfRule type="cellIs" priority="1491" operator="greaterThan" aboveAverage="0" equalAverage="0" bottom="0" percent="0" rank="0" text="" dxfId="7">
      <formula>0</formula>
    </cfRule>
  </conditionalFormatting>
  <conditionalFormatting sqref="N378">
    <cfRule type="cellIs" priority="1492" operator="greaterThan" aboveAverage="0" equalAverage="0" bottom="0" percent="0" rank="0" text="" dxfId="7">
      <formula>0</formula>
    </cfRule>
    <cfRule type="cellIs" priority="1493" operator="lessThan" aboveAverage="0" equalAverage="0" bottom="0" percent="0" rank="0" text="" dxfId="8">
      <formula>0</formula>
    </cfRule>
  </conditionalFormatting>
  <conditionalFormatting sqref="I379">
    <cfRule type="cellIs" priority="1494" operator="greaterThan" aboveAverage="0" equalAverage="0" bottom="0" percent="0" rank="0" text="" dxfId="7">
      <formula>0</formula>
    </cfRule>
  </conditionalFormatting>
  <conditionalFormatting sqref="K379">
    <cfRule type="cellIs" priority="1495" operator="greaterThan" aboveAverage="0" equalAverage="0" bottom="0" percent="0" rank="0" text="" dxfId="7">
      <formula>0</formula>
    </cfRule>
  </conditionalFormatting>
  <conditionalFormatting sqref="N379">
    <cfRule type="cellIs" priority="1496" operator="greaterThan" aboveAverage="0" equalAverage="0" bottom="0" percent="0" rank="0" text="" dxfId="7">
      <formula>0</formula>
    </cfRule>
    <cfRule type="cellIs" priority="1497" operator="lessThan" aboveAverage="0" equalAverage="0" bottom="0" percent="0" rank="0" text="" dxfId="8">
      <formula>0</formula>
    </cfRule>
  </conditionalFormatting>
  <conditionalFormatting sqref="I380">
    <cfRule type="cellIs" priority="1498" operator="greaterThan" aboveAverage="0" equalAverage="0" bottom="0" percent="0" rank="0" text="" dxfId="7">
      <formula>0</formula>
    </cfRule>
  </conditionalFormatting>
  <conditionalFormatting sqref="K380">
    <cfRule type="cellIs" priority="1499" operator="greaterThan" aboveAverage="0" equalAverage="0" bottom="0" percent="0" rank="0" text="" dxfId="7">
      <formula>0</formula>
    </cfRule>
  </conditionalFormatting>
  <conditionalFormatting sqref="N380">
    <cfRule type="cellIs" priority="1500" operator="greaterThan" aboveAverage="0" equalAverage="0" bottom="0" percent="0" rank="0" text="" dxfId="7">
      <formula>0</formula>
    </cfRule>
    <cfRule type="cellIs" priority="1501" operator="lessThan" aboveAverage="0" equalAverage="0" bottom="0" percent="0" rank="0" text="" dxfId="8">
      <formula>0</formula>
    </cfRule>
  </conditionalFormatting>
  <conditionalFormatting sqref="I381">
    <cfRule type="cellIs" priority="1502" operator="greaterThan" aboveAverage="0" equalAverage="0" bottom="0" percent="0" rank="0" text="" dxfId="7">
      <formula>0</formula>
    </cfRule>
  </conditionalFormatting>
  <conditionalFormatting sqref="K381">
    <cfRule type="cellIs" priority="1503" operator="greaterThan" aboveAverage="0" equalAverage="0" bottom="0" percent="0" rank="0" text="" dxfId="7">
      <formula>0</formula>
    </cfRule>
  </conditionalFormatting>
  <conditionalFormatting sqref="N381">
    <cfRule type="cellIs" priority="1504" operator="greaterThan" aboveAverage="0" equalAverage="0" bottom="0" percent="0" rank="0" text="" dxfId="7">
      <formula>0</formula>
    </cfRule>
    <cfRule type="cellIs" priority="1505" operator="lessThan" aboveAverage="0" equalAverage="0" bottom="0" percent="0" rank="0" text="" dxfId="8">
      <formula>0</formula>
    </cfRule>
  </conditionalFormatting>
  <conditionalFormatting sqref="I382">
    <cfRule type="cellIs" priority="1506" operator="greaterThan" aboveAverage="0" equalAverage="0" bottom="0" percent="0" rank="0" text="" dxfId="7">
      <formula>0</formula>
    </cfRule>
  </conditionalFormatting>
  <conditionalFormatting sqref="K382">
    <cfRule type="cellIs" priority="1507" operator="greaterThan" aboveAverage="0" equalAverage="0" bottom="0" percent="0" rank="0" text="" dxfId="7">
      <formula>0</formula>
    </cfRule>
  </conditionalFormatting>
  <conditionalFormatting sqref="N382">
    <cfRule type="cellIs" priority="1508" operator="greaterThan" aboveAverage="0" equalAverage="0" bottom="0" percent="0" rank="0" text="" dxfId="7">
      <formula>0</formula>
    </cfRule>
    <cfRule type="cellIs" priority="1509" operator="lessThan" aboveAverage="0" equalAverage="0" bottom="0" percent="0" rank="0" text="" dxfId="8">
      <formula>0</formula>
    </cfRule>
  </conditionalFormatting>
  <conditionalFormatting sqref="I383">
    <cfRule type="cellIs" priority="1510" operator="greaterThan" aboveAverage="0" equalAverage="0" bottom="0" percent="0" rank="0" text="" dxfId="7">
      <formula>0</formula>
    </cfRule>
  </conditionalFormatting>
  <conditionalFormatting sqref="K383">
    <cfRule type="cellIs" priority="1511" operator="greaterThan" aboveAverage="0" equalAverage="0" bottom="0" percent="0" rank="0" text="" dxfId="7">
      <formula>0</formula>
    </cfRule>
  </conditionalFormatting>
  <conditionalFormatting sqref="N383">
    <cfRule type="cellIs" priority="1512" operator="greaterThan" aboveAverage="0" equalAverage="0" bottom="0" percent="0" rank="0" text="" dxfId="7">
      <formula>0</formula>
    </cfRule>
    <cfRule type="cellIs" priority="1513" operator="lessThan" aboveAverage="0" equalAverage="0" bottom="0" percent="0" rank="0" text="" dxfId="8">
      <formula>0</formula>
    </cfRule>
  </conditionalFormatting>
  <conditionalFormatting sqref="I384">
    <cfRule type="cellIs" priority="1514" operator="greaterThan" aboveAverage="0" equalAverage="0" bottom="0" percent="0" rank="0" text="" dxfId="7">
      <formula>0</formula>
    </cfRule>
  </conditionalFormatting>
  <conditionalFormatting sqref="K384">
    <cfRule type="cellIs" priority="1515" operator="greaterThan" aboveAverage="0" equalAverage="0" bottom="0" percent="0" rank="0" text="" dxfId="7">
      <formula>0</formula>
    </cfRule>
  </conditionalFormatting>
  <conditionalFormatting sqref="N384">
    <cfRule type="cellIs" priority="1516" operator="greaterThan" aboveAverage="0" equalAverage="0" bottom="0" percent="0" rank="0" text="" dxfId="7">
      <formula>0</formula>
    </cfRule>
    <cfRule type="cellIs" priority="1517" operator="lessThan" aboveAverage="0" equalAverage="0" bottom="0" percent="0" rank="0" text="" dxfId="8">
      <formula>0</formula>
    </cfRule>
  </conditionalFormatting>
  <conditionalFormatting sqref="I385">
    <cfRule type="cellIs" priority="1518" operator="greaterThan" aboveAverage="0" equalAverage="0" bottom="0" percent="0" rank="0" text="" dxfId="7">
      <formula>0</formula>
    </cfRule>
  </conditionalFormatting>
  <conditionalFormatting sqref="K385">
    <cfRule type="cellIs" priority="1519" operator="greaterThan" aboveAverage="0" equalAverage="0" bottom="0" percent="0" rank="0" text="" dxfId="7">
      <formula>0</formula>
    </cfRule>
  </conditionalFormatting>
  <conditionalFormatting sqref="N385">
    <cfRule type="cellIs" priority="1520" operator="greaterThan" aboveAverage="0" equalAverage="0" bottom="0" percent="0" rank="0" text="" dxfId="7">
      <formula>0</formula>
    </cfRule>
    <cfRule type="cellIs" priority="1521" operator="lessThan" aboveAverage="0" equalAverage="0" bottom="0" percent="0" rank="0" text="" dxfId="8">
      <formula>0</formula>
    </cfRule>
  </conditionalFormatting>
  <conditionalFormatting sqref="I386">
    <cfRule type="cellIs" priority="1522" operator="greaterThan" aboveAverage="0" equalAverage="0" bottom="0" percent="0" rank="0" text="" dxfId="7">
      <formula>0</formula>
    </cfRule>
  </conditionalFormatting>
  <conditionalFormatting sqref="K386">
    <cfRule type="cellIs" priority="1523" operator="greaterThan" aboveAverage="0" equalAverage="0" bottom="0" percent="0" rank="0" text="" dxfId="7">
      <formula>0</formula>
    </cfRule>
  </conditionalFormatting>
  <conditionalFormatting sqref="N386">
    <cfRule type="cellIs" priority="1524" operator="greaterThan" aboveAverage="0" equalAverage="0" bottom="0" percent="0" rank="0" text="" dxfId="7">
      <formula>0</formula>
    </cfRule>
    <cfRule type="cellIs" priority="1525" operator="lessThan" aboveAverage="0" equalAverage="0" bottom="0" percent="0" rank="0" text="" dxfId="8">
      <formula>0</formula>
    </cfRule>
  </conditionalFormatting>
  <conditionalFormatting sqref="I387">
    <cfRule type="cellIs" priority="1526" operator="greaterThan" aboveAverage="0" equalAverage="0" bottom="0" percent="0" rank="0" text="" dxfId="7">
      <formula>0</formula>
    </cfRule>
  </conditionalFormatting>
  <conditionalFormatting sqref="K387">
    <cfRule type="cellIs" priority="1527" operator="greaterThan" aboveAverage="0" equalAverage="0" bottom="0" percent="0" rank="0" text="" dxfId="7">
      <formula>0</formula>
    </cfRule>
  </conditionalFormatting>
  <conditionalFormatting sqref="N387">
    <cfRule type="cellIs" priority="1528" operator="greaterThan" aboveAverage="0" equalAverage="0" bottom="0" percent="0" rank="0" text="" dxfId="7">
      <formula>0</formula>
    </cfRule>
    <cfRule type="cellIs" priority="1529" operator="lessThan" aboveAverage="0" equalAverage="0" bottom="0" percent="0" rank="0" text="" dxfId="8">
      <formula>0</formula>
    </cfRule>
  </conditionalFormatting>
  <conditionalFormatting sqref="I388">
    <cfRule type="cellIs" priority="1530" operator="greaterThan" aboveAverage="0" equalAverage="0" bottom="0" percent="0" rank="0" text="" dxfId="7">
      <formula>0</formula>
    </cfRule>
  </conditionalFormatting>
  <conditionalFormatting sqref="K388">
    <cfRule type="cellIs" priority="1531" operator="greaterThan" aboveAverage="0" equalAverage="0" bottom="0" percent="0" rank="0" text="" dxfId="7">
      <formula>0</formula>
    </cfRule>
  </conditionalFormatting>
  <conditionalFormatting sqref="N388">
    <cfRule type="cellIs" priority="1532" operator="greaterThan" aboveAverage="0" equalAverage="0" bottom="0" percent="0" rank="0" text="" dxfId="7">
      <formula>0</formula>
    </cfRule>
    <cfRule type="cellIs" priority="1533" operator="lessThan" aboveAverage="0" equalAverage="0" bottom="0" percent="0" rank="0" text="" dxfId="8">
      <formula>0</formula>
    </cfRule>
  </conditionalFormatting>
  <conditionalFormatting sqref="I389">
    <cfRule type="cellIs" priority="1534" operator="greaterThan" aboveAverage="0" equalAverage="0" bottom="0" percent="0" rank="0" text="" dxfId="7">
      <formula>0</formula>
    </cfRule>
  </conditionalFormatting>
  <conditionalFormatting sqref="K389">
    <cfRule type="cellIs" priority="1535" operator="greaterThan" aboveAverage="0" equalAverage="0" bottom="0" percent="0" rank="0" text="" dxfId="7">
      <formula>0</formula>
    </cfRule>
  </conditionalFormatting>
  <conditionalFormatting sqref="N389">
    <cfRule type="cellIs" priority="1536" operator="greaterThan" aboveAverage="0" equalAverage="0" bottom="0" percent="0" rank="0" text="" dxfId="7">
      <formula>0</formula>
    </cfRule>
    <cfRule type="cellIs" priority="1537" operator="lessThan" aboveAverage="0" equalAverage="0" bottom="0" percent="0" rank="0" text="" dxfId="8">
      <formula>0</formula>
    </cfRule>
  </conditionalFormatting>
  <conditionalFormatting sqref="I390">
    <cfRule type="cellIs" priority="1538" operator="greaterThan" aboveAverage="0" equalAverage="0" bottom="0" percent="0" rank="0" text="" dxfId="7">
      <formula>0</formula>
    </cfRule>
  </conditionalFormatting>
  <conditionalFormatting sqref="K390">
    <cfRule type="cellIs" priority="1539" operator="greaterThan" aboveAverage="0" equalAverage="0" bottom="0" percent="0" rank="0" text="" dxfId="7">
      <formula>0</formula>
    </cfRule>
  </conditionalFormatting>
  <conditionalFormatting sqref="N390">
    <cfRule type="cellIs" priority="1540" operator="greaterThan" aboveAverage="0" equalAverage="0" bottom="0" percent="0" rank="0" text="" dxfId="7">
      <formula>0</formula>
    </cfRule>
    <cfRule type="cellIs" priority="1541" operator="lessThan" aboveAverage="0" equalAverage="0" bottom="0" percent="0" rank="0" text="" dxfId="8">
      <formula>0</formula>
    </cfRule>
  </conditionalFormatting>
  <conditionalFormatting sqref="I391">
    <cfRule type="cellIs" priority="1542" operator="greaterThan" aboveAverage="0" equalAverage="0" bottom="0" percent="0" rank="0" text="" dxfId="7">
      <formula>0</formula>
    </cfRule>
  </conditionalFormatting>
  <conditionalFormatting sqref="K391">
    <cfRule type="cellIs" priority="1543" operator="greaterThan" aboveAverage="0" equalAverage="0" bottom="0" percent="0" rank="0" text="" dxfId="7">
      <formula>0</formula>
    </cfRule>
  </conditionalFormatting>
  <conditionalFormatting sqref="N391">
    <cfRule type="cellIs" priority="1544" operator="greaterThan" aboveAverage="0" equalAverage="0" bottom="0" percent="0" rank="0" text="" dxfId="7">
      <formula>0</formula>
    </cfRule>
    <cfRule type="cellIs" priority="1545" operator="lessThan" aboveAverage="0" equalAverage="0" bottom="0" percent="0" rank="0" text="" dxfId="8">
      <formula>0</formula>
    </cfRule>
  </conditionalFormatting>
  <conditionalFormatting sqref="I392">
    <cfRule type="cellIs" priority="1546" operator="greaterThan" aboveAverage="0" equalAverage="0" bottom="0" percent="0" rank="0" text="" dxfId="7">
      <formula>0</formula>
    </cfRule>
  </conditionalFormatting>
  <conditionalFormatting sqref="K392">
    <cfRule type="cellIs" priority="1547" operator="greaterThan" aboveAverage="0" equalAverage="0" bottom="0" percent="0" rank="0" text="" dxfId="7">
      <formula>0</formula>
    </cfRule>
  </conditionalFormatting>
  <conditionalFormatting sqref="N392">
    <cfRule type="cellIs" priority="1548" operator="greaterThan" aboveAverage="0" equalAverage="0" bottom="0" percent="0" rank="0" text="" dxfId="7">
      <formula>0</formula>
    </cfRule>
    <cfRule type="cellIs" priority="1549" operator="lessThan" aboveAverage="0" equalAverage="0" bottom="0" percent="0" rank="0" text="" dxfId="8">
      <formula>0</formula>
    </cfRule>
  </conditionalFormatting>
  <conditionalFormatting sqref="I393">
    <cfRule type="cellIs" priority="1550" operator="greaterThan" aboveAverage="0" equalAverage="0" bottom="0" percent="0" rank="0" text="" dxfId="7">
      <formula>0</formula>
    </cfRule>
  </conditionalFormatting>
  <conditionalFormatting sqref="K393">
    <cfRule type="cellIs" priority="1551" operator="greaterThan" aboveAverage="0" equalAverage="0" bottom="0" percent="0" rank="0" text="" dxfId="7">
      <formula>0</formula>
    </cfRule>
  </conditionalFormatting>
  <conditionalFormatting sqref="N393">
    <cfRule type="cellIs" priority="1552" operator="greaterThan" aboveAverage="0" equalAverage="0" bottom="0" percent="0" rank="0" text="" dxfId="7">
      <formula>0</formula>
    </cfRule>
    <cfRule type="cellIs" priority="1553" operator="lessThan" aboveAverage="0" equalAverage="0" bottom="0" percent="0" rank="0" text="" dxfId="8">
      <formula>0</formula>
    </cfRule>
  </conditionalFormatting>
  <conditionalFormatting sqref="I394">
    <cfRule type="cellIs" priority="1554" operator="greaterThan" aboveAverage="0" equalAverage="0" bottom="0" percent="0" rank="0" text="" dxfId="7">
      <formula>0</formula>
    </cfRule>
  </conditionalFormatting>
  <conditionalFormatting sqref="K394">
    <cfRule type="cellIs" priority="1555" operator="greaterThan" aboveAverage="0" equalAverage="0" bottom="0" percent="0" rank="0" text="" dxfId="7">
      <formula>0</formula>
    </cfRule>
  </conditionalFormatting>
  <conditionalFormatting sqref="N394">
    <cfRule type="cellIs" priority="1556" operator="greaterThan" aboveAverage="0" equalAverage="0" bottom="0" percent="0" rank="0" text="" dxfId="7">
      <formula>0</formula>
    </cfRule>
    <cfRule type="cellIs" priority="1557" operator="lessThan" aboveAverage="0" equalAverage="0" bottom="0" percent="0" rank="0" text="" dxfId="8">
      <formula>0</formula>
    </cfRule>
  </conditionalFormatting>
  <conditionalFormatting sqref="I395">
    <cfRule type="cellIs" priority="1558" operator="greaterThan" aboveAverage="0" equalAverage="0" bottom="0" percent="0" rank="0" text="" dxfId="7">
      <formula>0</formula>
    </cfRule>
  </conditionalFormatting>
  <conditionalFormatting sqref="K395">
    <cfRule type="cellIs" priority="1559" operator="greaterThan" aboveAverage="0" equalAverage="0" bottom="0" percent="0" rank="0" text="" dxfId="7">
      <formula>0</formula>
    </cfRule>
  </conditionalFormatting>
  <conditionalFormatting sqref="N395">
    <cfRule type="cellIs" priority="1560" operator="greaterThan" aboveAverage="0" equalAverage="0" bottom="0" percent="0" rank="0" text="" dxfId="7">
      <formula>0</formula>
    </cfRule>
    <cfRule type="cellIs" priority="1561" operator="lessThan" aboveAverage="0" equalAverage="0" bottom="0" percent="0" rank="0" text="" dxfId="8">
      <formula>0</formula>
    </cfRule>
  </conditionalFormatting>
  <conditionalFormatting sqref="I396">
    <cfRule type="cellIs" priority="1562" operator="greaterThan" aboveAverage="0" equalAverage="0" bottom="0" percent="0" rank="0" text="" dxfId="7">
      <formula>0</formula>
    </cfRule>
  </conditionalFormatting>
  <conditionalFormatting sqref="K396">
    <cfRule type="cellIs" priority="1563" operator="greaterThan" aboveAverage="0" equalAverage="0" bottom="0" percent="0" rank="0" text="" dxfId="7">
      <formula>0</formula>
    </cfRule>
  </conditionalFormatting>
  <conditionalFormatting sqref="N396">
    <cfRule type="cellIs" priority="1564" operator="greaterThan" aboveAverage="0" equalAverage="0" bottom="0" percent="0" rank="0" text="" dxfId="7">
      <formula>0</formula>
    </cfRule>
    <cfRule type="cellIs" priority="1565" operator="lessThan" aboveAverage="0" equalAverage="0" bottom="0" percent="0" rank="0" text="" dxfId="8">
      <formula>0</formula>
    </cfRule>
  </conditionalFormatting>
  <conditionalFormatting sqref="I397">
    <cfRule type="cellIs" priority="1566" operator="greaterThan" aboveAverage="0" equalAverage="0" bottom="0" percent="0" rank="0" text="" dxfId="7">
      <formula>0</formula>
    </cfRule>
  </conditionalFormatting>
  <conditionalFormatting sqref="K397">
    <cfRule type="cellIs" priority="1567" operator="greaterThan" aboveAverage="0" equalAverage="0" bottom="0" percent="0" rank="0" text="" dxfId="7">
      <formula>0</formula>
    </cfRule>
  </conditionalFormatting>
  <conditionalFormatting sqref="N397">
    <cfRule type="cellIs" priority="1568" operator="greaterThan" aboveAverage="0" equalAverage="0" bottom="0" percent="0" rank="0" text="" dxfId="7">
      <formula>0</formula>
    </cfRule>
    <cfRule type="cellIs" priority="1569" operator="lessThan" aboveAverage="0" equalAverage="0" bottom="0" percent="0" rank="0" text="" dxfId="8">
      <formula>0</formula>
    </cfRule>
  </conditionalFormatting>
  <conditionalFormatting sqref="I398">
    <cfRule type="cellIs" priority="1570" operator="greaterThan" aboveAverage="0" equalAverage="0" bottom="0" percent="0" rank="0" text="" dxfId="7">
      <formula>0</formula>
    </cfRule>
  </conditionalFormatting>
  <conditionalFormatting sqref="K398">
    <cfRule type="cellIs" priority="1571" operator="greaterThan" aboveAverage="0" equalAverage="0" bottom="0" percent="0" rank="0" text="" dxfId="7">
      <formula>0</formula>
    </cfRule>
  </conditionalFormatting>
  <conditionalFormatting sqref="N398">
    <cfRule type="cellIs" priority="1572" operator="greaterThan" aboveAverage="0" equalAverage="0" bottom="0" percent="0" rank="0" text="" dxfId="7">
      <formula>0</formula>
    </cfRule>
    <cfRule type="cellIs" priority="1573" operator="lessThan" aboveAverage="0" equalAverage="0" bottom="0" percent="0" rank="0" text="" dxfId="8">
      <formula>0</formula>
    </cfRule>
  </conditionalFormatting>
  <conditionalFormatting sqref="I399">
    <cfRule type="cellIs" priority="1574" operator="greaterThan" aboveAverage="0" equalAverage="0" bottom="0" percent="0" rank="0" text="" dxfId="7">
      <formula>0</formula>
    </cfRule>
  </conditionalFormatting>
  <conditionalFormatting sqref="K399">
    <cfRule type="cellIs" priority="1575" operator="greaterThan" aboveAverage="0" equalAverage="0" bottom="0" percent="0" rank="0" text="" dxfId="7">
      <formula>0</formula>
    </cfRule>
  </conditionalFormatting>
  <conditionalFormatting sqref="N399">
    <cfRule type="cellIs" priority="1576" operator="greaterThan" aboveAverage="0" equalAverage="0" bottom="0" percent="0" rank="0" text="" dxfId="7">
      <formula>0</formula>
    </cfRule>
    <cfRule type="cellIs" priority="1577" operator="lessThan" aboveAverage="0" equalAverage="0" bottom="0" percent="0" rank="0" text="" dxfId="8">
      <formula>0</formula>
    </cfRule>
  </conditionalFormatting>
  <conditionalFormatting sqref="I400">
    <cfRule type="cellIs" priority="1578" operator="greaterThan" aboveAverage="0" equalAverage="0" bottom="0" percent="0" rank="0" text="" dxfId="7">
      <formula>0</formula>
    </cfRule>
  </conditionalFormatting>
  <conditionalFormatting sqref="K400">
    <cfRule type="cellIs" priority="1579" operator="greaterThan" aboveAverage="0" equalAverage="0" bottom="0" percent="0" rank="0" text="" dxfId="7">
      <formula>0</formula>
    </cfRule>
  </conditionalFormatting>
  <conditionalFormatting sqref="N400">
    <cfRule type="cellIs" priority="1580" operator="greaterThan" aboveAverage="0" equalAverage="0" bottom="0" percent="0" rank="0" text="" dxfId="7">
      <formula>0</formula>
    </cfRule>
    <cfRule type="cellIs" priority="1581" operator="lessThan" aboveAverage="0" equalAverage="0" bottom="0" percent="0" rank="0" text="" dxfId="8">
      <formula>0</formula>
    </cfRule>
  </conditionalFormatting>
  <conditionalFormatting sqref="I401">
    <cfRule type="cellIs" priority="1582" operator="greaterThan" aboveAverage="0" equalAverage="0" bottom="0" percent="0" rank="0" text="" dxfId="7">
      <formula>0</formula>
    </cfRule>
  </conditionalFormatting>
  <conditionalFormatting sqref="K401">
    <cfRule type="cellIs" priority="1583" operator="greaterThan" aboveAverage="0" equalAverage="0" bottom="0" percent="0" rank="0" text="" dxfId="7">
      <formula>0</formula>
    </cfRule>
  </conditionalFormatting>
  <conditionalFormatting sqref="N401">
    <cfRule type="cellIs" priority="1584" operator="greaterThan" aboveAverage="0" equalAverage="0" bottom="0" percent="0" rank="0" text="" dxfId="7">
      <formula>0</formula>
    </cfRule>
    <cfRule type="cellIs" priority="1585" operator="lessThan" aboveAverage="0" equalAverage="0" bottom="0" percent="0" rank="0" text="" dxfId="8">
      <formula>0</formula>
    </cfRule>
  </conditionalFormatting>
  <conditionalFormatting sqref="I402">
    <cfRule type="cellIs" priority="1586" operator="greaterThan" aboveAverage="0" equalAverage="0" bottom="0" percent="0" rank="0" text="" dxfId="7">
      <formula>0</formula>
    </cfRule>
  </conditionalFormatting>
  <conditionalFormatting sqref="K402">
    <cfRule type="cellIs" priority="1587" operator="greaterThan" aboveAverage="0" equalAverage="0" bottom="0" percent="0" rank="0" text="" dxfId="7">
      <formula>0</formula>
    </cfRule>
  </conditionalFormatting>
  <conditionalFormatting sqref="N402">
    <cfRule type="cellIs" priority="1588" operator="greaterThan" aboveAverage="0" equalAverage="0" bottom="0" percent="0" rank="0" text="" dxfId="7">
      <formula>0</formula>
    </cfRule>
    <cfRule type="cellIs" priority="1589" operator="lessThan" aboveAverage="0" equalAverage="0" bottom="0" percent="0" rank="0" text="" dxfId="8">
      <formula>0</formula>
    </cfRule>
  </conditionalFormatting>
  <conditionalFormatting sqref="I403">
    <cfRule type="cellIs" priority="1590" operator="greaterThan" aboveAverage="0" equalAverage="0" bottom="0" percent="0" rank="0" text="" dxfId="7">
      <formula>0</formula>
    </cfRule>
  </conditionalFormatting>
  <conditionalFormatting sqref="K403">
    <cfRule type="cellIs" priority="1591" operator="greaterThan" aboveAverage="0" equalAverage="0" bottom="0" percent="0" rank="0" text="" dxfId="7">
      <formula>0</formula>
    </cfRule>
  </conditionalFormatting>
  <conditionalFormatting sqref="N403">
    <cfRule type="cellIs" priority="1592" operator="greaterThan" aboveAverage="0" equalAverage="0" bottom="0" percent="0" rank="0" text="" dxfId="7">
      <formula>0</formula>
    </cfRule>
    <cfRule type="cellIs" priority="1593" operator="lessThan" aboveAverage="0" equalAverage="0" bottom="0" percent="0" rank="0" text="" dxfId="8">
      <formula>0</formula>
    </cfRule>
  </conditionalFormatting>
  <conditionalFormatting sqref="I404">
    <cfRule type="cellIs" priority="1594" operator="greaterThan" aboveAverage="0" equalAverage="0" bottom="0" percent="0" rank="0" text="" dxfId="7">
      <formula>0</formula>
    </cfRule>
  </conditionalFormatting>
  <conditionalFormatting sqref="K404">
    <cfRule type="cellIs" priority="1595" operator="greaterThan" aboveAverage="0" equalAverage="0" bottom="0" percent="0" rank="0" text="" dxfId="7">
      <formula>0</formula>
    </cfRule>
  </conditionalFormatting>
  <conditionalFormatting sqref="N404">
    <cfRule type="cellIs" priority="1596" operator="greaterThan" aboveAverage="0" equalAverage="0" bottom="0" percent="0" rank="0" text="" dxfId="7">
      <formula>0</formula>
    </cfRule>
    <cfRule type="cellIs" priority="1597" operator="lessThan" aboveAverage="0" equalAverage="0" bottom="0" percent="0" rank="0" text="" dxfId="8">
      <formula>0</formula>
    </cfRule>
  </conditionalFormatting>
  <conditionalFormatting sqref="I405">
    <cfRule type="cellIs" priority="1598" operator="greaterThan" aboveAverage="0" equalAverage="0" bottom="0" percent="0" rank="0" text="" dxfId="7">
      <formula>0</formula>
    </cfRule>
  </conditionalFormatting>
  <conditionalFormatting sqref="K405">
    <cfRule type="cellIs" priority="1599" operator="greaterThan" aboveAverage="0" equalAverage="0" bottom="0" percent="0" rank="0" text="" dxfId="7">
      <formula>0</formula>
    </cfRule>
  </conditionalFormatting>
  <conditionalFormatting sqref="N405">
    <cfRule type="cellIs" priority="1600" operator="greaterThan" aboveAverage="0" equalAverage="0" bottom="0" percent="0" rank="0" text="" dxfId="7">
      <formula>0</formula>
    </cfRule>
    <cfRule type="cellIs" priority="1601" operator="lessThan" aboveAverage="0" equalAverage="0" bottom="0" percent="0" rank="0" text="" dxfId="8">
      <formula>0</formula>
    </cfRule>
  </conditionalFormatting>
  <conditionalFormatting sqref="I406">
    <cfRule type="cellIs" priority="1602" operator="greaterThan" aboveAverage="0" equalAverage="0" bottom="0" percent="0" rank="0" text="" dxfId="7">
      <formula>0</formula>
    </cfRule>
  </conditionalFormatting>
  <conditionalFormatting sqref="K406">
    <cfRule type="cellIs" priority="1603" operator="greaterThan" aboveAverage="0" equalAverage="0" bottom="0" percent="0" rank="0" text="" dxfId="7">
      <formula>0</formula>
    </cfRule>
  </conditionalFormatting>
  <conditionalFormatting sqref="N406">
    <cfRule type="cellIs" priority="1604" operator="greaterThan" aboveAverage="0" equalAverage="0" bottom="0" percent="0" rank="0" text="" dxfId="7">
      <formula>0</formula>
    </cfRule>
    <cfRule type="cellIs" priority="1605" operator="lessThan" aboveAverage="0" equalAverage="0" bottom="0" percent="0" rank="0" text="" dxfId="8">
      <formula>0</formula>
    </cfRule>
  </conditionalFormatting>
  <conditionalFormatting sqref="I407">
    <cfRule type="cellIs" priority="1606" operator="greaterThan" aboveAverage="0" equalAverage="0" bottom="0" percent="0" rank="0" text="" dxfId="7">
      <formula>0</formula>
    </cfRule>
  </conditionalFormatting>
  <conditionalFormatting sqref="K407">
    <cfRule type="cellIs" priority="1607" operator="greaterThan" aboveAverage="0" equalAverage="0" bottom="0" percent="0" rank="0" text="" dxfId="7">
      <formula>0</formula>
    </cfRule>
  </conditionalFormatting>
  <conditionalFormatting sqref="N407">
    <cfRule type="cellIs" priority="1608" operator="greaterThan" aboveAverage="0" equalAverage="0" bottom="0" percent="0" rank="0" text="" dxfId="7">
      <formula>0</formula>
    </cfRule>
    <cfRule type="cellIs" priority="1609" operator="lessThan" aboveAverage="0" equalAverage="0" bottom="0" percent="0" rank="0" text="" dxfId="8">
      <formula>0</formula>
    </cfRule>
  </conditionalFormatting>
  <conditionalFormatting sqref="I408">
    <cfRule type="cellIs" priority="1610" operator="greaterThan" aboveAverage="0" equalAverage="0" bottom="0" percent="0" rank="0" text="" dxfId="7">
      <formula>0</formula>
    </cfRule>
  </conditionalFormatting>
  <conditionalFormatting sqref="K408">
    <cfRule type="cellIs" priority="1611" operator="greaterThan" aboveAverage="0" equalAverage="0" bottom="0" percent="0" rank="0" text="" dxfId="7">
      <formula>0</formula>
    </cfRule>
  </conditionalFormatting>
  <conditionalFormatting sqref="N408">
    <cfRule type="cellIs" priority="1612" operator="greaterThan" aboveAverage="0" equalAverage="0" bottom="0" percent="0" rank="0" text="" dxfId="7">
      <formula>0</formula>
    </cfRule>
    <cfRule type="cellIs" priority="1613" operator="lessThan" aboveAverage="0" equalAverage="0" bottom="0" percent="0" rank="0" text="" dxfId="8">
      <formula>0</formula>
    </cfRule>
  </conditionalFormatting>
  <conditionalFormatting sqref="I409">
    <cfRule type="cellIs" priority="1614" operator="greaterThan" aboveAverage="0" equalAverage="0" bottom="0" percent="0" rank="0" text="" dxfId="7">
      <formula>0</formula>
    </cfRule>
  </conditionalFormatting>
  <conditionalFormatting sqref="K409">
    <cfRule type="cellIs" priority="1615" operator="greaterThan" aboveAverage="0" equalAverage="0" bottom="0" percent="0" rank="0" text="" dxfId="7">
      <formula>0</formula>
    </cfRule>
  </conditionalFormatting>
  <conditionalFormatting sqref="N409">
    <cfRule type="cellIs" priority="1616" operator="greaterThan" aboveAverage="0" equalAverage="0" bottom="0" percent="0" rank="0" text="" dxfId="7">
      <formula>0</formula>
    </cfRule>
    <cfRule type="cellIs" priority="1617" operator="lessThan" aboveAverage="0" equalAverage="0" bottom="0" percent="0" rank="0" text="" dxfId="8">
      <formula>0</formula>
    </cfRule>
  </conditionalFormatting>
  <conditionalFormatting sqref="I410">
    <cfRule type="cellIs" priority="1618" operator="greaterThan" aboveAverage="0" equalAverage="0" bottom="0" percent="0" rank="0" text="" dxfId="7">
      <formula>0</formula>
    </cfRule>
  </conditionalFormatting>
  <conditionalFormatting sqref="K410">
    <cfRule type="cellIs" priority="1619" operator="greaterThan" aboveAverage="0" equalAverage="0" bottom="0" percent="0" rank="0" text="" dxfId="7">
      <formula>0</formula>
    </cfRule>
  </conditionalFormatting>
  <conditionalFormatting sqref="N410">
    <cfRule type="cellIs" priority="1620" operator="greaterThan" aboveAverage="0" equalAverage="0" bottom="0" percent="0" rank="0" text="" dxfId="7">
      <formula>0</formula>
    </cfRule>
    <cfRule type="cellIs" priority="1621" operator="lessThan" aboveAverage="0" equalAverage="0" bottom="0" percent="0" rank="0" text="" dxfId="8">
      <formula>0</formula>
    </cfRule>
  </conditionalFormatting>
  <conditionalFormatting sqref="I411">
    <cfRule type="cellIs" priority="1622" operator="greaterThan" aboveAverage="0" equalAverage="0" bottom="0" percent="0" rank="0" text="" dxfId="7">
      <formula>0</formula>
    </cfRule>
  </conditionalFormatting>
  <conditionalFormatting sqref="K411">
    <cfRule type="cellIs" priority="1623" operator="greaterThan" aboveAverage="0" equalAverage="0" bottom="0" percent="0" rank="0" text="" dxfId="7">
      <formula>0</formula>
    </cfRule>
  </conditionalFormatting>
  <conditionalFormatting sqref="N411">
    <cfRule type="cellIs" priority="1624" operator="greaterThan" aboveAverage="0" equalAverage="0" bottom="0" percent="0" rank="0" text="" dxfId="7">
      <formula>0</formula>
    </cfRule>
    <cfRule type="cellIs" priority="1625" operator="lessThan" aboveAverage="0" equalAverage="0" bottom="0" percent="0" rank="0" text="" dxfId="8">
      <formula>0</formula>
    </cfRule>
  </conditionalFormatting>
  <conditionalFormatting sqref="I412">
    <cfRule type="cellIs" priority="1626" operator="greaterThan" aboveAverage="0" equalAverage="0" bottom="0" percent="0" rank="0" text="" dxfId="7">
      <formula>0</formula>
    </cfRule>
  </conditionalFormatting>
  <conditionalFormatting sqref="K412">
    <cfRule type="cellIs" priority="1627" operator="greaterThan" aboveAverage="0" equalAverage="0" bottom="0" percent="0" rank="0" text="" dxfId="7">
      <formula>0</formula>
    </cfRule>
  </conditionalFormatting>
  <conditionalFormatting sqref="N412">
    <cfRule type="cellIs" priority="1628" operator="greaterThan" aboveAverage="0" equalAverage="0" bottom="0" percent="0" rank="0" text="" dxfId="7">
      <formula>0</formula>
    </cfRule>
    <cfRule type="cellIs" priority="1629" operator="lessThan" aboveAverage="0" equalAverage="0" bottom="0" percent="0" rank="0" text="" dxfId="8">
      <formula>0</formula>
    </cfRule>
  </conditionalFormatting>
  <conditionalFormatting sqref="I413">
    <cfRule type="cellIs" priority="1630" operator="greaterThan" aboveAverage="0" equalAverage="0" bottom="0" percent="0" rank="0" text="" dxfId="7">
      <formula>0</formula>
    </cfRule>
  </conditionalFormatting>
  <conditionalFormatting sqref="K413">
    <cfRule type="cellIs" priority="1631" operator="greaterThan" aboveAverage="0" equalAverage="0" bottom="0" percent="0" rank="0" text="" dxfId="7">
      <formula>0</formula>
    </cfRule>
  </conditionalFormatting>
  <conditionalFormatting sqref="N413">
    <cfRule type="cellIs" priority="1632" operator="greaterThan" aboveAverage="0" equalAverage="0" bottom="0" percent="0" rank="0" text="" dxfId="7">
      <formula>0</formula>
    </cfRule>
    <cfRule type="cellIs" priority="1633" operator="lessThan" aboveAverage="0" equalAverage="0" bottom="0" percent="0" rank="0" text="" dxfId="8">
      <formula>0</formula>
    </cfRule>
  </conditionalFormatting>
  <conditionalFormatting sqref="I414">
    <cfRule type="cellIs" priority="1634" operator="greaterThan" aboveAverage="0" equalAverage="0" bottom="0" percent="0" rank="0" text="" dxfId="7">
      <formula>0</formula>
    </cfRule>
  </conditionalFormatting>
  <conditionalFormatting sqref="K414">
    <cfRule type="cellIs" priority="1635" operator="greaterThan" aboveAverage="0" equalAverage="0" bottom="0" percent="0" rank="0" text="" dxfId="7">
      <formula>0</formula>
    </cfRule>
  </conditionalFormatting>
  <conditionalFormatting sqref="N414">
    <cfRule type="cellIs" priority="1636" operator="greaterThan" aboveAverage="0" equalAverage="0" bottom="0" percent="0" rank="0" text="" dxfId="7">
      <formula>0</formula>
    </cfRule>
    <cfRule type="cellIs" priority="1637" operator="lessThan" aboveAverage="0" equalAverage="0" bottom="0" percent="0" rank="0" text="" dxfId="8">
      <formula>0</formula>
    </cfRule>
  </conditionalFormatting>
  <conditionalFormatting sqref="I415">
    <cfRule type="cellIs" priority="1638" operator="greaterThan" aboveAverage="0" equalAverage="0" bottom="0" percent="0" rank="0" text="" dxfId="7">
      <formula>0</formula>
    </cfRule>
  </conditionalFormatting>
  <conditionalFormatting sqref="K415">
    <cfRule type="cellIs" priority="1639" operator="greaterThan" aboveAverage="0" equalAverage="0" bottom="0" percent="0" rank="0" text="" dxfId="7">
      <formula>0</formula>
    </cfRule>
  </conditionalFormatting>
  <conditionalFormatting sqref="N415">
    <cfRule type="cellIs" priority="1640" operator="greaterThan" aboveAverage="0" equalAverage="0" bottom="0" percent="0" rank="0" text="" dxfId="7">
      <formula>0</formula>
    </cfRule>
    <cfRule type="cellIs" priority="1641" operator="lessThan" aboveAverage="0" equalAverage="0" bottom="0" percent="0" rank="0" text="" dxfId="8">
      <formula>0</formula>
    </cfRule>
  </conditionalFormatting>
  <conditionalFormatting sqref="I416">
    <cfRule type="cellIs" priority="1642" operator="greaterThan" aboveAverage="0" equalAverage="0" bottom="0" percent="0" rank="0" text="" dxfId="7">
      <formula>0</formula>
    </cfRule>
  </conditionalFormatting>
  <conditionalFormatting sqref="K416">
    <cfRule type="cellIs" priority="1643" operator="greaterThan" aboveAverage="0" equalAverage="0" bottom="0" percent="0" rank="0" text="" dxfId="7">
      <formula>0</formula>
    </cfRule>
  </conditionalFormatting>
  <conditionalFormatting sqref="N416">
    <cfRule type="cellIs" priority="1644" operator="greaterThan" aboveAverage="0" equalAverage="0" bottom="0" percent="0" rank="0" text="" dxfId="7">
      <formula>0</formula>
    </cfRule>
    <cfRule type="cellIs" priority="1645" operator="lessThan" aboveAverage="0" equalAverage="0" bottom="0" percent="0" rank="0" text="" dxfId="8">
      <formula>0</formula>
    </cfRule>
  </conditionalFormatting>
  <conditionalFormatting sqref="I417">
    <cfRule type="cellIs" priority="1646" operator="greaterThan" aboveAverage="0" equalAverage="0" bottom="0" percent="0" rank="0" text="" dxfId="7">
      <formula>0</formula>
    </cfRule>
  </conditionalFormatting>
  <conditionalFormatting sqref="K417">
    <cfRule type="cellIs" priority="1647" operator="greaterThan" aboveAverage="0" equalAverage="0" bottom="0" percent="0" rank="0" text="" dxfId="7">
      <formula>0</formula>
    </cfRule>
  </conditionalFormatting>
  <conditionalFormatting sqref="N417">
    <cfRule type="cellIs" priority="1648" operator="greaterThan" aboveAverage="0" equalAverage="0" bottom="0" percent="0" rank="0" text="" dxfId="7">
      <formula>0</formula>
    </cfRule>
    <cfRule type="cellIs" priority="1649" operator="lessThan" aboveAverage="0" equalAverage="0" bottom="0" percent="0" rank="0" text="" dxfId="8">
      <formula>0</formula>
    </cfRule>
  </conditionalFormatting>
  <conditionalFormatting sqref="I418">
    <cfRule type="cellIs" priority="1650" operator="greaterThan" aboveAverage="0" equalAverage="0" bottom="0" percent="0" rank="0" text="" dxfId="7">
      <formula>0</formula>
    </cfRule>
  </conditionalFormatting>
  <conditionalFormatting sqref="K418">
    <cfRule type="cellIs" priority="1651" operator="greaterThan" aboveAverage="0" equalAverage="0" bottom="0" percent="0" rank="0" text="" dxfId="7">
      <formula>0</formula>
    </cfRule>
  </conditionalFormatting>
  <conditionalFormatting sqref="N418">
    <cfRule type="cellIs" priority="1652" operator="greaterThan" aboveAverage="0" equalAverage="0" bottom="0" percent="0" rank="0" text="" dxfId="7">
      <formula>0</formula>
    </cfRule>
    <cfRule type="cellIs" priority="1653" operator="lessThan" aboveAverage="0" equalAverage="0" bottom="0" percent="0" rank="0" text="" dxfId="8">
      <formula>0</formula>
    </cfRule>
  </conditionalFormatting>
  <conditionalFormatting sqref="I419">
    <cfRule type="cellIs" priority="1654" operator="greaterThan" aboveAverage="0" equalAverage="0" bottom="0" percent="0" rank="0" text="" dxfId="7">
      <formula>0</formula>
    </cfRule>
  </conditionalFormatting>
  <conditionalFormatting sqref="K419">
    <cfRule type="cellIs" priority="1655" operator="greaterThan" aboveAverage="0" equalAverage="0" bottom="0" percent="0" rank="0" text="" dxfId="7">
      <formula>0</formula>
    </cfRule>
  </conditionalFormatting>
  <conditionalFormatting sqref="N419">
    <cfRule type="cellIs" priority="1656" operator="greaterThan" aboveAverage="0" equalAverage="0" bottom="0" percent="0" rank="0" text="" dxfId="7">
      <formula>0</formula>
    </cfRule>
    <cfRule type="cellIs" priority="1657" operator="lessThan" aboveAverage="0" equalAverage="0" bottom="0" percent="0" rank="0" text="" dxfId="8">
      <formula>0</formula>
    </cfRule>
  </conditionalFormatting>
  <conditionalFormatting sqref="I420">
    <cfRule type="cellIs" priority="1658" operator="greaterThan" aboveAverage="0" equalAverage="0" bottom="0" percent="0" rank="0" text="" dxfId="7">
      <formula>0</formula>
    </cfRule>
  </conditionalFormatting>
  <conditionalFormatting sqref="K420">
    <cfRule type="cellIs" priority="1659" operator="greaterThan" aboveAverage="0" equalAverage="0" bottom="0" percent="0" rank="0" text="" dxfId="7">
      <formula>0</formula>
    </cfRule>
  </conditionalFormatting>
  <conditionalFormatting sqref="N420">
    <cfRule type="cellIs" priority="1660" operator="greaterThan" aboveAverage="0" equalAverage="0" bottom="0" percent="0" rank="0" text="" dxfId="7">
      <formula>0</formula>
    </cfRule>
    <cfRule type="cellIs" priority="1661" operator="lessThan" aboveAverage="0" equalAverage="0" bottom="0" percent="0" rank="0" text="" dxfId="8">
      <formula>0</formula>
    </cfRule>
  </conditionalFormatting>
  <conditionalFormatting sqref="I421">
    <cfRule type="cellIs" priority="1662" operator="greaterThan" aboveAverage="0" equalAverage="0" bottom="0" percent="0" rank="0" text="" dxfId="7">
      <formula>0</formula>
    </cfRule>
  </conditionalFormatting>
  <conditionalFormatting sqref="K421">
    <cfRule type="cellIs" priority="1663" operator="greaterThan" aboveAverage="0" equalAverage="0" bottom="0" percent="0" rank="0" text="" dxfId="7">
      <formula>0</formula>
    </cfRule>
  </conditionalFormatting>
  <conditionalFormatting sqref="N421">
    <cfRule type="cellIs" priority="1664" operator="greaterThan" aboveAverage="0" equalAverage="0" bottom="0" percent="0" rank="0" text="" dxfId="7">
      <formula>0</formula>
    </cfRule>
    <cfRule type="cellIs" priority="1665" operator="lessThan" aboveAverage="0" equalAverage="0" bottom="0" percent="0" rank="0" text="" dxfId="8">
      <formula>0</formula>
    </cfRule>
  </conditionalFormatting>
  <conditionalFormatting sqref="I422">
    <cfRule type="cellIs" priority="1666" operator="greaterThan" aboveAverage="0" equalAverage="0" bottom="0" percent="0" rank="0" text="" dxfId="7">
      <formula>0</formula>
    </cfRule>
  </conditionalFormatting>
  <conditionalFormatting sqref="K422">
    <cfRule type="cellIs" priority="1667" operator="greaterThan" aboveAverage="0" equalAverage="0" bottom="0" percent="0" rank="0" text="" dxfId="7">
      <formula>0</formula>
    </cfRule>
  </conditionalFormatting>
  <conditionalFormatting sqref="N422">
    <cfRule type="cellIs" priority="1668" operator="greaterThan" aboveAverage="0" equalAverage="0" bottom="0" percent="0" rank="0" text="" dxfId="7">
      <formula>0</formula>
    </cfRule>
    <cfRule type="cellIs" priority="1669" operator="lessThan" aboveAverage="0" equalAverage="0" bottom="0" percent="0" rank="0" text="" dxfId="8">
      <formula>0</formula>
    </cfRule>
  </conditionalFormatting>
  <conditionalFormatting sqref="I423">
    <cfRule type="cellIs" priority="1670" operator="greaterThan" aboveAverage="0" equalAverage="0" bottom="0" percent="0" rank="0" text="" dxfId="7">
      <formula>0</formula>
    </cfRule>
  </conditionalFormatting>
  <conditionalFormatting sqref="K423">
    <cfRule type="cellIs" priority="1671" operator="greaterThan" aboveAverage="0" equalAverage="0" bottom="0" percent="0" rank="0" text="" dxfId="7">
      <formula>0</formula>
    </cfRule>
  </conditionalFormatting>
  <conditionalFormatting sqref="N423">
    <cfRule type="cellIs" priority="1672" operator="greaterThan" aboveAverage="0" equalAverage="0" bottom="0" percent="0" rank="0" text="" dxfId="7">
      <formula>0</formula>
    </cfRule>
    <cfRule type="cellIs" priority="1673" operator="lessThan" aboveAverage="0" equalAverage="0" bottom="0" percent="0" rank="0" text="" dxfId="8">
      <formula>0</formula>
    </cfRule>
  </conditionalFormatting>
  <conditionalFormatting sqref="I424">
    <cfRule type="cellIs" priority="1674" operator="greaterThan" aboveAverage="0" equalAverage="0" bottom="0" percent="0" rank="0" text="" dxfId="7">
      <formula>0</formula>
    </cfRule>
  </conditionalFormatting>
  <conditionalFormatting sqref="K424">
    <cfRule type="cellIs" priority="1675" operator="greaterThan" aboveAverage="0" equalAverage="0" bottom="0" percent="0" rank="0" text="" dxfId="7">
      <formula>0</formula>
    </cfRule>
  </conditionalFormatting>
  <conditionalFormatting sqref="N424">
    <cfRule type="cellIs" priority="1676" operator="greaterThan" aboveAverage="0" equalAverage="0" bottom="0" percent="0" rank="0" text="" dxfId="7">
      <formula>0</formula>
    </cfRule>
    <cfRule type="cellIs" priority="1677" operator="lessThan" aboveAverage="0" equalAverage="0" bottom="0" percent="0" rank="0" text="" dxfId="8">
      <formula>0</formula>
    </cfRule>
  </conditionalFormatting>
  <conditionalFormatting sqref="I425">
    <cfRule type="cellIs" priority="1678" operator="greaterThan" aboveAverage="0" equalAverage="0" bottom="0" percent="0" rank="0" text="" dxfId="7">
      <formula>0</formula>
    </cfRule>
  </conditionalFormatting>
  <conditionalFormatting sqref="K425">
    <cfRule type="cellIs" priority="1679" operator="greaterThan" aboveAverage="0" equalAverage="0" bottom="0" percent="0" rank="0" text="" dxfId="7">
      <formula>0</formula>
    </cfRule>
  </conditionalFormatting>
  <conditionalFormatting sqref="N425">
    <cfRule type="cellIs" priority="1680" operator="greaterThan" aboveAverage="0" equalAverage="0" bottom="0" percent="0" rank="0" text="" dxfId="7">
      <formula>0</formula>
    </cfRule>
    <cfRule type="cellIs" priority="1681" operator="lessThan" aboveAverage="0" equalAverage="0" bottom="0" percent="0" rank="0" text="" dxfId="8">
      <formula>0</formula>
    </cfRule>
  </conditionalFormatting>
  <conditionalFormatting sqref="I426">
    <cfRule type="cellIs" priority="1682" operator="greaterThan" aboveAverage="0" equalAverage="0" bottom="0" percent="0" rank="0" text="" dxfId="7">
      <formula>0</formula>
    </cfRule>
  </conditionalFormatting>
  <conditionalFormatting sqref="K426">
    <cfRule type="cellIs" priority="1683" operator="greaterThan" aboveAverage="0" equalAverage="0" bottom="0" percent="0" rank="0" text="" dxfId="7">
      <formula>0</formula>
    </cfRule>
  </conditionalFormatting>
  <conditionalFormatting sqref="N426">
    <cfRule type="cellIs" priority="1684" operator="greaterThan" aboveAverage="0" equalAverage="0" bottom="0" percent="0" rank="0" text="" dxfId="7">
      <formula>0</formula>
    </cfRule>
    <cfRule type="cellIs" priority="1685" operator="lessThan" aboveAverage="0" equalAverage="0" bottom="0" percent="0" rank="0" text="" dxfId="8">
      <formula>0</formula>
    </cfRule>
  </conditionalFormatting>
  <conditionalFormatting sqref="I427">
    <cfRule type="cellIs" priority="1686" operator="greaterThan" aboveAverage="0" equalAverage="0" bottom="0" percent="0" rank="0" text="" dxfId="7">
      <formula>0</formula>
    </cfRule>
  </conditionalFormatting>
  <conditionalFormatting sqref="K427">
    <cfRule type="cellIs" priority="1687" operator="greaterThan" aboveAverage="0" equalAverage="0" bottom="0" percent="0" rank="0" text="" dxfId="7">
      <formula>0</formula>
    </cfRule>
  </conditionalFormatting>
  <conditionalFormatting sqref="N427">
    <cfRule type="cellIs" priority="1688" operator="greaterThan" aboveAverage="0" equalAverage="0" bottom="0" percent="0" rank="0" text="" dxfId="7">
      <formula>0</formula>
    </cfRule>
    <cfRule type="cellIs" priority="1689" operator="lessThan" aboveAverage="0" equalAverage="0" bottom="0" percent="0" rank="0" text="" dxfId="8">
      <formula>0</formula>
    </cfRule>
  </conditionalFormatting>
  <conditionalFormatting sqref="I428">
    <cfRule type="cellIs" priority="1690" operator="greaterThan" aboveAverage="0" equalAverage="0" bottom="0" percent="0" rank="0" text="" dxfId="7">
      <formula>0</formula>
    </cfRule>
  </conditionalFormatting>
  <conditionalFormatting sqref="K428">
    <cfRule type="cellIs" priority="1691" operator="greaterThan" aboveAverage="0" equalAverage="0" bottom="0" percent="0" rank="0" text="" dxfId="7">
      <formula>0</formula>
    </cfRule>
  </conditionalFormatting>
  <conditionalFormatting sqref="N428">
    <cfRule type="cellIs" priority="1692" operator="greaterThan" aboveAverage="0" equalAverage="0" bottom="0" percent="0" rank="0" text="" dxfId="7">
      <formula>0</formula>
    </cfRule>
    <cfRule type="cellIs" priority="1693" operator="lessThan" aboveAverage="0" equalAverage="0" bottom="0" percent="0" rank="0" text="" dxfId="8">
      <formula>0</formula>
    </cfRule>
  </conditionalFormatting>
  <conditionalFormatting sqref="I429">
    <cfRule type="cellIs" priority="1694" operator="greaterThan" aboveAverage="0" equalAverage="0" bottom="0" percent="0" rank="0" text="" dxfId="7">
      <formula>0</formula>
    </cfRule>
  </conditionalFormatting>
  <conditionalFormatting sqref="K429">
    <cfRule type="cellIs" priority="1695" operator="greaterThan" aboveAverage="0" equalAverage="0" bottom="0" percent="0" rank="0" text="" dxfId="7">
      <formula>0</formula>
    </cfRule>
  </conditionalFormatting>
  <conditionalFormatting sqref="N429">
    <cfRule type="cellIs" priority="1696" operator="greaterThan" aboveAverage="0" equalAverage="0" bottom="0" percent="0" rank="0" text="" dxfId="7">
      <formula>0</formula>
    </cfRule>
    <cfRule type="cellIs" priority="1697" operator="lessThan" aboveAverage="0" equalAverage="0" bottom="0" percent="0" rank="0" text="" dxfId="8">
      <formula>0</formula>
    </cfRule>
  </conditionalFormatting>
  <conditionalFormatting sqref="I430">
    <cfRule type="cellIs" priority="1698" operator="greaterThan" aboveAverage="0" equalAverage="0" bottom="0" percent="0" rank="0" text="" dxfId="7">
      <formula>0</formula>
    </cfRule>
  </conditionalFormatting>
  <conditionalFormatting sqref="K430">
    <cfRule type="cellIs" priority="1699" operator="greaterThan" aboveAverage="0" equalAverage="0" bottom="0" percent="0" rank="0" text="" dxfId="7">
      <formula>0</formula>
    </cfRule>
  </conditionalFormatting>
  <conditionalFormatting sqref="N430">
    <cfRule type="cellIs" priority="1700" operator="greaterThan" aboveAverage="0" equalAverage="0" bottom="0" percent="0" rank="0" text="" dxfId="7">
      <formula>0</formula>
    </cfRule>
    <cfRule type="cellIs" priority="1701" operator="lessThan" aboveAverage="0" equalAverage="0" bottom="0" percent="0" rank="0" text="" dxfId="8">
      <formula>0</formula>
    </cfRule>
  </conditionalFormatting>
  <conditionalFormatting sqref="I431">
    <cfRule type="cellIs" priority="1702" operator="greaterThan" aboveAverage="0" equalAverage="0" bottom="0" percent="0" rank="0" text="" dxfId="7">
      <formula>0</formula>
    </cfRule>
  </conditionalFormatting>
  <conditionalFormatting sqref="K431">
    <cfRule type="cellIs" priority="1703" operator="greaterThan" aboveAverage="0" equalAverage="0" bottom="0" percent="0" rank="0" text="" dxfId="7">
      <formula>0</formula>
    </cfRule>
  </conditionalFormatting>
  <conditionalFormatting sqref="N431">
    <cfRule type="cellIs" priority="1704" operator="greaterThan" aboveAverage="0" equalAverage="0" bottom="0" percent="0" rank="0" text="" dxfId="7">
      <formula>0</formula>
    </cfRule>
    <cfRule type="cellIs" priority="1705" operator="lessThan" aboveAverage="0" equalAverage="0" bottom="0" percent="0" rank="0" text="" dxfId="8">
      <formula>0</formula>
    </cfRule>
  </conditionalFormatting>
  <conditionalFormatting sqref="I432">
    <cfRule type="cellIs" priority="1706" operator="greaterThan" aboveAverage="0" equalAverage="0" bottom="0" percent="0" rank="0" text="" dxfId="7">
      <formula>0</formula>
    </cfRule>
  </conditionalFormatting>
  <conditionalFormatting sqref="K432">
    <cfRule type="cellIs" priority="1707" operator="greaterThan" aboveAverage="0" equalAverage="0" bottom="0" percent="0" rank="0" text="" dxfId="7">
      <formula>0</formula>
    </cfRule>
  </conditionalFormatting>
  <conditionalFormatting sqref="N432">
    <cfRule type="cellIs" priority="1708" operator="greaterThan" aboveAverage="0" equalAverage="0" bottom="0" percent="0" rank="0" text="" dxfId="7">
      <formula>0</formula>
    </cfRule>
    <cfRule type="cellIs" priority="1709" operator="lessThan" aboveAverage="0" equalAverage="0" bottom="0" percent="0" rank="0" text="" dxfId="8">
      <formula>0</formula>
    </cfRule>
  </conditionalFormatting>
  <conditionalFormatting sqref="I433">
    <cfRule type="cellIs" priority="1710" operator="greaterThan" aboveAverage="0" equalAverage="0" bottom="0" percent="0" rank="0" text="" dxfId="7">
      <formula>0</formula>
    </cfRule>
  </conditionalFormatting>
  <conditionalFormatting sqref="K433">
    <cfRule type="cellIs" priority="1711" operator="greaterThan" aboveAverage="0" equalAverage="0" bottom="0" percent="0" rank="0" text="" dxfId="7">
      <formula>0</formula>
    </cfRule>
  </conditionalFormatting>
  <conditionalFormatting sqref="N433">
    <cfRule type="cellIs" priority="1712" operator="greaterThan" aboveAverage="0" equalAverage="0" bottom="0" percent="0" rank="0" text="" dxfId="7">
      <formula>0</formula>
    </cfRule>
    <cfRule type="cellIs" priority="1713" operator="lessThan" aboveAverage="0" equalAverage="0" bottom="0" percent="0" rank="0" text="" dxfId="8">
      <formula>0</formula>
    </cfRule>
  </conditionalFormatting>
  <conditionalFormatting sqref="I434">
    <cfRule type="cellIs" priority="1714" operator="greaterThan" aboveAverage="0" equalAverage="0" bottom="0" percent="0" rank="0" text="" dxfId="7">
      <formula>0</formula>
    </cfRule>
  </conditionalFormatting>
  <conditionalFormatting sqref="K434">
    <cfRule type="cellIs" priority="1715" operator="greaterThan" aboveAverage="0" equalAverage="0" bottom="0" percent="0" rank="0" text="" dxfId="7">
      <formula>0</formula>
    </cfRule>
  </conditionalFormatting>
  <conditionalFormatting sqref="N434">
    <cfRule type="cellIs" priority="1716" operator="greaterThan" aboveAverage="0" equalAverage="0" bottom="0" percent="0" rank="0" text="" dxfId="7">
      <formula>0</formula>
    </cfRule>
    <cfRule type="cellIs" priority="1717" operator="lessThan" aboveAverage="0" equalAverage="0" bottom="0" percent="0" rank="0" text="" dxfId="8">
      <formula>0</formula>
    </cfRule>
  </conditionalFormatting>
  <conditionalFormatting sqref="I435">
    <cfRule type="cellIs" priority="1718" operator="greaterThan" aboveAverage="0" equalAverage="0" bottom="0" percent="0" rank="0" text="" dxfId="7">
      <formula>0</formula>
    </cfRule>
  </conditionalFormatting>
  <conditionalFormatting sqref="K435">
    <cfRule type="cellIs" priority="1719" operator="greaterThan" aboveAverage="0" equalAverage="0" bottom="0" percent="0" rank="0" text="" dxfId="7">
      <formula>0</formula>
    </cfRule>
  </conditionalFormatting>
  <conditionalFormatting sqref="N435">
    <cfRule type="cellIs" priority="1720" operator="greaterThan" aboveAverage="0" equalAverage="0" bottom="0" percent="0" rank="0" text="" dxfId="7">
      <formula>0</formula>
    </cfRule>
    <cfRule type="cellIs" priority="1721" operator="lessThan" aboveAverage="0" equalAverage="0" bottom="0" percent="0" rank="0" text="" dxfId="8">
      <formula>0</formula>
    </cfRule>
  </conditionalFormatting>
  <conditionalFormatting sqref="I436">
    <cfRule type="cellIs" priority="1722" operator="greaterThan" aboveAverage="0" equalAverage="0" bottom="0" percent="0" rank="0" text="" dxfId="7">
      <formula>0</formula>
    </cfRule>
  </conditionalFormatting>
  <conditionalFormatting sqref="K436">
    <cfRule type="cellIs" priority="1723" operator="greaterThan" aboveAverage="0" equalAverage="0" bottom="0" percent="0" rank="0" text="" dxfId="7">
      <formula>0</formula>
    </cfRule>
  </conditionalFormatting>
  <conditionalFormatting sqref="N436">
    <cfRule type="cellIs" priority="1724" operator="greaterThan" aboveAverage="0" equalAverage="0" bottom="0" percent="0" rank="0" text="" dxfId="7">
      <formula>0</formula>
    </cfRule>
    <cfRule type="cellIs" priority="1725" operator="lessThan" aboveAverage="0" equalAverage="0" bottom="0" percent="0" rank="0" text="" dxfId="8">
      <formula>0</formula>
    </cfRule>
  </conditionalFormatting>
  <conditionalFormatting sqref="I437">
    <cfRule type="cellIs" priority="1726" operator="greaterThan" aboveAverage="0" equalAverage="0" bottom="0" percent="0" rank="0" text="" dxfId="7">
      <formula>0</formula>
    </cfRule>
  </conditionalFormatting>
  <conditionalFormatting sqref="K437">
    <cfRule type="cellIs" priority="1727" operator="greaterThan" aboveAverage="0" equalAverage="0" bottom="0" percent="0" rank="0" text="" dxfId="7">
      <formula>0</formula>
    </cfRule>
  </conditionalFormatting>
  <conditionalFormatting sqref="N437">
    <cfRule type="cellIs" priority="1728" operator="greaterThan" aboveAverage="0" equalAverage="0" bottom="0" percent="0" rank="0" text="" dxfId="7">
      <formula>0</formula>
    </cfRule>
    <cfRule type="cellIs" priority="1729" operator="lessThan" aboveAverage="0" equalAverage="0" bottom="0" percent="0" rank="0" text="" dxfId="8">
      <formula>0</formula>
    </cfRule>
  </conditionalFormatting>
  <conditionalFormatting sqref="I438">
    <cfRule type="cellIs" priority="1730" operator="greaterThan" aboveAverage="0" equalAverage="0" bottom="0" percent="0" rank="0" text="" dxfId="7">
      <formula>0</formula>
    </cfRule>
  </conditionalFormatting>
  <conditionalFormatting sqref="K438">
    <cfRule type="cellIs" priority="1731" operator="greaterThan" aboveAverage="0" equalAverage="0" bottom="0" percent="0" rank="0" text="" dxfId="7">
      <formula>0</formula>
    </cfRule>
  </conditionalFormatting>
  <conditionalFormatting sqref="N438">
    <cfRule type="cellIs" priority="1732" operator="greaterThan" aboveAverage="0" equalAverage="0" bottom="0" percent="0" rank="0" text="" dxfId="7">
      <formula>0</formula>
    </cfRule>
    <cfRule type="cellIs" priority="1733" operator="lessThan" aboveAverage="0" equalAverage="0" bottom="0" percent="0" rank="0" text="" dxfId="8">
      <formula>0</formula>
    </cfRule>
  </conditionalFormatting>
  <conditionalFormatting sqref="I439">
    <cfRule type="cellIs" priority="1734" operator="greaterThan" aboveAverage="0" equalAverage="0" bottom="0" percent="0" rank="0" text="" dxfId="7">
      <formula>0</formula>
    </cfRule>
  </conditionalFormatting>
  <conditionalFormatting sqref="K439">
    <cfRule type="cellIs" priority="1735" operator="greaterThan" aboveAverage="0" equalAverage="0" bottom="0" percent="0" rank="0" text="" dxfId="7">
      <formula>0</formula>
    </cfRule>
  </conditionalFormatting>
  <conditionalFormatting sqref="N439">
    <cfRule type="cellIs" priority="1736" operator="greaterThan" aboveAverage="0" equalAverage="0" bottom="0" percent="0" rank="0" text="" dxfId="7">
      <formula>0</formula>
    </cfRule>
    <cfRule type="cellIs" priority="1737" operator="lessThan" aboveAverage="0" equalAverage="0" bottom="0" percent="0" rank="0" text="" dxfId="8">
      <formula>0</formula>
    </cfRule>
  </conditionalFormatting>
  <conditionalFormatting sqref="I440">
    <cfRule type="cellIs" priority="1738" operator="greaterThan" aboveAverage="0" equalAverage="0" bottom="0" percent="0" rank="0" text="" dxfId="7">
      <formula>0</formula>
    </cfRule>
  </conditionalFormatting>
  <conditionalFormatting sqref="K440">
    <cfRule type="cellIs" priority="1739" operator="greaterThan" aboveAverage="0" equalAverage="0" bottom="0" percent="0" rank="0" text="" dxfId="7">
      <formula>0</formula>
    </cfRule>
  </conditionalFormatting>
  <conditionalFormatting sqref="N440">
    <cfRule type="cellIs" priority="1740" operator="greaterThan" aboveAverage="0" equalAverage="0" bottom="0" percent="0" rank="0" text="" dxfId="7">
      <formula>0</formula>
    </cfRule>
    <cfRule type="cellIs" priority="1741" operator="lessThan" aboveAverage="0" equalAverage="0" bottom="0" percent="0" rank="0" text="" dxfId="8">
      <formula>0</formula>
    </cfRule>
  </conditionalFormatting>
  <conditionalFormatting sqref="I441">
    <cfRule type="cellIs" priority="1742" operator="greaterThan" aboveAverage="0" equalAverage="0" bottom="0" percent="0" rank="0" text="" dxfId="7">
      <formula>0</formula>
    </cfRule>
  </conditionalFormatting>
  <conditionalFormatting sqref="K441">
    <cfRule type="cellIs" priority="1743" operator="greaterThan" aboveAverage="0" equalAverage="0" bottom="0" percent="0" rank="0" text="" dxfId="7">
      <formula>0</formula>
    </cfRule>
  </conditionalFormatting>
  <conditionalFormatting sqref="N441">
    <cfRule type="cellIs" priority="1744" operator="greaterThan" aboveAverage="0" equalAverage="0" bottom="0" percent="0" rank="0" text="" dxfId="7">
      <formula>0</formula>
    </cfRule>
    <cfRule type="cellIs" priority="1745" operator="lessThan" aboveAverage="0" equalAverage="0" bottom="0" percent="0" rank="0" text="" dxfId="8">
      <formula>0</formula>
    </cfRule>
  </conditionalFormatting>
  <conditionalFormatting sqref="I442">
    <cfRule type="cellIs" priority="1746" operator="greaterThan" aboveAverage="0" equalAverage="0" bottom="0" percent="0" rank="0" text="" dxfId="7">
      <formula>0</formula>
    </cfRule>
  </conditionalFormatting>
  <conditionalFormatting sqref="K442">
    <cfRule type="cellIs" priority="1747" operator="greaterThan" aboveAverage="0" equalAverage="0" bottom="0" percent="0" rank="0" text="" dxfId="7">
      <formula>0</formula>
    </cfRule>
  </conditionalFormatting>
  <conditionalFormatting sqref="N442">
    <cfRule type="cellIs" priority="1748" operator="greaterThan" aboveAverage="0" equalAverage="0" bottom="0" percent="0" rank="0" text="" dxfId="7">
      <formula>0</formula>
    </cfRule>
    <cfRule type="cellIs" priority="1749" operator="lessThan" aboveAverage="0" equalAverage="0" bottom="0" percent="0" rank="0" text="" dxfId="8">
      <formula>0</formula>
    </cfRule>
  </conditionalFormatting>
  <conditionalFormatting sqref="I443">
    <cfRule type="cellIs" priority="1750" operator="greaterThan" aboveAverage="0" equalAverage="0" bottom="0" percent="0" rank="0" text="" dxfId="7">
      <formula>0</formula>
    </cfRule>
  </conditionalFormatting>
  <conditionalFormatting sqref="K443">
    <cfRule type="cellIs" priority="1751" operator="greaterThan" aboveAverage="0" equalAverage="0" bottom="0" percent="0" rank="0" text="" dxfId="7">
      <formula>0</formula>
    </cfRule>
  </conditionalFormatting>
  <conditionalFormatting sqref="N443">
    <cfRule type="cellIs" priority="1752" operator="greaterThan" aboveAverage="0" equalAverage="0" bottom="0" percent="0" rank="0" text="" dxfId="7">
      <formula>0</formula>
    </cfRule>
    <cfRule type="cellIs" priority="1753" operator="lessThan" aboveAverage="0" equalAverage="0" bottom="0" percent="0" rank="0" text="" dxfId="8">
      <formula>0</formula>
    </cfRule>
  </conditionalFormatting>
  <conditionalFormatting sqref="I444">
    <cfRule type="cellIs" priority="1754" operator="greaterThan" aboveAverage="0" equalAverage="0" bottom="0" percent="0" rank="0" text="" dxfId="7">
      <formula>0</formula>
    </cfRule>
  </conditionalFormatting>
  <conditionalFormatting sqref="K444">
    <cfRule type="cellIs" priority="1755" operator="greaterThan" aboveAverage="0" equalAverage="0" bottom="0" percent="0" rank="0" text="" dxfId="7">
      <formula>0</formula>
    </cfRule>
  </conditionalFormatting>
  <conditionalFormatting sqref="N444">
    <cfRule type="cellIs" priority="1756" operator="greaterThan" aboveAverage="0" equalAverage="0" bottom="0" percent="0" rank="0" text="" dxfId="7">
      <formula>0</formula>
    </cfRule>
    <cfRule type="cellIs" priority="1757" operator="lessThan" aboveAverage="0" equalAverage="0" bottom="0" percent="0" rank="0" text="" dxfId="8">
      <formula>0</formula>
    </cfRule>
  </conditionalFormatting>
  <conditionalFormatting sqref="I445">
    <cfRule type="cellIs" priority="1758" operator="greaterThan" aboveAverage="0" equalAverage="0" bottom="0" percent="0" rank="0" text="" dxfId="7">
      <formula>0</formula>
    </cfRule>
  </conditionalFormatting>
  <conditionalFormatting sqref="K445">
    <cfRule type="cellIs" priority="1759" operator="greaterThan" aboveAverage="0" equalAverage="0" bottom="0" percent="0" rank="0" text="" dxfId="7">
      <formula>0</formula>
    </cfRule>
  </conditionalFormatting>
  <conditionalFormatting sqref="N445">
    <cfRule type="cellIs" priority="1760" operator="greaterThan" aboveAverage="0" equalAverage="0" bottom="0" percent="0" rank="0" text="" dxfId="7">
      <formula>0</formula>
    </cfRule>
    <cfRule type="cellIs" priority="1761" operator="lessThan" aboveAverage="0" equalAverage="0" bottom="0" percent="0" rank="0" text="" dxfId="8">
      <formula>0</formula>
    </cfRule>
  </conditionalFormatting>
  <conditionalFormatting sqref="I446">
    <cfRule type="cellIs" priority="1762" operator="greaterThan" aboveAverage="0" equalAverage="0" bottom="0" percent="0" rank="0" text="" dxfId="7">
      <formula>0</formula>
    </cfRule>
  </conditionalFormatting>
  <conditionalFormatting sqref="K446">
    <cfRule type="cellIs" priority="1763" operator="greaterThan" aboveAverage="0" equalAverage="0" bottom="0" percent="0" rank="0" text="" dxfId="7">
      <formula>0</formula>
    </cfRule>
  </conditionalFormatting>
  <conditionalFormatting sqref="N446">
    <cfRule type="cellIs" priority="1764" operator="greaterThan" aboveAverage="0" equalAverage="0" bottom="0" percent="0" rank="0" text="" dxfId="7">
      <formula>0</formula>
    </cfRule>
    <cfRule type="cellIs" priority="1765" operator="lessThan" aboveAverage="0" equalAverage="0" bottom="0" percent="0" rank="0" text="" dxfId="8">
      <formula>0</formula>
    </cfRule>
  </conditionalFormatting>
  <conditionalFormatting sqref="I447">
    <cfRule type="cellIs" priority="1766" operator="greaterThan" aboveAverage="0" equalAverage="0" bottom="0" percent="0" rank="0" text="" dxfId="7">
      <formula>0</formula>
    </cfRule>
  </conditionalFormatting>
  <conditionalFormatting sqref="K447">
    <cfRule type="cellIs" priority="1767" operator="greaterThan" aboveAverage="0" equalAverage="0" bottom="0" percent="0" rank="0" text="" dxfId="7">
      <formula>0</formula>
    </cfRule>
  </conditionalFormatting>
  <conditionalFormatting sqref="N447">
    <cfRule type="cellIs" priority="1768" operator="greaterThan" aboveAverage="0" equalAverage="0" bottom="0" percent="0" rank="0" text="" dxfId="7">
      <formula>0</formula>
    </cfRule>
    <cfRule type="cellIs" priority="1769" operator="lessThan" aboveAverage="0" equalAverage="0" bottom="0" percent="0" rank="0" text="" dxfId="8">
      <formula>0</formula>
    </cfRule>
  </conditionalFormatting>
  <conditionalFormatting sqref="I448">
    <cfRule type="cellIs" priority="1770" operator="greaterThan" aboveAverage="0" equalAverage="0" bottom="0" percent="0" rank="0" text="" dxfId="7">
      <formula>0</formula>
    </cfRule>
  </conditionalFormatting>
  <conditionalFormatting sqref="K448">
    <cfRule type="cellIs" priority="1771" operator="greaterThan" aboveAverage="0" equalAverage="0" bottom="0" percent="0" rank="0" text="" dxfId="7">
      <formula>0</formula>
    </cfRule>
  </conditionalFormatting>
  <conditionalFormatting sqref="N448">
    <cfRule type="cellIs" priority="1772" operator="greaterThan" aboveAverage="0" equalAverage="0" bottom="0" percent="0" rank="0" text="" dxfId="7">
      <formula>0</formula>
    </cfRule>
    <cfRule type="cellIs" priority="1773" operator="lessThan" aboveAverage="0" equalAverage="0" bottom="0" percent="0" rank="0" text="" dxfId="8">
      <formula>0</formula>
    </cfRule>
  </conditionalFormatting>
  <conditionalFormatting sqref="I449">
    <cfRule type="cellIs" priority="1774" operator="greaterThan" aboveAverage="0" equalAverage="0" bottom="0" percent="0" rank="0" text="" dxfId="7">
      <formula>0</formula>
    </cfRule>
  </conditionalFormatting>
  <conditionalFormatting sqref="K449">
    <cfRule type="cellIs" priority="1775" operator="greaterThan" aboveAverage="0" equalAverage="0" bottom="0" percent="0" rank="0" text="" dxfId="7">
      <formula>0</formula>
    </cfRule>
  </conditionalFormatting>
  <conditionalFormatting sqref="N449">
    <cfRule type="cellIs" priority="1776" operator="greaterThan" aboveAverage="0" equalAverage="0" bottom="0" percent="0" rank="0" text="" dxfId="7">
      <formula>0</formula>
    </cfRule>
    <cfRule type="cellIs" priority="1777" operator="lessThan" aboveAverage="0" equalAverage="0" bottom="0" percent="0" rank="0" text="" dxfId="8">
      <formula>0</formula>
    </cfRule>
  </conditionalFormatting>
  <conditionalFormatting sqref="I450">
    <cfRule type="cellIs" priority="1778" operator="greaterThan" aboveAverage="0" equalAverage="0" bottom="0" percent="0" rank="0" text="" dxfId="7">
      <formula>0</formula>
    </cfRule>
  </conditionalFormatting>
  <conditionalFormatting sqref="K450">
    <cfRule type="cellIs" priority="1779" operator="greaterThan" aboveAverage="0" equalAverage="0" bottom="0" percent="0" rank="0" text="" dxfId="7">
      <formula>0</formula>
    </cfRule>
  </conditionalFormatting>
  <conditionalFormatting sqref="N450">
    <cfRule type="cellIs" priority="1780" operator="greaterThan" aboveAverage="0" equalAverage="0" bottom="0" percent="0" rank="0" text="" dxfId="7">
      <formula>0</formula>
    </cfRule>
    <cfRule type="cellIs" priority="1781" operator="lessThan" aboveAverage="0" equalAverage="0" bottom="0" percent="0" rank="0" text="" dxfId="8">
      <formula>0</formula>
    </cfRule>
  </conditionalFormatting>
  <conditionalFormatting sqref="I451">
    <cfRule type="cellIs" priority="1782" operator="greaterThan" aboveAverage="0" equalAverage="0" bottom="0" percent="0" rank="0" text="" dxfId="7">
      <formula>0</formula>
    </cfRule>
  </conditionalFormatting>
  <conditionalFormatting sqref="K451">
    <cfRule type="cellIs" priority="1783" operator="greaterThan" aboveAverage="0" equalAverage="0" bottom="0" percent="0" rank="0" text="" dxfId="7">
      <formula>0</formula>
    </cfRule>
  </conditionalFormatting>
  <conditionalFormatting sqref="N451">
    <cfRule type="cellIs" priority="1784" operator="greaterThan" aboveAverage="0" equalAverage="0" bottom="0" percent="0" rank="0" text="" dxfId="7">
      <formula>0</formula>
    </cfRule>
    <cfRule type="cellIs" priority="1785" operator="lessThan" aboveAverage="0" equalAverage="0" bottom="0" percent="0" rank="0" text="" dxfId="8">
      <formula>0</formula>
    </cfRule>
  </conditionalFormatting>
  <conditionalFormatting sqref="I452">
    <cfRule type="cellIs" priority="1786" operator="greaterThan" aboveAverage="0" equalAverage="0" bottom="0" percent="0" rank="0" text="" dxfId="7">
      <formula>0</formula>
    </cfRule>
  </conditionalFormatting>
  <conditionalFormatting sqref="K452">
    <cfRule type="cellIs" priority="1787" operator="greaterThan" aboveAverage="0" equalAverage="0" bottom="0" percent="0" rank="0" text="" dxfId="7">
      <formula>0</formula>
    </cfRule>
  </conditionalFormatting>
  <conditionalFormatting sqref="N452">
    <cfRule type="cellIs" priority="1788" operator="greaterThan" aboveAverage="0" equalAverage="0" bottom="0" percent="0" rank="0" text="" dxfId="7">
      <formula>0</formula>
    </cfRule>
    <cfRule type="cellIs" priority="1789" operator="lessThan" aboveAverage="0" equalAverage="0" bottom="0" percent="0" rank="0" text="" dxfId="8">
      <formula>0</formula>
    </cfRule>
  </conditionalFormatting>
  <conditionalFormatting sqref="I453">
    <cfRule type="cellIs" priority="1790" operator="greaterThan" aboveAverage="0" equalAverage="0" bottom="0" percent="0" rank="0" text="" dxfId="7">
      <formula>0</formula>
    </cfRule>
  </conditionalFormatting>
  <conditionalFormatting sqref="K453">
    <cfRule type="cellIs" priority="1791" operator="greaterThan" aboveAverage="0" equalAverage="0" bottom="0" percent="0" rank="0" text="" dxfId="7">
      <formula>0</formula>
    </cfRule>
  </conditionalFormatting>
  <conditionalFormatting sqref="N453">
    <cfRule type="cellIs" priority="1792" operator="greaterThan" aboveAverage="0" equalAverage="0" bottom="0" percent="0" rank="0" text="" dxfId="7">
      <formula>0</formula>
    </cfRule>
    <cfRule type="cellIs" priority="1793" operator="lessThan" aboveAverage="0" equalAverage="0" bottom="0" percent="0" rank="0" text="" dxfId="8">
      <formula>0</formula>
    </cfRule>
  </conditionalFormatting>
  <conditionalFormatting sqref="I454">
    <cfRule type="cellIs" priority="1794" operator="greaterThan" aboveAverage="0" equalAverage="0" bottom="0" percent="0" rank="0" text="" dxfId="7">
      <formula>0</formula>
    </cfRule>
  </conditionalFormatting>
  <conditionalFormatting sqref="K454">
    <cfRule type="cellIs" priority="1795" operator="greaterThan" aboveAverage="0" equalAverage="0" bottom="0" percent="0" rank="0" text="" dxfId="7">
      <formula>0</formula>
    </cfRule>
  </conditionalFormatting>
  <conditionalFormatting sqref="N454">
    <cfRule type="cellIs" priority="1796" operator="greaterThan" aboveAverage="0" equalAverage="0" bottom="0" percent="0" rank="0" text="" dxfId="7">
      <formula>0</formula>
    </cfRule>
    <cfRule type="cellIs" priority="1797" operator="lessThan" aboveAverage="0" equalAverage="0" bottom="0" percent="0" rank="0" text="" dxfId="8">
      <formula>0</formula>
    </cfRule>
  </conditionalFormatting>
  <conditionalFormatting sqref="I455">
    <cfRule type="cellIs" priority="1798" operator="greaterThan" aboveAverage="0" equalAverage="0" bottom="0" percent="0" rank="0" text="" dxfId="7">
      <formula>0</formula>
    </cfRule>
  </conditionalFormatting>
  <conditionalFormatting sqref="K455">
    <cfRule type="cellIs" priority="1799" operator="greaterThan" aboveAverage="0" equalAverage="0" bottom="0" percent="0" rank="0" text="" dxfId="7">
      <formula>0</formula>
    </cfRule>
  </conditionalFormatting>
  <conditionalFormatting sqref="N455">
    <cfRule type="cellIs" priority="1800" operator="greaterThan" aboveAverage="0" equalAverage="0" bottom="0" percent="0" rank="0" text="" dxfId="7">
      <formula>0</formula>
    </cfRule>
    <cfRule type="cellIs" priority="1801" operator="lessThan" aboveAverage="0" equalAverage="0" bottom="0" percent="0" rank="0" text="" dxfId="8">
      <formula>0</formula>
    </cfRule>
  </conditionalFormatting>
  <conditionalFormatting sqref="I456">
    <cfRule type="cellIs" priority="1802" operator="greaterThan" aboveAverage="0" equalAverage="0" bottom="0" percent="0" rank="0" text="" dxfId="7">
      <formula>0</formula>
    </cfRule>
  </conditionalFormatting>
  <conditionalFormatting sqref="K456">
    <cfRule type="cellIs" priority="1803" operator="greaterThan" aboveAverage="0" equalAverage="0" bottom="0" percent="0" rank="0" text="" dxfId="7">
      <formula>0</formula>
    </cfRule>
  </conditionalFormatting>
  <conditionalFormatting sqref="N456">
    <cfRule type="cellIs" priority="1804" operator="greaterThan" aboveAverage="0" equalAverage="0" bottom="0" percent="0" rank="0" text="" dxfId="7">
      <formula>0</formula>
    </cfRule>
    <cfRule type="cellIs" priority="1805" operator="lessThan" aboveAverage="0" equalAverage="0" bottom="0" percent="0" rank="0" text="" dxfId="8">
      <formula>0</formula>
    </cfRule>
  </conditionalFormatting>
  <conditionalFormatting sqref="I457">
    <cfRule type="cellIs" priority="1806" operator="greaterThan" aboveAverage="0" equalAverage="0" bottom="0" percent="0" rank="0" text="" dxfId="7">
      <formula>0</formula>
    </cfRule>
  </conditionalFormatting>
  <conditionalFormatting sqref="K457">
    <cfRule type="cellIs" priority="1807" operator="greaterThan" aboveAverage="0" equalAverage="0" bottom="0" percent="0" rank="0" text="" dxfId="7">
      <formula>0</formula>
    </cfRule>
  </conditionalFormatting>
  <conditionalFormatting sqref="N457">
    <cfRule type="cellIs" priority="1808" operator="greaterThan" aboveAverage="0" equalAverage="0" bottom="0" percent="0" rank="0" text="" dxfId="7">
      <formula>0</formula>
    </cfRule>
    <cfRule type="cellIs" priority="1809" operator="lessThan" aboveAverage="0" equalAverage="0" bottom="0" percent="0" rank="0" text="" dxfId="8">
      <formula>0</formula>
    </cfRule>
  </conditionalFormatting>
  <conditionalFormatting sqref="I458">
    <cfRule type="cellIs" priority="1810" operator="greaterThan" aboveAverage="0" equalAverage="0" bottom="0" percent="0" rank="0" text="" dxfId="7">
      <formula>0</formula>
    </cfRule>
  </conditionalFormatting>
  <conditionalFormatting sqref="K458">
    <cfRule type="cellIs" priority="1811" operator="greaterThan" aboveAverage="0" equalAverage="0" bottom="0" percent="0" rank="0" text="" dxfId="7">
      <formula>0</formula>
    </cfRule>
  </conditionalFormatting>
  <conditionalFormatting sqref="N458">
    <cfRule type="cellIs" priority="1812" operator="greaterThan" aboveAverage="0" equalAverage="0" bottom="0" percent="0" rank="0" text="" dxfId="7">
      <formula>0</formula>
    </cfRule>
    <cfRule type="cellIs" priority="1813" operator="lessThan" aboveAverage="0" equalAverage="0" bottom="0" percent="0" rank="0" text="" dxfId="8">
      <formula>0</formula>
    </cfRule>
  </conditionalFormatting>
  <conditionalFormatting sqref="I459">
    <cfRule type="cellIs" priority="1814" operator="greaterThan" aboveAverage="0" equalAverage="0" bottom="0" percent="0" rank="0" text="" dxfId="7">
      <formula>0</formula>
    </cfRule>
  </conditionalFormatting>
  <conditionalFormatting sqref="K459">
    <cfRule type="cellIs" priority="1815" operator="greaterThan" aboveAverage="0" equalAverage="0" bottom="0" percent="0" rank="0" text="" dxfId="7">
      <formula>0</formula>
    </cfRule>
  </conditionalFormatting>
  <conditionalFormatting sqref="N459">
    <cfRule type="cellIs" priority="1816" operator="greaterThan" aboveAverage="0" equalAverage="0" bottom="0" percent="0" rank="0" text="" dxfId="7">
      <formula>0</formula>
    </cfRule>
    <cfRule type="cellIs" priority="1817" operator="lessThan" aboveAverage="0" equalAverage="0" bottom="0" percent="0" rank="0" text="" dxfId="8">
      <formula>0</formula>
    </cfRule>
  </conditionalFormatting>
  <conditionalFormatting sqref="I460">
    <cfRule type="cellIs" priority="1818" operator="greaterThan" aboveAverage="0" equalAverage="0" bottom="0" percent="0" rank="0" text="" dxfId="7">
      <formula>0</formula>
    </cfRule>
  </conditionalFormatting>
  <conditionalFormatting sqref="K460">
    <cfRule type="cellIs" priority="1819" operator="greaterThan" aboveAverage="0" equalAverage="0" bottom="0" percent="0" rank="0" text="" dxfId="7">
      <formula>0</formula>
    </cfRule>
  </conditionalFormatting>
  <conditionalFormatting sqref="N460">
    <cfRule type="cellIs" priority="1820" operator="greaterThan" aboveAverage="0" equalAverage="0" bottom="0" percent="0" rank="0" text="" dxfId="7">
      <formula>0</formula>
    </cfRule>
    <cfRule type="cellIs" priority="1821" operator="lessThan" aboveAverage="0" equalAverage="0" bottom="0" percent="0" rank="0" text="" dxfId="8">
      <formula>0</formula>
    </cfRule>
  </conditionalFormatting>
  <conditionalFormatting sqref="I461">
    <cfRule type="cellIs" priority="1822" operator="greaterThan" aboveAverage="0" equalAverage="0" bottom="0" percent="0" rank="0" text="" dxfId="7">
      <formula>0</formula>
    </cfRule>
  </conditionalFormatting>
  <conditionalFormatting sqref="K461">
    <cfRule type="cellIs" priority="1823" operator="greaterThan" aboveAverage="0" equalAverage="0" bottom="0" percent="0" rank="0" text="" dxfId="7">
      <formula>0</formula>
    </cfRule>
  </conditionalFormatting>
  <conditionalFormatting sqref="N461">
    <cfRule type="cellIs" priority="1824" operator="greaterThan" aboveAverage="0" equalAverage="0" bottom="0" percent="0" rank="0" text="" dxfId="7">
      <formula>0</formula>
    </cfRule>
    <cfRule type="cellIs" priority="1825" operator="lessThan" aboveAverage="0" equalAverage="0" bottom="0" percent="0" rank="0" text="" dxfId="8">
      <formula>0</formula>
    </cfRule>
  </conditionalFormatting>
  <conditionalFormatting sqref="I462">
    <cfRule type="cellIs" priority="1826" operator="greaterThan" aboveAverage="0" equalAverage="0" bottom="0" percent="0" rank="0" text="" dxfId="7">
      <formula>0</formula>
    </cfRule>
  </conditionalFormatting>
  <conditionalFormatting sqref="K462">
    <cfRule type="cellIs" priority="1827" operator="greaterThan" aboveAverage="0" equalAverage="0" bottom="0" percent="0" rank="0" text="" dxfId="7">
      <formula>0</formula>
    </cfRule>
  </conditionalFormatting>
  <conditionalFormatting sqref="N462">
    <cfRule type="cellIs" priority="1828" operator="greaterThan" aboveAverage="0" equalAverage="0" bottom="0" percent="0" rank="0" text="" dxfId="7">
      <formula>0</formula>
    </cfRule>
    <cfRule type="cellIs" priority="1829" operator="lessThan" aboveAverage="0" equalAverage="0" bottom="0" percent="0" rank="0" text="" dxfId="8">
      <formula>0</formula>
    </cfRule>
  </conditionalFormatting>
  <conditionalFormatting sqref="I463">
    <cfRule type="cellIs" priority="1830" operator="greaterThan" aboveAverage="0" equalAverage="0" bottom="0" percent="0" rank="0" text="" dxfId="7">
      <formula>0</formula>
    </cfRule>
  </conditionalFormatting>
  <conditionalFormatting sqref="K463">
    <cfRule type="cellIs" priority="1831" operator="greaterThan" aboveAverage="0" equalAverage="0" bottom="0" percent="0" rank="0" text="" dxfId="7">
      <formula>0</formula>
    </cfRule>
  </conditionalFormatting>
  <conditionalFormatting sqref="N463">
    <cfRule type="cellIs" priority="1832" operator="greaterThan" aboveAverage="0" equalAverage="0" bottom="0" percent="0" rank="0" text="" dxfId="7">
      <formula>0</formula>
    </cfRule>
    <cfRule type="cellIs" priority="1833" operator="lessThan" aboveAverage="0" equalAverage="0" bottom="0" percent="0" rank="0" text="" dxfId="8">
      <formula>0</formula>
    </cfRule>
  </conditionalFormatting>
  <conditionalFormatting sqref="I464">
    <cfRule type="cellIs" priority="1834" operator="greaterThan" aboveAverage="0" equalAverage="0" bottom="0" percent="0" rank="0" text="" dxfId="7">
      <formula>0</formula>
    </cfRule>
  </conditionalFormatting>
  <conditionalFormatting sqref="K464">
    <cfRule type="cellIs" priority="1835" operator="greaterThan" aboveAverage="0" equalAverage="0" bottom="0" percent="0" rank="0" text="" dxfId="7">
      <formula>0</formula>
    </cfRule>
  </conditionalFormatting>
  <conditionalFormatting sqref="N464">
    <cfRule type="cellIs" priority="1836" operator="greaterThan" aboveAverage="0" equalAverage="0" bottom="0" percent="0" rank="0" text="" dxfId="7">
      <formula>0</formula>
    </cfRule>
    <cfRule type="cellIs" priority="1837" operator="lessThan" aboveAverage="0" equalAverage="0" bottom="0" percent="0" rank="0" text="" dxfId="8">
      <formula>0</formula>
    </cfRule>
  </conditionalFormatting>
  <conditionalFormatting sqref="I465">
    <cfRule type="cellIs" priority="1838" operator="greaterThan" aboveAverage="0" equalAverage="0" bottom="0" percent="0" rank="0" text="" dxfId="7">
      <formula>0</formula>
    </cfRule>
  </conditionalFormatting>
  <conditionalFormatting sqref="K465">
    <cfRule type="cellIs" priority="1839" operator="greaterThan" aboveAverage="0" equalAverage="0" bottom="0" percent="0" rank="0" text="" dxfId="7">
      <formula>0</formula>
    </cfRule>
  </conditionalFormatting>
  <conditionalFormatting sqref="N465">
    <cfRule type="cellIs" priority="1840" operator="greaterThan" aboveAverage="0" equalAverage="0" bottom="0" percent="0" rank="0" text="" dxfId="7">
      <formula>0</formula>
    </cfRule>
    <cfRule type="cellIs" priority="1841" operator="lessThan" aboveAverage="0" equalAverage="0" bottom="0" percent="0" rank="0" text="" dxfId="8">
      <formula>0</formula>
    </cfRule>
  </conditionalFormatting>
  <conditionalFormatting sqref="I466">
    <cfRule type="cellIs" priority="1842" operator="greaterThan" aboveAverage="0" equalAverage="0" bottom="0" percent="0" rank="0" text="" dxfId="7">
      <formula>0</formula>
    </cfRule>
  </conditionalFormatting>
  <conditionalFormatting sqref="K466">
    <cfRule type="cellIs" priority="1843" operator="greaterThan" aboveAverage="0" equalAverage="0" bottom="0" percent="0" rank="0" text="" dxfId="7">
      <formula>0</formula>
    </cfRule>
  </conditionalFormatting>
  <conditionalFormatting sqref="N466">
    <cfRule type="cellIs" priority="1844" operator="greaterThan" aboveAverage="0" equalAverage="0" bottom="0" percent="0" rank="0" text="" dxfId="7">
      <formula>0</formula>
    </cfRule>
    <cfRule type="cellIs" priority="1845" operator="lessThan" aboveAverage="0" equalAverage="0" bottom="0" percent="0" rank="0" text="" dxfId="8">
      <formula>0</formula>
    </cfRule>
  </conditionalFormatting>
  <conditionalFormatting sqref="I467">
    <cfRule type="cellIs" priority="1846" operator="greaterThan" aboveAverage="0" equalAverage="0" bottom="0" percent="0" rank="0" text="" dxfId="7">
      <formula>0</formula>
    </cfRule>
  </conditionalFormatting>
  <conditionalFormatting sqref="K467">
    <cfRule type="cellIs" priority="1847" operator="greaterThan" aboveAverage="0" equalAverage="0" bottom="0" percent="0" rank="0" text="" dxfId="7">
      <formula>0</formula>
    </cfRule>
  </conditionalFormatting>
  <conditionalFormatting sqref="N467">
    <cfRule type="cellIs" priority="1848" operator="greaterThan" aboveAverage="0" equalAverage="0" bottom="0" percent="0" rank="0" text="" dxfId="7">
      <formula>0</formula>
    </cfRule>
    <cfRule type="cellIs" priority="1849" operator="lessThan" aboveAverage="0" equalAverage="0" bottom="0" percent="0" rank="0" text="" dxfId="8">
      <formula>0</formula>
    </cfRule>
  </conditionalFormatting>
  <conditionalFormatting sqref="I468">
    <cfRule type="cellIs" priority="1850" operator="greaterThan" aboveAverage="0" equalAverage="0" bottom="0" percent="0" rank="0" text="" dxfId="7">
      <formula>0</formula>
    </cfRule>
  </conditionalFormatting>
  <conditionalFormatting sqref="K468">
    <cfRule type="cellIs" priority="1851" operator="greaterThan" aboveAverage="0" equalAverage="0" bottom="0" percent="0" rank="0" text="" dxfId="7">
      <formula>0</formula>
    </cfRule>
  </conditionalFormatting>
  <conditionalFormatting sqref="N468">
    <cfRule type="cellIs" priority="1852" operator="greaterThan" aboveAverage="0" equalAverage="0" bottom="0" percent="0" rank="0" text="" dxfId="7">
      <formula>0</formula>
    </cfRule>
    <cfRule type="cellIs" priority="1853" operator="lessThan" aboveAverage="0" equalAverage="0" bottom="0" percent="0" rank="0" text="" dxfId="8">
      <formula>0</formula>
    </cfRule>
  </conditionalFormatting>
  <conditionalFormatting sqref="I469">
    <cfRule type="cellIs" priority="1854" operator="greaterThan" aboveAverage="0" equalAverage="0" bottom="0" percent="0" rank="0" text="" dxfId="7">
      <formula>0</formula>
    </cfRule>
  </conditionalFormatting>
  <conditionalFormatting sqref="K469">
    <cfRule type="cellIs" priority="1855" operator="greaterThan" aboveAverage="0" equalAverage="0" bottom="0" percent="0" rank="0" text="" dxfId="7">
      <formula>0</formula>
    </cfRule>
  </conditionalFormatting>
  <conditionalFormatting sqref="N469">
    <cfRule type="cellIs" priority="1856" operator="greaterThan" aboveAverage="0" equalAverage="0" bottom="0" percent="0" rank="0" text="" dxfId="7">
      <formula>0</formula>
    </cfRule>
    <cfRule type="cellIs" priority="1857" operator="lessThan" aboveAverage="0" equalAverage="0" bottom="0" percent="0" rank="0" text="" dxfId="8">
      <formula>0</formula>
    </cfRule>
  </conditionalFormatting>
  <conditionalFormatting sqref="I470">
    <cfRule type="cellIs" priority="1858" operator="greaterThan" aboveAverage="0" equalAverage="0" bottom="0" percent="0" rank="0" text="" dxfId="7">
      <formula>0</formula>
    </cfRule>
  </conditionalFormatting>
  <conditionalFormatting sqref="K470">
    <cfRule type="cellIs" priority="1859" operator="greaterThan" aboveAverage="0" equalAverage="0" bottom="0" percent="0" rank="0" text="" dxfId="7">
      <formula>0</formula>
    </cfRule>
  </conditionalFormatting>
  <conditionalFormatting sqref="N470">
    <cfRule type="cellIs" priority="1860" operator="greaterThan" aboveAverage="0" equalAverage="0" bottom="0" percent="0" rank="0" text="" dxfId="7">
      <formula>0</formula>
    </cfRule>
    <cfRule type="cellIs" priority="1861" operator="lessThan" aboveAverage="0" equalAverage="0" bottom="0" percent="0" rank="0" text="" dxfId="8">
      <formula>0</formula>
    </cfRule>
  </conditionalFormatting>
  <conditionalFormatting sqref="I471">
    <cfRule type="cellIs" priority="1862" operator="greaterThan" aboveAverage="0" equalAverage="0" bottom="0" percent="0" rank="0" text="" dxfId="7">
      <formula>0</formula>
    </cfRule>
  </conditionalFormatting>
  <conditionalFormatting sqref="K471">
    <cfRule type="cellIs" priority="1863" operator="greaterThan" aboveAverage="0" equalAverage="0" bottom="0" percent="0" rank="0" text="" dxfId="7">
      <formula>0</formula>
    </cfRule>
  </conditionalFormatting>
  <conditionalFormatting sqref="N471">
    <cfRule type="cellIs" priority="1864" operator="greaterThan" aboveAverage="0" equalAverage="0" bottom="0" percent="0" rank="0" text="" dxfId="7">
      <formula>0</formula>
    </cfRule>
    <cfRule type="cellIs" priority="1865" operator="lessThan" aboveAverage="0" equalAverage="0" bottom="0" percent="0" rank="0" text="" dxfId="8">
      <formula>0</formula>
    </cfRule>
  </conditionalFormatting>
  <conditionalFormatting sqref="I472">
    <cfRule type="cellIs" priority="1866" operator="greaterThan" aboveAverage="0" equalAverage="0" bottom="0" percent="0" rank="0" text="" dxfId="7">
      <formula>0</formula>
    </cfRule>
  </conditionalFormatting>
  <conditionalFormatting sqref="K472">
    <cfRule type="cellIs" priority="1867" operator="greaterThan" aboveAverage="0" equalAverage="0" bottom="0" percent="0" rank="0" text="" dxfId="7">
      <formula>0</formula>
    </cfRule>
  </conditionalFormatting>
  <conditionalFormatting sqref="N472">
    <cfRule type="cellIs" priority="1868" operator="greaterThan" aboveAverage="0" equalAverage="0" bottom="0" percent="0" rank="0" text="" dxfId="7">
      <formula>0</formula>
    </cfRule>
    <cfRule type="cellIs" priority="1869" operator="lessThan" aboveAverage="0" equalAverage="0" bottom="0" percent="0" rank="0" text="" dxfId="8">
      <formula>0</formula>
    </cfRule>
  </conditionalFormatting>
  <conditionalFormatting sqref="I473">
    <cfRule type="cellIs" priority="1870" operator="greaterThan" aboveAverage="0" equalAverage="0" bottom="0" percent="0" rank="0" text="" dxfId="7">
      <formula>0</formula>
    </cfRule>
  </conditionalFormatting>
  <conditionalFormatting sqref="K473">
    <cfRule type="cellIs" priority="1871" operator="greaterThan" aboveAverage="0" equalAverage="0" bottom="0" percent="0" rank="0" text="" dxfId="7">
      <formula>0</formula>
    </cfRule>
  </conditionalFormatting>
  <conditionalFormatting sqref="N473">
    <cfRule type="cellIs" priority="1872" operator="greaterThan" aboveAverage="0" equalAverage="0" bottom="0" percent="0" rank="0" text="" dxfId="7">
      <formula>0</formula>
    </cfRule>
    <cfRule type="cellIs" priority="1873" operator="lessThan" aboveAverage="0" equalAverage="0" bottom="0" percent="0" rank="0" text="" dxfId="8">
      <formula>0</formula>
    </cfRule>
  </conditionalFormatting>
  <conditionalFormatting sqref="I474">
    <cfRule type="cellIs" priority="1874" operator="greaterThan" aboveAverage="0" equalAverage="0" bottom="0" percent="0" rank="0" text="" dxfId="7">
      <formula>0</formula>
    </cfRule>
  </conditionalFormatting>
  <conditionalFormatting sqref="K474">
    <cfRule type="cellIs" priority="1875" operator="greaterThan" aboveAverage="0" equalAverage="0" bottom="0" percent="0" rank="0" text="" dxfId="7">
      <formula>0</formula>
    </cfRule>
  </conditionalFormatting>
  <conditionalFormatting sqref="N474">
    <cfRule type="cellIs" priority="1876" operator="greaterThan" aboveAverage="0" equalAverage="0" bottom="0" percent="0" rank="0" text="" dxfId="7">
      <formula>0</formula>
    </cfRule>
    <cfRule type="cellIs" priority="1877" operator="lessThan" aboveAverage="0" equalAverage="0" bottom="0" percent="0" rank="0" text="" dxfId="8">
      <formula>0</formula>
    </cfRule>
  </conditionalFormatting>
  <conditionalFormatting sqref="I475">
    <cfRule type="cellIs" priority="1878" operator="greaterThan" aboveAverage="0" equalAverage="0" bottom="0" percent="0" rank="0" text="" dxfId="7">
      <formula>0</formula>
    </cfRule>
  </conditionalFormatting>
  <conditionalFormatting sqref="K475">
    <cfRule type="cellIs" priority="1879" operator="greaterThan" aboveAverage="0" equalAverage="0" bottom="0" percent="0" rank="0" text="" dxfId="7">
      <formula>0</formula>
    </cfRule>
  </conditionalFormatting>
  <conditionalFormatting sqref="N475">
    <cfRule type="cellIs" priority="1880" operator="greaterThan" aboveAverage="0" equalAverage="0" bottom="0" percent="0" rank="0" text="" dxfId="7">
      <formula>0</formula>
    </cfRule>
    <cfRule type="cellIs" priority="1881" operator="lessThan" aboveAverage="0" equalAverage="0" bottom="0" percent="0" rank="0" text="" dxfId="8">
      <formula>0</formula>
    </cfRule>
  </conditionalFormatting>
  <conditionalFormatting sqref="I476">
    <cfRule type="cellIs" priority="1882" operator="greaterThan" aboveAverage="0" equalAverage="0" bottom="0" percent="0" rank="0" text="" dxfId="7">
      <formula>0</formula>
    </cfRule>
  </conditionalFormatting>
  <conditionalFormatting sqref="K476">
    <cfRule type="cellIs" priority="1883" operator="greaterThan" aboveAverage="0" equalAverage="0" bottom="0" percent="0" rank="0" text="" dxfId="7">
      <formula>0</formula>
    </cfRule>
  </conditionalFormatting>
  <conditionalFormatting sqref="N476">
    <cfRule type="cellIs" priority="1884" operator="greaterThan" aboveAverage="0" equalAverage="0" bottom="0" percent="0" rank="0" text="" dxfId="7">
      <formula>0</formula>
    </cfRule>
    <cfRule type="cellIs" priority="1885" operator="lessThan" aboveAverage="0" equalAverage="0" bottom="0" percent="0" rank="0" text="" dxfId="8">
      <formula>0</formula>
    </cfRule>
  </conditionalFormatting>
  <conditionalFormatting sqref="I477">
    <cfRule type="cellIs" priority="1886" operator="greaterThan" aboveAverage="0" equalAverage="0" bottom="0" percent="0" rank="0" text="" dxfId="7">
      <formula>0</formula>
    </cfRule>
  </conditionalFormatting>
  <conditionalFormatting sqref="K477">
    <cfRule type="cellIs" priority="1887" operator="greaterThan" aboveAverage="0" equalAverage="0" bottom="0" percent="0" rank="0" text="" dxfId="7">
      <formula>0</formula>
    </cfRule>
  </conditionalFormatting>
  <conditionalFormatting sqref="N477">
    <cfRule type="cellIs" priority="1888" operator="greaterThan" aboveAverage="0" equalAverage="0" bottom="0" percent="0" rank="0" text="" dxfId="7">
      <formula>0</formula>
    </cfRule>
    <cfRule type="cellIs" priority="1889" operator="lessThan" aboveAverage="0" equalAverage="0" bottom="0" percent="0" rank="0" text="" dxfId="8">
      <formula>0</formula>
    </cfRule>
  </conditionalFormatting>
  <conditionalFormatting sqref="I478">
    <cfRule type="cellIs" priority="1890" operator="greaterThan" aboveAverage="0" equalAverage="0" bottom="0" percent="0" rank="0" text="" dxfId="7">
      <formula>0</formula>
    </cfRule>
  </conditionalFormatting>
  <conditionalFormatting sqref="K478">
    <cfRule type="cellIs" priority="1891" operator="greaterThan" aboveAverage="0" equalAverage="0" bottom="0" percent="0" rank="0" text="" dxfId="7">
      <formula>0</formula>
    </cfRule>
  </conditionalFormatting>
  <conditionalFormatting sqref="N478">
    <cfRule type="cellIs" priority="1892" operator="greaterThan" aboveAverage="0" equalAverage="0" bottom="0" percent="0" rank="0" text="" dxfId="7">
      <formula>0</formula>
    </cfRule>
    <cfRule type="cellIs" priority="1893" operator="lessThan" aboveAverage="0" equalAverage="0" bottom="0" percent="0" rank="0" text="" dxfId="8">
      <formula>0</formula>
    </cfRule>
  </conditionalFormatting>
  <conditionalFormatting sqref="I479">
    <cfRule type="cellIs" priority="1894" operator="greaterThan" aboveAverage="0" equalAverage="0" bottom="0" percent="0" rank="0" text="" dxfId="7">
      <formula>0</formula>
    </cfRule>
  </conditionalFormatting>
  <conditionalFormatting sqref="K479">
    <cfRule type="cellIs" priority="1895" operator="greaterThan" aboveAverage="0" equalAverage="0" bottom="0" percent="0" rank="0" text="" dxfId="7">
      <formula>0</formula>
    </cfRule>
  </conditionalFormatting>
  <conditionalFormatting sqref="N479">
    <cfRule type="cellIs" priority="1896" operator="greaterThan" aboveAverage="0" equalAverage="0" bottom="0" percent="0" rank="0" text="" dxfId="7">
      <formula>0</formula>
    </cfRule>
    <cfRule type="cellIs" priority="1897" operator="lessThan" aboveAverage="0" equalAverage="0" bottom="0" percent="0" rank="0" text="" dxfId="8">
      <formula>0</formula>
    </cfRule>
  </conditionalFormatting>
  <conditionalFormatting sqref="I480">
    <cfRule type="cellIs" priority="1898" operator="greaterThan" aboveAverage="0" equalAverage="0" bottom="0" percent="0" rank="0" text="" dxfId="7">
      <formula>0</formula>
    </cfRule>
  </conditionalFormatting>
  <conditionalFormatting sqref="K480">
    <cfRule type="cellIs" priority="1899" operator="greaterThan" aboveAverage="0" equalAverage="0" bottom="0" percent="0" rank="0" text="" dxfId="7">
      <formula>0</formula>
    </cfRule>
  </conditionalFormatting>
  <conditionalFormatting sqref="N480">
    <cfRule type="cellIs" priority="1900" operator="greaterThan" aboveAverage="0" equalAverage="0" bottom="0" percent="0" rank="0" text="" dxfId="7">
      <formula>0</formula>
    </cfRule>
    <cfRule type="cellIs" priority="1901" operator="lessThan" aboveAverage="0" equalAverage="0" bottom="0" percent="0" rank="0" text="" dxfId="8">
      <formula>0</formula>
    </cfRule>
  </conditionalFormatting>
  <conditionalFormatting sqref="I481">
    <cfRule type="cellIs" priority="1902" operator="greaterThan" aboveAverage="0" equalAverage="0" bottom="0" percent="0" rank="0" text="" dxfId="7">
      <formula>0</formula>
    </cfRule>
  </conditionalFormatting>
  <conditionalFormatting sqref="K481">
    <cfRule type="cellIs" priority="1903" operator="greaterThan" aboveAverage="0" equalAverage="0" bottom="0" percent="0" rank="0" text="" dxfId="7">
      <formula>0</formula>
    </cfRule>
  </conditionalFormatting>
  <conditionalFormatting sqref="N481">
    <cfRule type="cellIs" priority="1904" operator="greaterThan" aboveAverage="0" equalAverage="0" bottom="0" percent="0" rank="0" text="" dxfId="7">
      <formula>0</formula>
    </cfRule>
    <cfRule type="cellIs" priority="1905" operator="lessThan" aboveAverage="0" equalAverage="0" bottom="0" percent="0" rank="0" text="" dxfId="8">
      <formula>0</formula>
    </cfRule>
  </conditionalFormatting>
  <conditionalFormatting sqref="I482">
    <cfRule type="cellIs" priority="1906" operator="greaterThan" aboveAverage="0" equalAverage="0" bottom="0" percent="0" rank="0" text="" dxfId="7">
      <formula>0</formula>
    </cfRule>
  </conditionalFormatting>
  <conditionalFormatting sqref="K482">
    <cfRule type="cellIs" priority="1907" operator="greaterThan" aboveAverage="0" equalAverage="0" bottom="0" percent="0" rank="0" text="" dxfId="7">
      <formula>0</formula>
    </cfRule>
  </conditionalFormatting>
  <conditionalFormatting sqref="N482">
    <cfRule type="cellIs" priority="1908" operator="greaterThan" aboveAverage="0" equalAverage="0" bottom="0" percent="0" rank="0" text="" dxfId="7">
      <formula>0</formula>
    </cfRule>
    <cfRule type="cellIs" priority="1909" operator="lessThan" aboveAverage="0" equalAverage="0" bottom="0" percent="0" rank="0" text="" dxfId="8">
      <formula>0</formula>
    </cfRule>
  </conditionalFormatting>
  <conditionalFormatting sqref="I483">
    <cfRule type="cellIs" priority="1910" operator="greaterThan" aboveAverage="0" equalAverage="0" bottom="0" percent="0" rank="0" text="" dxfId="7">
      <formula>0</formula>
    </cfRule>
  </conditionalFormatting>
  <conditionalFormatting sqref="K483">
    <cfRule type="cellIs" priority="1911" operator="greaterThan" aboveAverage="0" equalAverage="0" bottom="0" percent="0" rank="0" text="" dxfId="7">
      <formula>0</formula>
    </cfRule>
  </conditionalFormatting>
  <conditionalFormatting sqref="N483">
    <cfRule type="cellIs" priority="1912" operator="greaterThan" aboveAverage="0" equalAverage="0" bottom="0" percent="0" rank="0" text="" dxfId="7">
      <formula>0</formula>
    </cfRule>
    <cfRule type="cellIs" priority="1913" operator="lessThan" aboveAverage="0" equalAverage="0" bottom="0" percent="0" rank="0" text="" dxfId="8">
      <formula>0</formula>
    </cfRule>
  </conditionalFormatting>
  <conditionalFormatting sqref="I484">
    <cfRule type="cellIs" priority="1914" operator="greaterThan" aboveAverage="0" equalAverage="0" bottom="0" percent="0" rank="0" text="" dxfId="7">
      <formula>0</formula>
    </cfRule>
  </conditionalFormatting>
  <conditionalFormatting sqref="K484">
    <cfRule type="cellIs" priority="1915" operator="greaterThan" aboveAverage="0" equalAverage="0" bottom="0" percent="0" rank="0" text="" dxfId="7">
      <formula>0</formula>
    </cfRule>
  </conditionalFormatting>
  <conditionalFormatting sqref="N484">
    <cfRule type="cellIs" priority="1916" operator="greaterThan" aboveAverage="0" equalAverage="0" bottom="0" percent="0" rank="0" text="" dxfId="7">
      <formula>0</formula>
    </cfRule>
    <cfRule type="cellIs" priority="1917" operator="lessThan" aboveAverage="0" equalAverage="0" bottom="0" percent="0" rank="0" text="" dxfId="8">
      <formula>0</formula>
    </cfRule>
  </conditionalFormatting>
  <conditionalFormatting sqref="I485">
    <cfRule type="cellIs" priority="1918" operator="greaterThan" aboveAverage="0" equalAverage="0" bottom="0" percent="0" rank="0" text="" dxfId="7">
      <formula>0</formula>
    </cfRule>
  </conditionalFormatting>
  <conditionalFormatting sqref="K485">
    <cfRule type="cellIs" priority="1919" operator="greaterThan" aboveAverage="0" equalAverage="0" bottom="0" percent="0" rank="0" text="" dxfId="7">
      <formula>0</formula>
    </cfRule>
  </conditionalFormatting>
  <conditionalFormatting sqref="N485">
    <cfRule type="cellIs" priority="1920" operator="greaterThan" aboveAverage="0" equalAverage="0" bottom="0" percent="0" rank="0" text="" dxfId="7">
      <formula>0</formula>
    </cfRule>
    <cfRule type="cellIs" priority="1921" operator="lessThan" aboveAverage="0" equalAverage="0" bottom="0" percent="0" rank="0" text="" dxfId="8">
      <formula>0</formula>
    </cfRule>
  </conditionalFormatting>
  <conditionalFormatting sqref="I486">
    <cfRule type="cellIs" priority="1922" operator="greaterThan" aboveAverage="0" equalAverage="0" bottom="0" percent="0" rank="0" text="" dxfId="7">
      <formula>0</formula>
    </cfRule>
  </conditionalFormatting>
  <conditionalFormatting sqref="K486">
    <cfRule type="cellIs" priority="1923" operator="greaterThan" aboveAverage="0" equalAverage="0" bottom="0" percent="0" rank="0" text="" dxfId="7">
      <formula>0</formula>
    </cfRule>
  </conditionalFormatting>
  <conditionalFormatting sqref="N486">
    <cfRule type="cellIs" priority="1924" operator="greaterThan" aboveAverage="0" equalAverage="0" bottom="0" percent="0" rank="0" text="" dxfId="7">
      <formula>0</formula>
    </cfRule>
    <cfRule type="cellIs" priority="1925" operator="lessThan" aboveAverage="0" equalAverage="0" bottom="0" percent="0" rank="0" text="" dxfId="8">
      <formula>0</formula>
    </cfRule>
  </conditionalFormatting>
  <conditionalFormatting sqref="I487">
    <cfRule type="cellIs" priority="1926" operator="greaterThan" aboveAverage="0" equalAverage="0" bottom="0" percent="0" rank="0" text="" dxfId="7">
      <formula>0</formula>
    </cfRule>
  </conditionalFormatting>
  <conditionalFormatting sqref="K487">
    <cfRule type="cellIs" priority="1927" operator="greaterThan" aboveAverage="0" equalAverage="0" bottom="0" percent="0" rank="0" text="" dxfId="7">
      <formula>0</formula>
    </cfRule>
  </conditionalFormatting>
  <conditionalFormatting sqref="N487">
    <cfRule type="cellIs" priority="1928" operator="greaterThan" aboveAverage="0" equalAverage="0" bottom="0" percent="0" rank="0" text="" dxfId="7">
      <formula>0</formula>
    </cfRule>
    <cfRule type="cellIs" priority="1929" operator="lessThan" aboveAverage="0" equalAverage="0" bottom="0" percent="0" rank="0" text="" dxfId="8">
      <formula>0</formula>
    </cfRule>
  </conditionalFormatting>
  <conditionalFormatting sqref="I488">
    <cfRule type="cellIs" priority="1930" operator="greaterThan" aboveAverage="0" equalAverage="0" bottom="0" percent="0" rank="0" text="" dxfId="7">
      <formula>0</formula>
    </cfRule>
  </conditionalFormatting>
  <conditionalFormatting sqref="K488">
    <cfRule type="cellIs" priority="1931" operator="greaterThan" aboveAverage="0" equalAverage="0" bottom="0" percent="0" rank="0" text="" dxfId="7">
      <formula>0</formula>
    </cfRule>
  </conditionalFormatting>
  <conditionalFormatting sqref="N488">
    <cfRule type="cellIs" priority="1932" operator="greaterThan" aboveAverage="0" equalAverage="0" bottom="0" percent="0" rank="0" text="" dxfId="7">
      <formula>0</formula>
    </cfRule>
    <cfRule type="cellIs" priority="1933" operator="lessThan" aboveAverage="0" equalAverage="0" bottom="0" percent="0" rank="0" text="" dxfId="8">
      <formula>0</formula>
    </cfRule>
  </conditionalFormatting>
  <conditionalFormatting sqref="I489">
    <cfRule type="cellIs" priority="1934" operator="greaterThan" aboveAverage="0" equalAverage="0" bottom="0" percent="0" rank="0" text="" dxfId="7">
      <formula>0</formula>
    </cfRule>
  </conditionalFormatting>
  <conditionalFormatting sqref="K489">
    <cfRule type="cellIs" priority="1935" operator="greaterThan" aboveAverage="0" equalAverage="0" bottom="0" percent="0" rank="0" text="" dxfId="7">
      <formula>0</formula>
    </cfRule>
  </conditionalFormatting>
  <conditionalFormatting sqref="N489">
    <cfRule type="cellIs" priority="1936" operator="greaterThan" aboveAverage="0" equalAverage="0" bottom="0" percent="0" rank="0" text="" dxfId="7">
      <formula>0</formula>
    </cfRule>
    <cfRule type="cellIs" priority="1937" operator="lessThan" aboveAverage="0" equalAverage="0" bottom="0" percent="0" rank="0" text="" dxfId="8">
      <formula>0</formula>
    </cfRule>
  </conditionalFormatting>
  <conditionalFormatting sqref="I490">
    <cfRule type="cellIs" priority="1938" operator="greaterThan" aboveAverage="0" equalAverage="0" bottom="0" percent="0" rank="0" text="" dxfId="7">
      <formula>0</formula>
    </cfRule>
  </conditionalFormatting>
  <conditionalFormatting sqref="K490">
    <cfRule type="cellIs" priority="1939" operator="greaterThan" aboveAverage="0" equalAverage="0" bottom="0" percent="0" rank="0" text="" dxfId="7">
      <formula>0</formula>
    </cfRule>
  </conditionalFormatting>
  <conditionalFormatting sqref="N490">
    <cfRule type="cellIs" priority="1940" operator="greaterThan" aboveAverage="0" equalAverage="0" bottom="0" percent="0" rank="0" text="" dxfId="7">
      <formula>0</formula>
    </cfRule>
    <cfRule type="cellIs" priority="1941" operator="lessThan" aboveAverage="0" equalAverage="0" bottom="0" percent="0" rank="0" text="" dxfId="8">
      <formula>0</formula>
    </cfRule>
  </conditionalFormatting>
  <conditionalFormatting sqref="I491">
    <cfRule type="cellIs" priority="1942" operator="greaterThan" aboveAverage="0" equalAverage="0" bottom="0" percent="0" rank="0" text="" dxfId="7">
      <formula>0</formula>
    </cfRule>
  </conditionalFormatting>
  <conditionalFormatting sqref="K491">
    <cfRule type="cellIs" priority="1943" operator="greaterThan" aboveAverage="0" equalAverage="0" bottom="0" percent="0" rank="0" text="" dxfId="7">
      <formula>0</formula>
    </cfRule>
  </conditionalFormatting>
  <conditionalFormatting sqref="N491">
    <cfRule type="cellIs" priority="1944" operator="greaterThan" aboveAverage="0" equalAverage="0" bottom="0" percent="0" rank="0" text="" dxfId="7">
      <formula>0</formula>
    </cfRule>
    <cfRule type="cellIs" priority="1945" operator="lessThan" aboveAverage="0" equalAverage="0" bottom="0" percent="0" rank="0" text="" dxfId="8">
      <formula>0</formula>
    </cfRule>
  </conditionalFormatting>
  <conditionalFormatting sqref="I492">
    <cfRule type="cellIs" priority="1946" operator="greaterThan" aboveAverage="0" equalAverage="0" bottom="0" percent="0" rank="0" text="" dxfId="7">
      <formula>0</formula>
    </cfRule>
  </conditionalFormatting>
  <conditionalFormatting sqref="K492">
    <cfRule type="cellIs" priority="1947" operator="greaterThan" aboveAverage="0" equalAverage="0" bottom="0" percent="0" rank="0" text="" dxfId="7">
      <formula>0</formula>
    </cfRule>
  </conditionalFormatting>
  <conditionalFormatting sqref="N492">
    <cfRule type="cellIs" priority="1948" operator="greaterThan" aboveAverage="0" equalAverage="0" bottom="0" percent="0" rank="0" text="" dxfId="7">
      <formula>0</formula>
    </cfRule>
    <cfRule type="cellIs" priority="1949" operator="lessThan" aboveAverage="0" equalAverage="0" bottom="0" percent="0" rank="0" text="" dxfId="8">
      <formula>0</formula>
    </cfRule>
  </conditionalFormatting>
  <conditionalFormatting sqref="I493">
    <cfRule type="cellIs" priority="1950" operator="greaterThan" aboveAverage="0" equalAverage="0" bottom="0" percent="0" rank="0" text="" dxfId="7">
      <formula>0</formula>
    </cfRule>
  </conditionalFormatting>
  <conditionalFormatting sqref="K493">
    <cfRule type="cellIs" priority="1951" operator="greaterThan" aboveAverage="0" equalAverage="0" bottom="0" percent="0" rank="0" text="" dxfId="7">
      <formula>0</formula>
    </cfRule>
  </conditionalFormatting>
  <conditionalFormatting sqref="N493">
    <cfRule type="cellIs" priority="1952" operator="greaterThan" aboveAverage="0" equalAverage="0" bottom="0" percent="0" rank="0" text="" dxfId="7">
      <formula>0</formula>
    </cfRule>
    <cfRule type="cellIs" priority="1953" operator="lessThan" aboveAverage="0" equalAverage="0" bottom="0" percent="0" rank="0" text="" dxfId="8">
      <formula>0</formula>
    </cfRule>
  </conditionalFormatting>
  <conditionalFormatting sqref="I494">
    <cfRule type="cellIs" priority="1954" operator="greaterThan" aboveAverage="0" equalAverage="0" bottom="0" percent="0" rank="0" text="" dxfId="7">
      <formula>0</formula>
    </cfRule>
  </conditionalFormatting>
  <conditionalFormatting sqref="K494">
    <cfRule type="cellIs" priority="1955" operator="greaterThan" aboveAverage="0" equalAverage="0" bottom="0" percent="0" rank="0" text="" dxfId="7">
      <formula>0</formula>
    </cfRule>
  </conditionalFormatting>
  <conditionalFormatting sqref="N494">
    <cfRule type="cellIs" priority="1956" operator="greaterThan" aboveAverage="0" equalAverage="0" bottom="0" percent="0" rank="0" text="" dxfId="7">
      <formula>0</formula>
    </cfRule>
    <cfRule type="cellIs" priority="1957" operator="lessThan" aboveAverage="0" equalAverage="0" bottom="0" percent="0" rank="0" text="" dxfId="8">
      <formula>0</formula>
    </cfRule>
  </conditionalFormatting>
  <conditionalFormatting sqref="I495">
    <cfRule type="cellIs" priority="1958" operator="greaterThan" aboveAverage="0" equalAverage="0" bottom="0" percent="0" rank="0" text="" dxfId="7">
      <formula>0</formula>
    </cfRule>
  </conditionalFormatting>
  <conditionalFormatting sqref="K495">
    <cfRule type="cellIs" priority="1959" operator="greaterThan" aboveAverage="0" equalAverage="0" bottom="0" percent="0" rank="0" text="" dxfId="7">
      <formula>0</formula>
    </cfRule>
  </conditionalFormatting>
  <conditionalFormatting sqref="N495">
    <cfRule type="cellIs" priority="1960" operator="greaterThan" aboveAverage="0" equalAverage="0" bottom="0" percent="0" rank="0" text="" dxfId="7">
      <formula>0</formula>
    </cfRule>
    <cfRule type="cellIs" priority="1961" operator="lessThan" aboveAverage="0" equalAverage="0" bottom="0" percent="0" rank="0" text="" dxfId="8">
      <formula>0</formula>
    </cfRule>
  </conditionalFormatting>
  <conditionalFormatting sqref="I496">
    <cfRule type="cellIs" priority="1962" operator="greaterThan" aboveAverage="0" equalAverage="0" bottom="0" percent="0" rank="0" text="" dxfId="7">
      <formula>0</formula>
    </cfRule>
  </conditionalFormatting>
  <conditionalFormatting sqref="K496">
    <cfRule type="cellIs" priority="1963" operator="greaterThan" aboveAverage="0" equalAverage="0" bottom="0" percent="0" rank="0" text="" dxfId="7">
      <formula>0</formula>
    </cfRule>
  </conditionalFormatting>
  <conditionalFormatting sqref="N496">
    <cfRule type="cellIs" priority="1964" operator="greaterThan" aboveAverage="0" equalAverage="0" bottom="0" percent="0" rank="0" text="" dxfId="7">
      <formula>0</formula>
    </cfRule>
    <cfRule type="cellIs" priority="1965" operator="lessThan" aboveAverage="0" equalAverage="0" bottom="0" percent="0" rank="0" text="" dxfId="8">
      <formula>0</formula>
    </cfRule>
  </conditionalFormatting>
  <conditionalFormatting sqref="I497">
    <cfRule type="cellIs" priority="1966" operator="greaterThan" aboveAverage="0" equalAverage="0" bottom="0" percent="0" rank="0" text="" dxfId="7">
      <formula>0</formula>
    </cfRule>
  </conditionalFormatting>
  <conditionalFormatting sqref="K497">
    <cfRule type="cellIs" priority="1967" operator="greaterThan" aboveAverage="0" equalAverage="0" bottom="0" percent="0" rank="0" text="" dxfId="7">
      <formula>0</formula>
    </cfRule>
  </conditionalFormatting>
  <conditionalFormatting sqref="N497">
    <cfRule type="cellIs" priority="1968" operator="greaterThan" aboveAverage="0" equalAverage="0" bottom="0" percent="0" rank="0" text="" dxfId="7">
      <formula>0</formula>
    </cfRule>
    <cfRule type="cellIs" priority="1969" operator="lessThan" aboveAverage="0" equalAverage="0" bottom="0" percent="0" rank="0" text="" dxfId="8">
      <formula>0</formula>
    </cfRule>
  </conditionalFormatting>
  <conditionalFormatting sqref="I498">
    <cfRule type="cellIs" priority="1970" operator="greaterThan" aboveAverage="0" equalAverage="0" bottom="0" percent="0" rank="0" text="" dxfId="7">
      <formula>0</formula>
    </cfRule>
  </conditionalFormatting>
  <conditionalFormatting sqref="K498">
    <cfRule type="cellIs" priority="1971" operator="greaterThan" aboveAverage="0" equalAverage="0" bottom="0" percent="0" rank="0" text="" dxfId="7">
      <formula>0</formula>
    </cfRule>
  </conditionalFormatting>
  <conditionalFormatting sqref="N498">
    <cfRule type="cellIs" priority="1972" operator="greaterThan" aboveAverage="0" equalAverage="0" bottom="0" percent="0" rank="0" text="" dxfId="7">
      <formula>0</formula>
    </cfRule>
    <cfRule type="cellIs" priority="1973" operator="lessThan" aboveAverage="0" equalAverage="0" bottom="0" percent="0" rank="0" text="" dxfId="8">
      <formula>0</formula>
    </cfRule>
  </conditionalFormatting>
  <conditionalFormatting sqref="I499">
    <cfRule type="cellIs" priority="1974" operator="greaterThan" aboveAverage="0" equalAverage="0" bottom="0" percent="0" rank="0" text="" dxfId="7">
      <formula>0</formula>
    </cfRule>
  </conditionalFormatting>
  <conditionalFormatting sqref="K499">
    <cfRule type="cellIs" priority="1975" operator="greaterThan" aboveAverage="0" equalAverage="0" bottom="0" percent="0" rank="0" text="" dxfId="7">
      <formula>0</formula>
    </cfRule>
  </conditionalFormatting>
  <conditionalFormatting sqref="N499">
    <cfRule type="cellIs" priority="1976" operator="greaterThan" aboveAverage="0" equalAverage="0" bottom="0" percent="0" rank="0" text="" dxfId="7">
      <formula>0</formula>
    </cfRule>
    <cfRule type="cellIs" priority="1977" operator="lessThan" aboveAverage="0" equalAverage="0" bottom="0" percent="0" rank="0" text="" dxfId="8">
      <formula>0</formula>
    </cfRule>
  </conditionalFormatting>
  <conditionalFormatting sqref="I500">
    <cfRule type="cellIs" priority="1978" operator="greaterThan" aboveAverage="0" equalAverage="0" bottom="0" percent="0" rank="0" text="" dxfId="7">
      <formula>0</formula>
    </cfRule>
  </conditionalFormatting>
  <conditionalFormatting sqref="K500">
    <cfRule type="cellIs" priority="1979" operator="greaterThan" aboveAverage="0" equalAverage="0" bottom="0" percent="0" rank="0" text="" dxfId="7">
      <formula>0</formula>
    </cfRule>
  </conditionalFormatting>
  <conditionalFormatting sqref="N500">
    <cfRule type="cellIs" priority="1980" operator="greaterThan" aboveAverage="0" equalAverage="0" bottom="0" percent="0" rank="0" text="" dxfId="7">
      <formula>0</formula>
    </cfRule>
    <cfRule type="cellIs" priority="1981" operator="lessThan" aboveAverage="0" equalAverage="0" bottom="0" percent="0" rank="0" text="" dxfId="8">
      <formula>0</formula>
    </cfRule>
  </conditionalFormatting>
  <conditionalFormatting sqref="I501">
    <cfRule type="cellIs" priority="1982" operator="greaterThan" aboveAverage="0" equalAverage="0" bottom="0" percent="0" rank="0" text="" dxfId="7">
      <formula>0</formula>
    </cfRule>
  </conditionalFormatting>
  <conditionalFormatting sqref="K501">
    <cfRule type="cellIs" priority="1983" operator="greaterThan" aboveAverage="0" equalAverage="0" bottom="0" percent="0" rank="0" text="" dxfId="7">
      <formula>0</formula>
    </cfRule>
  </conditionalFormatting>
  <conditionalFormatting sqref="N501">
    <cfRule type="cellIs" priority="1984" operator="greaterThan" aboveAverage="0" equalAverage="0" bottom="0" percent="0" rank="0" text="" dxfId="7">
      <formula>0</formula>
    </cfRule>
    <cfRule type="cellIs" priority="1985" operator="lessThan" aboveAverage="0" equalAverage="0" bottom="0" percent="0" rank="0" text="" dxfId="8">
      <formula>0</formula>
    </cfRule>
  </conditionalFormatting>
  <conditionalFormatting sqref="I502">
    <cfRule type="cellIs" priority="1986" operator="greaterThan" aboveAverage="0" equalAverage="0" bottom="0" percent="0" rank="0" text="" dxfId="7">
      <formula>0</formula>
    </cfRule>
  </conditionalFormatting>
  <conditionalFormatting sqref="K502">
    <cfRule type="cellIs" priority="1987" operator="greaterThan" aboveAverage="0" equalAverage="0" bottom="0" percent="0" rank="0" text="" dxfId="7">
      <formula>0</formula>
    </cfRule>
  </conditionalFormatting>
  <conditionalFormatting sqref="N502">
    <cfRule type="cellIs" priority="1988" operator="greaterThan" aboveAverage="0" equalAverage="0" bottom="0" percent="0" rank="0" text="" dxfId="7">
      <formula>0</formula>
    </cfRule>
    <cfRule type="cellIs" priority="1989" operator="lessThan" aboveAverage="0" equalAverage="0" bottom="0" percent="0" rank="0" text="" dxfId="8">
      <formula>0</formula>
    </cfRule>
  </conditionalFormatting>
  <conditionalFormatting sqref="I503">
    <cfRule type="cellIs" priority="1990" operator="greaterThan" aboveAverage="0" equalAverage="0" bottom="0" percent="0" rank="0" text="" dxfId="7">
      <formula>0</formula>
    </cfRule>
  </conditionalFormatting>
  <conditionalFormatting sqref="K503">
    <cfRule type="cellIs" priority="1991" operator="greaterThan" aboveAverage="0" equalAverage="0" bottom="0" percent="0" rank="0" text="" dxfId="7">
      <formula>0</formula>
    </cfRule>
  </conditionalFormatting>
  <conditionalFormatting sqref="N503">
    <cfRule type="cellIs" priority="1992" operator="greaterThan" aboveAverage="0" equalAverage="0" bottom="0" percent="0" rank="0" text="" dxfId="7">
      <formula>0</formula>
    </cfRule>
    <cfRule type="cellIs" priority="1993" operator="lessThan" aboveAverage="0" equalAverage="0" bottom="0" percent="0" rank="0" text="" dxfId="8">
      <formula>0</formula>
    </cfRule>
  </conditionalFormatting>
  <conditionalFormatting sqref="I504">
    <cfRule type="cellIs" priority="1994" operator="greaterThan" aboveAverage="0" equalAverage="0" bottom="0" percent="0" rank="0" text="" dxfId="7">
      <formula>0</formula>
    </cfRule>
  </conditionalFormatting>
  <conditionalFormatting sqref="K504">
    <cfRule type="cellIs" priority="1995" operator="greaterThan" aboveAverage="0" equalAverage="0" bottom="0" percent="0" rank="0" text="" dxfId="7">
      <formula>0</formula>
    </cfRule>
  </conditionalFormatting>
  <conditionalFormatting sqref="N504">
    <cfRule type="cellIs" priority="1996" operator="greaterThan" aboveAverage="0" equalAverage="0" bottom="0" percent="0" rank="0" text="" dxfId="7">
      <formula>0</formula>
    </cfRule>
    <cfRule type="cellIs" priority="1997" operator="lessThan" aboveAverage="0" equalAverage="0" bottom="0" percent="0" rank="0" text="" dxfId="8">
      <formula>0</formula>
    </cfRule>
  </conditionalFormatting>
  <conditionalFormatting sqref="I505">
    <cfRule type="cellIs" priority="1998" operator="greaterThan" aboveAverage="0" equalAverage="0" bottom="0" percent="0" rank="0" text="" dxfId="7">
      <formula>0</formula>
    </cfRule>
  </conditionalFormatting>
  <conditionalFormatting sqref="K505">
    <cfRule type="cellIs" priority="1999" operator="greaterThan" aboveAverage="0" equalAverage="0" bottom="0" percent="0" rank="0" text="" dxfId="7">
      <formula>0</formula>
    </cfRule>
  </conditionalFormatting>
  <conditionalFormatting sqref="N505">
    <cfRule type="cellIs" priority="2000" operator="greaterThan" aboveAverage="0" equalAverage="0" bottom="0" percent="0" rank="0" text="" dxfId="7">
      <formula>0</formula>
    </cfRule>
    <cfRule type="cellIs" priority="2001" operator="lessThan" aboveAverage="0" equalAverage="0" bottom="0" percent="0" rank="0" text="" dxfId="8">
      <formula>0</formula>
    </cfRule>
  </conditionalFormatting>
  <conditionalFormatting sqref="I506">
    <cfRule type="cellIs" priority="2002" operator="greaterThan" aboveAverage="0" equalAverage="0" bottom="0" percent="0" rank="0" text="" dxfId="7">
      <formula>0</formula>
    </cfRule>
  </conditionalFormatting>
  <conditionalFormatting sqref="K506">
    <cfRule type="cellIs" priority="2003" operator="greaterThan" aboveAverage="0" equalAverage="0" bottom="0" percent="0" rank="0" text="" dxfId="7">
      <formula>0</formula>
    </cfRule>
  </conditionalFormatting>
  <conditionalFormatting sqref="N506">
    <cfRule type="cellIs" priority="2004" operator="greaterThan" aboveAverage="0" equalAverage="0" bottom="0" percent="0" rank="0" text="" dxfId="7">
      <formula>0</formula>
    </cfRule>
    <cfRule type="cellIs" priority="2005" operator="lessThan" aboveAverage="0" equalAverage="0" bottom="0" percent="0" rank="0" text="" dxfId="8">
      <formula>0</formula>
    </cfRule>
  </conditionalFormatting>
  <conditionalFormatting sqref="I507">
    <cfRule type="cellIs" priority="2006" operator="greaterThan" aboveAverage="0" equalAverage="0" bottom="0" percent="0" rank="0" text="" dxfId="7">
      <formula>0</formula>
    </cfRule>
  </conditionalFormatting>
  <conditionalFormatting sqref="K507">
    <cfRule type="cellIs" priority="2007" operator="greaterThan" aboveAverage="0" equalAverage="0" bottom="0" percent="0" rank="0" text="" dxfId="7">
      <formula>0</formula>
    </cfRule>
  </conditionalFormatting>
  <conditionalFormatting sqref="N507">
    <cfRule type="cellIs" priority="2008" operator="greaterThan" aboveAverage="0" equalAverage="0" bottom="0" percent="0" rank="0" text="" dxfId="7">
      <formula>0</formula>
    </cfRule>
    <cfRule type="cellIs" priority="2009" operator="lessThan" aboveAverage="0" equalAverage="0" bottom="0" percent="0" rank="0" text="" dxfId="8">
      <formula>0</formula>
    </cfRule>
  </conditionalFormatting>
  <conditionalFormatting sqref="I508">
    <cfRule type="cellIs" priority="2010" operator="greaterThan" aboveAverage="0" equalAverage="0" bottom="0" percent="0" rank="0" text="" dxfId="7">
      <formula>0</formula>
    </cfRule>
  </conditionalFormatting>
  <conditionalFormatting sqref="K508">
    <cfRule type="cellIs" priority="2011" operator="greaterThan" aboveAverage="0" equalAverage="0" bottom="0" percent="0" rank="0" text="" dxfId="7">
      <formula>0</formula>
    </cfRule>
  </conditionalFormatting>
  <conditionalFormatting sqref="N508">
    <cfRule type="cellIs" priority="2012" operator="greaterThan" aboveAverage="0" equalAverage="0" bottom="0" percent="0" rank="0" text="" dxfId="7">
      <formula>0</formula>
    </cfRule>
    <cfRule type="cellIs" priority="2013" operator="lessThan" aboveAverage="0" equalAverage="0" bottom="0" percent="0" rank="0" text="" dxfId="8">
      <formula>0</formula>
    </cfRule>
  </conditionalFormatting>
  <conditionalFormatting sqref="I509">
    <cfRule type="cellIs" priority="2014" operator="greaterThan" aboveAverage="0" equalAverage="0" bottom="0" percent="0" rank="0" text="" dxfId="7">
      <formula>0</formula>
    </cfRule>
  </conditionalFormatting>
  <conditionalFormatting sqref="K509">
    <cfRule type="cellIs" priority="2015" operator="greaterThan" aboveAverage="0" equalAverage="0" bottom="0" percent="0" rank="0" text="" dxfId="7">
      <formula>0</formula>
    </cfRule>
  </conditionalFormatting>
  <conditionalFormatting sqref="N509">
    <cfRule type="cellIs" priority="2016" operator="greaterThan" aboveAverage="0" equalAverage="0" bottom="0" percent="0" rank="0" text="" dxfId="7">
      <formula>0</formula>
    </cfRule>
    <cfRule type="cellIs" priority="2017" operator="lessThan" aboveAverage="0" equalAverage="0" bottom="0" percent="0" rank="0" text="" dxfId="8">
      <formula>0</formula>
    </cfRule>
  </conditionalFormatting>
  <conditionalFormatting sqref="I510">
    <cfRule type="cellIs" priority="2018" operator="greaterThan" aboveAverage="0" equalAverage="0" bottom="0" percent="0" rank="0" text="" dxfId="7">
      <formula>0</formula>
    </cfRule>
  </conditionalFormatting>
  <conditionalFormatting sqref="K510">
    <cfRule type="cellIs" priority="2019" operator="greaterThan" aboveAverage="0" equalAverage="0" bottom="0" percent="0" rank="0" text="" dxfId="7">
      <formula>0</formula>
    </cfRule>
  </conditionalFormatting>
  <conditionalFormatting sqref="N510">
    <cfRule type="cellIs" priority="2020" operator="greaterThan" aboveAverage="0" equalAverage="0" bottom="0" percent="0" rank="0" text="" dxfId="7">
      <formula>0</formula>
    </cfRule>
    <cfRule type="cellIs" priority="2021" operator="lessThan" aboveAverage="0" equalAverage="0" bottom="0" percent="0" rank="0" text="" dxfId="8">
      <formula>0</formula>
    </cfRule>
  </conditionalFormatting>
  <conditionalFormatting sqref="I511">
    <cfRule type="cellIs" priority="2022" operator="greaterThan" aboveAverage="0" equalAverage="0" bottom="0" percent="0" rank="0" text="" dxfId="7">
      <formula>0</formula>
    </cfRule>
  </conditionalFormatting>
  <conditionalFormatting sqref="K511">
    <cfRule type="cellIs" priority="2023" operator="greaterThan" aboveAverage="0" equalAverage="0" bottom="0" percent="0" rank="0" text="" dxfId="7">
      <formula>0</formula>
    </cfRule>
  </conditionalFormatting>
  <conditionalFormatting sqref="N511">
    <cfRule type="cellIs" priority="2024" operator="greaterThan" aboveAverage="0" equalAverage="0" bottom="0" percent="0" rank="0" text="" dxfId="7">
      <formula>0</formula>
    </cfRule>
    <cfRule type="cellIs" priority="2025" operator="lessThan" aboveAverage="0" equalAverage="0" bottom="0" percent="0" rank="0" text="" dxfId="8">
      <formula>0</formula>
    </cfRule>
  </conditionalFormatting>
  <conditionalFormatting sqref="I512">
    <cfRule type="cellIs" priority="2026" operator="greaterThan" aboveAverage="0" equalAverage="0" bottom="0" percent="0" rank="0" text="" dxfId="7">
      <formula>0</formula>
    </cfRule>
  </conditionalFormatting>
  <conditionalFormatting sqref="K512">
    <cfRule type="cellIs" priority="2027" operator="greaterThan" aboveAverage="0" equalAverage="0" bottom="0" percent="0" rank="0" text="" dxfId="7">
      <formula>0</formula>
    </cfRule>
  </conditionalFormatting>
  <conditionalFormatting sqref="N512">
    <cfRule type="cellIs" priority="2028" operator="greaterThan" aboveAverage="0" equalAverage="0" bottom="0" percent="0" rank="0" text="" dxfId="7">
      <formula>0</formula>
    </cfRule>
    <cfRule type="cellIs" priority="2029" operator="lessThan" aboveAverage="0" equalAverage="0" bottom="0" percent="0" rank="0" text="" dxfId="8">
      <formula>0</formula>
    </cfRule>
  </conditionalFormatting>
  <conditionalFormatting sqref="I513">
    <cfRule type="cellIs" priority="2030" operator="greaterThan" aboveAverage="0" equalAverage="0" bottom="0" percent="0" rank="0" text="" dxfId="7">
      <formula>0</formula>
    </cfRule>
  </conditionalFormatting>
  <conditionalFormatting sqref="K513">
    <cfRule type="cellIs" priority="2031" operator="greaterThan" aboveAverage="0" equalAverage="0" bottom="0" percent="0" rank="0" text="" dxfId="7">
      <formula>0</formula>
    </cfRule>
  </conditionalFormatting>
  <conditionalFormatting sqref="N513">
    <cfRule type="cellIs" priority="2032" operator="greaterThan" aboveAverage="0" equalAverage="0" bottom="0" percent="0" rank="0" text="" dxfId="7">
      <formula>0</formula>
    </cfRule>
    <cfRule type="cellIs" priority="2033" operator="lessThan" aboveAverage="0" equalAverage="0" bottom="0" percent="0" rank="0" text="" dxfId="8">
      <formula>0</formula>
    </cfRule>
  </conditionalFormatting>
  <conditionalFormatting sqref="I514">
    <cfRule type="cellIs" priority="2034" operator="greaterThan" aboveAverage="0" equalAverage="0" bottom="0" percent="0" rank="0" text="" dxfId="7">
      <formula>0</formula>
    </cfRule>
  </conditionalFormatting>
  <conditionalFormatting sqref="K514">
    <cfRule type="cellIs" priority="2035" operator="greaterThan" aboveAverage="0" equalAverage="0" bottom="0" percent="0" rank="0" text="" dxfId="7">
      <formula>0</formula>
    </cfRule>
  </conditionalFormatting>
  <conditionalFormatting sqref="N514">
    <cfRule type="cellIs" priority="2036" operator="greaterThan" aboveAverage="0" equalAverage="0" bottom="0" percent="0" rank="0" text="" dxfId="7">
      <formula>0</formula>
    </cfRule>
    <cfRule type="cellIs" priority="2037" operator="lessThan" aboveAverage="0" equalAverage="0" bottom="0" percent="0" rank="0" text="" dxfId="8">
      <formula>0</formula>
    </cfRule>
  </conditionalFormatting>
  <conditionalFormatting sqref="I515">
    <cfRule type="cellIs" priority="2038" operator="greaterThan" aboveAverage="0" equalAverage="0" bottom="0" percent="0" rank="0" text="" dxfId="7">
      <formula>0</formula>
    </cfRule>
  </conditionalFormatting>
  <conditionalFormatting sqref="K515">
    <cfRule type="cellIs" priority="2039" operator="greaterThan" aboveAverage="0" equalAverage="0" bottom="0" percent="0" rank="0" text="" dxfId="7">
      <formula>0</formula>
    </cfRule>
  </conditionalFormatting>
  <conditionalFormatting sqref="N515">
    <cfRule type="cellIs" priority="2040" operator="greaterThan" aboveAverage="0" equalAverage="0" bottom="0" percent="0" rank="0" text="" dxfId="7">
      <formula>0</formula>
    </cfRule>
    <cfRule type="cellIs" priority="2041" operator="lessThan" aboveAverage="0" equalAverage="0" bottom="0" percent="0" rank="0" text="" dxfId="8">
      <formula>0</formula>
    </cfRule>
  </conditionalFormatting>
  <conditionalFormatting sqref="I516">
    <cfRule type="cellIs" priority="2042" operator="greaterThan" aboveAverage="0" equalAverage="0" bottom="0" percent="0" rank="0" text="" dxfId="7">
      <formula>0</formula>
    </cfRule>
  </conditionalFormatting>
  <conditionalFormatting sqref="K516">
    <cfRule type="cellIs" priority="2043" operator="greaterThan" aboveAverage="0" equalAverage="0" bottom="0" percent="0" rank="0" text="" dxfId="7">
      <formula>0</formula>
    </cfRule>
  </conditionalFormatting>
  <conditionalFormatting sqref="N516">
    <cfRule type="cellIs" priority="2044" operator="greaterThan" aboveAverage="0" equalAverage="0" bottom="0" percent="0" rank="0" text="" dxfId="7">
      <formula>0</formula>
    </cfRule>
    <cfRule type="cellIs" priority="2045" operator="lessThan" aboveAverage="0" equalAverage="0" bottom="0" percent="0" rank="0" text="" dxfId="8">
      <formula>0</formula>
    </cfRule>
  </conditionalFormatting>
  <conditionalFormatting sqref="I517">
    <cfRule type="cellIs" priority="2046" operator="greaterThan" aboveAverage="0" equalAverage="0" bottom="0" percent="0" rank="0" text="" dxfId="7">
      <formula>0</formula>
    </cfRule>
  </conditionalFormatting>
  <conditionalFormatting sqref="K517">
    <cfRule type="cellIs" priority="2047" operator="greaterThan" aboveAverage="0" equalAverage="0" bottom="0" percent="0" rank="0" text="" dxfId="7">
      <formula>0</formula>
    </cfRule>
  </conditionalFormatting>
  <conditionalFormatting sqref="N517">
    <cfRule type="cellIs" priority="2048" operator="greaterThan" aboveAverage="0" equalAverage="0" bottom="0" percent="0" rank="0" text="" dxfId="7">
      <formula>0</formula>
    </cfRule>
    <cfRule type="cellIs" priority="2049" operator="lessThan" aboveAverage="0" equalAverage="0" bottom="0" percent="0" rank="0" text="" dxfId="8">
      <formula>0</formula>
    </cfRule>
  </conditionalFormatting>
  <conditionalFormatting sqref="I518">
    <cfRule type="cellIs" priority="2050" operator="greaterThan" aboveAverage="0" equalAverage="0" bottom="0" percent="0" rank="0" text="" dxfId="7">
      <formula>0</formula>
    </cfRule>
  </conditionalFormatting>
  <conditionalFormatting sqref="K518">
    <cfRule type="cellIs" priority="2051" operator="greaterThan" aboveAverage="0" equalAverage="0" bottom="0" percent="0" rank="0" text="" dxfId="7">
      <formula>0</formula>
    </cfRule>
  </conditionalFormatting>
  <conditionalFormatting sqref="N518">
    <cfRule type="cellIs" priority="2052" operator="greaterThan" aboveAverage="0" equalAverage="0" bottom="0" percent="0" rank="0" text="" dxfId="7">
      <formula>0</formula>
    </cfRule>
    <cfRule type="cellIs" priority="2053" operator="lessThan" aboveAverage="0" equalAverage="0" bottom="0" percent="0" rank="0" text="" dxfId="8">
      <formula>0</formula>
    </cfRule>
  </conditionalFormatting>
  <conditionalFormatting sqref="I519">
    <cfRule type="cellIs" priority="2054" operator="greaterThan" aboveAverage="0" equalAverage="0" bottom="0" percent="0" rank="0" text="" dxfId="7">
      <formula>0</formula>
    </cfRule>
  </conditionalFormatting>
  <conditionalFormatting sqref="K519">
    <cfRule type="cellIs" priority="2055" operator="greaterThan" aboveAverage="0" equalAverage="0" bottom="0" percent="0" rank="0" text="" dxfId="7">
      <formula>0</formula>
    </cfRule>
  </conditionalFormatting>
  <conditionalFormatting sqref="N519">
    <cfRule type="cellIs" priority="2056" operator="greaterThan" aboveAverage="0" equalAverage="0" bottom="0" percent="0" rank="0" text="" dxfId="7">
      <formula>0</formula>
    </cfRule>
    <cfRule type="cellIs" priority="2057" operator="lessThan" aboveAverage="0" equalAverage="0" bottom="0" percent="0" rank="0" text="" dxfId="8">
      <formula>0</formula>
    </cfRule>
  </conditionalFormatting>
  <conditionalFormatting sqref="I520">
    <cfRule type="cellIs" priority="2058" operator="greaterThan" aboveAverage="0" equalAverage="0" bottom="0" percent="0" rank="0" text="" dxfId="7">
      <formula>0</formula>
    </cfRule>
  </conditionalFormatting>
  <conditionalFormatting sqref="K520">
    <cfRule type="cellIs" priority="2059" operator="greaterThan" aboveAverage="0" equalAverage="0" bottom="0" percent="0" rank="0" text="" dxfId="7">
      <formula>0</formula>
    </cfRule>
  </conditionalFormatting>
  <conditionalFormatting sqref="N520">
    <cfRule type="cellIs" priority="2060" operator="greaterThan" aboveAverage="0" equalAverage="0" bottom="0" percent="0" rank="0" text="" dxfId="7">
      <formula>0</formula>
    </cfRule>
    <cfRule type="cellIs" priority="2061" operator="lessThan" aboveAverage="0" equalAverage="0" bottom="0" percent="0" rank="0" text="" dxfId="8">
      <formula>0</formula>
    </cfRule>
  </conditionalFormatting>
  <conditionalFormatting sqref="I521">
    <cfRule type="cellIs" priority="2062" operator="greaterThan" aboveAverage="0" equalAverage="0" bottom="0" percent="0" rank="0" text="" dxfId="7">
      <formula>0</formula>
    </cfRule>
  </conditionalFormatting>
  <conditionalFormatting sqref="K521">
    <cfRule type="cellIs" priority="2063" operator="greaterThan" aboveAverage="0" equalAverage="0" bottom="0" percent="0" rank="0" text="" dxfId="7">
      <formula>0</formula>
    </cfRule>
  </conditionalFormatting>
  <conditionalFormatting sqref="N521">
    <cfRule type="cellIs" priority="2064" operator="greaterThan" aboveAverage="0" equalAverage="0" bottom="0" percent="0" rank="0" text="" dxfId="7">
      <formula>0</formula>
    </cfRule>
    <cfRule type="cellIs" priority="2065" operator="lessThan" aboveAverage="0" equalAverage="0" bottom="0" percent="0" rank="0" text="" dxfId="8">
      <formula>0</formula>
    </cfRule>
  </conditionalFormatting>
  <conditionalFormatting sqref="I522">
    <cfRule type="cellIs" priority="2066" operator="greaterThan" aboveAverage="0" equalAverage="0" bottom="0" percent="0" rank="0" text="" dxfId="7">
      <formula>0</formula>
    </cfRule>
  </conditionalFormatting>
  <conditionalFormatting sqref="K522">
    <cfRule type="cellIs" priority="2067" operator="greaterThan" aboveAverage="0" equalAverage="0" bottom="0" percent="0" rank="0" text="" dxfId="7">
      <formula>0</formula>
    </cfRule>
  </conditionalFormatting>
  <conditionalFormatting sqref="N522">
    <cfRule type="cellIs" priority="2068" operator="greaterThan" aboveAverage="0" equalAverage="0" bottom="0" percent="0" rank="0" text="" dxfId="7">
      <formula>0</formula>
    </cfRule>
    <cfRule type="cellIs" priority="2069" operator="lessThan" aboveAverage="0" equalAverage="0" bottom="0" percent="0" rank="0" text="" dxfId="8">
      <formula>0</formula>
    </cfRule>
  </conditionalFormatting>
  <conditionalFormatting sqref="I523">
    <cfRule type="cellIs" priority="2070" operator="greaterThan" aboveAverage="0" equalAverage="0" bottom="0" percent="0" rank="0" text="" dxfId="7">
      <formula>0</formula>
    </cfRule>
  </conditionalFormatting>
  <conditionalFormatting sqref="K523">
    <cfRule type="cellIs" priority="2071" operator="greaterThan" aboveAverage="0" equalAverage="0" bottom="0" percent="0" rank="0" text="" dxfId="7">
      <formula>0</formula>
    </cfRule>
  </conditionalFormatting>
  <conditionalFormatting sqref="N523">
    <cfRule type="cellIs" priority="2072" operator="greaterThan" aboveAverage="0" equalAverage="0" bottom="0" percent="0" rank="0" text="" dxfId="7">
      <formula>0</formula>
    </cfRule>
    <cfRule type="cellIs" priority="2073" operator="lessThan" aboveAverage="0" equalAverage="0" bottom="0" percent="0" rank="0" text="" dxfId="8">
      <formula>0</formula>
    </cfRule>
  </conditionalFormatting>
  <conditionalFormatting sqref="I524">
    <cfRule type="cellIs" priority="2074" operator="greaterThan" aboveAverage="0" equalAverage="0" bottom="0" percent="0" rank="0" text="" dxfId="7">
      <formula>0</formula>
    </cfRule>
  </conditionalFormatting>
  <conditionalFormatting sqref="K524">
    <cfRule type="cellIs" priority="2075" operator="greaterThan" aboveAverage="0" equalAverage="0" bottom="0" percent="0" rank="0" text="" dxfId="7">
      <formula>0</formula>
    </cfRule>
  </conditionalFormatting>
  <conditionalFormatting sqref="N524">
    <cfRule type="cellIs" priority="2076" operator="greaterThan" aboveAverage="0" equalAverage="0" bottom="0" percent="0" rank="0" text="" dxfId="7">
      <formula>0</formula>
    </cfRule>
    <cfRule type="cellIs" priority="2077" operator="lessThan" aboveAverage="0" equalAverage="0" bottom="0" percent="0" rank="0" text="" dxfId="8">
      <formula>0</formula>
    </cfRule>
  </conditionalFormatting>
  <conditionalFormatting sqref="I525">
    <cfRule type="cellIs" priority="2078" operator="greaterThan" aboveAverage="0" equalAverage="0" bottom="0" percent="0" rank="0" text="" dxfId="7">
      <formula>0</formula>
    </cfRule>
  </conditionalFormatting>
  <conditionalFormatting sqref="K525">
    <cfRule type="cellIs" priority="2079" operator="greaterThan" aboveAverage="0" equalAverage="0" bottom="0" percent="0" rank="0" text="" dxfId="7">
      <formula>0</formula>
    </cfRule>
  </conditionalFormatting>
  <conditionalFormatting sqref="N525">
    <cfRule type="cellIs" priority="2080" operator="greaterThan" aboveAverage="0" equalAverage="0" bottom="0" percent="0" rank="0" text="" dxfId="7">
      <formula>0</formula>
    </cfRule>
    <cfRule type="cellIs" priority="2081" operator="lessThan" aboveAverage="0" equalAverage="0" bottom="0" percent="0" rank="0" text="" dxfId="8">
      <formula>0</formula>
    </cfRule>
  </conditionalFormatting>
  <conditionalFormatting sqref="I526">
    <cfRule type="cellIs" priority="2082" operator="greaterThan" aboveAverage="0" equalAverage="0" bottom="0" percent="0" rank="0" text="" dxfId="7">
      <formula>0</formula>
    </cfRule>
  </conditionalFormatting>
  <conditionalFormatting sqref="K526">
    <cfRule type="cellIs" priority="2083" operator="greaterThan" aboveAverage="0" equalAverage="0" bottom="0" percent="0" rank="0" text="" dxfId="7">
      <formula>0</formula>
    </cfRule>
  </conditionalFormatting>
  <conditionalFormatting sqref="N526">
    <cfRule type="cellIs" priority="2084" operator="greaterThan" aboveAverage="0" equalAverage="0" bottom="0" percent="0" rank="0" text="" dxfId="7">
      <formula>0</formula>
    </cfRule>
    <cfRule type="cellIs" priority="2085" operator="lessThan" aboveAverage="0" equalAverage="0" bottom="0" percent="0" rank="0" text="" dxfId="8">
      <formula>0</formula>
    </cfRule>
  </conditionalFormatting>
  <conditionalFormatting sqref="I527">
    <cfRule type="cellIs" priority="2086" operator="greaterThan" aboveAverage="0" equalAverage="0" bottom="0" percent="0" rank="0" text="" dxfId="7">
      <formula>0</formula>
    </cfRule>
  </conditionalFormatting>
  <conditionalFormatting sqref="K527">
    <cfRule type="cellIs" priority="2087" operator="greaterThan" aboveAverage="0" equalAverage="0" bottom="0" percent="0" rank="0" text="" dxfId="7">
      <formula>0</formula>
    </cfRule>
  </conditionalFormatting>
  <conditionalFormatting sqref="N527">
    <cfRule type="cellIs" priority="2088" operator="greaterThan" aboveAverage="0" equalAverage="0" bottom="0" percent="0" rank="0" text="" dxfId="7">
      <formula>0</formula>
    </cfRule>
    <cfRule type="cellIs" priority="2089" operator="lessThan" aboveAverage="0" equalAverage="0" bottom="0" percent="0" rank="0" text="" dxfId="8">
      <formula>0</formula>
    </cfRule>
  </conditionalFormatting>
  <conditionalFormatting sqref="I528">
    <cfRule type="cellIs" priority="2090" operator="greaterThan" aboveAverage="0" equalAverage="0" bottom="0" percent="0" rank="0" text="" dxfId="7">
      <formula>0</formula>
    </cfRule>
  </conditionalFormatting>
  <conditionalFormatting sqref="K528">
    <cfRule type="cellIs" priority="2091" operator="greaterThan" aboveAverage="0" equalAverage="0" bottom="0" percent="0" rank="0" text="" dxfId="7">
      <formula>0</formula>
    </cfRule>
  </conditionalFormatting>
  <conditionalFormatting sqref="N528">
    <cfRule type="cellIs" priority="2092" operator="greaterThan" aboveAverage="0" equalAverage="0" bottom="0" percent="0" rank="0" text="" dxfId="7">
      <formula>0</formula>
    </cfRule>
    <cfRule type="cellIs" priority="2093" operator="lessThan" aboveAverage="0" equalAverage="0" bottom="0" percent="0" rank="0" text="" dxfId="8">
      <formula>0</formula>
    </cfRule>
  </conditionalFormatting>
  <conditionalFormatting sqref="I529">
    <cfRule type="cellIs" priority="2094" operator="greaterThan" aboveAverage="0" equalAverage="0" bottom="0" percent="0" rank="0" text="" dxfId="7">
      <formula>0</formula>
    </cfRule>
  </conditionalFormatting>
  <conditionalFormatting sqref="K529">
    <cfRule type="cellIs" priority="2095" operator="greaterThan" aboveAverage="0" equalAverage="0" bottom="0" percent="0" rank="0" text="" dxfId="7">
      <formula>0</formula>
    </cfRule>
  </conditionalFormatting>
  <conditionalFormatting sqref="N529">
    <cfRule type="cellIs" priority="2096" operator="greaterThan" aboveAverage="0" equalAverage="0" bottom="0" percent="0" rank="0" text="" dxfId="7">
      <formula>0</formula>
    </cfRule>
    <cfRule type="cellIs" priority="2097" operator="lessThan" aboveAverage="0" equalAverage="0" bottom="0" percent="0" rank="0" text="" dxfId="8">
      <formula>0</formula>
    </cfRule>
  </conditionalFormatting>
  <conditionalFormatting sqref="I530">
    <cfRule type="cellIs" priority="2098" operator="greaterThan" aboveAverage="0" equalAverage="0" bottom="0" percent="0" rank="0" text="" dxfId="7">
      <formula>0</formula>
    </cfRule>
  </conditionalFormatting>
  <conditionalFormatting sqref="K530">
    <cfRule type="cellIs" priority="2099" operator="greaterThan" aboveAverage="0" equalAverage="0" bottom="0" percent="0" rank="0" text="" dxfId="7">
      <formula>0</formula>
    </cfRule>
  </conditionalFormatting>
  <conditionalFormatting sqref="N530">
    <cfRule type="cellIs" priority="2100" operator="greaterThan" aboveAverage="0" equalAverage="0" bottom="0" percent="0" rank="0" text="" dxfId="7">
      <formula>0</formula>
    </cfRule>
    <cfRule type="cellIs" priority="2101" operator="lessThan" aboveAverage="0" equalAverage="0" bottom="0" percent="0" rank="0" text="" dxfId="8">
      <formula>0</formula>
    </cfRule>
  </conditionalFormatting>
  <conditionalFormatting sqref="I531">
    <cfRule type="cellIs" priority="2102" operator="greaterThan" aboveAverage="0" equalAverage="0" bottom="0" percent="0" rank="0" text="" dxfId="7">
      <formula>0</formula>
    </cfRule>
  </conditionalFormatting>
  <conditionalFormatting sqref="K531">
    <cfRule type="cellIs" priority="2103" operator="greaterThan" aboveAverage="0" equalAverage="0" bottom="0" percent="0" rank="0" text="" dxfId="7">
      <formula>0</formula>
    </cfRule>
  </conditionalFormatting>
  <conditionalFormatting sqref="N531">
    <cfRule type="cellIs" priority="2104" operator="greaterThan" aboveAverage="0" equalAverage="0" bottom="0" percent="0" rank="0" text="" dxfId="7">
      <formula>0</formula>
    </cfRule>
    <cfRule type="cellIs" priority="2105" operator="lessThan" aboveAverage="0" equalAverage="0" bottom="0" percent="0" rank="0" text="" dxfId="8">
      <formula>0</formula>
    </cfRule>
  </conditionalFormatting>
  <conditionalFormatting sqref="I532">
    <cfRule type="cellIs" priority="2106" operator="greaterThan" aboveAverage="0" equalAverage="0" bottom="0" percent="0" rank="0" text="" dxfId="7">
      <formula>0</formula>
    </cfRule>
  </conditionalFormatting>
  <conditionalFormatting sqref="K532">
    <cfRule type="cellIs" priority="2107" operator="greaterThan" aboveAverage="0" equalAverage="0" bottom="0" percent="0" rank="0" text="" dxfId="7">
      <formula>0</formula>
    </cfRule>
  </conditionalFormatting>
  <conditionalFormatting sqref="N532">
    <cfRule type="cellIs" priority="2108" operator="greaterThan" aboveAverage="0" equalAverage="0" bottom="0" percent="0" rank="0" text="" dxfId="7">
      <formula>0</formula>
    </cfRule>
    <cfRule type="cellIs" priority="2109" operator="lessThan" aboveAverage="0" equalAverage="0" bottom="0" percent="0" rank="0" text="" dxfId="8">
      <formula>0</formula>
    </cfRule>
  </conditionalFormatting>
  <conditionalFormatting sqref="I533">
    <cfRule type="cellIs" priority="2110" operator="greaterThan" aboveAverage="0" equalAverage="0" bottom="0" percent="0" rank="0" text="" dxfId="7">
      <formula>0</formula>
    </cfRule>
  </conditionalFormatting>
  <conditionalFormatting sqref="K533">
    <cfRule type="cellIs" priority="2111" operator="greaterThan" aboveAverage="0" equalAverage="0" bottom="0" percent="0" rank="0" text="" dxfId="7">
      <formula>0</formula>
    </cfRule>
  </conditionalFormatting>
  <conditionalFormatting sqref="N533">
    <cfRule type="cellIs" priority="2112" operator="greaterThan" aboveAverage="0" equalAverage="0" bottom="0" percent="0" rank="0" text="" dxfId="7">
      <formula>0</formula>
    </cfRule>
    <cfRule type="cellIs" priority="2113" operator="lessThan" aboveAverage="0" equalAverage="0" bottom="0" percent="0" rank="0" text="" dxfId="8">
      <formula>0</formula>
    </cfRule>
  </conditionalFormatting>
  <conditionalFormatting sqref="I534">
    <cfRule type="cellIs" priority="2114" operator="greaterThan" aboveAverage="0" equalAverage="0" bottom="0" percent="0" rank="0" text="" dxfId="7">
      <formula>0</formula>
    </cfRule>
  </conditionalFormatting>
  <conditionalFormatting sqref="K534">
    <cfRule type="cellIs" priority="2115" operator="greaterThan" aboveAverage="0" equalAverage="0" bottom="0" percent="0" rank="0" text="" dxfId="7">
      <formula>0</formula>
    </cfRule>
  </conditionalFormatting>
  <conditionalFormatting sqref="N534">
    <cfRule type="cellIs" priority="2116" operator="greaterThan" aboveAverage="0" equalAverage="0" bottom="0" percent="0" rank="0" text="" dxfId="7">
      <formula>0</formula>
    </cfRule>
    <cfRule type="cellIs" priority="2117" operator="lessThan" aboveAverage="0" equalAverage="0" bottom="0" percent="0" rank="0" text="" dxfId="8">
      <formula>0</formula>
    </cfRule>
  </conditionalFormatting>
  <conditionalFormatting sqref="I535">
    <cfRule type="cellIs" priority="2118" operator="greaterThan" aboveAverage="0" equalAverage="0" bottom="0" percent="0" rank="0" text="" dxfId="7">
      <formula>0</formula>
    </cfRule>
  </conditionalFormatting>
  <conditionalFormatting sqref="K535">
    <cfRule type="cellIs" priority="2119" operator="greaterThan" aboveAverage="0" equalAverage="0" bottom="0" percent="0" rank="0" text="" dxfId="7">
      <formula>0</formula>
    </cfRule>
  </conditionalFormatting>
  <conditionalFormatting sqref="N535">
    <cfRule type="cellIs" priority="2120" operator="greaterThan" aboveAverage="0" equalAverage="0" bottom="0" percent="0" rank="0" text="" dxfId="7">
      <formula>0</formula>
    </cfRule>
    <cfRule type="cellIs" priority="2121" operator="lessThan" aboveAverage="0" equalAverage="0" bottom="0" percent="0" rank="0" text="" dxfId="8">
      <formula>0</formula>
    </cfRule>
  </conditionalFormatting>
  <conditionalFormatting sqref="I536">
    <cfRule type="cellIs" priority="2122" operator="greaterThan" aboveAverage="0" equalAverage="0" bottom="0" percent="0" rank="0" text="" dxfId="7">
      <formula>0</formula>
    </cfRule>
  </conditionalFormatting>
  <conditionalFormatting sqref="K536">
    <cfRule type="cellIs" priority="2123" operator="greaterThan" aboveAverage="0" equalAverage="0" bottom="0" percent="0" rank="0" text="" dxfId="7">
      <formula>0</formula>
    </cfRule>
  </conditionalFormatting>
  <conditionalFormatting sqref="N536">
    <cfRule type="cellIs" priority="2124" operator="greaterThan" aboveAverage="0" equalAverage="0" bottom="0" percent="0" rank="0" text="" dxfId="7">
      <formula>0</formula>
    </cfRule>
    <cfRule type="cellIs" priority="2125" operator="lessThan" aboveAverage="0" equalAverage="0" bottom="0" percent="0" rank="0" text="" dxfId="8">
      <formula>0</formula>
    </cfRule>
  </conditionalFormatting>
  <conditionalFormatting sqref="I537">
    <cfRule type="cellIs" priority="2126" operator="greaterThan" aboveAverage="0" equalAverage="0" bottom="0" percent="0" rank="0" text="" dxfId="7">
      <formula>0</formula>
    </cfRule>
  </conditionalFormatting>
  <conditionalFormatting sqref="K537">
    <cfRule type="cellIs" priority="2127" operator="greaterThan" aboveAverage="0" equalAverage="0" bottom="0" percent="0" rank="0" text="" dxfId="7">
      <formula>0</formula>
    </cfRule>
  </conditionalFormatting>
  <conditionalFormatting sqref="N537">
    <cfRule type="cellIs" priority="2128" operator="greaterThan" aboveAverage="0" equalAverage="0" bottom="0" percent="0" rank="0" text="" dxfId="7">
      <formula>0</formula>
    </cfRule>
    <cfRule type="cellIs" priority="2129" operator="lessThan" aboveAverage="0" equalAverage="0" bottom="0" percent="0" rank="0" text="" dxfId="8">
      <formula>0</formula>
    </cfRule>
  </conditionalFormatting>
  <conditionalFormatting sqref="I538">
    <cfRule type="cellIs" priority="2130" operator="greaterThan" aboveAverage="0" equalAverage="0" bottom="0" percent="0" rank="0" text="" dxfId="7">
      <formula>0</formula>
    </cfRule>
  </conditionalFormatting>
  <conditionalFormatting sqref="K538">
    <cfRule type="cellIs" priority="2131" operator="greaterThan" aboveAverage="0" equalAverage="0" bottom="0" percent="0" rank="0" text="" dxfId="7">
      <formula>0</formula>
    </cfRule>
  </conditionalFormatting>
  <conditionalFormatting sqref="N538">
    <cfRule type="cellIs" priority="2132" operator="greaterThan" aboveAverage="0" equalAverage="0" bottom="0" percent="0" rank="0" text="" dxfId="7">
      <formula>0</formula>
    </cfRule>
    <cfRule type="cellIs" priority="2133" operator="lessThan" aboveAverage="0" equalAverage="0" bottom="0" percent="0" rank="0" text="" dxfId="8">
      <formula>0</formula>
    </cfRule>
  </conditionalFormatting>
  <conditionalFormatting sqref="I539">
    <cfRule type="cellIs" priority="2134" operator="greaterThan" aboveAverage="0" equalAverage="0" bottom="0" percent="0" rank="0" text="" dxfId="7">
      <formula>0</formula>
    </cfRule>
  </conditionalFormatting>
  <conditionalFormatting sqref="K539">
    <cfRule type="cellIs" priority="2135" operator="greaterThan" aboveAverage="0" equalAverage="0" bottom="0" percent="0" rank="0" text="" dxfId="7">
      <formula>0</formula>
    </cfRule>
  </conditionalFormatting>
  <conditionalFormatting sqref="N539">
    <cfRule type="cellIs" priority="2136" operator="greaterThan" aboveAverage="0" equalAverage="0" bottom="0" percent="0" rank="0" text="" dxfId="7">
      <formula>0</formula>
    </cfRule>
    <cfRule type="cellIs" priority="2137" operator="lessThan" aboveAverage="0" equalAverage="0" bottom="0" percent="0" rank="0" text="" dxfId="8">
      <formula>0</formula>
    </cfRule>
  </conditionalFormatting>
  <conditionalFormatting sqref="I540">
    <cfRule type="cellIs" priority="2138" operator="greaterThan" aboveAverage="0" equalAverage="0" bottom="0" percent="0" rank="0" text="" dxfId="7">
      <formula>0</formula>
    </cfRule>
  </conditionalFormatting>
  <conditionalFormatting sqref="K540">
    <cfRule type="cellIs" priority="2139" operator="greaterThan" aboveAverage="0" equalAverage="0" bottom="0" percent="0" rank="0" text="" dxfId="7">
      <formula>0</formula>
    </cfRule>
  </conditionalFormatting>
  <conditionalFormatting sqref="N540">
    <cfRule type="cellIs" priority="2140" operator="greaterThan" aboveAverage="0" equalAverage="0" bottom="0" percent="0" rank="0" text="" dxfId="7">
      <formula>0</formula>
    </cfRule>
    <cfRule type="cellIs" priority="2141" operator="lessThan" aboveAverage="0" equalAverage="0" bottom="0" percent="0" rank="0" text="" dxfId="8">
      <formula>0</formula>
    </cfRule>
  </conditionalFormatting>
  <conditionalFormatting sqref="I541">
    <cfRule type="cellIs" priority="2142" operator="greaterThan" aboveAverage="0" equalAverage="0" bottom="0" percent="0" rank="0" text="" dxfId="7">
      <formula>0</formula>
    </cfRule>
  </conditionalFormatting>
  <conditionalFormatting sqref="K541">
    <cfRule type="cellIs" priority="2143" operator="greaterThan" aboveAverage="0" equalAverage="0" bottom="0" percent="0" rank="0" text="" dxfId="7">
      <formula>0</formula>
    </cfRule>
  </conditionalFormatting>
  <conditionalFormatting sqref="N541">
    <cfRule type="cellIs" priority="2144" operator="greaterThan" aboveAverage="0" equalAverage="0" bottom="0" percent="0" rank="0" text="" dxfId="7">
      <formula>0</formula>
    </cfRule>
    <cfRule type="cellIs" priority="2145" operator="lessThan" aboveAverage="0" equalAverage="0" bottom="0" percent="0" rank="0" text="" dxfId="8">
      <formula>0</formula>
    </cfRule>
  </conditionalFormatting>
  <conditionalFormatting sqref="I542">
    <cfRule type="cellIs" priority="2146" operator="greaterThan" aboveAverage="0" equalAverage="0" bottom="0" percent="0" rank="0" text="" dxfId="7">
      <formula>0</formula>
    </cfRule>
  </conditionalFormatting>
  <conditionalFormatting sqref="K542">
    <cfRule type="cellIs" priority="2147" operator="greaterThan" aboveAverage="0" equalAverage="0" bottom="0" percent="0" rank="0" text="" dxfId="7">
      <formula>0</formula>
    </cfRule>
  </conditionalFormatting>
  <conditionalFormatting sqref="N542">
    <cfRule type="cellIs" priority="2148" operator="greaterThan" aboveAverage="0" equalAverage="0" bottom="0" percent="0" rank="0" text="" dxfId="7">
      <formula>0</formula>
    </cfRule>
    <cfRule type="cellIs" priority="2149" operator="lessThan" aboveAverage="0" equalAverage="0" bottom="0" percent="0" rank="0" text="" dxfId="8">
      <formula>0</formula>
    </cfRule>
  </conditionalFormatting>
  <conditionalFormatting sqref="I543">
    <cfRule type="cellIs" priority="2150" operator="greaterThan" aboveAverage="0" equalAverage="0" bottom="0" percent="0" rank="0" text="" dxfId="7">
      <formula>0</formula>
    </cfRule>
  </conditionalFormatting>
  <conditionalFormatting sqref="K543">
    <cfRule type="cellIs" priority="2151" operator="greaterThan" aboveAverage="0" equalAverage="0" bottom="0" percent="0" rank="0" text="" dxfId="7">
      <formula>0</formula>
    </cfRule>
  </conditionalFormatting>
  <conditionalFormatting sqref="N543">
    <cfRule type="cellIs" priority="2152" operator="greaterThan" aboveAverage="0" equalAverage="0" bottom="0" percent="0" rank="0" text="" dxfId="7">
      <formula>0</formula>
    </cfRule>
    <cfRule type="cellIs" priority="2153" operator="lessThan" aboveAverage="0" equalAverage="0" bottom="0" percent="0" rank="0" text="" dxfId="8">
      <formula>0</formula>
    </cfRule>
  </conditionalFormatting>
  <conditionalFormatting sqref="I544">
    <cfRule type="cellIs" priority="2154" operator="greaterThan" aboveAverage="0" equalAverage="0" bottom="0" percent="0" rank="0" text="" dxfId="7">
      <formula>0</formula>
    </cfRule>
  </conditionalFormatting>
  <conditionalFormatting sqref="K544">
    <cfRule type="cellIs" priority="2155" operator="greaterThan" aboveAverage="0" equalAverage="0" bottom="0" percent="0" rank="0" text="" dxfId="7">
      <formula>0</formula>
    </cfRule>
  </conditionalFormatting>
  <conditionalFormatting sqref="N544">
    <cfRule type="cellIs" priority="2156" operator="greaterThan" aboveAverage="0" equalAverage="0" bottom="0" percent="0" rank="0" text="" dxfId="7">
      <formula>0</formula>
    </cfRule>
    <cfRule type="cellIs" priority="2157" operator="lessThan" aboveAverage="0" equalAverage="0" bottom="0" percent="0" rank="0" text="" dxfId="8">
      <formula>0</formula>
    </cfRule>
  </conditionalFormatting>
  <conditionalFormatting sqref="I545">
    <cfRule type="cellIs" priority="2158" operator="greaterThan" aboveAverage="0" equalAverage="0" bottom="0" percent="0" rank="0" text="" dxfId="7">
      <formula>0</formula>
    </cfRule>
  </conditionalFormatting>
  <conditionalFormatting sqref="K545">
    <cfRule type="cellIs" priority="2159" operator="greaterThan" aboveAverage="0" equalAverage="0" bottom="0" percent="0" rank="0" text="" dxfId="7">
      <formula>0</formula>
    </cfRule>
  </conditionalFormatting>
  <conditionalFormatting sqref="N545">
    <cfRule type="cellIs" priority="2160" operator="greaterThan" aboveAverage="0" equalAverage="0" bottom="0" percent="0" rank="0" text="" dxfId="7">
      <formula>0</formula>
    </cfRule>
    <cfRule type="cellIs" priority="2161" operator="lessThan" aboveAverage="0" equalAverage="0" bottom="0" percent="0" rank="0" text="" dxfId="8">
      <formula>0</formula>
    </cfRule>
  </conditionalFormatting>
  <conditionalFormatting sqref="I546">
    <cfRule type="cellIs" priority="2162" operator="greaterThan" aboveAverage="0" equalAverage="0" bottom="0" percent="0" rank="0" text="" dxfId="7">
      <formula>0</formula>
    </cfRule>
  </conditionalFormatting>
  <conditionalFormatting sqref="K546">
    <cfRule type="cellIs" priority="2163" operator="greaterThan" aboveAverage="0" equalAverage="0" bottom="0" percent="0" rank="0" text="" dxfId="7">
      <formula>0</formula>
    </cfRule>
  </conditionalFormatting>
  <conditionalFormatting sqref="N546">
    <cfRule type="cellIs" priority="2164" operator="greaterThan" aboveAverage="0" equalAverage="0" bottom="0" percent="0" rank="0" text="" dxfId="7">
      <formula>0</formula>
    </cfRule>
    <cfRule type="cellIs" priority="2165" operator="lessThan" aboveAverage="0" equalAverage="0" bottom="0" percent="0" rank="0" text="" dxfId="8">
      <formula>0</formula>
    </cfRule>
  </conditionalFormatting>
  <conditionalFormatting sqref="I547">
    <cfRule type="cellIs" priority="2166" operator="greaterThan" aboveAverage="0" equalAverage="0" bottom="0" percent="0" rank="0" text="" dxfId="7">
      <formula>0</formula>
    </cfRule>
  </conditionalFormatting>
  <conditionalFormatting sqref="K547">
    <cfRule type="cellIs" priority="2167" operator="greaterThan" aboveAverage="0" equalAverage="0" bottom="0" percent="0" rank="0" text="" dxfId="7">
      <formula>0</formula>
    </cfRule>
  </conditionalFormatting>
  <conditionalFormatting sqref="N547">
    <cfRule type="cellIs" priority="2168" operator="greaterThan" aboveAverage="0" equalAverage="0" bottom="0" percent="0" rank="0" text="" dxfId="7">
      <formula>0</formula>
    </cfRule>
    <cfRule type="cellIs" priority="2169" operator="lessThan" aboveAverage="0" equalAverage="0" bottom="0" percent="0" rank="0" text="" dxfId="8">
      <formula>0</formula>
    </cfRule>
  </conditionalFormatting>
  <conditionalFormatting sqref="I548">
    <cfRule type="cellIs" priority="2170" operator="greaterThan" aboveAverage="0" equalAverage="0" bottom="0" percent="0" rank="0" text="" dxfId="7">
      <formula>0</formula>
    </cfRule>
  </conditionalFormatting>
  <conditionalFormatting sqref="K548">
    <cfRule type="cellIs" priority="2171" operator="greaterThan" aboveAverage="0" equalAverage="0" bottom="0" percent="0" rank="0" text="" dxfId="7">
      <formula>0</formula>
    </cfRule>
  </conditionalFormatting>
  <conditionalFormatting sqref="N548">
    <cfRule type="cellIs" priority="2172" operator="greaterThan" aboveAverage="0" equalAverage="0" bottom="0" percent="0" rank="0" text="" dxfId="7">
      <formula>0</formula>
    </cfRule>
    <cfRule type="cellIs" priority="2173" operator="lessThan" aboveAverage="0" equalAverage="0" bottom="0" percent="0" rank="0" text="" dxfId="8">
      <formula>0</formula>
    </cfRule>
  </conditionalFormatting>
  <conditionalFormatting sqref="I549">
    <cfRule type="cellIs" priority="2174" operator="greaterThan" aboveAverage="0" equalAverage="0" bottom="0" percent="0" rank="0" text="" dxfId="7">
      <formula>0</formula>
    </cfRule>
  </conditionalFormatting>
  <conditionalFormatting sqref="K549">
    <cfRule type="cellIs" priority="2175" operator="greaterThan" aboveAverage="0" equalAverage="0" bottom="0" percent="0" rank="0" text="" dxfId="7">
      <formula>0</formula>
    </cfRule>
  </conditionalFormatting>
  <conditionalFormatting sqref="N549">
    <cfRule type="cellIs" priority="2176" operator="greaterThan" aboveAverage="0" equalAverage="0" bottom="0" percent="0" rank="0" text="" dxfId="7">
      <formula>0</formula>
    </cfRule>
    <cfRule type="cellIs" priority="2177" operator="lessThan" aboveAverage="0" equalAverage="0" bottom="0" percent="0" rank="0" text="" dxfId="8">
      <formula>0</formula>
    </cfRule>
  </conditionalFormatting>
  <conditionalFormatting sqref="I550">
    <cfRule type="cellIs" priority="2178" operator="greaterThan" aboveAverage="0" equalAverage="0" bottom="0" percent="0" rank="0" text="" dxfId="7">
      <formula>0</formula>
    </cfRule>
  </conditionalFormatting>
  <conditionalFormatting sqref="K550">
    <cfRule type="cellIs" priority="2179" operator="greaterThan" aboveAverage="0" equalAverage="0" bottom="0" percent="0" rank="0" text="" dxfId="7">
      <formula>0</formula>
    </cfRule>
  </conditionalFormatting>
  <conditionalFormatting sqref="N550">
    <cfRule type="cellIs" priority="2180" operator="greaterThan" aboveAverage="0" equalAverage="0" bottom="0" percent="0" rank="0" text="" dxfId="7">
      <formula>0</formula>
    </cfRule>
    <cfRule type="cellIs" priority="2181" operator="lessThan" aboveAverage="0" equalAverage="0" bottom="0" percent="0" rank="0" text="" dxfId="8">
      <formula>0</formula>
    </cfRule>
  </conditionalFormatting>
  <conditionalFormatting sqref="I551">
    <cfRule type="cellIs" priority="2182" operator="greaterThan" aboveAverage="0" equalAverage="0" bottom="0" percent="0" rank="0" text="" dxfId="7">
      <formula>0</formula>
    </cfRule>
  </conditionalFormatting>
  <conditionalFormatting sqref="K551">
    <cfRule type="cellIs" priority="2183" operator="greaterThan" aboveAverage="0" equalAverage="0" bottom="0" percent="0" rank="0" text="" dxfId="7">
      <formula>0</formula>
    </cfRule>
  </conditionalFormatting>
  <conditionalFormatting sqref="N551">
    <cfRule type="cellIs" priority="2184" operator="greaterThan" aboveAverage="0" equalAverage="0" bottom="0" percent="0" rank="0" text="" dxfId="7">
      <formula>0</formula>
    </cfRule>
    <cfRule type="cellIs" priority="2185" operator="lessThan" aboveAverage="0" equalAverage="0" bottom="0" percent="0" rank="0" text="" dxfId="8">
      <formula>0</formula>
    </cfRule>
  </conditionalFormatting>
  <conditionalFormatting sqref="I552">
    <cfRule type="cellIs" priority="2186" operator="greaterThan" aboveAverage="0" equalAverage="0" bottom="0" percent="0" rank="0" text="" dxfId="7">
      <formula>0</formula>
    </cfRule>
  </conditionalFormatting>
  <conditionalFormatting sqref="K552">
    <cfRule type="cellIs" priority="2187" operator="greaterThan" aboveAverage="0" equalAverage="0" bottom="0" percent="0" rank="0" text="" dxfId="7">
      <formula>0</formula>
    </cfRule>
  </conditionalFormatting>
  <conditionalFormatting sqref="N552">
    <cfRule type="cellIs" priority="2188" operator="greaterThan" aboveAverage="0" equalAverage="0" bottom="0" percent="0" rank="0" text="" dxfId="7">
      <formula>0</formula>
    </cfRule>
    <cfRule type="cellIs" priority="2189" operator="lessThan" aboveAverage="0" equalAverage="0" bottom="0" percent="0" rank="0" text="" dxfId="8">
      <formula>0</formula>
    </cfRule>
  </conditionalFormatting>
  <conditionalFormatting sqref="I553">
    <cfRule type="cellIs" priority="2190" operator="greaterThan" aboveAverage="0" equalAverage="0" bottom="0" percent="0" rank="0" text="" dxfId="7">
      <formula>0</formula>
    </cfRule>
  </conditionalFormatting>
  <conditionalFormatting sqref="K553">
    <cfRule type="cellIs" priority="2191" operator="greaterThan" aboveAverage="0" equalAverage="0" bottom="0" percent="0" rank="0" text="" dxfId="7">
      <formula>0</formula>
    </cfRule>
  </conditionalFormatting>
  <conditionalFormatting sqref="N553">
    <cfRule type="cellIs" priority="2192" operator="greaterThan" aboveAverage="0" equalAverage="0" bottom="0" percent="0" rank="0" text="" dxfId="7">
      <formula>0</formula>
    </cfRule>
    <cfRule type="cellIs" priority="2193" operator="lessThan" aboveAverage="0" equalAverage="0" bottom="0" percent="0" rank="0" text="" dxfId="8">
      <formula>0</formula>
    </cfRule>
  </conditionalFormatting>
  <conditionalFormatting sqref="I554">
    <cfRule type="cellIs" priority="2194" operator="greaterThan" aboveAverage="0" equalAverage="0" bottom="0" percent="0" rank="0" text="" dxfId="7">
      <formula>0</formula>
    </cfRule>
  </conditionalFormatting>
  <conditionalFormatting sqref="K554">
    <cfRule type="cellIs" priority="2195" operator="greaterThan" aboveAverage="0" equalAverage="0" bottom="0" percent="0" rank="0" text="" dxfId="7">
      <formula>0</formula>
    </cfRule>
  </conditionalFormatting>
  <conditionalFormatting sqref="N554">
    <cfRule type="cellIs" priority="2196" operator="greaterThan" aboveAverage="0" equalAverage="0" bottom="0" percent="0" rank="0" text="" dxfId="7">
      <formula>0</formula>
    </cfRule>
    <cfRule type="cellIs" priority="2197" operator="lessThan" aboveAverage="0" equalAverage="0" bottom="0" percent="0" rank="0" text="" dxfId="8">
      <formula>0</formula>
    </cfRule>
  </conditionalFormatting>
  <conditionalFormatting sqref="I555">
    <cfRule type="cellIs" priority="2198" operator="greaterThan" aboveAverage="0" equalAverage="0" bottom="0" percent="0" rank="0" text="" dxfId="7">
      <formula>0</formula>
    </cfRule>
  </conditionalFormatting>
  <conditionalFormatting sqref="K555">
    <cfRule type="cellIs" priority="2199" operator="greaterThan" aboveAverage="0" equalAverage="0" bottom="0" percent="0" rank="0" text="" dxfId="7">
      <formula>0</formula>
    </cfRule>
  </conditionalFormatting>
  <conditionalFormatting sqref="N555">
    <cfRule type="cellIs" priority="2200" operator="greaterThan" aboveAverage="0" equalAverage="0" bottom="0" percent="0" rank="0" text="" dxfId="7">
      <formula>0</formula>
    </cfRule>
    <cfRule type="cellIs" priority="2201" operator="lessThan" aboveAverage="0" equalAverage="0" bottom="0" percent="0" rank="0" text="" dxfId="8">
      <formula>0</formula>
    </cfRule>
  </conditionalFormatting>
  <conditionalFormatting sqref="I556">
    <cfRule type="cellIs" priority="2202" operator="greaterThan" aboveAverage="0" equalAverage="0" bottom="0" percent="0" rank="0" text="" dxfId="7">
      <formula>0</formula>
    </cfRule>
  </conditionalFormatting>
  <conditionalFormatting sqref="K556">
    <cfRule type="cellIs" priority="2203" operator="greaterThan" aboveAverage="0" equalAverage="0" bottom="0" percent="0" rank="0" text="" dxfId="7">
      <formula>0</formula>
    </cfRule>
  </conditionalFormatting>
  <conditionalFormatting sqref="N556">
    <cfRule type="cellIs" priority="2204" operator="greaterThan" aboveAverage="0" equalAverage="0" bottom="0" percent="0" rank="0" text="" dxfId="7">
      <formula>0</formula>
    </cfRule>
    <cfRule type="cellIs" priority="2205" operator="lessThan" aboveAverage="0" equalAverage="0" bottom="0" percent="0" rank="0" text="" dxfId="8">
      <formula>0</formula>
    </cfRule>
  </conditionalFormatting>
  <conditionalFormatting sqref="I557">
    <cfRule type="cellIs" priority="2206" operator="greaterThan" aboveAverage="0" equalAverage="0" bottom="0" percent="0" rank="0" text="" dxfId="7">
      <formula>0</formula>
    </cfRule>
  </conditionalFormatting>
  <conditionalFormatting sqref="K557">
    <cfRule type="cellIs" priority="2207" operator="greaterThan" aboveAverage="0" equalAverage="0" bottom="0" percent="0" rank="0" text="" dxfId="7">
      <formula>0</formula>
    </cfRule>
  </conditionalFormatting>
  <conditionalFormatting sqref="N557">
    <cfRule type="cellIs" priority="2208" operator="greaterThan" aboveAverage="0" equalAverage="0" bottom="0" percent="0" rank="0" text="" dxfId="7">
      <formula>0</formula>
    </cfRule>
    <cfRule type="cellIs" priority="2209" operator="lessThan" aboveAverage="0" equalAverage="0" bottom="0" percent="0" rank="0" text="" dxfId="8">
      <formula>0</formula>
    </cfRule>
  </conditionalFormatting>
  <conditionalFormatting sqref="I558">
    <cfRule type="cellIs" priority="2210" operator="greaterThan" aboveAverage="0" equalAverage="0" bottom="0" percent="0" rank="0" text="" dxfId="7">
      <formula>0</formula>
    </cfRule>
  </conditionalFormatting>
  <conditionalFormatting sqref="K558">
    <cfRule type="cellIs" priority="2211" operator="greaterThan" aboveAverage="0" equalAverage="0" bottom="0" percent="0" rank="0" text="" dxfId="7">
      <formula>0</formula>
    </cfRule>
  </conditionalFormatting>
  <conditionalFormatting sqref="N558">
    <cfRule type="cellIs" priority="2212" operator="greaterThan" aboveAverage="0" equalAverage="0" bottom="0" percent="0" rank="0" text="" dxfId="7">
      <formula>0</formula>
    </cfRule>
    <cfRule type="cellIs" priority="2213" operator="lessThan" aboveAverage="0" equalAverage="0" bottom="0" percent="0" rank="0" text="" dxfId="8">
      <formula>0</formula>
    </cfRule>
  </conditionalFormatting>
  <conditionalFormatting sqref="I559">
    <cfRule type="cellIs" priority="2214" operator="greaterThan" aboveAverage="0" equalAverage="0" bottom="0" percent="0" rank="0" text="" dxfId="7">
      <formula>0</formula>
    </cfRule>
  </conditionalFormatting>
  <conditionalFormatting sqref="K559">
    <cfRule type="cellIs" priority="2215" operator="greaterThan" aboveAverage="0" equalAverage="0" bottom="0" percent="0" rank="0" text="" dxfId="7">
      <formula>0</formula>
    </cfRule>
  </conditionalFormatting>
  <conditionalFormatting sqref="N559">
    <cfRule type="cellIs" priority="2216" operator="greaterThan" aboveAverage="0" equalAverage="0" bottom="0" percent="0" rank="0" text="" dxfId="7">
      <formula>0</formula>
    </cfRule>
    <cfRule type="cellIs" priority="2217" operator="lessThan" aboveAverage="0" equalAverage="0" bottom="0" percent="0" rank="0" text="" dxfId="8">
      <formula>0</formula>
    </cfRule>
  </conditionalFormatting>
  <conditionalFormatting sqref="I560">
    <cfRule type="cellIs" priority="2218" operator="greaterThan" aboveAverage="0" equalAverage="0" bottom="0" percent="0" rank="0" text="" dxfId="7">
      <formula>0</formula>
    </cfRule>
  </conditionalFormatting>
  <conditionalFormatting sqref="K560">
    <cfRule type="cellIs" priority="2219" operator="greaterThan" aboveAverage="0" equalAverage="0" bottom="0" percent="0" rank="0" text="" dxfId="7">
      <formula>0</formula>
    </cfRule>
  </conditionalFormatting>
  <conditionalFormatting sqref="N560">
    <cfRule type="cellIs" priority="2220" operator="greaterThan" aboveAverage="0" equalAverage="0" bottom="0" percent="0" rank="0" text="" dxfId="7">
      <formula>0</formula>
    </cfRule>
    <cfRule type="cellIs" priority="2221" operator="lessThan" aboveAverage="0" equalAverage="0" bottom="0" percent="0" rank="0" text="" dxfId="8">
      <formula>0</formula>
    </cfRule>
  </conditionalFormatting>
  <conditionalFormatting sqref="I561">
    <cfRule type="cellIs" priority="2222" operator="greaterThan" aboveAverage="0" equalAverage="0" bottom="0" percent="0" rank="0" text="" dxfId="7">
      <formula>0</formula>
    </cfRule>
  </conditionalFormatting>
  <conditionalFormatting sqref="K561">
    <cfRule type="cellIs" priority="2223" operator="greaterThan" aboveAverage="0" equalAverage="0" bottom="0" percent="0" rank="0" text="" dxfId="7">
      <formula>0</formula>
    </cfRule>
  </conditionalFormatting>
  <conditionalFormatting sqref="N561">
    <cfRule type="cellIs" priority="2224" operator="greaterThan" aboveAverage="0" equalAverage="0" bottom="0" percent="0" rank="0" text="" dxfId="7">
      <formula>0</formula>
    </cfRule>
    <cfRule type="cellIs" priority="2225" operator="lessThan" aboveAverage="0" equalAverage="0" bottom="0" percent="0" rank="0" text="" dxfId="8">
      <formula>0</formula>
    </cfRule>
  </conditionalFormatting>
  <conditionalFormatting sqref="I562">
    <cfRule type="cellIs" priority="2226" operator="greaterThan" aboveAverage="0" equalAverage="0" bottom="0" percent="0" rank="0" text="" dxfId="7">
      <formula>0</formula>
    </cfRule>
  </conditionalFormatting>
  <conditionalFormatting sqref="K562">
    <cfRule type="cellIs" priority="2227" operator="greaterThan" aboveAverage="0" equalAverage="0" bottom="0" percent="0" rank="0" text="" dxfId="7">
      <formula>0</formula>
    </cfRule>
  </conditionalFormatting>
  <conditionalFormatting sqref="N562">
    <cfRule type="cellIs" priority="2228" operator="greaterThan" aboveAverage="0" equalAverage="0" bottom="0" percent="0" rank="0" text="" dxfId="7">
      <formula>0</formula>
    </cfRule>
    <cfRule type="cellIs" priority="2229" operator="lessThan" aboveAverage="0" equalAverage="0" bottom="0" percent="0" rank="0" text="" dxfId="8">
      <formula>0</formula>
    </cfRule>
  </conditionalFormatting>
  <conditionalFormatting sqref="I563">
    <cfRule type="cellIs" priority="2230" operator="greaterThan" aboveAverage="0" equalAverage="0" bottom="0" percent="0" rank="0" text="" dxfId="7">
      <formula>0</formula>
    </cfRule>
  </conditionalFormatting>
  <conditionalFormatting sqref="K563">
    <cfRule type="cellIs" priority="2231" operator="greaterThan" aboveAverage="0" equalAverage="0" bottom="0" percent="0" rank="0" text="" dxfId="7">
      <formula>0</formula>
    </cfRule>
  </conditionalFormatting>
  <conditionalFormatting sqref="N563">
    <cfRule type="cellIs" priority="2232" operator="greaterThan" aboveAverage="0" equalAverage="0" bottom="0" percent="0" rank="0" text="" dxfId="7">
      <formula>0</formula>
    </cfRule>
    <cfRule type="cellIs" priority="2233" operator="lessThan" aboveAverage="0" equalAverage="0" bottom="0" percent="0" rank="0" text="" dxfId="8">
      <formula>0</formula>
    </cfRule>
  </conditionalFormatting>
  <conditionalFormatting sqref="I564">
    <cfRule type="cellIs" priority="2234" operator="greaterThan" aboveAverage="0" equalAverage="0" bottom="0" percent="0" rank="0" text="" dxfId="7">
      <formula>0</formula>
    </cfRule>
  </conditionalFormatting>
  <conditionalFormatting sqref="K564">
    <cfRule type="cellIs" priority="2235" operator="greaterThan" aboveAverage="0" equalAverage="0" bottom="0" percent="0" rank="0" text="" dxfId="7">
      <formula>0</formula>
    </cfRule>
  </conditionalFormatting>
  <conditionalFormatting sqref="N564">
    <cfRule type="cellIs" priority="2236" operator="greaterThan" aboveAverage="0" equalAverage="0" bottom="0" percent="0" rank="0" text="" dxfId="7">
      <formula>0</formula>
    </cfRule>
    <cfRule type="cellIs" priority="2237" operator="lessThan" aboveAverage="0" equalAverage="0" bottom="0" percent="0" rank="0" text="" dxfId="8">
      <formula>0</formula>
    </cfRule>
  </conditionalFormatting>
  <conditionalFormatting sqref="I565">
    <cfRule type="cellIs" priority="2238" operator="greaterThan" aboveAverage="0" equalAverage="0" bottom="0" percent="0" rank="0" text="" dxfId="7">
      <formula>0</formula>
    </cfRule>
  </conditionalFormatting>
  <conditionalFormatting sqref="K565">
    <cfRule type="cellIs" priority="2239" operator="greaterThan" aboveAverage="0" equalAverage="0" bottom="0" percent="0" rank="0" text="" dxfId="7">
      <formula>0</formula>
    </cfRule>
  </conditionalFormatting>
  <conditionalFormatting sqref="N565">
    <cfRule type="cellIs" priority="2240" operator="greaterThan" aboveAverage="0" equalAverage="0" bottom="0" percent="0" rank="0" text="" dxfId="7">
      <formula>0</formula>
    </cfRule>
    <cfRule type="cellIs" priority="2241" operator="lessThan" aboveAverage="0" equalAverage="0" bottom="0" percent="0" rank="0" text="" dxfId="8">
      <formula>0</formula>
    </cfRule>
  </conditionalFormatting>
  <conditionalFormatting sqref="I566">
    <cfRule type="cellIs" priority="2242" operator="greaterThan" aboveAverage="0" equalAverage="0" bottom="0" percent="0" rank="0" text="" dxfId="7">
      <formula>0</formula>
    </cfRule>
  </conditionalFormatting>
  <conditionalFormatting sqref="K566">
    <cfRule type="cellIs" priority="2243" operator="greaterThan" aboveAverage="0" equalAverage="0" bottom="0" percent="0" rank="0" text="" dxfId="7">
      <formula>0</formula>
    </cfRule>
  </conditionalFormatting>
  <conditionalFormatting sqref="N566">
    <cfRule type="cellIs" priority="2244" operator="greaterThan" aboveAverage="0" equalAverage="0" bottom="0" percent="0" rank="0" text="" dxfId="7">
      <formula>0</formula>
    </cfRule>
    <cfRule type="cellIs" priority="2245" operator="lessThan" aboveAverage="0" equalAverage="0" bottom="0" percent="0" rank="0" text="" dxfId="8">
      <formula>0</formula>
    </cfRule>
  </conditionalFormatting>
  <conditionalFormatting sqref="I567">
    <cfRule type="cellIs" priority="2246" operator="greaterThan" aboveAverage="0" equalAverage="0" bottom="0" percent="0" rank="0" text="" dxfId="7">
      <formula>0</formula>
    </cfRule>
  </conditionalFormatting>
  <conditionalFormatting sqref="K567">
    <cfRule type="cellIs" priority="2247" operator="greaterThan" aboveAverage="0" equalAverage="0" bottom="0" percent="0" rank="0" text="" dxfId="7">
      <formula>0</formula>
    </cfRule>
  </conditionalFormatting>
  <conditionalFormatting sqref="N567">
    <cfRule type="cellIs" priority="2248" operator="greaterThan" aboveAverage="0" equalAverage="0" bottom="0" percent="0" rank="0" text="" dxfId="7">
      <formula>0</formula>
    </cfRule>
    <cfRule type="cellIs" priority="2249" operator="lessThan" aboveAverage="0" equalAverage="0" bottom="0" percent="0" rank="0" text="" dxfId="8">
      <formula>0</formula>
    </cfRule>
  </conditionalFormatting>
  <conditionalFormatting sqref="I568">
    <cfRule type="cellIs" priority="2250" operator="greaterThan" aboveAverage="0" equalAverage="0" bottom="0" percent="0" rank="0" text="" dxfId="7">
      <formula>0</formula>
    </cfRule>
  </conditionalFormatting>
  <conditionalFormatting sqref="K568">
    <cfRule type="cellIs" priority="2251" operator="greaterThan" aboveAverage="0" equalAverage="0" bottom="0" percent="0" rank="0" text="" dxfId="7">
      <formula>0</formula>
    </cfRule>
  </conditionalFormatting>
  <conditionalFormatting sqref="N568">
    <cfRule type="cellIs" priority="2252" operator="greaterThan" aboveAverage="0" equalAverage="0" bottom="0" percent="0" rank="0" text="" dxfId="7">
      <formula>0</formula>
    </cfRule>
    <cfRule type="cellIs" priority="2253" operator="lessThan" aboveAverage="0" equalAverage="0" bottom="0" percent="0" rank="0" text="" dxfId="8">
      <formula>0</formula>
    </cfRule>
  </conditionalFormatting>
  <conditionalFormatting sqref="I569">
    <cfRule type="cellIs" priority="2254" operator="greaterThan" aboveAverage="0" equalAverage="0" bottom="0" percent="0" rank="0" text="" dxfId="7">
      <formula>0</formula>
    </cfRule>
  </conditionalFormatting>
  <conditionalFormatting sqref="K569">
    <cfRule type="cellIs" priority="2255" operator="greaterThan" aboveAverage="0" equalAverage="0" bottom="0" percent="0" rank="0" text="" dxfId="7">
      <formula>0</formula>
    </cfRule>
  </conditionalFormatting>
  <conditionalFormatting sqref="N569">
    <cfRule type="cellIs" priority="2256" operator="greaterThan" aboveAverage="0" equalAverage="0" bottom="0" percent="0" rank="0" text="" dxfId="7">
      <formula>0</formula>
    </cfRule>
    <cfRule type="cellIs" priority="2257" operator="lessThan" aboveAverage="0" equalAverage="0" bottom="0" percent="0" rank="0" text="" dxfId="8">
      <formula>0</formula>
    </cfRule>
  </conditionalFormatting>
  <conditionalFormatting sqref="I570">
    <cfRule type="cellIs" priority="2258" operator="greaterThan" aboveAverage="0" equalAverage="0" bottom="0" percent="0" rank="0" text="" dxfId="7">
      <formula>0</formula>
    </cfRule>
  </conditionalFormatting>
  <conditionalFormatting sqref="K570">
    <cfRule type="cellIs" priority="2259" operator="greaterThan" aboveAverage="0" equalAverage="0" bottom="0" percent="0" rank="0" text="" dxfId="7">
      <formula>0</formula>
    </cfRule>
  </conditionalFormatting>
  <conditionalFormatting sqref="N570">
    <cfRule type="cellIs" priority="2260" operator="greaterThan" aboveAverage="0" equalAverage="0" bottom="0" percent="0" rank="0" text="" dxfId="7">
      <formula>0</formula>
    </cfRule>
    <cfRule type="cellIs" priority="2261" operator="lessThan" aboveAverage="0" equalAverage="0" bottom="0" percent="0" rank="0" text="" dxfId="8">
      <formula>0</formula>
    </cfRule>
  </conditionalFormatting>
  <conditionalFormatting sqref="I571">
    <cfRule type="cellIs" priority="2262" operator="greaterThan" aboveAverage="0" equalAverage="0" bottom="0" percent="0" rank="0" text="" dxfId="7">
      <formula>0</formula>
    </cfRule>
  </conditionalFormatting>
  <conditionalFormatting sqref="K571">
    <cfRule type="cellIs" priority="2263" operator="greaterThan" aboveAverage="0" equalAverage="0" bottom="0" percent="0" rank="0" text="" dxfId="7">
      <formula>0</formula>
    </cfRule>
  </conditionalFormatting>
  <conditionalFormatting sqref="N571">
    <cfRule type="cellIs" priority="2264" operator="greaterThan" aboveAverage="0" equalAverage="0" bottom="0" percent="0" rank="0" text="" dxfId="7">
      <formula>0</formula>
    </cfRule>
    <cfRule type="cellIs" priority="2265" operator="lessThan" aboveAverage="0" equalAverage="0" bottom="0" percent="0" rank="0" text="" dxfId="8">
      <formula>0</formula>
    </cfRule>
  </conditionalFormatting>
  <conditionalFormatting sqref="I572">
    <cfRule type="cellIs" priority="2266" operator="greaterThan" aboveAverage="0" equalAverage="0" bottom="0" percent="0" rank="0" text="" dxfId="7">
      <formula>0</formula>
    </cfRule>
  </conditionalFormatting>
  <conditionalFormatting sqref="K572">
    <cfRule type="cellIs" priority="2267" operator="greaterThan" aboveAverage="0" equalAverage="0" bottom="0" percent="0" rank="0" text="" dxfId="7">
      <formula>0</formula>
    </cfRule>
  </conditionalFormatting>
  <conditionalFormatting sqref="N572">
    <cfRule type="cellIs" priority="2268" operator="greaterThan" aboveAverage="0" equalAverage="0" bottom="0" percent="0" rank="0" text="" dxfId="7">
      <formula>0</formula>
    </cfRule>
    <cfRule type="cellIs" priority="2269" operator="lessThan" aboveAverage="0" equalAverage="0" bottom="0" percent="0" rank="0" text="" dxfId="8">
      <formula>0</formula>
    </cfRule>
  </conditionalFormatting>
  <conditionalFormatting sqref="I573">
    <cfRule type="cellIs" priority="2270" operator="greaterThan" aboveAverage="0" equalAverage="0" bottom="0" percent="0" rank="0" text="" dxfId="7">
      <formula>0</formula>
    </cfRule>
  </conditionalFormatting>
  <conditionalFormatting sqref="K573">
    <cfRule type="cellIs" priority="2271" operator="greaterThan" aboveAverage="0" equalAverage="0" bottom="0" percent="0" rank="0" text="" dxfId="7">
      <formula>0</formula>
    </cfRule>
  </conditionalFormatting>
  <conditionalFormatting sqref="N573">
    <cfRule type="cellIs" priority="2272" operator="greaterThan" aboveAverage="0" equalAverage="0" bottom="0" percent="0" rank="0" text="" dxfId="7">
      <formula>0</formula>
    </cfRule>
    <cfRule type="cellIs" priority="2273" operator="lessThan" aboveAverage="0" equalAverage="0" bottom="0" percent="0" rank="0" text="" dxfId="8">
      <formula>0</formula>
    </cfRule>
  </conditionalFormatting>
  <conditionalFormatting sqref="I574">
    <cfRule type="cellIs" priority="2274" operator="greaterThan" aboveAverage="0" equalAverage="0" bottom="0" percent="0" rank="0" text="" dxfId="7">
      <formula>0</formula>
    </cfRule>
  </conditionalFormatting>
  <conditionalFormatting sqref="K574">
    <cfRule type="cellIs" priority="2275" operator="greaterThan" aboveAverage="0" equalAverage="0" bottom="0" percent="0" rank="0" text="" dxfId="7">
      <formula>0</formula>
    </cfRule>
  </conditionalFormatting>
  <conditionalFormatting sqref="N574">
    <cfRule type="cellIs" priority="2276" operator="greaterThan" aboveAverage="0" equalAverage="0" bottom="0" percent="0" rank="0" text="" dxfId="7">
      <formula>0</formula>
    </cfRule>
    <cfRule type="cellIs" priority="2277" operator="lessThan" aboveAverage="0" equalAverage="0" bottom="0" percent="0" rank="0" text="" dxfId="8">
      <formula>0</formula>
    </cfRule>
  </conditionalFormatting>
  <conditionalFormatting sqref="I575">
    <cfRule type="cellIs" priority="2278" operator="greaterThan" aboveAverage="0" equalAverage="0" bottom="0" percent="0" rank="0" text="" dxfId="7">
      <formula>0</formula>
    </cfRule>
  </conditionalFormatting>
  <conditionalFormatting sqref="K575">
    <cfRule type="cellIs" priority="2279" operator="greaterThan" aboveAverage="0" equalAverage="0" bottom="0" percent="0" rank="0" text="" dxfId="7">
      <formula>0</formula>
    </cfRule>
  </conditionalFormatting>
  <conditionalFormatting sqref="N575">
    <cfRule type="cellIs" priority="2280" operator="greaterThan" aboveAverage="0" equalAverage="0" bottom="0" percent="0" rank="0" text="" dxfId="7">
      <formula>0</formula>
    </cfRule>
    <cfRule type="cellIs" priority="2281" operator="lessThan" aboveAverage="0" equalAverage="0" bottom="0" percent="0" rank="0" text="" dxfId="8">
      <formula>0</formula>
    </cfRule>
  </conditionalFormatting>
  <conditionalFormatting sqref="I576">
    <cfRule type="cellIs" priority="2282" operator="greaterThan" aboveAverage="0" equalAverage="0" bottom="0" percent="0" rank="0" text="" dxfId="7">
      <formula>0</formula>
    </cfRule>
  </conditionalFormatting>
  <conditionalFormatting sqref="K576">
    <cfRule type="cellIs" priority="2283" operator="greaterThan" aboveAverage="0" equalAverage="0" bottom="0" percent="0" rank="0" text="" dxfId="7">
      <formula>0</formula>
    </cfRule>
  </conditionalFormatting>
  <conditionalFormatting sqref="N576">
    <cfRule type="cellIs" priority="2284" operator="greaterThan" aboveAverage="0" equalAverage="0" bottom="0" percent="0" rank="0" text="" dxfId="7">
      <formula>0</formula>
    </cfRule>
    <cfRule type="cellIs" priority="2285" operator="lessThan" aboveAverage="0" equalAverage="0" bottom="0" percent="0" rank="0" text="" dxfId="8">
      <formula>0</formula>
    </cfRule>
  </conditionalFormatting>
  <conditionalFormatting sqref="I577">
    <cfRule type="cellIs" priority="2286" operator="greaterThan" aboveAverage="0" equalAverage="0" bottom="0" percent="0" rank="0" text="" dxfId="7">
      <formula>0</formula>
    </cfRule>
  </conditionalFormatting>
  <conditionalFormatting sqref="K577">
    <cfRule type="cellIs" priority="2287" operator="greaterThan" aboveAverage="0" equalAverage="0" bottom="0" percent="0" rank="0" text="" dxfId="7">
      <formula>0</formula>
    </cfRule>
  </conditionalFormatting>
  <conditionalFormatting sqref="N577">
    <cfRule type="cellIs" priority="2288" operator="greaterThan" aboveAverage="0" equalAverage="0" bottom="0" percent="0" rank="0" text="" dxfId="7">
      <formula>0</formula>
    </cfRule>
    <cfRule type="cellIs" priority="2289" operator="lessThan" aboveAverage="0" equalAverage="0" bottom="0" percent="0" rank="0" text="" dxfId="8">
      <formula>0</formula>
    </cfRule>
  </conditionalFormatting>
  <conditionalFormatting sqref="I578">
    <cfRule type="cellIs" priority="2290" operator="greaterThan" aboveAverage="0" equalAverage="0" bottom="0" percent="0" rank="0" text="" dxfId="7">
      <formula>0</formula>
    </cfRule>
  </conditionalFormatting>
  <conditionalFormatting sqref="K578">
    <cfRule type="cellIs" priority="2291" operator="greaterThan" aboveAverage="0" equalAverage="0" bottom="0" percent="0" rank="0" text="" dxfId="7">
      <formula>0</formula>
    </cfRule>
  </conditionalFormatting>
  <conditionalFormatting sqref="N578">
    <cfRule type="cellIs" priority="2292" operator="greaterThan" aboveAverage="0" equalAverage="0" bottom="0" percent="0" rank="0" text="" dxfId="7">
      <formula>0</formula>
    </cfRule>
    <cfRule type="cellIs" priority="2293" operator="lessThan" aboveAverage="0" equalAverage="0" bottom="0" percent="0" rank="0" text="" dxfId="8">
      <formula>0</formula>
    </cfRule>
  </conditionalFormatting>
  <conditionalFormatting sqref="I579">
    <cfRule type="cellIs" priority="2294" operator="greaterThan" aboveAverage="0" equalAverage="0" bottom="0" percent="0" rank="0" text="" dxfId="7">
      <formula>0</formula>
    </cfRule>
  </conditionalFormatting>
  <conditionalFormatting sqref="K579">
    <cfRule type="cellIs" priority="2295" operator="greaterThan" aboveAverage="0" equalAverage="0" bottom="0" percent="0" rank="0" text="" dxfId="7">
      <formula>0</formula>
    </cfRule>
  </conditionalFormatting>
  <conditionalFormatting sqref="N579">
    <cfRule type="cellIs" priority="2296" operator="greaterThan" aboveAverage="0" equalAverage="0" bottom="0" percent="0" rank="0" text="" dxfId="7">
      <formula>0</formula>
    </cfRule>
    <cfRule type="cellIs" priority="2297" operator="lessThan" aboveAverage="0" equalAverage="0" bottom="0" percent="0" rank="0" text="" dxfId="8">
      <formula>0</formula>
    </cfRule>
  </conditionalFormatting>
  <conditionalFormatting sqref="I580">
    <cfRule type="cellIs" priority="2298" operator="greaterThan" aboveAverage="0" equalAverage="0" bottom="0" percent="0" rank="0" text="" dxfId="7">
      <formula>0</formula>
    </cfRule>
  </conditionalFormatting>
  <conditionalFormatting sqref="K580">
    <cfRule type="cellIs" priority="2299" operator="greaterThan" aboveAverage="0" equalAverage="0" bottom="0" percent="0" rank="0" text="" dxfId="7">
      <formula>0</formula>
    </cfRule>
  </conditionalFormatting>
  <conditionalFormatting sqref="N580">
    <cfRule type="cellIs" priority="2300" operator="greaterThan" aboveAverage="0" equalAverage="0" bottom="0" percent="0" rank="0" text="" dxfId="7">
      <formula>0</formula>
    </cfRule>
    <cfRule type="cellIs" priority="2301" operator="lessThan" aboveAverage="0" equalAverage="0" bottom="0" percent="0" rank="0" text="" dxfId="8">
      <formula>0</formula>
    </cfRule>
  </conditionalFormatting>
  <conditionalFormatting sqref="I581">
    <cfRule type="cellIs" priority="2302" operator="greaterThan" aboveAverage="0" equalAverage="0" bottom="0" percent="0" rank="0" text="" dxfId="7">
      <formula>0</formula>
    </cfRule>
  </conditionalFormatting>
  <conditionalFormatting sqref="K581">
    <cfRule type="cellIs" priority="2303" operator="greaterThan" aboveAverage="0" equalAverage="0" bottom="0" percent="0" rank="0" text="" dxfId="7">
      <formula>0</formula>
    </cfRule>
  </conditionalFormatting>
  <conditionalFormatting sqref="N581">
    <cfRule type="cellIs" priority="2304" operator="greaterThan" aboveAverage="0" equalAverage="0" bottom="0" percent="0" rank="0" text="" dxfId="7">
      <formula>0</formula>
    </cfRule>
    <cfRule type="cellIs" priority="2305" operator="lessThan" aboveAverage="0" equalAverage="0" bottom="0" percent="0" rank="0" text="" dxfId="8">
      <formula>0</formula>
    </cfRule>
  </conditionalFormatting>
  <conditionalFormatting sqref="I582">
    <cfRule type="cellIs" priority="2306" operator="greaterThan" aboveAverage="0" equalAverage="0" bottom="0" percent="0" rank="0" text="" dxfId="7">
      <formula>0</formula>
    </cfRule>
  </conditionalFormatting>
  <conditionalFormatting sqref="K582">
    <cfRule type="cellIs" priority="2307" operator="greaterThan" aboveAverage="0" equalAverage="0" bottom="0" percent="0" rank="0" text="" dxfId="7">
      <formula>0</formula>
    </cfRule>
  </conditionalFormatting>
  <conditionalFormatting sqref="N582">
    <cfRule type="cellIs" priority="2308" operator="greaterThan" aboveAverage="0" equalAverage="0" bottom="0" percent="0" rank="0" text="" dxfId="7">
      <formula>0</formula>
    </cfRule>
    <cfRule type="cellIs" priority="2309" operator="lessThan" aboveAverage="0" equalAverage="0" bottom="0" percent="0" rank="0" text="" dxfId="8">
      <formula>0</formula>
    </cfRule>
  </conditionalFormatting>
  <conditionalFormatting sqref="I583">
    <cfRule type="cellIs" priority="2310" operator="greaterThan" aboveAverage="0" equalAverage="0" bottom="0" percent="0" rank="0" text="" dxfId="7">
      <formula>0</formula>
    </cfRule>
  </conditionalFormatting>
  <conditionalFormatting sqref="K583">
    <cfRule type="cellIs" priority="2311" operator="greaterThan" aboveAverage="0" equalAverage="0" bottom="0" percent="0" rank="0" text="" dxfId="7">
      <formula>0</formula>
    </cfRule>
  </conditionalFormatting>
  <conditionalFormatting sqref="N583">
    <cfRule type="cellIs" priority="2312" operator="greaterThan" aboveAverage="0" equalAverage="0" bottom="0" percent="0" rank="0" text="" dxfId="7">
      <formula>0</formula>
    </cfRule>
    <cfRule type="cellIs" priority="2313" operator="lessThan" aboveAverage="0" equalAverage="0" bottom="0" percent="0" rank="0" text="" dxfId="8">
      <formula>0</formula>
    </cfRule>
  </conditionalFormatting>
  <conditionalFormatting sqref="I584">
    <cfRule type="cellIs" priority="2314" operator="greaterThan" aboveAverage="0" equalAverage="0" bottom="0" percent="0" rank="0" text="" dxfId="7">
      <formula>0</formula>
    </cfRule>
  </conditionalFormatting>
  <conditionalFormatting sqref="K584">
    <cfRule type="cellIs" priority="2315" operator="greaterThan" aboveAverage="0" equalAverage="0" bottom="0" percent="0" rank="0" text="" dxfId="7">
      <formula>0</formula>
    </cfRule>
  </conditionalFormatting>
  <conditionalFormatting sqref="N584">
    <cfRule type="cellIs" priority="2316" operator="greaterThan" aboveAverage="0" equalAverage="0" bottom="0" percent="0" rank="0" text="" dxfId="7">
      <formula>0</formula>
    </cfRule>
    <cfRule type="cellIs" priority="2317" operator="lessThan" aboveAverage="0" equalAverage="0" bottom="0" percent="0" rank="0" text="" dxfId="8">
      <formula>0</formula>
    </cfRule>
  </conditionalFormatting>
  <conditionalFormatting sqref="I585">
    <cfRule type="cellIs" priority="2318" operator="greaterThan" aboveAverage="0" equalAverage="0" bottom="0" percent="0" rank="0" text="" dxfId="7">
      <formula>0</formula>
    </cfRule>
  </conditionalFormatting>
  <conditionalFormatting sqref="K585">
    <cfRule type="cellIs" priority="2319" operator="greaterThan" aboveAverage="0" equalAverage="0" bottom="0" percent="0" rank="0" text="" dxfId="7">
      <formula>0</formula>
    </cfRule>
  </conditionalFormatting>
  <conditionalFormatting sqref="N585">
    <cfRule type="cellIs" priority="2320" operator="greaterThan" aboveAverage="0" equalAverage="0" bottom="0" percent="0" rank="0" text="" dxfId="7">
      <formula>0</formula>
    </cfRule>
    <cfRule type="cellIs" priority="2321" operator="lessThan" aboveAverage="0" equalAverage="0" bottom="0" percent="0" rank="0" text="" dxfId="8">
      <formula>0</formula>
    </cfRule>
  </conditionalFormatting>
  <conditionalFormatting sqref="I586">
    <cfRule type="cellIs" priority="2322" operator="greaterThan" aboveAverage="0" equalAverage="0" bottom="0" percent="0" rank="0" text="" dxfId="7">
      <formula>0</formula>
    </cfRule>
  </conditionalFormatting>
  <conditionalFormatting sqref="K586">
    <cfRule type="cellIs" priority="2323" operator="greaterThan" aboveAverage="0" equalAverage="0" bottom="0" percent="0" rank="0" text="" dxfId="7">
      <formula>0</formula>
    </cfRule>
  </conditionalFormatting>
  <conditionalFormatting sqref="N586">
    <cfRule type="cellIs" priority="2324" operator="greaterThan" aboveAverage="0" equalAverage="0" bottom="0" percent="0" rank="0" text="" dxfId="7">
      <formula>0</formula>
    </cfRule>
    <cfRule type="cellIs" priority="2325" operator="lessThan" aboveAverage="0" equalAverage="0" bottom="0" percent="0" rank="0" text="" dxfId="8">
      <formula>0</formula>
    </cfRule>
  </conditionalFormatting>
  <conditionalFormatting sqref="I587">
    <cfRule type="cellIs" priority="2326" operator="greaterThan" aboveAverage="0" equalAverage="0" bottom="0" percent="0" rank="0" text="" dxfId="7">
      <formula>0</formula>
    </cfRule>
  </conditionalFormatting>
  <conditionalFormatting sqref="K587">
    <cfRule type="cellIs" priority="2327" operator="greaterThan" aboveAverage="0" equalAverage="0" bottom="0" percent="0" rank="0" text="" dxfId="7">
      <formula>0</formula>
    </cfRule>
  </conditionalFormatting>
  <conditionalFormatting sqref="N587">
    <cfRule type="cellIs" priority="2328" operator="greaterThan" aboveAverage="0" equalAverage="0" bottom="0" percent="0" rank="0" text="" dxfId="7">
      <formula>0</formula>
    </cfRule>
    <cfRule type="cellIs" priority="2329" operator="lessThan" aboveAverage="0" equalAverage="0" bottom="0" percent="0" rank="0" text="" dxfId="8">
      <formula>0</formula>
    </cfRule>
  </conditionalFormatting>
  <conditionalFormatting sqref="I588">
    <cfRule type="cellIs" priority="2330" operator="greaterThan" aboveAverage="0" equalAverage="0" bottom="0" percent="0" rank="0" text="" dxfId="7">
      <formula>0</formula>
    </cfRule>
  </conditionalFormatting>
  <conditionalFormatting sqref="K588">
    <cfRule type="cellIs" priority="2331" operator="greaterThan" aboveAverage="0" equalAverage="0" bottom="0" percent="0" rank="0" text="" dxfId="7">
      <formula>0</formula>
    </cfRule>
  </conditionalFormatting>
  <conditionalFormatting sqref="N588">
    <cfRule type="cellIs" priority="2332" operator="greaterThan" aboveAverage="0" equalAverage="0" bottom="0" percent="0" rank="0" text="" dxfId="7">
      <formula>0</formula>
    </cfRule>
    <cfRule type="cellIs" priority="2333" operator="lessThan" aboveAverage="0" equalAverage="0" bottom="0" percent="0" rank="0" text="" dxfId="8">
      <formula>0</formula>
    </cfRule>
  </conditionalFormatting>
  <conditionalFormatting sqref="I589">
    <cfRule type="cellIs" priority="2334" operator="greaterThan" aboveAverage="0" equalAverage="0" bottom="0" percent="0" rank="0" text="" dxfId="7">
      <formula>0</formula>
    </cfRule>
  </conditionalFormatting>
  <conditionalFormatting sqref="K589">
    <cfRule type="cellIs" priority="2335" operator="greaterThan" aboveAverage="0" equalAverage="0" bottom="0" percent="0" rank="0" text="" dxfId="7">
      <formula>0</formula>
    </cfRule>
  </conditionalFormatting>
  <conditionalFormatting sqref="N589">
    <cfRule type="cellIs" priority="2336" operator="greaterThan" aboveAverage="0" equalAverage="0" bottom="0" percent="0" rank="0" text="" dxfId="7">
      <formula>0</formula>
    </cfRule>
    <cfRule type="cellIs" priority="2337" operator="lessThan" aboveAverage="0" equalAverage="0" bottom="0" percent="0" rank="0" text="" dxfId="8">
      <formula>0</formula>
    </cfRule>
  </conditionalFormatting>
  <conditionalFormatting sqref="I590">
    <cfRule type="cellIs" priority="2338" operator="greaterThan" aboveAverage="0" equalAverage="0" bottom="0" percent="0" rank="0" text="" dxfId="7">
      <formula>0</formula>
    </cfRule>
  </conditionalFormatting>
  <conditionalFormatting sqref="K590">
    <cfRule type="cellIs" priority="2339" operator="greaterThan" aboveAverage="0" equalAverage="0" bottom="0" percent="0" rank="0" text="" dxfId="7">
      <formula>0</formula>
    </cfRule>
  </conditionalFormatting>
  <conditionalFormatting sqref="N590">
    <cfRule type="cellIs" priority="2340" operator="greaterThan" aboveAverage="0" equalAverage="0" bottom="0" percent="0" rank="0" text="" dxfId="7">
      <formula>0</formula>
    </cfRule>
    <cfRule type="cellIs" priority="2341" operator="lessThan" aboveAverage="0" equalAverage="0" bottom="0" percent="0" rank="0" text="" dxfId="8">
      <formula>0</formula>
    </cfRule>
  </conditionalFormatting>
  <conditionalFormatting sqref="I591">
    <cfRule type="cellIs" priority="2342" operator="greaterThan" aboveAverage="0" equalAverage="0" bottom="0" percent="0" rank="0" text="" dxfId="7">
      <formula>0</formula>
    </cfRule>
  </conditionalFormatting>
  <conditionalFormatting sqref="K591">
    <cfRule type="cellIs" priority="2343" operator="greaterThan" aboveAverage="0" equalAverage="0" bottom="0" percent="0" rank="0" text="" dxfId="7">
      <formula>0</formula>
    </cfRule>
  </conditionalFormatting>
  <conditionalFormatting sqref="N591">
    <cfRule type="cellIs" priority="2344" operator="greaterThan" aboveAverage="0" equalAverage="0" bottom="0" percent="0" rank="0" text="" dxfId="7">
      <formula>0</formula>
    </cfRule>
    <cfRule type="cellIs" priority="2345" operator="lessThan" aboveAverage="0" equalAverage="0" bottom="0" percent="0" rank="0" text="" dxfId="8">
      <formula>0</formula>
    </cfRule>
  </conditionalFormatting>
  <conditionalFormatting sqref="I592">
    <cfRule type="cellIs" priority="2346" operator="greaterThan" aboveAverage="0" equalAverage="0" bottom="0" percent="0" rank="0" text="" dxfId="7">
      <formula>0</formula>
    </cfRule>
  </conditionalFormatting>
  <conditionalFormatting sqref="K592">
    <cfRule type="cellIs" priority="2347" operator="greaterThan" aboveAverage="0" equalAverage="0" bottom="0" percent="0" rank="0" text="" dxfId="7">
      <formula>0</formula>
    </cfRule>
  </conditionalFormatting>
  <conditionalFormatting sqref="N592">
    <cfRule type="cellIs" priority="2348" operator="greaterThan" aboveAverage="0" equalAverage="0" bottom="0" percent="0" rank="0" text="" dxfId="7">
      <formula>0</formula>
    </cfRule>
    <cfRule type="cellIs" priority="2349" operator="lessThan" aboveAverage="0" equalAverage="0" bottom="0" percent="0" rank="0" text="" dxfId="8">
      <formula>0</formula>
    </cfRule>
  </conditionalFormatting>
  <conditionalFormatting sqref="I593">
    <cfRule type="cellIs" priority="2350" operator="greaterThan" aboveAverage="0" equalAverage="0" bottom="0" percent="0" rank="0" text="" dxfId="7">
      <formula>0</formula>
    </cfRule>
  </conditionalFormatting>
  <conditionalFormatting sqref="K593">
    <cfRule type="cellIs" priority="2351" operator="greaterThan" aboveAverage="0" equalAverage="0" bottom="0" percent="0" rank="0" text="" dxfId="7">
      <formula>0</formula>
    </cfRule>
  </conditionalFormatting>
  <conditionalFormatting sqref="N593">
    <cfRule type="cellIs" priority="2352" operator="greaterThan" aboveAverage="0" equalAverage="0" bottom="0" percent="0" rank="0" text="" dxfId="7">
      <formula>0</formula>
    </cfRule>
    <cfRule type="cellIs" priority="2353" operator="lessThan" aboveAverage="0" equalAverage="0" bottom="0" percent="0" rank="0" text="" dxfId="8">
      <formula>0</formula>
    </cfRule>
  </conditionalFormatting>
  <conditionalFormatting sqref="I594">
    <cfRule type="cellIs" priority="2354" operator="greaterThan" aboveAverage="0" equalAverage="0" bottom="0" percent="0" rank="0" text="" dxfId="7">
      <formula>0</formula>
    </cfRule>
  </conditionalFormatting>
  <conditionalFormatting sqref="K594">
    <cfRule type="cellIs" priority="2355" operator="greaterThan" aboveAverage="0" equalAverage="0" bottom="0" percent="0" rank="0" text="" dxfId="7">
      <formula>0</formula>
    </cfRule>
  </conditionalFormatting>
  <conditionalFormatting sqref="N594">
    <cfRule type="cellIs" priority="2356" operator="greaterThan" aboveAverage="0" equalAverage="0" bottom="0" percent="0" rank="0" text="" dxfId="7">
      <formula>0</formula>
    </cfRule>
    <cfRule type="cellIs" priority="2357" operator="lessThan" aboveAverage="0" equalAverage="0" bottom="0" percent="0" rank="0" text="" dxfId="8">
      <formula>0</formula>
    </cfRule>
  </conditionalFormatting>
  <conditionalFormatting sqref="I595">
    <cfRule type="cellIs" priority="2358" operator="greaterThan" aboveAverage="0" equalAverage="0" bottom="0" percent="0" rank="0" text="" dxfId="7">
      <formula>0</formula>
    </cfRule>
  </conditionalFormatting>
  <conditionalFormatting sqref="K595">
    <cfRule type="cellIs" priority="2359" operator="greaterThan" aboveAverage="0" equalAverage="0" bottom="0" percent="0" rank="0" text="" dxfId="7">
      <formula>0</formula>
    </cfRule>
  </conditionalFormatting>
  <conditionalFormatting sqref="N595">
    <cfRule type="cellIs" priority="2360" operator="greaterThan" aboveAverage="0" equalAverage="0" bottom="0" percent="0" rank="0" text="" dxfId="7">
      <formula>0</formula>
    </cfRule>
    <cfRule type="cellIs" priority="2361" operator="lessThan" aboveAverage="0" equalAverage="0" bottom="0" percent="0" rank="0" text="" dxfId="8">
      <formula>0</formula>
    </cfRule>
  </conditionalFormatting>
  <conditionalFormatting sqref="I596">
    <cfRule type="cellIs" priority="2362" operator="greaterThan" aboveAverage="0" equalAverage="0" bottom="0" percent="0" rank="0" text="" dxfId="7">
      <formula>0</formula>
    </cfRule>
  </conditionalFormatting>
  <conditionalFormatting sqref="K596">
    <cfRule type="cellIs" priority="2363" operator="greaterThan" aboveAverage="0" equalAverage="0" bottom="0" percent="0" rank="0" text="" dxfId="7">
      <formula>0</formula>
    </cfRule>
  </conditionalFormatting>
  <conditionalFormatting sqref="N596">
    <cfRule type="cellIs" priority="2364" operator="greaterThan" aboveAverage="0" equalAverage="0" bottom="0" percent="0" rank="0" text="" dxfId="7">
      <formula>0</formula>
    </cfRule>
    <cfRule type="cellIs" priority="2365" operator="lessThan" aboveAverage="0" equalAverage="0" bottom="0" percent="0" rank="0" text="" dxfId="8">
      <formula>0</formula>
    </cfRule>
  </conditionalFormatting>
  <conditionalFormatting sqref="I597">
    <cfRule type="cellIs" priority="2366" operator="greaterThan" aboveAverage="0" equalAverage="0" bottom="0" percent="0" rank="0" text="" dxfId="7">
      <formula>0</formula>
    </cfRule>
  </conditionalFormatting>
  <conditionalFormatting sqref="K597">
    <cfRule type="cellIs" priority="2367" operator="greaterThan" aboveAverage="0" equalAverage="0" bottom="0" percent="0" rank="0" text="" dxfId="7">
      <formula>0</formula>
    </cfRule>
  </conditionalFormatting>
  <conditionalFormatting sqref="N597">
    <cfRule type="cellIs" priority="2368" operator="greaterThan" aboveAverage="0" equalAverage="0" bottom="0" percent="0" rank="0" text="" dxfId="7">
      <formula>0</formula>
    </cfRule>
    <cfRule type="cellIs" priority="2369" operator="lessThan" aboveAverage="0" equalAverage="0" bottom="0" percent="0" rank="0" text="" dxfId="8">
      <formula>0</formula>
    </cfRule>
  </conditionalFormatting>
  <conditionalFormatting sqref="I598">
    <cfRule type="cellIs" priority="2370" operator="greaterThan" aboveAverage="0" equalAverage="0" bottom="0" percent="0" rank="0" text="" dxfId="7">
      <formula>0</formula>
    </cfRule>
  </conditionalFormatting>
  <conditionalFormatting sqref="K598">
    <cfRule type="cellIs" priority="2371" operator="greaterThan" aboveAverage="0" equalAverage="0" bottom="0" percent="0" rank="0" text="" dxfId="7">
      <formula>0</formula>
    </cfRule>
  </conditionalFormatting>
  <conditionalFormatting sqref="N598">
    <cfRule type="cellIs" priority="2372" operator="greaterThan" aboveAverage="0" equalAverage="0" bottom="0" percent="0" rank="0" text="" dxfId="7">
      <formula>0</formula>
    </cfRule>
    <cfRule type="cellIs" priority="2373" operator="lessThan" aboveAverage="0" equalAverage="0" bottom="0" percent="0" rank="0" text="" dxfId="8">
      <formula>0</formula>
    </cfRule>
  </conditionalFormatting>
  <conditionalFormatting sqref="I599">
    <cfRule type="cellIs" priority="2374" operator="greaterThan" aboveAverage="0" equalAverage="0" bottom="0" percent="0" rank="0" text="" dxfId="7">
      <formula>0</formula>
    </cfRule>
  </conditionalFormatting>
  <conditionalFormatting sqref="K599">
    <cfRule type="cellIs" priority="2375" operator="greaterThan" aboveAverage="0" equalAverage="0" bottom="0" percent="0" rank="0" text="" dxfId="7">
      <formula>0</formula>
    </cfRule>
  </conditionalFormatting>
  <conditionalFormatting sqref="N599">
    <cfRule type="cellIs" priority="2376" operator="greaterThan" aboveAverage="0" equalAverage="0" bottom="0" percent="0" rank="0" text="" dxfId="7">
      <formula>0</formula>
    </cfRule>
    <cfRule type="cellIs" priority="2377" operator="lessThan" aboveAverage="0" equalAverage="0" bottom="0" percent="0" rank="0" text="" dxfId="8">
      <formula>0</formula>
    </cfRule>
  </conditionalFormatting>
  <conditionalFormatting sqref="I600">
    <cfRule type="cellIs" priority="2378" operator="greaterThan" aboveAverage="0" equalAverage="0" bottom="0" percent="0" rank="0" text="" dxfId="7">
      <formula>0</formula>
    </cfRule>
  </conditionalFormatting>
  <conditionalFormatting sqref="K600">
    <cfRule type="cellIs" priority="2379" operator="greaterThan" aboveAverage="0" equalAverage="0" bottom="0" percent="0" rank="0" text="" dxfId="7">
      <formula>0</formula>
    </cfRule>
  </conditionalFormatting>
  <conditionalFormatting sqref="N600">
    <cfRule type="cellIs" priority="2380" operator="greaterThan" aboveAverage="0" equalAverage="0" bottom="0" percent="0" rank="0" text="" dxfId="7">
      <formula>0</formula>
    </cfRule>
    <cfRule type="cellIs" priority="2381" operator="lessThan" aboveAverage="0" equalAverage="0" bottom="0" percent="0" rank="0" text="" dxfId="8">
      <formula>0</formula>
    </cfRule>
  </conditionalFormatting>
  <conditionalFormatting sqref="I601">
    <cfRule type="cellIs" priority="2382" operator="greaterThan" aboveAverage="0" equalAverage="0" bottom="0" percent="0" rank="0" text="" dxfId="7">
      <formula>0</formula>
    </cfRule>
  </conditionalFormatting>
  <conditionalFormatting sqref="K601">
    <cfRule type="cellIs" priority="2383" operator="greaterThan" aboveAverage="0" equalAverage="0" bottom="0" percent="0" rank="0" text="" dxfId="7">
      <formula>0</formula>
    </cfRule>
  </conditionalFormatting>
  <conditionalFormatting sqref="N601">
    <cfRule type="cellIs" priority="2384" operator="greaterThan" aboveAverage="0" equalAverage="0" bottom="0" percent="0" rank="0" text="" dxfId="7">
      <formula>0</formula>
    </cfRule>
    <cfRule type="cellIs" priority="2385" operator="lessThan" aboveAverage="0" equalAverage="0" bottom="0" percent="0" rank="0" text="" dxfId="8">
      <formula>0</formula>
    </cfRule>
  </conditionalFormatting>
  <conditionalFormatting sqref="I602">
    <cfRule type="cellIs" priority="2386" operator="greaterThan" aboveAverage="0" equalAverage="0" bottom="0" percent="0" rank="0" text="" dxfId="7">
      <formula>0</formula>
    </cfRule>
  </conditionalFormatting>
  <conditionalFormatting sqref="K602">
    <cfRule type="cellIs" priority="2387" operator="greaterThan" aboveAverage="0" equalAverage="0" bottom="0" percent="0" rank="0" text="" dxfId="7">
      <formula>0</formula>
    </cfRule>
  </conditionalFormatting>
  <conditionalFormatting sqref="N602">
    <cfRule type="cellIs" priority="2388" operator="greaterThan" aboveAverage="0" equalAverage="0" bottom="0" percent="0" rank="0" text="" dxfId="7">
      <formula>0</formula>
    </cfRule>
    <cfRule type="cellIs" priority="2389" operator="lessThan" aboveAverage="0" equalAverage="0" bottom="0" percent="0" rank="0" text="" dxfId="8">
      <formula>0</formula>
    </cfRule>
  </conditionalFormatting>
  <conditionalFormatting sqref="I603">
    <cfRule type="cellIs" priority="2390" operator="greaterThan" aboveAverage="0" equalAverage="0" bottom="0" percent="0" rank="0" text="" dxfId="7">
      <formula>0</formula>
    </cfRule>
  </conditionalFormatting>
  <conditionalFormatting sqref="K603">
    <cfRule type="cellIs" priority="2391" operator="greaterThan" aboveAverage="0" equalAverage="0" bottom="0" percent="0" rank="0" text="" dxfId="7">
      <formula>0</formula>
    </cfRule>
  </conditionalFormatting>
  <conditionalFormatting sqref="N603">
    <cfRule type="cellIs" priority="2392" operator="greaterThan" aboveAverage="0" equalAverage="0" bottom="0" percent="0" rank="0" text="" dxfId="7">
      <formula>0</formula>
    </cfRule>
    <cfRule type="cellIs" priority="2393" operator="lessThan" aboveAverage="0" equalAverage="0" bottom="0" percent="0" rank="0" text="" dxfId="8">
      <formula>0</formula>
    </cfRule>
  </conditionalFormatting>
  <conditionalFormatting sqref="I604">
    <cfRule type="cellIs" priority="2394" operator="greaterThan" aboveAverage="0" equalAverage="0" bottom="0" percent="0" rank="0" text="" dxfId="7">
      <formula>0</formula>
    </cfRule>
  </conditionalFormatting>
  <conditionalFormatting sqref="K604">
    <cfRule type="cellIs" priority="2395" operator="greaterThan" aboveAverage="0" equalAverage="0" bottom="0" percent="0" rank="0" text="" dxfId="7">
      <formula>0</formula>
    </cfRule>
  </conditionalFormatting>
  <conditionalFormatting sqref="N604">
    <cfRule type="cellIs" priority="2396" operator="greaterThan" aboveAverage="0" equalAverage="0" bottom="0" percent="0" rank="0" text="" dxfId="7">
      <formula>0</formula>
    </cfRule>
    <cfRule type="cellIs" priority="2397" operator="lessThan" aboveAverage="0" equalAverage="0" bottom="0" percent="0" rank="0" text="" dxfId="8">
      <formula>0</formula>
    </cfRule>
  </conditionalFormatting>
  <conditionalFormatting sqref="I605">
    <cfRule type="cellIs" priority="2398" operator="greaterThan" aboveAverage="0" equalAverage="0" bottom="0" percent="0" rank="0" text="" dxfId="7">
      <formula>0</formula>
    </cfRule>
  </conditionalFormatting>
  <conditionalFormatting sqref="K605">
    <cfRule type="cellIs" priority="2399" operator="greaterThan" aboveAverage="0" equalAverage="0" bottom="0" percent="0" rank="0" text="" dxfId="7">
      <formula>0</formula>
    </cfRule>
  </conditionalFormatting>
  <conditionalFormatting sqref="N605">
    <cfRule type="cellIs" priority="2400" operator="greaterThan" aboveAverage="0" equalAverage="0" bottom="0" percent="0" rank="0" text="" dxfId="7">
      <formula>0</formula>
    </cfRule>
    <cfRule type="cellIs" priority="2401" operator="lessThan" aboveAverage="0" equalAverage="0" bottom="0" percent="0" rank="0" text="" dxfId="8">
      <formula>0</formula>
    </cfRule>
  </conditionalFormatting>
  <conditionalFormatting sqref="I606">
    <cfRule type="cellIs" priority="2402" operator="greaterThan" aboveAverage="0" equalAverage="0" bottom="0" percent="0" rank="0" text="" dxfId="7">
      <formula>0</formula>
    </cfRule>
  </conditionalFormatting>
  <conditionalFormatting sqref="K606">
    <cfRule type="cellIs" priority="2403" operator="greaterThan" aboveAverage="0" equalAverage="0" bottom="0" percent="0" rank="0" text="" dxfId="7">
      <formula>0</formula>
    </cfRule>
  </conditionalFormatting>
  <conditionalFormatting sqref="N606">
    <cfRule type="cellIs" priority="2404" operator="greaterThan" aboveAverage="0" equalAverage="0" bottom="0" percent="0" rank="0" text="" dxfId="7">
      <formula>0</formula>
    </cfRule>
    <cfRule type="cellIs" priority="2405" operator="lessThan" aboveAverage="0" equalAverage="0" bottom="0" percent="0" rank="0" text="" dxfId="8">
      <formula>0</formula>
    </cfRule>
  </conditionalFormatting>
  <conditionalFormatting sqref="I607">
    <cfRule type="cellIs" priority="2406" operator="greaterThan" aboveAverage="0" equalAverage="0" bottom="0" percent="0" rank="0" text="" dxfId="7">
      <formula>0</formula>
    </cfRule>
  </conditionalFormatting>
  <conditionalFormatting sqref="K607">
    <cfRule type="cellIs" priority="2407" operator="greaterThan" aboveAverage="0" equalAverage="0" bottom="0" percent="0" rank="0" text="" dxfId="7">
      <formula>0</formula>
    </cfRule>
  </conditionalFormatting>
  <conditionalFormatting sqref="N607">
    <cfRule type="cellIs" priority="2408" operator="greaterThan" aboveAverage="0" equalAverage="0" bottom="0" percent="0" rank="0" text="" dxfId="7">
      <formula>0</formula>
    </cfRule>
    <cfRule type="cellIs" priority="2409" operator="lessThan" aboveAverage="0" equalAverage="0" bottom="0" percent="0" rank="0" text="" dxfId="8">
      <formula>0</formula>
    </cfRule>
  </conditionalFormatting>
  <conditionalFormatting sqref="I608">
    <cfRule type="cellIs" priority="2410" operator="greaterThan" aboveAverage="0" equalAverage="0" bottom="0" percent="0" rank="0" text="" dxfId="7">
      <formula>0</formula>
    </cfRule>
  </conditionalFormatting>
  <conditionalFormatting sqref="K608">
    <cfRule type="cellIs" priority="2411" operator="greaterThan" aboveAverage="0" equalAverage="0" bottom="0" percent="0" rank="0" text="" dxfId="7">
      <formula>0</formula>
    </cfRule>
  </conditionalFormatting>
  <conditionalFormatting sqref="N608">
    <cfRule type="cellIs" priority="2412" operator="greaterThan" aboveAverage="0" equalAverage="0" bottom="0" percent="0" rank="0" text="" dxfId="7">
      <formula>0</formula>
    </cfRule>
    <cfRule type="cellIs" priority="2413" operator="lessThan" aboveAverage="0" equalAverage="0" bottom="0" percent="0" rank="0" text="" dxfId="8">
      <formula>0</formula>
    </cfRule>
  </conditionalFormatting>
  <conditionalFormatting sqref="I609">
    <cfRule type="cellIs" priority="2414" operator="greaterThan" aboveAverage="0" equalAverage="0" bottom="0" percent="0" rank="0" text="" dxfId="7">
      <formula>0</formula>
    </cfRule>
  </conditionalFormatting>
  <conditionalFormatting sqref="K609">
    <cfRule type="cellIs" priority="2415" operator="greaterThan" aboveAverage="0" equalAverage="0" bottom="0" percent="0" rank="0" text="" dxfId="7">
      <formula>0</formula>
    </cfRule>
  </conditionalFormatting>
  <conditionalFormatting sqref="N609">
    <cfRule type="cellIs" priority="2416" operator="greaterThan" aboveAverage="0" equalAverage="0" bottom="0" percent="0" rank="0" text="" dxfId="7">
      <formula>0</formula>
    </cfRule>
    <cfRule type="cellIs" priority="2417" operator="lessThan" aboveAverage="0" equalAverage="0" bottom="0" percent="0" rank="0" text="" dxfId="8">
      <formula>0</formula>
    </cfRule>
  </conditionalFormatting>
  <conditionalFormatting sqref="I610">
    <cfRule type="cellIs" priority="2418" operator="greaterThan" aboveAverage="0" equalAverage="0" bottom="0" percent="0" rank="0" text="" dxfId="7">
      <formula>0</formula>
    </cfRule>
  </conditionalFormatting>
  <conditionalFormatting sqref="K610">
    <cfRule type="cellIs" priority="2419" operator="greaterThan" aboveAverage="0" equalAverage="0" bottom="0" percent="0" rank="0" text="" dxfId="7">
      <formula>0</formula>
    </cfRule>
  </conditionalFormatting>
  <conditionalFormatting sqref="N610">
    <cfRule type="cellIs" priority="2420" operator="greaterThan" aboveAverage="0" equalAverage="0" bottom="0" percent="0" rank="0" text="" dxfId="7">
      <formula>0</formula>
    </cfRule>
    <cfRule type="cellIs" priority="2421" operator="lessThan" aboveAverage="0" equalAverage="0" bottom="0" percent="0" rank="0" text="" dxfId="8">
      <formula>0</formula>
    </cfRule>
  </conditionalFormatting>
  <conditionalFormatting sqref="I611">
    <cfRule type="cellIs" priority="2422" operator="greaterThan" aboveAverage="0" equalAverage="0" bottom="0" percent="0" rank="0" text="" dxfId="7">
      <formula>0</formula>
    </cfRule>
  </conditionalFormatting>
  <conditionalFormatting sqref="K611">
    <cfRule type="cellIs" priority="2423" operator="greaterThan" aboveAverage="0" equalAverage="0" bottom="0" percent="0" rank="0" text="" dxfId="7">
      <formula>0</formula>
    </cfRule>
  </conditionalFormatting>
  <conditionalFormatting sqref="N611">
    <cfRule type="cellIs" priority="2424" operator="greaterThan" aboveAverage="0" equalAverage="0" bottom="0" percent="0" rank="0" text="" dxfId="7">
      <formula>0</formula>
    </cfRule>
    <cfRule type="cellIs" priority="2425" operator="lessThan" aboveAverage="0" equalAverage="0" bottom="0" percent="0" rank="0" text="" dxfId="8">
      <formula>0</formula>
    </cfRule>
  </conditionalFormatting>
  <conditionalFormatting sqref="I612">
    <cfRule type="cellIs" priority="2426" operator="greaterThan" aboveAverage="0" equalAverage="0" bottom="0" percent="0" rank="0" text="" dxfId="7">
      <formula>0</formula>
    </cfRule>
  </conditionalFormatting>
  <conditionalFormatting sqref="K612">
    <cfRule type="cellIs" priority="2427" operator="greaterThan" aboveAverage="0" equalAverage="0" bottom="0" percent="0" rank="0" text="" dxfId="7">
      <formula>0</formula>
    </cfRule>
  </conditionalFormatting>
  <conditionalFormatting sqref="N612">
    <cfRule type="cellIs" priority="2428" operator="greaterThan" aboveAverage="0" equalAverage="0" bottom="0" percent="0" rank="0" text="" dxfId="7">
      <formula>0</formula>
    </cfRule>
    <cfRule type="cellIs" priority="2429" operator="lessThan" aboveAverage="0" equalAverage="0" bottom="0" percent="0" rank="0" text="" dxfId="8">
      <formula>0</formula>
    </cfRule>
  </conditionalFormatting>
  <conditionalFormatting sqref="I613">
    <cfRule type="cellIs" priority="2430" operator="greaterThan" aboveAverage="0" equalAverage="0" bottom="0" percent="0" rank="0" text="" dxfId="7">
      <formula>0</formula>
    </cfRule>
  </conditionalFormatting>
  <conditionalFormatting sqref="K613">
    <cfRule type="cellIs" priority="2431" operator="greaterThan" aboveAverage="0" equalAverage="0" bottom="0" percent="0" rank="0" text="" dxfId="7">
      <formula>0</formula>
    </cfRule>
  </conditionalFormatting>
  <conditionalFormatting sqref="N613">
    <cfRule type="cellIs" priority="2432" operator="greaterThan" aboveAverage="0" equalAverage="0" bottom="0" percent="0" rank="0" text="" dxfId="7">
      <formula>0</formula>
    </cfRule>
    <cfRule type="cellIs" priority="2433" operator="lessThan" aboveAverage="0" equalAverage="0" bottom="0" percent="0" rank="0" text="" dxfId="8">
      <formula>0</formula>
    </cfRule>
  </conditionalFormatting>
  <conditionalFormatting sqref="I614">
    <cfRule type="cellIs" priority="2434" operator="greaterThan" aboveAverage="0" equalAverage="0" bottom="0" percent="0" rank="0" text="" dxfId="7">
      <formula>0</formula>
    </cfRule>
  </conditionalFormatting>
  <conditionalFormatting sqref="K614">
    <cfRule type="cellIs" priority="2435" operator="greaterThan" aboveAverage="0" equalAverage="0" bottom="0" percent="0" rank="0" text="" dxfId="7">
      <formula>0</formula>
    </cfRule>
  </conditionalFormatting>
  <conditionalFormatting sqref="N614">
    <cfRule type="cellIs" priority="2436" operator="greaterThan" aboveAverage="0" equalAverage="0" bottom="0" percent="0" rank="0" text="" dxfId="7">
      <formula>0</formula>
    </cfRule>
    <cfRule type="cellIs" priority="2437" operator="lessThan" aboveAverage="0" equalAverage="0" bottom="0" percent="0" rank="0" text="" dxfId="8">
      <formula>0</formula>
    </cfRule>
  </conditionalFormatting>
  <conditionalFormatting sqref="I615">
    <cfRule type="cellIs" priority="2438" operator="greaterThan" aboveAverage="0" equalAverage="0" bottom="0" percent="0" rank="0" text="" dxfId="7">
      <formula>0</formula>
    </cfRule>
  </conditionalFormatting>
  <conditionalFormatting sqref="K615">
    <cfRule type="cellIs" priority="2439" operator="greaterThan" aboveAverage="0" equalAverage="0" bottom="0" percent="0" rank="0" text="" dxfId="7">
      <formula>0</formula>
    </cfRule>
  </conditionalFormatting>
  <conditionalFormatting sqref="N615">
    <cfRule type="cellIs" priority="2440" operator="greaterThan" aboveAverage="0" equalAverage="0" bottom="0" percent="0" rank="0" text="" dxfId="7">
      <formula>0</formula>
    </cfRule>
    <cfRule type="cellIs" priority="2441" operator="lessThan" aboveAverage="0" equalAverage="0" bottom="0" percent="0" rank="0" text="" dxfId="8">
      <formula>0</formula>
    </cfRule>
  </conditionalFormatting>
  <conditionalFormatting sqref="I616">
    <cfRule type="cellIs" priority="2442" operator="greaterThan" aboveAverage="0" equalAverage="0" bottom="0" percent="0" rank="0" text="" dxfId="7">
      <formula>0</formula>
    </cfRule>
  </conditionalFormatting>
  <conditionalFormatting sqref="K616">
    <cfRule type="cellIs" priority="2443" operator="greaterThan" aboveAverage="0" equalAverage="0" bottom="0" percent="0" rank="0" text="" dxfId="7">
      <formula>0</formula>
    </cfRule>
  </conditionalFormatting>
  <conditionalFormatting sqref="N616">
    <cfRule type="cellIs" priority="2444" operator="greaterThan" aboveAverage="0" equalAverage="0" bottom="0" percent="0" rank="0" text="" dxfId="7">
      <formula>0</formula>
    </cfRule>
    <cfRule type="cellIs" priority="2445" operator="lessThan" aboveAverage="0" equalAverage="0" bottom="0" percent="0" rank="0" text="" dxfId="8">
      <formula>0</formula>
    </cfRule>
  </conditionalFormatting>
  <conditionalFormatting sqref="I617">
    <cfRule type="cellIs" priority="2446" operator="greaterThan" aboveAverage="0" equalAverage="0" bottom="0" percent="0" rank="0" text="" dxfId="7">
      <formula>0</formula>
    </cfRule>
  </conditionalFormatting>
  <conditionalFormatting sqref="K617">
    <cfRule type="cellIs" priority="2447" operator="greaterThan" aboveAverage="0" equalAverage="0" bottom="0" percent="0" rank="0" text="" dxfId="7">
      <formula>0</formula>
    </cfRule>
  </conditionalFormatting>
  <conditionalFormatting sqref="N617">
    <cfRule type="cellIs" priority="2448" operator="greaterThan" aboveAverage="0" equalAverage="0" bottom="0" percent="0" rank="0" text="" dxfId="7">
      <formula>0</formula>
    </cfRule>
    <cfRule type="cellIs" priority="2449" operator="lessThan" aboveAverage="0" equalAverage="0" bottom="0" percent="0" rank="0" text="" dxfId="8">
      <formula>0</formula>
    </cfRule>
  </conditionalFormatting>
  <conditionalFormatting sqref="I618">
    <cfRule type="cellIs" priority="2450" operator="greaterThan" aboveAverage="0" equalAverage="0" bottom="0" percent="0" rank="0" text="" dxfId="7">
      <formula>0</formula>
    </cfRule>
  </conditionalFormatting>
  <conditionalFormatting sqref="K618">
    <cfRule type="cellIs" priority="2451" operator="greaterThan" aboveAverage="0" equalAverage="0" bottom="0" percent="0" rank="0" text="" dxfId="7">
      <formula>0</formula>
    </cfRule>
  </conditionalFormatting>
  <conditionalFormatting sqref="N618">
    <cfRule type="cellIs" priority="2452" operator="greaterThan" aboveAverage="0" equalAverage="0" bottom="0" percent="0" rank="0" text="" dxfId="7">
      <formula>0</formula>
    </cfRule>
    <cfRule type="cellIs" priority="2453" operator="lessThan" aboveAverage="0" equalAverage="0" bottom="0" percent="0" rank="0" text="" dxfId="8">
      <formula>0</formula>
    </cfRule>
  </conditionalFormatting>
  <conditionalFormatting sqref="I619">
    <cfRule type="cellIs" priority="2454" operator="greaterThan" aboveAverage="0" equalAverage="0" bottom="0" percent="0" rank="0" text="" dxfId="7">
      <formula>0</formula>
    </cfRule>
  </conditionalFormatting>
  <conditionalFormatting sqref="K619">
    <cfRule type="cellIs" priority="2455" operator="greaterThan" aboveAverage="0" equalAverage="0" bottom="0" percent="0" rank="0" text="" dxfId="7">
      <formula>0</formula>
    </cfRule>
  </conditionalFormatting>
  <conditionalFormatting sqref="N619">
    <cfRule type="cellIs" priority="2456" operator="greaterThan" aboveAverage="0" equalAverage="0" bottom="0" percent="0" rank="0" text="" dxfId="7">
      <formula>0</formula>
    </cfRule>
    <cfRule type="cellIs" priority="2457" operator="lessThan" aboveAverage="0" equalAverage="0" bottom="0" percent="0" rank="0" text="" dxfId="8">
      <formula>0</formula>
    </cfRule>
  </conditionalFormatting>
  <conditionalFormatting sqref="I620">
    <cfRule type="cellIs" priority="2458" operator="greaterThan" aboveAverage="0" equalAverage="0" bottom="0" percent="0" rank="0" text="" dxfId="7">
      <formula>0</formula>
    </cfRule>
  </conditionalFormatting>
  <conditionalFormatting sqref="K620">
    <cfRule type="cellIs" priority="2459" operator="greaterThan" aboveAverage="0" equalAverage="0" bottom="0" percent="0" rank="0" text="" dxfId="7">
      <formula>0</formula>
    </cfRule>
  </conditionalFormatting>
  <conditionalFormatting sqref="N620">
    <cfRule type="cellIs" priority="2460" operator="greaterThan" aboveAverage="0" equalAverage="0" bottom="0" percent="0" rank="0" text="" dxfId="7">
      <formula>0</formula>
    </cfRule>
    <cfRule type="cellIs" priority="2461" operator="lessThan" aboveAverage="0" equalAverage="0" bottom="0" percent="0" rank="0" text="" dxfId="8">
      <formula>0</formula>
    </cfRule>
  </conditionalFormatting>
  <conditionalFormatting sqref="I621">
    <cfRule type="cellIs" priority="2462" operator="greaterThan" aboveAverage="0" equalAverage="0" bottom="0" percent="0" rank="0" text="" dxfId="7">
      <formula>0</formula>
    </cfRule>
  </conditionalFormatting>
  <conditionalFormatting sqref="K621">
    <cfRule type="cellIs" priority="2463" operator="greaterThan" aboveAverage="0" equalAverage="0" bottom="0" percent="0" rank="0" text="" dxfId="7">
      <formula>0</formula>
    </cfRule>
  </conditionalFormatting>
  <conditionalFormatting sqref="N621">
    <cfRule type="cellIs" priority="2464" operator="greaterThan" aboveAverage="0" equalAverage="0" bottom="0" percent="0" rank="0" text="" dxfId="7">
      <formula>0</formula>
    </cfRule>
    <cfRule type="cellIs" priority="2465" operator="lessThan" aboveAverage="0" equalAverage="0" bottom="0" percent="0" rank="0" text="" dxfId="8">
      <formula>0</formula>
    </cfRule>
  </conditionalFormatting>
  <conditionalFormatting sqref="I622">
    <cfRule type="cellIs" priority="2466" operator="greaterThan" aboveAverage="0" equalAverage="0" bottom="0" percent="0" rank="0" text="" dxfId="7">
      <formula>0</formula>
    </cfRule>
  </conditionalFormatting>
  <conditionalFormatting sqref="K622">
    <cfRule type="cellIs" priority="2467" operator="greaterThan" aboveAverage="0" equalAverage="0" bottom="0" percent="0" rank="0" text="" dxfId="7">
      <formula>0</formula>
    </cfRule>
  </conditionalFormatting>
  <conditionalFormatting sqref="N622">
    <cfRule type="cellIs" priority="2468" operator="greaterThan" aboveAverage="0" equalAverage="0" bottom="0" percent="0" rank="0" text="" dxfId="7">
      <formula>0</formula>
    </cfRule>
    <cfRule type="cellIs" priority="2469" operator="lessThan" aboveAverage="0" equalAverage="0" bottom="0" percent="0" rank="0" text="" dxfId="8">
      <formula>0</formula>
    </cfRule>
  </conditionalFormatting>
  <conditionalFormatting sqref="I623">
    <cfRule type="cellIs" priority="2470" operator="greaterThan" aboveAverage="0" equalAverage="0" bottom="0" percent="0" rank="0" text="" dxfId="7">
      <formula>0</formula>
    </cfRule>
  </conditionalFormatting>
  <conditionalFormatting sqref="K623">
    <cfRule type="cellIs" priority="2471" operator="greaterThan" aboveAverage="0" equalAverage="0" bottom="0" percent="0" rank="0" text="" dxfId="7">
      <formula>0</formula>
    </cfRule>
  </conditionalFormatting>
  <conditionalFormatting sqref="N623">
    <cfRule type="cellIs" priority="2472" operator="greaterThan" aboveAverage="0" equalAverage="0" bottom="0" percent="0" rank="0" text="" dxfId="7">
      <formula>0</formula>
    </cfRule>
    <cfRule type="cellIs" priority="2473" operator="lessThan" aboveAverage="0" equalAverage="0" bottom="0" percent="0" rank="0" text="" dxfId="8">
      <formula>0</formula>
    </cfRule>
  </conditionalFormatting>
  <conditionalFormatting sqref="I624">
    <cfRule type="cellIs" priority="2474" operator="greaterThan" aboveAverage="0" equalAverage="0" bottom="0" percent="0" rank="0" text="" dxfId="7">
      <formula>0</formula>
    </cfRule>
  </conditionalFormatting>
  <conditionalFormatting sqref="K624">
    <cfRule type="cellIs" priority="2475" operator="greaterThan" aboveAverage="0" equalAverage="0" bottom="0" percent="0" rank="0" text="" dxfId="7">
      <formula>0</formula>
    </cfRule>
  </conditionalFormatting>
  <conditionalFormatting sqref="N624">
    <cfRule type="cellIs" priority="2476" operator="greaterThan" aboveAverage="0" equalAverage="0" bottom="0" percent="0" rank="0" text="" dxfId="7">
      <formula>0</formula>
    </cfRule>
    <cfRule type="cellIs" priority="2477" operator="lessThan" aboveAverage="0" equalAverage="0" bottom="0" percent="0" rank="0" text="" dxfId="8">
      <formula>0</formula>
    </cfRule>
  </conditionalFormatting>
  <conditionalFormatting sqref="I625">
    <cfRule type="cellIs" priority="2478" operator="greaterThan" aboveAverage="0" equalAverage="0" bottom="0" percent="0" rank="0" text="" dxfId="7">
      <formula>0</formula>
    </cfRule>
  </conditionalFormatting>
  <conditionalFormatting sqref="K625">
    <cfRule type="cellIs" priority="2479" operator="greaterThan" aboveAverage="0" equalAverage="0" bottom="0" percent="0" rank="0" text="" dxfId="7">
      <formula>0</formula>
    </cfRule>
  </conditionalFormatting>
  <conditionalFormatting sqref="N625">
    <cfRule type="cellIs" priority="2480" operator="greaterThan" aboveAverage="0" equalAverage="0" bottom="0" percent="0" rank="0" text="" dxfId="7">
      <formula>0</formula>
    </cfRule>
    <cfRule type="cellIs" priority="2481" operator="lessThan" aboveAverage="0" equalAverage="0" bottom="0" percent="0" rank="0" text="" dxfId="8">
      <formula>0</formula>
    </cfRule>
  </conditionalFormatting>
  <conditionalFormatting sqref="I626">
    <cfRule type="cellIs" priority="2482" operator="greaterThan" aboveAverage="0" equalAverage="0" bottom="0" percent="0" rank="0" text="" dxfId="7">
      <formula>0</formula>
    </cfRule>
  </conditionalFormatting>
  <conditionalFormatting sqref="K626">
    <cfRule type="cellIs" priority="2483" operator="greaterThan" aboveAverage="0" equalAverage="0" bottom="0" percent="0" rank="0" text="" dxfId="7">
      <formula>0</formula>
    </cfRule>
  </conditionalFormatting>
  <conditionalFormatting sqref="N626">
    <cfRule type="cellIs" priority="2484" operator="greaterThan" aboveAverage="0" equalAverage="0" bottom="0" percent="0" rank="0" text="" dxfId="7">
      <formula>0</formula>
    </cfRule>
    <cfRule type="cellIs" priority="2485" operator="lessThan" aboveAverage="0" equalAverage="0" bottom="0" percent="0" rank="0" text="" dxfId="8">
      <formula>0</formula>
    </cfRule>
  </conditionalFormatting>
  <conditionalFormatting sqref="I627">
    <cfRule type="cellIs" priority="2486" operator="greaterThan" aboveAverage="0" equalAverage="0" bottom="0" percent="0" rank="0" text="" dxfId="7">
      <formula>0</formula>
    </cfRule>
  </conditionalFormatting>
  <conditionalFormatting sqref="K627">
    <cfRule type="cellIs" priority="2487" operator="greaterThan" aboveAverage="0" equalAverage="0" bottom="0" percent="0" rank="0" text="" dxfId="7">
      <formula>0</formula>
    </cfRule>
  </conditionalFormatting>
  <conditionalFormatting sqref="N627">
    <cfRule type="cellIs" priority="2488" operator="greaterThan" aboveAverage="0" equalAverage="0" bottom="0" percent="0" rank="0" text="" dxfId="7">
      <formula>0</formula>
    </cfRule>
    <cfRule type="cellIs" priority="2489" operator="lessThan" aboveAverage="0" equalAverage="0" bottom="0" percent="0" rank="0" text="" dxfId="8">
      <formula>0</formula>
    </cfRule>
  </conditionalFormatting>
  <conditionalFormatting sqref="I628">
    <cfRule type="cellIs" priority="2490" operator="greaterThan" aboveAverage="0" equalAverage="0" bottom="0" percent="0" rank="0" text="" dxfId="7">
      <formula>0</formula>
    </cfRule>
  </conditionalFormatting>
  <conditionalFormatting sqref="K628">
    <cfRule type="cellIs" priority="2491" operator="greaterThan" aboveAverage="0" equalAverage="0" bottom="0" percent="0" rank="0" text="" dxfId="7">
      <formula>0</formula>
    </cfRule>
  </conditionalFormatting>
  <conditionalFormatting sqref="N628">
    <cfRule type="cellIs" priority="2492" operator="greaterThan" aboveAverage="0" equalAverage="0" bottom="0" percent="0" rank="0" text="" dxfId="7">
      <formula>0</formula>
    </cfRule>
    <cfRule type="cellIs" priority="2493" operator="lessThan" aboveAverage="0" equalAverage="0" bottom="0" percent="0" rank="0" text="" dxfId="8">
      <formula>0</formula>
    </cfRule>
  </conditionalFormatting>
  <conditionalFormatting sqref="I629">
    <cfRule type="cellIs" priority="2494" operator="greaterThan" aboveAverage="0" equalAverage="0" bottom="0" percent="0" rank="0" text="" dxfId="7">
      <formula>0</formula>
    </cfRule>
  </conditionalFormatting>
  <conditionalFormatting sqref="K629">
    <cfRule type="cellIs" priority="2495" operator="greaterThan" aboveAverage="0" equalAverage="0" bottom="0" percent="0" rank="0" text="" dxfId="7">
      <formula>0</formula>
    </cfRule>
  </conditionalFormatting>
  <conditionalFormatting sqref="N629">
    <cfRule type="cellIs" priority="2496" operator="greaterThan" aboveAverage="0" equalAverage="0" bottom="0" percent="0" rank="0" text="" dxfId="7">
      <formula>0</formula>
    </cfRule>
    <cfRule type="cellIs" priority="2497" operator="lessThan" aboveAverage="0" equalAverage="0" bottom="0" percent="0" rank="0" text="" dxfId="8">
      <formula>0</formula>
    </cfRule>
  </conditionalFormatting>
  <conditionalFormatting sqref="I630">
    <cfRule type="cellIs" priority="2498" operator="greaterThan" aboveAverage="0" equalAverage="0" bottom="0" percent="0" rank="0" text="" dxfId="7">
      <formula>0</formula>
    </cfRule>
  </conditionalFormatting>
  <conditionalFormatting sqref="K630">
    <cfRule type="cellIs" priority="2499" operator="greaterThan" aboveAverage="0" equalAverage="0" bottom="0" percent="0" rank="0" text="" dxfId="7">
      <formula>0</formula>
    </cfRule>
  </conditionalFormatting>
  <conditionalFormatting sqref="N630">
    <cfRule type="cellIs" priority="2500" operator="greaterThan" aboveAverage="0" equalAverage="0" bottom="0" percent="0" rank="0" text="" dxfId="7">
      <formula>0</formula>
    </cfRule>
    <cfRule type="cellIs" priority="2501" operator="lessThan" aboveAverage="0" equalAverage="0" bottom="0" percent="0" rank="0" text="" dxfId="8">
      <formula>0</formula>
    </cfRule>
  </conditionalFormatting>
  <conditionalFormatting sqref="I631">
    <cfRule type="cellIs" priority="2502" operator="greaterThan" aboveAverage="0" equalAverage="0" bottom="0" percent="0" rank="0" text="" dxfId="7">
      <formula>0</formula>
    </cfRule>
  </conditionalFormatting>
  <conditionalFormatting sqref="K631">
    <cfRule type="cellIs" priority="2503" operator="greaterThan" aboveAverage="0" equalAverage="0" bottom="0" percent="0" rank="0" text="" dxfId="7">
      <formula>0</formula>
    </cfRule>
  </conditionalFormatting>
  <conditionalFormatting sqref="N631">
    <cfRule type="cellIs" priority="2504" operator="greaterThan" aboveAverage="0" equalAverage="0" bottom="0" percent="0" rank="0" text="" dxfId="7">
      <formula>0</formula>
    </cfRule>
    <cfRule type="cellIs" priority="2505" operator="lessThan" aboveAverage="0" equalAverage="0" bottom="0" percent="0" rank="0" text="" dxfId="8">
      <formula>0</formula>
    </cfRule>
  </conditionalFormatting>
  <conditionalFormatting sqref="I632">
    <cfRule type="cellIs" priority="2506" operator="greaterThan" aboveAverage="0" equalAverage="0" bottom="0" percent="0" rank="0" text="" dxfId="7">
      <formula>0</formula>
    </cfRule>
  </conditionalFormatting>
  <conditionalFormatting sqref="K632">
    <cfRule type="cellIs" priority="2507" operator="greaterThan" aboveAverage="0" equalAverage="0" bottom="0" percent="0" rank="0" text="" dxfId="7">
      <formula>0</formula>
    </cfRule>
  </conditionalFormatting>
  <conditionalFormatting sqref="N632">
    <cfRule type="cellIs" priority="2508" operator="greaterThan" aboveAverage="0" equalAverage="0" bottom="0" percent="0" rank="0" text="" dxfId="7">
      <formula>0</formula>
    </cfRule>
    <cfRule type="cellIs" priority="2509" operator="lessThan" aboveAverage="0" equalAverage="0" bottom="0" percent="0" rank="0" text="" dxfId="8">
      <formula>0</formula>
    </cfRule>
  </conditionalFormatting>
  <conditionalFormatting sqref="I633">
    <cfRule type="cellIs" priority="2510" operator="greaterThan" aboveAverage="0" equalAverage="0" bottom="0" percent="0" rank="0" text="" dxfId="7">
      <formula>0</formula>
    </cfRule>
  </conditionalFormatting>
  <conditionalFormatting sqref="K633">
    <cfRule type="cellIs" priority="2511" operator="greaterThan" aboveAverage="0" equalAverage="0" bottom="0" percent="0" rank="0" text="" dxfId="7">
      <formula>0</formula>
    </cfRule>
  </conditionalFormatting>
  <conditionalFormatting sqref="N633">
    <cfRule type="cellIs" priority="2512" operator="greaterThan" aboveAverage="0" equalAverage="0" bottom="0" percent="0" rank="0" text="" dxfId="7">
      <formula>0</formula>
    </cfRule>
    <cfRule type="cellIs" priority="2513" operator="lessThan" aboveAverage="0" equalAverage="0" bottom="0" percent="0" rank="0" text="" dxfId="8">
      <formula>0</formula>
    </cfRule>
  </conditionalFormatting>
  <conditionalFormatting sqref="I634">
    <cfRule type="cellIs" priority="2514" operator="greaterThan" aboveAverage="0" equalAverage="0" bottom="0" percent="0" rank="0" text="" dxfId="7">
      <formula>0</formula>
    </cfRule>
  </conditionalFormatting>
  <conditionalFormatting sqref="K634">
    <cfRule type="cellIs" priority="2515" operator="greaterThan" aboveAverage="0" equalAverage="0" bottom="0" percent="0" rank="0" text="" dxfId="7">
      <formula>0</formula>
    </cfRule>
  </conditionalFormatting>
  <conditionalFormatting sqref="N634">
    <cfRule type="cellIs" priority="2516" operator="greaterThan" aboveAverage="0" equalAverage="0" bottom="0" percent="0" rank="0" text="" dxfId="7">
      <formula>0</formula>
    </cfRule>
    <cfRule type="cellIs" priority="2517" operator="lessThan" aboveAverage="0" equalAverage="0" bottom="0" percent="0" rank="0" text="" dxfId="8">
      <formula>0</formula>
    </cfRule>
  </conditionalFormatting>
  <conditionalFormatting sqref="I635">
    <cfRule type="cellIs" priority="2518" operator="greaterThan" aboveAverage="0" equalAverage="0" bottom="0" percent="0" rank="0" text="" dxfId="7">
      <formula>0</formula>
    </cfRule>
  </conditionalFormatting>
  <conditionalFormatting sqref="K635">
    <cfRule type="cellIs" priority="2519" operator="greaterThan" aboveAverage="0" equalAverage="0" bottom="0" percent="0" rank="0" text="" dxfId="7">
      <formula>0</formula>
    </cfRule>
  </conditionalFormatting>
  <conditionalFormatting sqref="N635">
    <cfRule type="cellIs" priority="2520" operator="greaterThan" aboveAverage="0" equalAverage="0" bottom="0" percent="0" rank="0" text="" dxfId="7">
      <formula>0</formula>
    </cfRule>
    <cfRule type="cellIs" priority="2521" operator="lessThan" aboveAverage="0" equalAverage="0" bottom="0" percent="0" rank="0" text="" dxfId="8">
      <formula>0</formula>
    </cfRule>
  </conditionalFormatting>
  <conditionalFormatting sqref="I636">
    <cfRule type="cellIs" priority="2522" operator="greaterThan" aboveAverage="0" equalAverage="0" bottom="0" percent="0" rank="0" text="" dxfId="7">
      <formula>0</formula>
    </cfRule>
  </conditionalFormatting>
  <conditionalFormatting sqref="K636">
    <cfRule type="cellIs" priority="2523" operator="greaterThan" aboveAverage="0" equalAverage="0" bottom="0" percent="0" rank="0" text="" dxfId="7">
      <formula>0</formula>
    </cfRule>
  </conditionalFormatting>
  <conditionalFormatting sqref="N636">
    <cfRule type="cellIs" priority="2524" operator="greaterThan" aboveAverage="0" equalAverage="0" bottom="0" percent="0" rank="0" text="" dxfId="7">
      <formula>0</formula>
    </cfRule>
    <cfRule type="cellIs" priority="2525" operator="lessThan" aboveAverage="0" equalAverage="0" bottom="0" percent="0" rank="0" text="" dxfId="8">
      <formula>0</formula>
    </cfRule>
  </conditionalFormatting>
  <conditionalFormatting sqref="I637">
    <cfRule type="cellIs" priority="2526" operator="greaterThan" aboveAverage="0" equalAverage="0" bottom="0" percent="0" rank="0" text="" dxfId="7">
      <formula>0</formula>
    </cfRule>
  </conditionalFormatting>
  <conditionalFormatting sqref="K637">
    <cfRule type="cellIs" priority="2527" operator="greaterThan" aboveAverage="0" equalAverage="0" bottom="0" percent="0" rank="0" text="" dxfId="7">
      <formula>0</formula>
    </cfRule>
  </conditionalFormatting>
  <conditionalFormatting sqref="N637">
    <cfRule type="cellIs" priority="2528" operator="greaterThan" aboveAverage="0" equalAverage="0" bottom="0" percent="0" rank="0" text="" dxfId="7">
      <formula>0</formula>
    </cfRule>
    <cfRule type="cellIs" priority="2529" operator="lessThan" aboveAverage="0" equalAverage="0" bottom="0" percent="0" rank="0" text="" dxfId="8">
      <formula>0</formula>
    </cfRule>
  </conditionalFormatting>
  <conditionalFormatting sqref="I638">
    <cfRule type="cellIs" priority="2530" operator="greaterThan" aboveAverage="0" equalAverage="0" bottom="0" percent="0" rank="0" text="" dxfId="7">
      <formula>0</formula>
    </cfRule>
  </conditionalFormatting>
  <conditionalFormatting sqref="K638">
    <cfRule type="cellIs" priority="2531" operator="greaterThan" aboveAverage="0" equalAverage="0" bottom="0" percent="0" rank="0" text="" dxfId="7">
      <formula>0</formula>
    </cfRule>
  </conditionalFormatting>
  <conditionalFormatting sqref="N638">
    <cfRule type="cellIs" priority="2532" operator="greaterThan" aboveAverage="0" equalAverage="0" bottom="0" percent="0" rank="0" text="" dxfId="7">
      <formula>0</formula>
    </cfRule>
    <cfRule type="cellIs" priority="2533" operator="lessThan" aboveAverage="0" equalAverage="0" bottom="0" percent="0" rank="0" text="" dxfId="8">
      <formula>0</formula>
    </cfRule>
  </conditionalFormatting>
  <conditionalFormatting sqref="I639">
    <cfRule type="cellIs" priority="2534" operator="greaterThan" aboveAverage="0" equalAverage="0" bottom="0" percent="0" rank="0" text="" dxfId="7">
      <formula>0</formula>
    </cfRule>
  </conditionalFormatting>
  <conditionalFormatting sqref="K639">
    <cfRule type="cellIs" priority="2535" operator="greaterThan" aboveAverage="0" equalAverage="0" bottom="0" percent="0" rank="0" text="" dxfId="7">
      <formula>0</formula>
    </cfRule>
  </conditionalFormatting>
  <conditionalFormatting sqref="N639">
    <cfRule type="cellIs" priority="2536" operator="greaterThan" aboveAverage="0" equalAverage="0" bottom="0" percent="0" rank="0" text="" dxfId="7">
      <formula>0</formula>
    </cfRule>
    <cfRule type="cellIs" priority="2537" operator="lessThan" aboveAverage="0" equalAverage="0" bottom="0" percent="0" rank="0" text="" dxfId="8">
      <formula>0</formula>
    </cfRule>
  </conditionalFormatting>
  <conditionalFormatting sqref="I640">
    <cfRule type="cellIs" priority="2538" operator="greaterThan" aboveAverage="0" equalAverage="0" bottom="0" percent="0" rank="0" text="" dxfId="7">
      <formula>0</formula>
    </cfRule>
  </conditionalFormatting>
  <conditionalFormatting sqref="K640">
    <cfRule type="cellIs" priority="2539" operator="greaterThan" aboveAverage="0" equalAverage="0" bottom="0" percent="0" rank="0" text="" dxfId="7">
      <formula>0</formula>
    </cfRule>
  </conditionalFormatting>
  <conditionalFormatting sqref="N640">
    <cfRule type="cellIs" priority="2540" operator="greaterThan" aboveAverage="0" equalAverage="0" bottom="0" percent="0" rank="0" text="" dxfId="7">
      <formula>0</formula>
    </cfRule>
    <cfRule type="cellIs" priority="2541" operator="lessThan" aboveAverage="0" equalAverage="0" bottom="0" percent="0" rank="0" text="" dxfId="8">
      <formula>0</formula>
    </cfRule>
  </conditionalFormatting>
  <conditionalFormatting sqref="I641">
    <cfRule type="cellIs" priority="2542" operator="greaterThan" aboveAverage="0" equalAverage="0" bottom="0" percent="0" rank="0" text="" dxfId="7">
      <formula>0</formula>
    </cfRule>
  </conditionalFormatting>
  <conditionalFormatting sqref="K641">
    <cfRule type="cellIs" priority="2543" operator="greaterThan" aboveAverage="0" equalAverage="0" bottom="0" percent="0" rank="0" text="" dxfId="7">
      <formula>0</formula>
    </cfRule>
  </conditionalFormatting>
  <conditionalFormatting sqref="N641">
    <cfRule type="cellIs" priority="2544" operator="greaterThan" aboveAverage="0" equalAverage="0" bottom="0" percent="0" rank="0" text="" dxfId="7">
      <formula>0</formula>
    </cfRule>
    <cfRule type="cellIs" priority="2545" operator="lessThan" aboveAverage="0" equalAverage="0" bottom="0" percent="0" rank="0" text="" dxfId="8">
      <formula>0</formula>
    </cfRule>
  </conditionalFormatting>
  <conditionalFormatting sqref="I642">
    <cfRule type="cellIs" priority="2546" operator="greaterThan" aboveAverage="0" equalAverage="0" bottom="0" percent="0" rank="0" text="" dxfId="7">
      <formula>0</formula>
    </cfRule>
  </conditionalFormatting>
  <conditionalFormatting sqref="K642">
    <cfRule type="cellIs" priority="2547" operator="greaterThan" aboveAverage="0" equalAverage="0" bottom="0" percent="0" rank="0" text="" dxfId="7">
      <formula>0</formula>
    </cfRule>
  </conditionalFormatting>
  <conditionalFormatting sqref="N642">
    <cfRule type="cellIs" priority="2548" operator="greaterThan" aboveAverage="0" equalAverage="0" bottom="0" percent="0" rank="0" text="" dxfId="7">
      <formula>0</formula>
    </cfRule>
    <cfRule type="cellIs" priority="2549" operator="lessThan" aboveAverage="0" equalAverage="0" bottom="0" percent="0" rank="0" text="" dxfId="8">
      <formula>0</formula>
    </cfRule>
  </conditionalFormatting>
  <conditionalFormatting sqref="I643">
    <cfRule type="cellIs" priority="2550" operator="greaterThan" aboveAverage="0" equalAverage="0" bottom="0" percent="0" rank="0" text="" dxfId="7">
      <formula>0</formula>
    </cfRule>
  </conditionalFormatting>
  <conditionalFormatting sqref="K643">
    <cfRule type="cellIs" priority="2551" operator="greaterThan" aboveAverage="0" equalAverage="0" bottom="0" percent="0" rank="0" text="" dxfId="7">
      <formula>0</formula>
    </cfRule>
  </conditionalFormatting>
  <conditionalFormatting sqref="N643">
    <cfRule type="cellIs" priority="2552" operator="greaterThan" aboveAverage="0" equalAverage="0" bottom="0" percent="0" rank="0" text="" dxfId="7">
      <formula>0</formula>
    </cfRule>
    <cfRule type="cellIs" priority="2553" operator="lessThan" aboveAverage="0" equalAverage="0" bottom="0" percent="0" rank="0" text="" dxfId="8">
      <formula>0</formula>
    </cfRule>
  </conditionalFormatting>
  <conditionalFormatting sqref="I644">
    <cfRule type="cellIs" priority="2554" operator="greaterThan" aboveAverage="0" equalAverage="0" bottom="0" percent="0" rank="0" text="" dxfId="7">
      <formula>0</formula>
    </cfRule>
  </conditionalFormatting>
  <conditionalFormatting sqref="K644">
    <cfRule type="cellIs" priority="2555" operator="greaterThan" aboveAverage="0" equalAverage="0" bottom="0" percent="0" rank="0" text="" dxfId="7">
      <formula>0</formula>
    </cfRule>
  </conditionalFormatting>
  <conditionalFormatting sqref="N644">
    <cfRule type="cellIs" priority="2556" operator="greaterThan" aboveAverage="0" equalAverage="0" bottom="0" percent="0" rank="0" text="" dxfId="7">
      <formula>0</formula>
    </cfRule>
    <cfRule type="cellIs" priority="2557" operator="lessThan" aboveAverage="0" equalAverage="0" bottom="0" percent="0" rank="0" text="" dxfId="8">
      <formula>0</formula>
    </cfRule>
  </conditionalFormatting>
  <conditionalFormatting sqref="I645">
    <cfRule type="cellIs" priority="2558" operator="greaterThan" aboveAverage="0" equalAverage="0" bottom="0" percent="0" rank="0" text="" dxfId="7">
      <formula>0</formula>
    </cfRule>
  </conditionalFormatting>
  <conditionalFormatting sqref="K645">
    <cfRule type="cellIs" priority="2559" operator="greaterThan" aboveAverage="0" equalAverage="0" bottom="0" percent="0" rank="0" text="" dxfId="7">
      <formula>0</formula>
    </cfRule>
  </conditionalFormatting>
  <conditionalFormatting sqref="N645">
    <cfRule type="cellIs" priority="2560" operator="greaterThan" aboveAverage="0" equalAverage="0" bottom="0" percent="0" rank="0" text="" dxfId="7">
      <formula>0</formula>
    </cfRule>
    <cfRule type="cellIs" priority="2561" operator="lessThan" aboveAverage="0" equalAverage="0" bottom="0" percent="0" rank="0" text="" dxfId="8">
      <formula>0</formula>
    </cfRule>
  </conditionalFormatting>
  <conditionalFormatting sqref="I646">
    <cfRule type="cellIs" priority="2562" operator="greaterThan" aboveAverage="0" equalAverage="0" bottom="0" percent="0" rank="0" text="" dxfId="7">
      <formula>0</formula>
    </cfRule>
  </conditionalFormatting>
  <conditionalFormatting sqref="K646">
    <cfRule type="cellIs" priority="2563" operator="greaterThan" aboveAverage="0" equalAverage="0" bottom="0" percent="0" rank="0" text="" dxfId="7">
      <formula>0</formula>
    </cfRule>
  </conditionalFormatting>
  <conditionalFormatting sqref="N646">
    <cfRule type="cellIs" priority="2564" operator="greaterThan" aboveAverage="0" equalAverage="0" bottom="0" percent="0" rank="0" text="" dxfId="7">
      <formula>0</formula>
    </cfRule>
    <cfRule type="cellIs" priority="2565" operator="lessThan" aboveAverage="0" equalAverage="0" bottom="0" percent="0" rank="0" text="" dxfId="8">
      <formula>0</formula>
    </cfRule>
  </conditionalFormatting>
  <conditionalFormatting sqref="I647">
    <cfRule type="cellIs" priority="2566" operator="greaterThan" aboveAverage="0" equalAverage="0" bottom="0" percent="0" rank="0" text="" dxfId="7">
      <formula>0</formula>
    </cfRule>
  </conditionalFormatting>
  <conditionalFormatting sqref="K647">
    <cfRule type="cellIs" priority="2567" operator="greaterThan" aboveAverage="0" equalAverage="0" bottom="0" percent="0" rank="0" text="" dxfId="7">
      <formula>0</formula>
    </cfRule>
  </conditionalFormatting>
  <conditionalFormatting sqref="N647">
    <cfRule type="cellIs" priority="2568" operator="greaterThan" aboveAverage="0" equalAverage="0" bottom="0" percent="0" rank="0" text="" dxfId="7">
      <formula>0</formula>
    </cfRule>
    <cfRule type="cellIs" priority="2569" operator="lessThan" aboveAverage="0" equalAverage="0" bottom="0" percent="0" rank="0" text="" dxfId="8">
      <formula>0</formula>
    </cfRule>
  </conditionalFormatting>
  <conditionalFormatting sqref="I648">
    <cfRule type="cellIs" priority="2570" operator="greaterThan" aboveAverage="0" equalAverage="0" bottom="0" percent="0" rank="0" text="" dxfId="7">
      <formula>0</formula>
    </cfRule>
  </conditionalFormatting>
  <conditionalFormatting sqref="K648">
    <cfRule type="cellIs" priority="2571" operator="greaterThan" aboveAverage="0" equalAverage="0" bottom="0" percent="0" rank="0" text="" dxfId="7">
      <formula>0</formula>
    </cfRule>
  </conditionalFormatting>
  <conditionalFormatting sqref="N648">
    <cfRule type="cellIs" priority="2572" operator="greaterThan" aboveAverage="0" equalAverage="0" bottom="0" percent="0" rank="0" text="" dxfId="7">
      <formula>0</formula>
    </cfRule>
    <cfRule type="cellIs" priority="2573" operator="lessThan" aboveAverage="0" equalAverage="0" bottom="0" percent="0" rank="0" text="" dxfId="8">
      <formula>0</formula>
    </cfRule>
  </conditionalFormatting>
  <conditionalFormatting sqref="I649">
    <cfRule type="cellIs" priority="2574" operator="greaterThan" aboveAverage="0" equalAverage="0" bottom="0" percent="0" rank="0" text="" dxfId="7">
      <formula>0</formula>
    </cfRule>
  </conditionalFormatting>
  <conditionalFormatting sqref="K649">
    <cfRule type="cellIs" priority="2575" operator="greaterThan" aboveAverage="0" equalAverage="0" bottom="0" percent="0" rank="0" text="" dxfId="7">
      <formula>0</formula>
    </cfRule>
  </conditionalFormatting>
  <conditionalFormatting sqref="N649">
    <cfRule type="cellIs" priority="2576" operator="greaterThan" aboveAverage="0" equalAverage="0" bottom="0" percent="0" rank="0" text="" dxfId="7">
      <formula>0</formula>
    </cfRule>
    <cfRule type="cellIs" priority="2577" operator="lessThan" aboveAverage="0" equalAverage="0" bottom="0" percent="0" rank="0" text="" dxfId="8">
      <formula>0</formula>
    </cfRule>
  </conditionalFormatting>
  <conditionalFormatting sqref="I650">
    <cfRule type="cellIs" priority="2578" operator="greaterThan" aboveAverage="0" equalAverage="0" bottom="0" percent="0" rank="0" text="" dxfId="7">
      <formula>0</formula>
    </cfRule>
  </conditionalFormatting>
  <conditionalFormatting sqref="K650">
    <cfRule type="cellIs" priority="2579" operator="greaterThan" aboveAverage="0" equalAverage="0" bottom="0" percent="0" rank="0" text="" dxfId="7">
      <formula>0</formula>
    </cfRule>
  </conditionalFormatting>
  <conditionalFormatting sqref="N650">
    <cfRule type="cellIs" priority="2580" operator="greaterThan" aboveAverage="0" equalAverage="0" bottom="0" percent="0" rank="0" text="" dxfId="7">
      <formula>0</formula>
    </cfRule>
    <cfRule type="cellIs" priority="2581" operator="lessThan" aboveAverage="0" equalAverage="0" bottom="0" percent="0" rank="0" text="" dxfId="8">
      <formula>0</formula>
    </cfRule>
  </conditionalFormatting>
  <conditionalFormatting sqref="I651">
    <cfRule type="cellIs" priority="2582" operator="greaterThan" aboveAverage="0" equalAverage="0" bottom="0" percent="0" rank="0" text="" dxfId="7">
      <formula>0</formula>
    </cfRule>
  </conditionalFormatting>
  <conditionalFormatting sqref="K651">
    <cfRule type="cellIs" priority="2583" operator="greaterThan" aboveAverage="0" equalAverage="0" bottom="0" percent="0" rank="0" text="" dxfId="7">
      <formula>0</formula>
    </cfRule>
  </conditionalFormatting>
  <conditionalFormatting sqref="N651">
    <cfRule type="cellIs" priority="2584" operator="greaterThan" aboveAverage="0" equalAverage="0" bottom="0" percent="0" rank="0" text="" dxfId="7">
      <formula>0</formula>
    </cfRule>
    <cfRule type="cellIs" priority="2585" operator="lessThan" aboveAverage="0" equalAverage="0" bottom="0" percent="0" rank="0" text="" dxfId="8">
      <formula>0</formula>
    </cfRule>
  </conditionalFormatting>
  <conditionalFormatting sqref="I652">
    <cfRule type="cellIs" priority="2586" operator="greaterThan" aboveAverage="0" equalAverage="0" bottom="0" percent="0" rank="0" text="" dxfId="7">
      <formula>0</formula>
    </cfRule>
  </conditionalFormatting>
  <conditionalFormatting sqref="K652">
    <cfRule type="cellIs" priority="2587" operator="greaterThan" aboveAverage="0" equalAverage="0" bottom="0" percent="0" rank="0" text="" dxfId="7">
      <formula>0</formula>
    </cfRule>
  </conditionalFormatting>
  <conditionalFormatting sqref="N652">
    <cfRule type="cellIs" priority="2588" operator="greaterThan" aboveAverage="0" equalAverage="0" bottom="0" percent="0" rank="0" text="" dxfId="7">
      <formula>0</formula>
    </cfRule>
    <cfRule type="cellIs" priority="2589" operator="lessThan" aboveAverage="0" equalAverage="0" bottom="0" percent="0" rank="0" text="" dxfId="8">
      <formula>0</formula>
    </cfRule>
  </conditionalFormatting>
  <conditionalFormatting sqref="I653">
    <cfRule type="cellIs" priority="2590" operator="greaterThan" aboveAverage="0" equalAverage="0" bottom="0" percent="0" rank="0" text="" dxfId="7">
      <formula>0</formula>
    </cfRule>
  </conditionalFormatting>
  <conditionalFormatting sqref="K653">
    <cfRule type="cellIs" priority="2591" operator="greaterThan" aboveAverage="0" equalAverage="0" bottom="0" percent="0" rank="0" text="" dxfId="7">
      <formula>0</formula>
    </cfRule>
  </conditionalFormatting>
  <conditionalFormatting sqref="N653">
    <cfRule type="cellIs" priority="2592" operator="greaterThan" aboveAverage="0" equalAverage="0" bottom="0" percent="0" rank="0" text="" dxfId="7">
      <formula>0</formula>
    </cfRule>
    <cfRule type="cellIs" priority="2593" operator="lessThan" aboveAverage="0" equalAverage="0" bottom="0" percent="0" rank="0" text="" dxfId="8">
      <formula>0</formula>
    </cfRule>
  </conditionalFormatting>
  <conditionalFormatting sqref="I654">
    <cfRule type="cellIs" priority="2594" operator="greaterThan" aboveAverage="0" equalAverage="0" bottom="0" percent="0" rank="0" text="" dxfId="7">
      <formula>0</formula>
    </cfRule>
  </conditionalFormatting>
  <conditionalFormatting sqref="K654">
    <cfRule type="cellIs" priority="2595" operator="greaterThan" aboveAverage="0" equalAverage="0" bottom="0" percent="0" rank="0" text="" dxfId="7">
      <formula>0</formula>
    </cfRule>
  </conditionalFormatting>
  <conditionalFormatting sqref="N654">
    <cfRule type="cellIs" priority="2596" operator="greaterThan" aboveAverage="0" equalAverage="0" bottom="0" percent="0" rank="0" text="" dxfId="7">
      <formula>0</formula>
    </cfRule>
    <cfRule type="cellIs" priority="2597" operator="lessThan" aboveAverage="0" equalAverage="0" bottom="0" percent="0" rank="0" text="" dxfId="8">
      <formula>0</formula>
    </cfRule>
  </conditionalFormatting>
  <conditionalFormatting sqref="I655">
    <cfRule type="cellIs" priority="2598" operator="greaterThan" aboveAverage="0" equalAverage="0" bottom="0" percent="0" rank="0" text="" dxfId="7">
      <formula>0</formula>
    </cfRule>
  </conditionalFormatting>
  <conditionalFormatting sqref="K655">
    <cfRule type="cellIs" priority="2599" operator="greaterThan" aboveAverage="0" equalAverage="0" bottom="0" percent="0" rank="0" text="" dxfId="7">
      <formula>0</formula>
    </cfRule>
  </conditionalFormatting>
  <conditionalFormatting sqref="N655">
    <cfRule type="cellIs" priority="2600" operator="greaterThan" aboveAverage="0" equalAverage="0" bottom="0" percent="0" rank="0" text="" dxfId="7">
      <formula>0</formula>
    </cfRule>
    <cfRule type="cellIs" priority="2601" operator="lessThan" aboveAverage="0" equalAverage="0" bottom="0" percent="0" rank="0" text="" dxfId="8">
      <formula>0</formula>
    </cfRule>
  </conditionalFormatting>
  <conditionalFormatting sqref="I656">
    <cfRule type="cellIs" priority="2602" operator="greaterThan" aboveAverage="0" equalAverage="0" bottom="0" percent="0" rank="0" text="" dxfId="7">
      <formula>0</formula>
    </cfRule>
  </conditionalFormatting>
  <conditionalFormatting sqref="K656">
    <cfRule type="cellIs" priority="2603" operator="greaterThan" aboveAverage="0" equalAverage="0" bottom="0" percent="0" rank="0" text="" dxfId="7">
      <formula>0</formula>
    </cfRule>
  </conditionalFormatting>
  <conditionalFormatting sqref="N656">
    <cfRule type="cellIs" priority="2604" operator="greaterThan" aboveAverage="0" equalAverage="0" bottom="0" percent="0" rank="0" text="" dxfId="7">
      <formula>0</formula>
    </cfRule>
    <cfRule type="cellIs" priority="2605" operator="lessThan" aboveAverage="0" equalAverage="0" bottom="0" percent="0" rank="0" text="" dxfId="8">
      <formula>0</formula>
    </cfRule>
  </conditionalFormatting>
  <conditionalFormatting sqref="I657">
    <cfRule type="cellIs" priority="2606" operator="greaterThan" aboveAverage="0" equalAverage="0" bottom="0" percent="0" rank="0" text="" dxfId="7">
      <formula>0</formula>
    </cfRule>
  </conditionalFormatting>
  <conditionalFormatting sqref="K657">
    <cfRule type="cellIs" priority="2607" operator="greaterThan" aboveAverage="0" equalAverage="0" bottom="0" percent="0" rank="0" text="" dxfId="7">
      <formula>0</formula>
    </cfRule>
  </conditionalFormatting>
  <conditionalFormatting sqref="N657">
    <cfRule type="cellIs" priority="2608" operator="greaterThan" aboveAverage="0" equalAverage="0" bottom="0" percent="0" rank="0" text="" dxfId="7">
      <formula>0</formula>
    </cfRule>
    <cfRule type="cellIs" priority="2609" operator="lessThan" aboveAverage="0" equalAverage="0" bottom="0" percent="0" rank="0" text="" dxfId="8">
      <formula>0</formula>
    </cfRule>
  </conditionalFormatting>
  <conditionalFormatting sqref="I658">
    <cfRule type="cellIs" priority="2610" operator="greaterThan" aboveAverage="0" equalAverage="0" bottom="0" percent="0" rank="0" text="" dxfId="7">
      <formula>0</formula>
    </cfRule>
  </conditionalFormatting>
  <conditionalFormatting sqref="K658">
    <cfRule type="cellIs" priority="2611" operator="greaterThan" aboveAverage="0" equalAverage="0" bottom="0" percent="0" rank="0" text="" dxfId="7">
      <formula>0</formula>
    </cfRule>
  </conditionalFormatting>
  <conditionalFormatting sqref="N658">
    <cfRule type="cellIs" priority="2612" operator="greaterThan" aboveAverage="0" equalAverage="0" bottom="0" percent="0" rank="0" text="" dxfId="7">
      <formula>0</formula>
    </cfRule>
    <cfRule type="cellIs" priority="2613" operator="lessThan" aboveAverage="0" equalAverage="0" bottom="0" percent="0" rank="0" text="" dxfId="8">
      <formula>0</formula>
    </cfRule>
  </conditionalFormatting>
  <conditionalFormatting sqref="I659">
    <cfRule type="cellIs" priority="2614" operator="greaterThan" aboveAverage="0" equalAverage="0" bottom="0" percent="0" rank="0" text="" dxfId="7">
      <formula>0</formula>
    </cfRule>
  </conditionalFormatting>
  <conditionalFormatting sqref="K659">
    <cfRule type="cellIs" priority="2615" operator="greaterThan" aboveAverage="0" equalAverage="0" bottom="0" percent="0" rank="0" text="" dxfId="7">
      <formula>0</formula>
    </cfRule>
  </conditionalFormatting>
  <conditionalFormatting sqref="N659">
    <cfRule type="cellIs" priority="2616" operator="greaterThan" aboveAverage="0" equalAverage="0" bottom="0" percent="0" rank="0" text="" dxfId="7">
      <formula>0</formula>
    </cfRule>
    <cfRule type="cellIs" priority="2617" operator="lessThan" aboveAverage="0" equalAverage="0" bottom="0" percent="0" rank="0" text="" dxfId="8">
      <formula>0</formula>
    </cfRule>
  </conditionalFormatting>
  <conditionalFormatting sqref="I660">
    <cfRule type="cellIs" priority="2618" operator="greaterThan" aboveAverage="0" equalAverage="0" bottom="0" percent="0" rank="0" text="" dxfId="7">
      <formula>0</formula>
    </cfRule>
  </conditionalFormatting>
  <conditionalFormatting sqref="K660">
    <cfRule type="cellIs" priority="2619" operator="greaterThan" aboveAverage="0" equalAverage="0" bottom="0" percent="0" rank="0" text="" dxfId="7">
      <formula>0</formula>
    </cfRule>
  </conditionalFormatting>
  <conditionalFormatting sqref="N660">
    <cfRule type="cellIs" priority="2620" operator="greaterThan" aboveAverage="0" equalAverage="0" bottom="0" percent="0" rank="0" text="" dxfId="7">
      <formula>0</formula>
    </cfRule>
    <cfRule type="cellIs" priority="2621" operator="lessThan" aboveAverage="0" equalAverage="0" bottom="0" percent="0" rank="0" text="" dxfId="8">
      <formula>0</formula>
    </cfRule>
  </conditionalFormatting>
  <conditionalFormatting sqref="I661">
    <cfRule type="cellIs" priority="2622" operator="greaterThan" aboveAverage="0" equalAverage="0" bottom="0" percent="0" rank="0" text="" dxfId="7">
      <formula>0</formula>
    </cfRule>
  </conditionalFormatting>
  <conditionalFormatting sqref="K661">
    <cfRule type="cellIs" priority="2623" operator="greaterThan" aboveAverage="0" equalAverage="0" bottom="0" percent="0" rank="0" text="" dxfId="7">
      <formula>0</formula>
    </cfRule>
  </conditionalFormatting>
  <conditionalFormatting sqref="N661">
    <cfRule type="cellIs" priority="2624" operator="greaterThan" aboveAverage="0" equalAverage="0" bottom="0" percent="0" rank="0" text="" dxfId="7">
      <formula>0</formula>
    </cfRule>
    <cfRule type="cellIs" priority="2625" operator="lessThan" aboveAverage="0" equalAverage="0" bottom="0" percent="0" rank="0" text="" dxfId="8">
      <formula>0</formula>
    </cfRule>
  </conditionalFormatting>
  <conditionalFormatting sqref="I662">
    <cfRule type="cellIs" priority="2626" operator="greaterThan" aboveAverage="0" equalAverage="0" bottom="0" percent="0" rank="0" text="" dxfId="7">
      <formula>0</formula>
    </cfRule>
  </conditionalFormatting>
  <conditionalFormatting sqref="K662">
    <cfRule type="cellIs" priority="2627" operator="greaterThan" aboveAverage="0" equalAverage="0" bottom="0" percent="0" rank="0" text="" dxfId="7">
      <formula>0</formula>
    </cfRule>
  </conditionalFormatting>
  <conditionalFormatting sqref="N662">
    <cfRule type="cellIs" priority="2628" operator="greaterThan" aboveAverage="0" equalAverage="0" bottom="0" percent="0" rank="0" text="" dxfId="7">
      <formula>0</formula>
    </cfRule>
    <cfRule type="cellIs" priority="2629" operator="lessThan" aboveAverage="0" equalAverage="0" bottom="0" percent="0" rank="0" text="" dxfId="8">
      <formula>0</formula>
    </cfRule>
  </conditionalFormatting>
  <conditionalFormatting sqref="I663">
    <cfRule type="cellIs" priority="2630" operator="greaterThan" aboveAverage="0" equalAverage="0" bottom="0" percent="0" rank="0" text="" dxfId="7">
      <formula>0</formula>
    </cfRule>
  </conditionalFormatting>
  <conditionalFormatting sqref="K663">
    <cfRule type="cellIs" priority="2631" operator="greaterThan" aboveAverage="0" equalAverage="0" bottom="0" percent="0" rank="0" text="" dxfId="7">
      <formula>0</formula>
    </cfRule>
  </conditionalFormatting>
  <conditionalFormatting sqref="N663">
    <cfRule type="cellIs" priority="2632" operator="greaterThan" aboveAverage="0" equalAverage="0" bottom="0" percent="0" rank="0" text="" dxfId="7">
      <formula>0</formula>
    </cfRule>
    <cfRule type="cellIs" priority="2633" operator="lessThan" aboveAverage="0" equalAverage="0" bottom="0" percent="0" rank="0" text="" dxfId="8">
      <formula>0</formula>
    </cfRule>
  </conditionalFormatting>
  <conditionalFormatting sqref="I664">
    <cfRule type="cellIs" priority="2634" operator="greaterThan" aboveAverage="0" equalAverage="0" bottom="0" percent="0" rank="0" text="" dxfId="7">
      <formula>0</formula>
    </cfRule>
  </conditionalFormatting>
  <conditionalFormatting sqref="K664">
    <cfRule type="cellIs" priority="2635" operator="greaterThan" aboveAverage="0" equalAverage="0" bottom="0" percent="0" rank="0" text="" dxfId="7">
      <formula>0</formula>
    </cfRule>
  </conditionalFormatting>
  <conditionalFormatting sqref="N664">
    <cfRule type="cellIs" priority="2636" operator="greaterThan" aboveAverage="0" equalAverage="0" bottom="0" percent="0" rank="0" text="" dxfId="7">
      <formula>0</formula>
    </cfRule>
    <cfRule type="cellIs" priority="2637" operator="lessThan" aboveAverage="0" equalAverage="0" bottom="0" percent="0" rank="0" text="" dxfId="8">
      <formula>0</formula>
    </cfRule>
  </conditionalFormatting>
  <conditionalFormatting sqref="I665">
    <cfRule type="cellIs" priority="2638" operator="greaterThan" aboveAverage="0" equalAverage="0" bottom="0" percent="0" rank="0" text="" dxfId="7">
      <formula>0</formula>
    </cfRule>
  </conditionalFormatting>
  <conditionalFormatting sqref="K665">
    <cfRule type="cellIs" priority="2639" operator="greaterThan" aboveAverage="0" equalAverage="0" bottom="0" percent="0" rank="0" text="" dxfId="7">
      <formula>0</formula>
    </cfRule>
  </conditionalFormatting>
  <conditionalFormatting sqref="N665">
    <cfRule type="cellIs" priority="2640" operator="greaterThan" aboveAverage="0" equalAverage="0" bottom="0" percent="0" rank="0" text="" dxfId="7">
      <formula>0</formula>
    </cfRule>
    <cfRule type="cellIs" priority="2641" operator="lessThan" aboveAverage="0" equalAverage="0" bottom="0" percent="0" rank="0" text="" dxfId="8">
      <formula>0</formula>
    </cfRule>
  </conditionalFormatting>
  <conditionalFormatting sqref="I666">
    <cfRule type="cellIs" priority="2642" operator="greaterThan" aboveAverage="0" equalAverage="0" bottom="0" percent="0" rank="0" text="" dxfId="7">
      <formula>0</formula>
    </cfRule>
  </conditionalFormatting>
  <conditionalFormatting sqref="K666">
    <cfRule type="cellIs" priority="2643" operator="greaterThan" aboveAverage="0" equalAverage="0" bottom="0" percent="0" rank="0" text="" dxfId="7">
      <formula>0</formula>
    </cfRule>
  </conditionalFormatting>
  <conditionalFormatting sqref="N666">
    <cfRule type="cellIs" priority="2644" operator="greaterThan" aboveAverage="0" equalAverage="0" bottom="0" percent="0" rank="0" text="" dxfId="7">
      <formula>0</formula>
    </cfRule>
    <cfRule type="cellIs" priority="2645" operator="lessThan" aboveAverage="0" equalAverage="0" bottom="0" percent="0" rank="0" text="" dxfId="8">
      <formula>0</formula>
    </cfRule>
  </conditionalFormatting>
  <conditionalFormatting sqref="I667">
    <cfRule type="cellIs" priority="2646" operator="greaterThan" aboveAverage="0" equalAverage="0" bottom="0" percent="0" rank="0" text="" dxfId="7">
      <formula>0</formula>
    </cfRule>
  </conditionalFormatting>
  <conditionalFormatting sqref="K667">
    <cfRule type="cellIs" priority="2647" operator="greaterThan" aboveAverage="0" equalAverage="0" bottom="0" percent="0" rank="0" text="" dxfId="7">
      <formula>0</formula>
    </cfRule>
  </conditionalFormatting>
  <conditionalFormatting sqref="N667">
    <cfRule type="cellIs" priority="2648" operator="greaterThan" aboveAverage="0" equalAverage="0" bottom="0" percent="0" rank="0" text="" dxfId="7">
      <formula>0</formula>
    </cfRule>
    <cfRule type="cellIs" priority="2649" operator="lessThan" aboveAverage="0" equalAverage="0" bottom="0" percent="0" rank="0" text="" dxfId="8">
      <formula>0</formula>
    </cfRule>
  </conditionalFormatting>
  <conditionalFormatting sqref="I668">
    <cfRule type="cellIs" priority="2650" operator="greaterThan" aboveAverage="0" equalAverage="0" bottom="0" percent="0" rank="0" text="" dxfId="7">
      <formula>0</formula>
    </cfRule>
  </conditionalFormatting>
  <conditionalFormatting sqref="K668">
    <cfRule type="cellIs" priority="2651" operator="greaterThan" aboveAverage="0" equalAverage="0" bottom="0" percent="0" rank="0" text="" dxfId="7">
      <formula>0</formula>
    </cfRule>
  </conditionalFormatting>
  <conditionalFormatting sqref="N668">
    <cfRule type="cellIs" priority="2652" operator="greaterThan" aboveAverage="0" equalAverage="0" bottom="0" percent="0" rank="0" text="" dxfId="7">
      <formula>0</formula>
    </cfRule>
    <cfRule type="cellIs" priority="2653" operator="lessThan" aboveAverage="0" equalAverage="0" bottom="0" percent="0" rank="0" text="" dxfId="8">
      <formula>0</formula>
    </cfRule>
  </conditionalFormatting>
  <conditionalFormatting sqref="I669">
    <cfRule type="cellIs" priority="2654" operator="greaterThan" aboveAverage="0" equalAverage="0" bottom="0" percent="0" rank="0" text="" dxfId="7">
      <formula>0</formula>
    </cfRule>
  </conditionalFormatting>
  <conditionalFormatting sqref="K669">
    <cfRule type="cellIs" priority="2655" operator="greaterThan" aboveAverage="0" equalAverage="0" bottom="0" percent="0" rank="0" text="" dxfId="7">
      <formula>0</formula>
    </cfRule>
  </conditionalFormatting>
  <conditionalFormatting sqref="N669">
    <cfRule type="cellIs" priority="2656" operator="greaterThan" aboveAverage="0" equalAverage="0" bottom="0" percent="0" rank="0" text="" dxfId="7">
      <formula>0</formula>
    </cfRule>
    <cfRule type="cellIs" priority="2657" operator="lessThan" aboveAverage="0" equalAverage="0" bottom="0" percent="0" rank="0" text="" dxfId="8">
      <formula>0</formula>
    </cfRule>
  </conditionalFormatting>
  <conditionalFormatting sqref="I670">
    <cfRule type="cellIs" priority="2658" operator="greaterThan" aboveAverage="0" equalAverage="0" bottom="0" percent="0" rank="0" text="" dxfId="7">
      <formula>0</formula>
    </cfRule>
  </conditionalFormatting>
  <conditionalFormatting sqref="K670">
    <cfRule type="cellIs" priority="2659" operator="greaterThan" aboveAverage="0" equalAverage="0" bottom="0" percent="0" rank="0" text="" dxfId="7">
      <formula>0</formula>
    </cfRule>
  </conditionalFormatting>
  <conditionalFormatting sqref="N670">
    <cfRule type="cellIs" priority="2660" operator="greaterThan" aboveAverage="0" equalAverage="0" bottom="0" percent="0" rank="0" text="" dxfId="7">
      <formula>0</formula>
    </cfRule>
    <cfRule type="cellIs" priority="2661" operator="lessThan" aboveAverage="0" equalAverage="0" bottom="0" percent="0" rank="0" text="" dxfId="8">
      <formula>0</formula>
    </cfRule>
  </conditionalFormatting>
  <conditionalFormatting sqref="I671">
    <cfRule type="cellIs" priority="2662" operator="greaterThan" aboveAverage="0" equalAverage="0" bottom="0" percent="0" rank="0" text="" dxfId="7">
      <formula>0</formula>
    </cfRule>
  </conditionalFormatting>
  <conditionalFormatting sqref="K671">
    <cfRule type="cellIs" priority="2663" operator="greaterThan" aboveAverage="0" equalAverage="0" bottom="0" percent="0" rank="0" text="" dxfId="7">
      <formula>0</formula>
    </cfRule>
  </conditionalFormatting>
  <conditionalFormatting sqref="N671">
    <cfRule type="cellIs" priority="2664" operator="greaterThan" aboveAverage="0" equalAverage="0" bottom="0" percent="0" rank="0" text="" dxfId="7">
      <formula>0</formula>
    </cfRule>
    <cfRule type="cellIs" priority="2665" operator="lessThan" aboveAverage="0" equalAverage="0" bottom="0" percent="0" rank="0" text="" dxfId="8">
      <formula>0</formula>
    </cfRule>
  </conditionalFormatting>
  <conditionalFormatting sqref="I672">
    <cfRule type="cellIs" priority="2666" operator="greaterThan" aboveAverage="0" equalAverage="0" bottom="0" percent="0" rank="0" text="" dxfId="7">
      <formula>0</formula>
    </cfRule>
  </conditionalFormatting>
  <conditionalFormatting sqref="K672">
    <cfRule type="cellIs" priority="2667" operator="greaterThan" aboveAverage="0" equalAverage="0" bottom="0" percent="0" rank="0" text="" dxfId="7">
      <formula>0</formula>
    </cfRule>
  </conditionalFormatting>
  <conditionalFormatting sqref="N672">
    <cfRule type="cellIs" priority="2668" operator="greaterThan" aboveAverage="0" equalAverage="0" bottom="0" percent="0" rank="0" text="" dxfId="7">
      <formula>0</formula>
    </cfRule>
    <cfRule type="cellIs" priority="2669" operator="lessThan" aboveAverage="0" equalAverage="0" bottom="0" percent="0" rank="0" text="" dxfId="8">
      <formula>0</formula>
    </cfRule>
  </conditionalFormatting>
  <conditionalFormatting sqref="I673">
    <cfRule type="cellIs" priority="2670" operator="greaterThan" aboveAverage="0" equalAverage="0" bottom="0" percent="0" rank="0" text="" dxfId="7">
      <formula>0</formula>
    </cfRule>
  </conditionalFormatting>
  <conditionalFormatting sqref="K673">
    <cfRule type="cellIs" priority="2671" operator="greaterThan" aboveAverage="0" equalAverage="0" bottom="0" percent="0" rank="0" text="" dxfId="7">
      <formula>0</formula>
    </cfRule>
  </conditionalFormatting>
  <conditionalFormatting sqref="N673">
    <cfRule type="cellIs" priority="2672" operator="greaterThan" aboveAverage="0" equalAverage="0" bottom="0" percent="0" rank="0" text="" dxfId="7">
      <formula>0</formula>
    </cfRule>
    <cfRule type="cellIs" priority="2673" operator="lessThan" aboveAverage="0" equalAverage="0" bottom="0" percent="0" rank="0" text="" dxfId="8">
      <formula>0</formula>
    </cfRule>
  </conditionalFormatting>
  <conditionalFormatting sqref="I674">
    <cfRule type="cellIs" priority="2674" operator="greaterThan" aboveAverage="0" equalAverage="0" bottom="0" percent="0" rank="0" text="" dxfId="7">
      <formula>0</formula>
    </cfRule>
  </conditionalFormatting>
  <conditionalFormatting sqref="K674">
    <cfRule type="cellIs" priority="2675" operator="greaterThan" aboveAverage="0" equalAverage="0" bottom="0" percent="0" rank="0" text="" dxfId="7">
      <formula>0</formula>
    </cfRule>
  </conditionalFormatting>
  <conditionalFormatting sqref="N674">
    <cfRule type="cellIs" priority="2676" operator="greaterThan" aboveAverage="0" equalAverage="0" bottom="0" percent="0" rank="0" text="" dxfId="7">
      <formula>0</formula>
    </cfRule>
    <cfRule type="cellIs" priority="2677" operator="lessThan" aboveAverage="0" equalAverage="0" bottom="0" percent="0" rank="0" text="" dxfId="8">
      <formula>0</formula>
    </cfRule>
  </conditionalFormatting>
  <conditionalFormatting sqref="I675">
    <cfRule type="cellIs" priority="2678" operator="greaterThan" aboveAverage="0" equalAverage="0" bottom="0" percent="0" rank="0" text="" dxfId="7">
      <formula>0</formula>
    </cfRule>
  </conditionalFormatting>
  <conditionalFormatting sqref="K675">
    <cfRule type="cellIs" priority="2679" operator="greaterThan" aboveAverage="0" equalAverage="0" bottom="0" percent="0" rank="0" text="" dxfId="7">
      <formula>0</formula>
    </cfRule>
  </conditionalFormatting>
  <conditionalFormatting sqref="N675">
    <cfRule type="cellIs" priority="2680" operator="greaterThan" aboveAverage="0" equalAverage="0" bottom="0" percent="0" rank="0" text="" dxfId="7">
      <formula>0</formula>
    </cfRule>
    <cfRule type="cellIs" priority="2681" operator="lessThan" aboveAverage="0" equalAverage="0" bottom="0" percent="0" rank="0" text="" dxfId="8">
      <formula>0</formula>
    </cfRule>
  </conditionalFormatting>
  <conditionalFormatting sqref="I676">
    <cfRule type="cellIs" priority="2682" operator="greaterThan" aboveAverage="0" equalAverage="0" bottom="0" percent="0" rank="0" text="" dxfId="7">
      <formula>0</formula>
    </cfRule>
  </conditionalFormatting>
  <conditionalFormatting sqref="K676">
    <cfRule type="cellIs" priority="2683" operator="greaterThan" aboveAverage="0" equalAverage="0" bottom="0" percent="0" rank="0" text="" dxfId="7">
      <formula>0</formula>
    </cfRule>
  </conditionalFormatting>
  <conditionalFormatting sqref="N676">
    <cfRule type="cellIs" priority="2684" operator="greaterThan" aboveAverage="0" equalAverage="0" bottom="0" percent="0" rank="0" text="" dxfId="7">
      <formula>0</formula>
    </cfRule>
    <cfRule type="cellIs" priority="2685" operator="lessThan" aboveAverage="0" equalAverage="0" bottom="0" percent="0" rank="0" text="" dxfId="8">
      <formula>0</formula>
    </cfRule>
  </conditionalFormatting>
  <conditionalFormatting sqref="I677">
    <cfRule type="cellIs" priority="2686" operator="greaterThan" aboveAverage="0" equalAverage="0" bottom="0" percent="0" rank="0" text="" dxfId="7">
      <formula>0</formula>
    </cfRule>
  </conditionalFormatting>
  <conditionalFormatting sqref="K677">
    <cfRule type="cellIs" priority="2687" operator="greaterThan" aboveAverage="0" equalAverage="0" bottom="0" percent="0" rank="0" text="" dxfId="7">
      <formula>0</formula>
    </cfRule>
  </conditionalFormatting>
  <conditionalFormatting sqref="N677">
    <cfRule type="cellIs" priority="2688" operator="greaterThan" aboveAverage="0" equalAverage="0" bottom="0" percent="0" rank="0" text="" dxfId="7">
      <formula>0</formula>
    </cfRule>
    <cfRule type="cellIs" priority="2689" operator="lessThan" aboveAverage="0" equalAverage="0" bottom="0" percent="0" rank="0" text="" dxfId="8">
      <formula>0</formula>
    </cfRule>
  </conditionalFormatting>
  <conditionalFormatting sqref="I678">
    <cfRule type="cellIs" priority="2690" operator="greaterThan" aboveAverage="0" equalAverage="0" bottom="0" percent="0" rank="0" text="" dxfId="7">
      <formula>0</formula>
    </cfRule>
  </conditionalFormatting>
  <conditionalFormatting sqref="K678">
    <cfRule type="cellIs" priority="2691" operator="greaterThan" aboveAverage="0" equalAverage="0" bottom="0" percent="0" rank="0" text="" dxfId="7">
      <formula>0</formula>
    </cfRule>
  </conditionalFormatting>
  <conditionalFormatting sqref="N678">
    <cfRule type="cellIs" priority="2692" operator="greaterThan" aboveAverage="0" equalAverage="0" bottom="0" percent="0" rank="0" text="" dxfId="7">
      <formula>0</formula>
    </cfRule>
    <cfRule type="cellIs" priority="2693" operator="lessThan" aboveAverage="0" equalAverage="0" bottom="0" percent="0" rank="0" text="" dxfId="8">
      <formula>0</formula>
    </cfRule>
  </conditionalFormatting>
  <conditionalFormatting sqref="I679">
    <cfRule type="cellIs" priority="2694" operator="greaterThan" aboveAverage="0" equalAverage="0" bottom="0" percent="0" rank="0" text="" dxfId="7">
      <formula>0</formula>
    </cfRule>
  </conditionalFormatting>
  <conditionalFormatting sqref="K679">
    <cfRule type="cellIs" priority="2695" operator="greaterThan" aboveAverage="0" equalAverage="0" bottom="0" percent="0" rank="0" text="" dxfId="7">
      <formula>0</formula>
    </cfRule>
  </conditionalFormatting>
  <conditionalFormatting sqref="N679">
    <cfRule type="cellIs" priority="2696" operator="greaterThan" aboveAverage="0" equalAverage="0" bottom="0" percent="0" rank="0" text="" dxfId="7">
      <formula>0</formula>
    </cfRule>
    <cfRule type="cellIs" priority="2697" operator="lessThan" aboveAverage="0" equalAverage="0" bottom="0" percent="0" rank="0" text="" dxfId="8">
      <formula>0</formula>
    </cfRule>
  </conditionalFormatting>
  <conditionalFormatting sqref="I680">
    <cfRule type="cellIs" priority="2698" operator="greaterThan" aboveAverage="0" equalAverage="0" bottom="0" percent="0" rank="0" text="" dxfId="7">
      <formula>0</formula>
    </cfRule>
  </conditionalFormatting>
  <conditionalFormatting sqref="K680">
    <cfRule type="cellIs" priority="2699" operator="greaterThan" aboveAverage="0" equalAverage="0" bottom="0" percent="0" rank="0" text="" dxfId="7">
      <formula>0</formula>
    </cfRule>
  </conditionalFormatting>
  <conditionalFormatting sqref="N680">
    <cfRule type="cellIs" priority="2700" operator="greaterThan" aboveAverage="0" equalAverage="0" bottom="0" percent="0" rank="0" text="" dxfId="7">
      <formula>0</formula>
    </cfRule>
    <cfRule type="cellIs" priority="2701" operator="lessThan" aboveAverage="0" equalAverage="0" bottom="0" percent="0" rank="0" text="" dxfId="8">
      <formula>0</formula>
    </cfRule>
  </conditionalFormatting>
  <conditionalFormatting sqref="I681">
    <cfRule type="cellIs" priority="2702" operator="greaterThan" aboveAverage="0" equalAverage="0" bottom="0" percent="0" rank="0" text="" dxfId="7">
      <formula>0</formula>
    </cfRule>
  </conditionalFormatting>
  <conditionalFormatting sqref="K681">
    <cfRule type="cellIs" priority="2703" operator="greaterThan" aboveAverage="0" equalAverage="0" bottom="0" percent="0" rank="0" text="" dxfId="7">
      <formula>0</formula>
    </cfRule>
  </conditionalFormatting>
  <conditionalFormatting sqref="N681">
    <cfRule type="cellIs" priority="2704" operator="greaterThan" aboveAverage="0" equalAverage="0" bottom="0" percent="0" rank="0" text="" dxfId="7">
      <formula>0</formula>
    </cfRule>
    <cfRule type="cellIs" priority="2705" operator="lessThan" aboveAverage="0" equalAverage="0" bottom="0" percent="0" rank="0" text="" dxfId="8">
      <formula>0</formula>
    </cfRule>
  </conditionalFormatting>
  <conditionalFormatting sqref="I682">
    <cfRule type="cellIs" priority="2706" operator="greaterThan" aboveAverage="0" equalAverage="0" bottom="0" percent="0" rank="0" text="" dxfId="7">
      <formula>0</formula>
    </cfRule>
  </conditionalFormatting>
  <conditionalFormatting sqref="K682">
    <cfRule type="cellIs" priority="2707" operator="greaterThan" aboveAverage="0" equalAverage="0" bottom="0" percent="0" rank="0" text="" dxfId="7">
      <formula>0</formula>
    </cfRule>
  </conditionalFormatting>
  <conditionalFormatting sqref="N682">
    <cfRule type="cellIs" priority="2708" operator="greaterThan" aboveAverage="0" equalAverage="0" bottom="0" percent="0" rank="0" text="" dxfId="7">
      <formula>0</formula>
    </cfRule>
    <cfRule type="cellIs" priority="2709" operator="lessThan" aboveAverage="0" equalAverage="0" bottom="0" percent="0" rank="0" text="" dxfId="8">
      <formula>0</formula>
    </cfRule>
  </conditionalFormatting>
  <conditionalFormatting sqref="I683">
    <cfRule type="cellIs" priority="2710" operator="greaterThan" aboveAverage="0" equalAverage="0" bottom="0" percent="0" rank="0" text="" dxfId="7">
      <formula>0</formula>
    </cfRule>
  </conditionalFormatting>
  <conditionalFormatting sqref="K683">
    <cfRule type="cellIs" priority="2711" operator="greaterThan" aboveAverage="0" equalAverage="0" bottom="0" percent="0" rank="0" text="" dxfId="7">
      <formula>0</formula>
    </cfRule>
  </conditionalFormatting>
  <conditionalFormatting sqref="N683">
    <cfRule type="cellIs" priority="2712" operator="greaterThan" aboveAverage="0" equalAverage="0" bottom="0" percent="0" rank="0" text="" dxfId="7">
      <formula>0</formula>
    </cfRule>
    <cfRule type="cellIs" priority="2713" operator="lessThan" aboveAverage="0" equalAverage="0" bottom="0" percent="0" rank="0" text="" dxfId="8">
      <formula>0</formula>
    </cfRule>
  </conditionalFormatting>
  <conditionalFormatting sqref="I684">
    <cfRule type="cellIs" priority="2714" operator="greaterThan" aboveAverage="0" equalAverage="0" bottom="0" percent="0" rank="0" text="" dxfId="7">
      <formula>0</formula>
    </cfRule>
  </conditionalFormatting>
  <conditionalFormatting sqref="K684">
    <cfRule type="cellIs" priority="2715" operator="greaterThan" aboveAverage="0" equalAverage="0" bottom="0" percent="0" rank="0" text="" dxfId="7">
      <formula>0</formula>
    </cfRule>
  </conditionalFormatting>
  <conditionalFormatting sqref="N684">
    <cfRule type="cellIs" priority="2716" operator="greaterThan" aboveAverage="0" equalAverage="0" bottom="0" percent="0" rank="0" text="" dxfId="7">
      <formula>0</formula>
    </cfRule>
    <cfRule type="cellIs" priority="2717" operator="lessThan" aboveAverage="0" equalAverage="0" bottom="0" percent="0" rank="0" text="" dxfId="8">
      <formula>0</formula>
    </cfRule>
  </conditionalFormatting>
  <conditionalFormatting sqref="I685">
    <cfRule type="cellIs" priority="2718" operator="greaterThan" aboveAverage="0" equalAverage="0" bottom="0" percent="0" rank="0" text="" dxfId="7">
      <formula>0</formula>
    </cfRule>
  </conditionalFormatting>
  <conditionalFormatting sqref="K685">
    <cfRule type="cellIs" priority="2719" operator="greaterThan" aboveAverage="0" equalAverage="0" bottom="0" percent="0" rank="0" text="" dxfId="7">
      <formula>0</formula>
    </cfRule>
  </conditionalFormatting>
  <conditionalFormatting sqref="N685">
    <cfRule type="cellIs" priority="2720" operator="greaterThan" aboveAverage="0" equalAverage="0" bottom="0" percent="0" rank="0" text="" dxfId="7">
      <formula>0</formula>
    </cfRule>
    <cfRule type="cellIs" priority="2721" operator="lessThan" aboveAverage="0" equalAverage="0" bottom="0" percent="0" rank="0" text="" dxfId="8">
      <formula>0</formula>
    </cfRule>
  </conditionalFormatting>
  <conditionalFormatting sqref="I686">
    <cfRule type="cellIs" priority="2722" operator="greaterThan" aboveAverage="0" equalAverage="0" bottom="0" percent="0" rank="0" text="" dxfId="7">
      <formula>0</formula>
    </cfRule>
  </conditionalFormatting>
  <conditionalFormatting sqref="K686">
    <cfRule type="cellIs" priority="2723" operator="greaterThan" aboveAverage="0" equalAverage="0" bottom="0" percent="0" rank="0" text="" dxfId="7">
      <formula>0</formula>
    </cfRule>
  </conditionalFormatting>
  <conditionalFormatting sqref="N686">
    <cfRule type="cellIs" priority="2724" operator="greaterThan" aboveAverage="0" equalAverage="0" bottom="0" percent="0" rank="0" text="" dxfId="7">
      <formula>0</formula>
    </cfRule>
    <cfRule type="cellIs" priority="2725" operator="lessThan" aboveAverage="0" equalAverage="0" bottom="0" percent="0" rank="0" text="" dxfId="8">
      <formula>0</formula>
    </cfRule>
  </conditionalFormatting>
  <conditionalFormatting sqref="I687">
    <cfRule type="cellIs" priority="2726" operator="greaterThan" aboveAverage="0" equalAverage="0" bottom="0" percent="0" rank="0" text="" dxfId="7">
      <formula>0</formula>
    </cfRule>
  </conditionalFormatting>
  <conditionalFormatting sqref="K687">
    <cfRule type="cellIs" priority="2727" operator="greaterThan" aboveAverage="0" equalAverage="0" bottom="0" percent="0" rank="0" text="" dxfId="7">
      <formula>0</formula>
    </cfRule>
  </conditionalFormatting>
  <conditionalFormatting sqref="N687">
    <cfRule type="cellIs" priority="2728" operator="greaterThan" aboveAverage="0" equalAverage="0" bottom="0" percent="0" rank="0" text="" dxfId="7">
      <formula>0</formula>
    </cfRule>
    <cfRule type="cellIs" priority="2729" operator="lessThan" aboveAverage="0" equalAverage="0" bottom="0" percent="0" rank="0" text="" dxfId="8">
      <formula>0</formula>
    </cfRule>
  </conditionalFormatting>
  <conditionalFormatting sqref="I688">
    <cfRule type="cellIs" priority="2730" operator="greaterThan" aboveAverage="0" equalAverage="0" bottom="0" percent="0" rank="0" text="" dxfId="7">
      <formula>0</formula>
    </cfRule>
  </conditionalFormatting>
  <conditionalFormatting sqref="K688">
    <cfRule type="cellIs" priority="2731" operator="greaterThan" aboveAverage="0" equalAverage="0" bottom="0" percent="0" rank="0" text="" dxfId="7">
      <formula>0</formula>
    </cfRule>
  </conditionalFormatting>
  <conditionalFormatting sqref="N688">
    <cfRule type="cellIs" priority="2732" operator="greaterThan" aboveAverage="0" equalAverage="0" bottom="0" percent="0" rank="0" text="" dxfId="7">
      <formula>0</formula>
    </cfRule>
    <cfRule type="cellIs" priority="2733" operator="lessThan" aboveAverage="0" equalAverage="0" bottom="0" percent="0" rank="0" text="" dxfId="8">
      <formula>0</formula>
    </cfRule>
  </conditionalFormatting>
  <conditionalFormatting sqref="I689">
    <cfRule type="cellIs" priority="2734" operator="greaterThan" aboveAverage="0" equalAverage="0" bottom="0" percent="0" rank="0" text="" dxfId="7">
      <formula>0</formula>
    </cfRule>
  </conditionalFormatting>
  <conditionalFormatting sqref="K689">
    <cfRule type="cellIs" priority="2735" operator="greaterThan" aboveAverage="0" equalAverage="0" bottom="0" percent="0" rank="0" text="" dxfId="7">
      <formula>0</formula>
    </cfRule>
  </conditionalFormatting>
  <conditionalFormatting sqref="N689">
    <cfRule type="cellIs" priority="2736" operator="greaterThan" aboveAverage="0" equalAverage="0" bottom="0" percent="0" rank="0" text="" dxfId="7">
      <formula>0</formula>
    </cfRule>
    <cfRule type="cellIs" priority="2737" operator="lessThan" aboveAverage="0" equalAverage="0" bottom="0" percent="0" rank="0" text="" dxfId="8">
      <formula>0</formula>
    </cfRule>
  </conditionalFormatting>
  <conditionalFormatting sqref="I690">
    <cfRule type="cellIs" priority="2738" operator="greaterThan" aboveAverage="0" equalAverage="0" bottom="0" percent="0" rank="0" text="" dxfId="7">
      <formula>0</formula>
    </cfRule>
  </conditionalFormatting>
  <conditionalFormatting sqref="K690">
    <cfRule type="cellIs" priority="2739" operator="greaterThan" aboveAverage="0" equalAverage="0" bottom="0" percent="0" rank="0" text="" dxfId="7">
      <formula>0</formula>
    </cfRule>
  </conditionalFormatting>
  <conditionalFormatting sqref="N690">
    <cfRule type="cellIs" priority="2740" operator="greaterThan" aboveAverage="0" equalAverage="0" bottom="0" percent="0" rank="0" text="" dxfId="7">
      <formula>0</formula>
    </cfRule>
    <cfRule type="cellIs" priority="2741" operator="lessThan" aboveAverage="0" equalAverage="0" bottom="0" percent="0" rank="0" text="" dxfId="8">
      <formula>0</formula>
    </cfRule>
  </conditionalFormatting>
  <conditionalFormatting sqref="I691">
    <cfRule type="cellIs" priority="2742" operator="greaterThan" aboveAverage="0" equalAverage="0" bottom="0" percent="0" rank="0" text="" dxfId="7">
      <formula>0</formula>
    </cfRule>
  </conditionalFormatting>
  <conditionalFormatting sqref="K691">
    <cfRule type="cellIs" priority="2743" operator="greaterThan" aboveAverage="0" equalAverage="0" bottom="0" percent="0" rank="0" text="" dxfId="7">
      <formula>0</formula>
    </cfRule>
  </conditionalFormatting>
  <conditionalFormatting sqref="N691">
    <cfRule type="cellIs" priority="2744" operator="greaterThan" aboveAverage="0" equalAverage="0" bottom="0" percent="0" rank="0" text="" dxfId="7">
      <formula>0</formula>
    </cfRule>
    <cfRule type="cellIs" priority="2745" operator="lessThan" aboveAverage="0" equalAverage="0" bottom="0" percent="0" rank="0" text="" dxfId="8">
      <formula>0</formula>
    </cfRule>
  </conditionalFormatting>
  <conditionalFormatting sqref="I692">
    <cfRule type="cellIs" priority="2746" operator="greaterThan" aboveAverage="0" equalAverage="0" bottom="0" percent="0" rank="0" text="" dxfId="7">
      <formula>0</formula>
    </cfRule>
  </conditionalFormatting>
  <conditionalFormatting sqref="K692">
    <cfRule type="cellIs" priority="2747" operator="greaterThan" aboveAverage="0" equalAverage="0" bottom="0" percent="0" rank="0" text="" dxfId="7">
      <formula>0</formula>
    </cfRule>
  </conditionalFormatting>
  <conditionalFormatting sqref="N692">
    <cfRule type="cellIs" priority="2748" operator="greaterThan" aboveAverage="0" equalAverage="0" bottom="0" percent="0" rank="0" text="" dxfId="7">
      <formula>0</formula>
    </cfRule>
    <cfRule type="cellIs" priority="2749" operator="lessThan" aboveAverage="0" equalAverage="0" bottom="0" percent="0" rank="0" text="" dxfId="8">
      <formula>0</formula>
    </cfRule>
  </conditionalFormatting>
  <conditionalFormatting sqref="I693">
    <cfRule type="cellIs" priority="2750" operator="greaterThan" aboveAverage="0" equalAverage="0" bottom="0" percent="0" rank="0" text="" dxfId="7">
      <formula>0</formula>
    </cfRule>
  </conditionalFormatting>
  <conditionalFormatting sqref="K693">
    <cfRule type="cellIs" priority="2751" operator="greaterThan" aboveAverage="0" equalAverage="0" bottom="0" percent="0" rank="0" text="" dxfId="7">
      <formula>0</formula>
    </cfRule>
  </conditionalFormatting>
  <conditionalFormatting sqref="N693">
    <cfRule type="cellIs" priority="2752" operator="greaterThan" aboveAverage="0" equalAverage="0" bottom="0" percent="0" rank="0" text="" dxfId="7">
      <formula>0</formula>
    </cfRule>
    <cfRule type="cellIs" priority="2753" operator="lessThan" aboveAverage="0" equalAverage="0" bottom="0" percent="0" rank="0" text="" dxfId="8">
      <formula>0</formula>
    </cfRule>
  </conditionalFormatting>
  <conditionalFormatting sqref="I694">
    <cfRule type="cellIs" priority="2754" operator="greaterThan" aboveAverage="0" equalAverage="0" bottom="0" percent="0" rank="0" text="" dxfId="7">
      <formula>0</formula>
    </cfRule>
  </conditionalFormatting>
  <conditionalFormatting sqref="K694">
    <cfRule type="cellIs" priority="2755" operator="greaterThan" aboveAverage="0" equalAverage="0" bottom="0" percent="0" rank="0" text="" dxfId="7">
      <formula>0</formula>
    </cfRule>
  </conditionalFormatting>
  <conditionalFormatting sqref="N694">
    <cfRule type="cellIs" priority="2756" operator="greaterThan" aboveAverage="0" equalAverage="0" bottom="0" percent="0" rank="0" text="" dxfId="7">
      <formula>0</formula>
    </cfRule>
    <cfRule type="cellIs" priority="2757" operator="lessThan" aboveAverage="0" equalAverage="0" bottom="0" percent="0" rank="0" text="" dxfId="8">
      <formula>0</formula>
    </cfRule>
  </conditionalFormatting>
  <conditionalFormatting sqref="I695">
    <cfRule type="cellIs" priority="2758" operator="greaterThan" aboveAverage="0" equalAverage="0" bottom="0" percent="0" rank="0" text="" dxfId="7">
      <formula>0</formula>
    </cfRule>
  </conditionalFormatting>
  <conditionalFormatting sqref="K695">
    <cfRule type="cellIs" priority="2759" operator="greaterThan" aboveAverage="0" equalAverage="0" bottom="0" percent="0" rank="0" text="" dxfId="7">
      <formula>0</formula>
    </cfRule>
  </conditionalFormatting>
  <conditionalFormatting sqref="N695">
    <cfRule type="cellIs" priority="2760" operator="greaterThan" aboveAverage="0" equalAverage="0" bottom="0" percent="0" rank="0" text="" dxfId="7">
      <formula>0</formula>
    </cfRule>
    <cfRule type="cellIs" priority="2761" operator="lessThan" aboveAverage="0" equalAverage="0" bottom="0" percent="0" rank="0" text="" dxfId="8">
      <formula>0</formula>
    </cfRule>
  </conditionalFormatting>
  <conditionalFormatting sqref="I696">
    <cfRule type="cellIs" priority="2762" operator="greaterThan" aboveAverage="0" equalAverage="0" bottom="0" percent="0" rank="0" text="" dxfId="7">
      <formula>0</formula>
    </cfRule>
  </conditionalFormatting>
  <conditionalFormatting sqref="K696">
    <cfRule type="cellIs" priority="2763" operator="greaterThan" aboveAverage="0" equalAverage="0" bottom="0" percent="0" rank="0" text="" dxfId="7">
      <formula>0</formula>
    </cfRule>
  </conditionalFormatting>
  <conditionalFormatting sqref="N696">
    <cfRule type="cellIs" priority="2764" operator="greaterThan" aboveAverage="0" equalAverage="0" bottom="0" percent="0" rank="0" text="" dxfId="7">
      <formula>0</formula>
    </cfRule>
    <cfRule type="cellIs" priority="2765" operator="lessThan" aboveAverage="0" equalAverage="0" bottom="0" percent="0" rank="0" text="" dxfId="8">
      <formula>0</formula>
    </cfRule>
  </conditionalFormatting>
  <conditionalFormatting sqref="I697">
    <cfRule type="cellIs" priority="2766" operator="greaterThan" aboveAverage="0" equalAverage="0" bottom="0" percent="0" rank="0" text="" dxfId="7">
      <formula>0</formula>
    </cfRule>
  </conditionalFormatting>
  <conditionalFormatting sqref="K697">
    <cfRule type="cellIs" priority="2767" operator="greaterThan" aboveAverage="0" equalAverage="0" bottom="0" percent="0" rank="0" text="" dxfId="7">
      <formula>0</formula>
    </cfRule>
  </conditionalFormatting>
  <conditionalFormatting sqref="N697">
    <cfRule type="cellIs" priority="2768" operator="greaterThan" aboveAverage="0" equalAverage="0" bottom="0" percent="0" rank="0" text="" dxfId="7">
      <formula>0</formula>
    </cfRule>
    <cfRule type="cellIs" priority="2769" operator="lessThan" aboveAverage="0" equalAverage="0" bottom="0" percent="0" rank="0" text="" dxfId="8">
      <formula>0</formula>
    </cfRule>
  </conditionalFormatting>
  <conditionalFormatting sqref="I698">
    <cfRule type="cellIs" priority="2770" operator="greaterThan" aboveAverage="0" equalAverage="0" bottom="0" percent="0" rank="0" text="" dxfId="7">
      <formula>0</formula>
    </cfRule>
  </conditionalFormatting>
  <conditionalFormatting sqref="K698">
    <cfRule type="cellIs" priority="2771" operator="greaterThan" aboveAverage="0" equalAverage="0" bottom="0" percent="0" rank="0" text="" dxfId="7">
      <formula>0</formula>
    </cfRule>
  </conditionalFormatting>
  <conditionalFormatting sqref="N698">
    <cfRule type="cellIs" priority="2772" operator="greaterThan" aboveAverage="0" equalAverage="0" bottom="0" percent="0" rank="0" text="" dxfId="7">
      <formula>0</formula>
    </cfRule>
    <cfRule type="cellIs" priority="2773" operator="lessThan" aboveAverage="0" equalAverage="0" bottom="0" percent="0" rank="0" text="" dxfId="8">
      <formula>0</formula>
    </cfRule>
  </conditionalFormatting>
  <conditionalFormatting sqref="I699">
    <cfRule type="cellIs" priority="2774" operator="greaterThan" aboveAverage="0" equalAverage="0" bottom="0" percent="0" rank="0" text="" dxfId="7">
      <formula>0</formula>
    </cfRule>
  </conditionalFormatting>
  <conditionalFormatting sqref="K699">
    <cfRule type="cellIs" priority="2775" operator="greaterThan" aboveAverage="0" equalAverage="0" bottom="0" percent="0" rank="0" text="" dxfId="7">
      <formula>0</formula>
    </cfRule>
  </conditionalFormatting>
  <conditionalFormatting sqref="N699">
    <cfRule type="cellIs" priority="2776" operator="greaterThan" aboveAverage="0" equalAverage="0" bottom="0" percent="0" rank="0" text="" dxfId="7">
      <formula>0</formula>
    </cfRule>
    <cfRule type="cellIs" priority="2777" operator="lessThan" aboveAverage="0" equalAverage="0" bottom="0" percent="0" rank="0" text="" dxfId="8">
      <formula>0</formula>
    </cfRule>
  </conditionalFormatting>
  <conditionalFormatting sqref="I700">
    <cfRule type="cellIs" priority="2778" operator="greaterThan" aboveAverage="0" equalAverage="0" bottom="0" percent="0" rank="0" text="" dxfId="7">
      <formula>0</formula>
    </cfRule>
  </conditionalFormatting>
  <conditionalFormatting sqref="K700">
    <cfRule type="cellIs" priority="2779" operator="greaterThan" aboveAverage="0" equalAverage="0" bottom="0" percent="0" rank="0" text="" dxfId="7">
      <formula>0</formula>
    </cfRule>
  </conditionalFormatting>
  <conditionalFormatting sqref="N700">
    <cfRule type="cellIs" priority="2780" operator="greaterThan" aboveAverage="0" equalAverage="0" bottom="0" percent="0" rank="0" text="" dxfId="7">
      <formula>0</formula>
    </cfRule>
    <cfRule type="cellIs" priority="2781" operator="lessThan" aboveAverage="0" equalAverage="0" bottom="0" percent="0" rank="0" text="" dxfId="8">
      <formula>0</formula>
    </cfRule>
  </conditionalFormatting>
  <conditionalFormatting sqref="I701">
    <cfRule type="cellIs" priority="2782" operator="greaterThan" aboveAverage="0" equalAverage="0" bottom="0" percent="0" rank="0" text="" dxfId="7">
      <formula>0</formula>
    </cfRule>
  </conditionalFormatting>
  <conditionalFormatting sqref="K701">
    <cfRule type="cellIs" priority="2783" operator="greaterThan" aboveAverage="0" equalAverage="0" bottom="0" percent="0" rank="0" text="" dxfId="7">
      <formula>0</formula>
    </cfRule>
  </conditionalFormatting>
  <conditionalFormatting sqref="N701">
    <cfRule type="cellIs" priority="2784" operator="greaterThan" aboveAverage="0" equalAverage="0" bottom="0" percent="0" rank="0" text="" dxfId="7">
      <formula>0</formula>
    </cfRule>
    <cfRule type="cellIs" priority="2785" operator="lessThan" aboveAverage="0" equalAverage="0" bottom="0" percent="0" rank="0" text="" dxfId="8">
      <formula>0</formula>
    </cfRule>
  </conditionalFormatting>
  <conditionalFormatting sqref="I702">
    <cfRule type="cellIs" priority="2786" operator="greaterThan" aboveAverage="0" equalAverage="0" bottom="0" percent="0" rank="0" text="" dxfId="7">
      <formula>0</formula>
    </cfRule>
  </conditionalFormatting>
  <conditionalFormatting sqref="K702">
    <cfRule type="cellIs" priority="2787" operator="greaterThan" aboveAverage="0" equalAverage="0" bottom="0" percent="0" rank="0" text="" dxfId="7">
      <formula>0</formula>
    </cfRule>
  </conditionalFormatting>
  <conditionalFormatting sqref="N702">
    <cfRule type="cellIs" priority="2788" operator="greaterThan" aboveAverage="0" equalAverage="0" bottom="0" percent="0" rank="0" text="" dxfId="7">
      <formula>0</formula>
    </cfRule>
    <cfRule type="cellIs" priority="2789" operator="lessThan" aboveAverage="0" equalAverage="0" bottom="0" percent="0" rank="0" text="" dxfId="8">
      <formula>0</formula>
    </cfRule>
  </conditionalFormatting>
  <conditionalFormatting sqref="I703">
    <cfRule type="cellIs" priority="2790" operator="greaterThan" aboveAverage="0" equalAverage="0" bottom="0" percent="0" rank="0" text="" dxfId="7">
      <formula>0</formula>
    </cfRule>
  </conditionalFormatting>
  <conditionalFormatting sqref="K703">
    <cfRule type="cellIs" priority="2791" operator="greaterThan" aboveAverage="0" equalAverage="0" bottom="0" percent="0" rank="0" text="" dxfId="7">
      <formula>0</formula>
    </cfRule>
  </conditionalFormatting>
  <conditionalFormatting sqref="N703">
    <cfRule type="cellIs" priority="2792" operator="greaterThan" aboveAverage="0" equalAverage="0" bottom="0" percent="0" rank="0" text="" dxfId="7">
      <formula>0</formula>
    </cfRule>
    <cfRule type="cellIs" priority="2793" operator="lessThan" aboveAverage="0" equalAverage="0" bottom="0" percent="0" rank="0" text="" dxfId="8">
      <formula>0</formula>
    </cfRule>
  </conditionalFormatting>
  <conditionalFormatting sqref="I704">
    <cfRule type="cellIs" priority="2794" operator="greaterThan" aboveAverage="0" equalAverage="0" bottom="0" percent="0" rank="0" text="" dxfId="7">
      <formula>0</formula>
    </cfRule>
  </conditionalFormatting>
  <conditionalFormatting sqref="K704">
    <cfRule type="cellIs" priority="2795" operator="greaterThan" aboveAverage="0" equalAverage="0" bottom="0" percent="0" rank="0" text="" dxfId="7">
      <formula>0</formula>
    </cfRule>
  </conditionalFormatting>
  <conditionalFormatting sqref="N704">
    <cfRule type="cellIs" priority="2796" operator="greaterThan" aboveAverage="0" equalAverage="0" bottom="0" percent="0" rank="0" text="" dxfId="7">
      <formula>0</formula>
    </cfRule>
    <cfRule type="cellIs" priority="2797" operator="lessThan" aboveAverage="0" equalAverage="0" bottom="0" percent="0" rank="0" text="" dxfId="8">
      <formula>0</formula>
    </cfRule>
  </conditionalFormatting>
  <conditionalFormatting sqref="I705">
    <cfRule type="cellIs" priority="2798" operator="greaterThan" aboveAverage="0" equalAverage="0" bottom="0" percent="0" rank="0" text="" dxfId="7">
      <formula>0</formula>
    </cfRule>
  </conditionalFormatting>
  <conditionalFormatting sqref="K705">
    <cfRule type="cellIs" priority="2799" operator="greaterThan" aboveAverage="0" equalAverage="0" bottom="0" percent="0" rank="0" text="" dxfId="7">
      <formula>0</formula>
    </cfRule>
  </conditionalFormatting>
  <conditionalFormatting sqref="N705">
    <cfRule type="cellIs" priority="2800" operator="greaterThan" aboveAverage="0" equalAverage="0" bottom="0" percent="0" rank="0" text="" dxfId="7">
      <formula>0</formula>
    </cfRule>
    <cfRule type="cellIs" priority="2801" operator="lessThan" aboveAverage="0" equalAverage="0" bottom="0" percent="0" rank="0" text="" dxfId="8">
      <formula>0</formula>
    </cfRule>
  </conditionalFormatting>
  <conditionalFormatting sqref="I706">
    <cfRule type="cellIs" priority="2802" operator="greaterThan" aboveAverage="0" equalAverage="0" bottom="0" percent="0" rank="0" text="" dxfId="7">
      <formula>0</formula>
    </cfRule>
  </conditionalFormatting>
  <conditionalFormatting sqref="K706">
    <cfRule type="cellIs" priority="2803" operator="greaterThan" aboveAverage="0" equalAverage="0" bottom="0" percent="0" rank="0" text="" dxfId="7">
      <formula>0</formula>
    </cfRule>
  </conditionalFormatting>
  <conditionalFormatting sqref="N706">
    <cfRule type="cellIs" priority="2804" operator="greaterThan" aboveAverage="0" equalAverage="0" bottom="0" percent="0" rank="0" text="" dxfId="7">
      <formula>0</formula>
    </cfRule>
    <cfRule type="cellIs" priority="2805" operator="lessThan" aboveAverage="0" equalAverage="0" bottom="0" percent="0" rank="0" text="" dxfId="8">
      <formula>0</formula>
    </cfRule>
  </conditionalFormatting>
  <conditionalFormatting sqref="I707">
    <cfRule type="cellIs" priority="2806" operator="greaterThan" aboveAverage="0" equalAverage="0" bottom="0" percent="0" rank="0" text="" dxfId="7">
      <formula>0</formula>
    </cfRule>
  </conditionalFormatting>
  <conditionalFormatting sqref="K707">
    <cfRule type="cellIs" priority="2807" operator="greaterThan" aboveAverage="0" equalAverage="0" bottom="0" percent="0" rank="0" text="" dxfId="7">
      <formula>0</formula>
    </cfRule>
  </conditionalFormatting>
  <conditionalFormatting sqref="N707">
    <cfRule type="cellIs" priority="2808" operator="greaterThan" aboveAverage="0" equalAverage="0" bottom="0" percent="0" rank="0" text="" dxfId="7">
      <formula>0</formula>
    </cfRule>
    <cfRule type="cellIs" priority="2809" operator="lessThan" aboveAverage="0" equalAverage="0" bottom="0" percent="0" rank="0" text="" dxfId="8">
      <formula>0</formula>
    </cfRule>
  </conditionalFormatting>
  <conditionalFormatting sqref="I708">
    <cfRule type="cellIs" priority="2810" operator="greaterThan" aboveAverage="0" equalAverage="0" bottom="0" percent="0" rank="0" text="" dxfId="7">
      <formula>0</formula>
    </cfRule>
  </conditionalFormatting>
  <conditionalFormatting sqref="K708">
    <cfRule type="cellIs" priority="2811" operator="greaterThan" aboveAverage="0" equalAverage="0" bottom="0" percent="0" rank="0" text="" dxfId="7">
      <formula>0</formula>
    </cfRule>
  </conditionalFormatting>
  <conditionalFormatting sqref="N708">
    <cfRule type="cellIs" priority="2812" operator="greaterThan" aboveAverage="0" equalAverage="0" bottom="0" percent="0" rank="0" text="" dxfId="7">
      <formula>0</formula>
    </cfRule>
    <cfRule type="cellIs" priority="2813" operator="lessThan" aboveAverage="0" equalAverage="0" bottom="0" percent="0" rank="0" text="" dxfId="8">
      <formula>0</formula>
    </cfRule>
  </conditionalFormatting>
  <conditionalFormatting sqref="I709">
    <cfRule type="cellIs" priority="2814" operator="greaterThan" aboveAverage="0" equalAverage="0" bottom="0" percent="0" rank="0" text="" dxfId="7">
      <formula>0</formula>
    </cfRule>
  </conditionalFormatting>
  <conditionalFormatting sqref="K709">
    <cfRule type="cellIs" priority="2815" operator="greaterThan" aboveAverage="0" equalAverage="0" bottom="0" percent="0" rank="0" text="" dxfId="7">
      <formula>0</formula>
    </cfRule>
  </conditionalFormatting>
  <conditionalFormatting sqref="N709">
    <cfRule type="cellIs" priority="2816" operator="greaterThan" aboveAverage="0" equalAverage="0" bottom="0" percent="0" rank="0" text="" dxfId="7">
      <formula>0</formula>
    </cfRule>
    <cfRule type="cellIs" priority="2817" operator="lessThan" aboveAverage="0" equalAverage="0" bottom="0" percent="0" rank="0" text="" dxfId="8">
      <formula>0</formula>
    </cfRule>
  </conditionalFormatting>
  <conditionalFormatting sqref="I710">
    <cfRule type="cellIs" priority="2818" operator="greaterThan" aboveAverage="0" equalAverage="0" bottom="0" percent="0" rank="0" text="" dxfId="7">
      <formula>0</formula>
    </cfRule>
  </conditionalFormatting>
  <conditionalFormatting sqref="K710">
    <cfRule type="cellIs" priority="2819" operator="greaterThan" aboveAverage="0" equalAverage="0" bottom="0" percent="0" rank="0" text="" dxfId="7">
      <formula>0</formula>
    </cfRule>
  </conditionalFormatting>
  <conditionalFormatting sqref="N710">
    <cfRule type="cellIs" priority="2820" operator="greaterThan" aboveAverage="0" equalAverage="0" bottom="0" percent="0" rank="0" text="" dxfId="7">
      <formula>0</formula>
    </cfRule>
    <cfRule type="cellIs" priority="2821" operator="lessThan" aboveAverage="0" equalAverage="0" bottom="0" percent="0" rank="0" text="" dxfId="8">
      <formula>0</formula>
    </cfRule>
  </conditionalFormatting>
  <conditionalFormatting sqref="I711">
    <cfRule type="cellIs" priority="2822" operator="greaterThan" aboveAverage="0" equalAverage="0" bottom="0" percent="0" rank="0" text="" dxfId="7">
      <formula>0</formula>
    </cfRule>
  </conditionalFormatting>
  <conditionalFormatting sqref="K711">
    <cfRule type="cellIs" priority="2823" operator="greaterThan" aboveAverage="0" equalAverage="0" bottom="0" percent="0" rank="0" text="" dxfId="7">
      <formula>0</formula>
    </cfRule>
  </conditionalFormatting>
  <conditionalFormatting sqref="N711">
    <cfRule type="cellIs" priority="2824" operator="greaterThan" aboveAverage="0" equalAverage="0" bottom="0" percent="0" rank="0" text="" dxfId="7">
      <formula>0</formula>
    </cfRule>
    <cfRule type="cellIs" priority="2825" operator="lessThan" aboveAverage="0" equalAverage="0" bottom="0" percent="0" rank="0" text="" dxfId="8">
      <formula>0</formula>
    </cfRule>
  </conditionalFormatting>
  <conditionalFormatting sqref="I712">
    <cfRule type="cellIs" priority="2826" operator="greaterThan" aboveAverage="0" equalAverage="0" bottom="0" percent="0" rank="0" text="" dxfId="7">
      <formula>0</formula>
    </cfRule>
  </conditionalFormatting>
  <conditionalFormatting sqref="K712">
    <cfRule type="cellIs" priority="2827" operator="greaterThan" aboveAverage="0" equalAverage="0" bottom="0" percent="0" rank="0" text="" dxfId="7">
      <formula>0</formula>
    </cfRule>
  </conditionalFormatting>
  <conditionalFormatting sqref="N712">
    <cfRule type="cellIs" priority="2828" operator="greaterThan" aboveAverage="0" equalAverage="0" bottom="0" percent="0" rank="0" text="" dxfId="7">
      <formula>0</formula>
    </cfRule>
    <cfRule type="cellIs" priority="2829" operator="lessThan" aboveAverage="0" equalAverage="0" bottom="0" percent="0" rank="0" text="" dxfId="8">
      <formula>0</formula>
    </cfRule>
  </conditionalFormatting>
  <conditionalFormatting sqref="I713">
    <cfRule type="cellIs" priority="2830" operator="greaterThan" aboveAverage="0" equalAverage="0" bottom="0" percent="0" rank="0" text="" dxfId="7">
      <formula>0</formula>
    </cfRule>
  </conditionalFormatting>
  <conditionalFormatting sqref="K713">
    <cfRule type="cellIs" priority="2831" operator="greaterThan" aboveAverage="0" equalAverage="0" bottom="0" percent="0" rank="0" text="" dxfId="7">
      <formula>0</formula>
    </cfRule>
  </conditionalFormatting>
  <conditionalFormatting sqref="N713">
    <cfRule type="cellIs" priority="2832" operator="greaterThan" aboveAverage="0" equalAverage="0" bottom="0" percent="0" rank="0" text="" dxfId="7">
      <formula>0</formula>
    </cfRule>
    <cfRule type="cellIs" priority="2833" operator="lessThan" aboveAverage="0" equalAverage="0" bottom="0" percent="0" rank="0" text="" dxfId="8">
      <formula>0</formula>
    </cfRule>
  </conditionalFormatting>
  <conditionalFormatting sqref="I714">
    <cfRule type="cellIs" priority="2834" operator="greaterThan" aboveAverage="0" equalAverage="0" bottom="0" percent="0" rank="0" text="" dxfId="7">
      <formula>0</formula>
    </cfRule>
  </conditionalFormatting>
  <conditionalFormatting sqref="K714">
    <cfRule type="cellIs" priority="2835" operator="greaterThan" aboveAverage="0" equalAverage="0" bottom="0" percent="0" rank="0" text="" dxfId="7">
      <formula>0</formula>
    </cfRule>
  </conditionalFormatting>
  <conditionalFormatting sqref="N714">
    <cfRule type="cellIs" priority="2836" operator="greaterThan" aboveAverage="0" equalAverage="0" bottom="0" percent="0" rank="0" text="" dxfId="7">
      <formula>0</formula>
    </cfRule>
    <cfRule type="cellIs" priority="2837" operator="lessThan" aboveAverage="0" equalAverage="0" bottom="0" percent="0" rank="0" text="" dxfId="8">
      <formula>0</formula>
    </cfRule>
  </conditionalFormatting>
  <conditionalFormatting sqref="I715">
    <cfRule type="cellIs" priority="2838" operator="greaterThan" aboveAverage="0" equalAverage="0" bottom="0" percent="0" rank="0" text="" dxfId="7">
      <formula>0</formula>
    </cfRule>
  </conditionalFormatting>
  <conditionalFormatting sqref="K715">
    <cfRule type="cellIs" priority="2839" operator="greaterThan" aboveAverage="0" equalAverage="0" bottom="0" percent="0" rank="0" text="" dxfId="7">
      <formula>0</formula>
    </cfRule>
  </conditionalFormatting>
  <conditionalFormatting sqref="N715">
    <cfRule type="cellIs" priority="2840" operator="greaterThan" aboveAverage="0" equalAverage="0" bottom="0" percent="0" rank="0" text="" dxfId="7">
      <formula>0</formula>
    </cfRule>
    <cfRule type="cellIs" priority="2841" operator="lessThan" aboveAverage="0" equalAverage="0" bottom="0" percent="0" rank="0" text="" dxfId="8">
      <formula>0</formula>
    </cfRule>
  </conditionalFormatting>
  <conditionalFormatting sqref="I716">
    <cfRule type="cellIs" priority="2842" operator="greaterThan" aboveAverage="0" equalAverage="0" bottom="0" percent="0" rank="0" text="" dxfId="7">
      <formula>0</formula>
    </cfRule>
  </conditionalFormatting>
  <conditionalFormatting sqref="K716">
    <cfRule type="cellIs" priority="2843" operator="greaterThan" aboveAverage="0" equalAverage="0" bottom="0" percent="0" rank="0" text="" dxfId="7">
      <formula>0</formula>
    </cfRule>
  </conditionalFormatting>
  <conditionalFormatting sqref="N716">
    <cfRule type="cellIs" priority="2844" operator="greaterThan" aboveAverage="0" equalAverage="0" bottom="0" percent="0" rank="0" text="" dxfId="7">
      <formula>0</formula>
    </cfRule>
    <cfRule type="cellIs" priority="2845" operator="lessThan" aboveAverage="0" equalAverage="0" bottom="0" percent="0" rank="0" text="" dxfId="8">
      <formula>0</formula>
    </cfRule>
  </conditionalFormatting>
  <conditionalFormatting sqref="I717">
    <cfRule type="cellIs" priority="2846" operator="greaterThan" aboveAverage="0" equalAverage="0" bottom="0" percent="0" rank="0" text="" dxfId="7">
      <formula>0</formula>
    </cfRule>
  </conditionalFormatting>
  <conditionalFormatting sqref="K717">
    <cfRule type="cellIs" priority="2847" operator="greaterThan" aboveAverage="0" equalAverage="0" bottom="0" percent="0" rank="0" text="" dxfId="7">
      <formula>0</formula>
    </cfRule>
  </conditionalFormatting>
  <conditionalFormatting sqref="N717">
    <cfRule type="cellIs" priority="2848" operator="greaterThan" aboveAverage="0" equalAverage="0" bottom="0" percent="0" rank="0" text="" dxfId="7">
      <formula>0</formula>
    </cfRule>
    <cfRule type="cellIs" priority="2849" operator="lessThan" aboveAverage="0" equalAverage="0" bottom="0" percent="0" rank="0" text="" dxfId="8">
      <formula>0</formula>
    </cfRule>
  </conditionalFormatting>
  <conditionalFormatting sqref="I718">
    <cfRule type="cellIs" priority="2850" operator="greaterThan" aboveAverage="0" equalAverage="0" bottom="0" percent="0" rank="0" text="" dxfId="7">
      <formula>0</formula>
    </cfRule>
  </conditionalFormatting>
  <conditionalFormatting sqref="K718">
    <cfRule type="cellIs" priority="2851" operator="greaterThan" aboveAverage="0" equalAverage="0" bottom="0" percent="0" rank="0" text="" dxfId="7">
      <formula>0</formula>
    </cfRule>
  </conditionalFormatting>
  <conditionalFormatting sqref="N718">
    <cfRule type="cellIs" priority="2852" operator="greaterThan" aboveAverage="0" equalAverage="0" bottom="0" percent="0" rank="0" text="" dxfId="7">
      <formula>0</formula>
    </cfRule>
    <cfRule type="cellIs" priority="2853" operator="lessThan" aboveAverage="0" equalAverage="0" bottom="0" percent="0" rank="0" text="" dxfId="8">
      <formula>0</formula>
    </cfRule>
  </conditionalFormatting>
  <conditionalFormatting sqref="I719">
    <cfRule type="cellIs" priority="2854" operator="greaterThan" aboveAverage="0" equalAverage="0" bottom="0" percent="0" rank="0" text="" dxfId="7">
      <formula>0</formula>
    </cfRule>
  </conditionalFormatting>
  <conditionalFormatting sqref="K719">
    <cfRule type="cellIs" priority="2855" operator="greaterThan" aboveAverage="0" equalAverage="0" bottom="0" percent="0" rank="0" text="" dxfId="7">
      <formula>0</formula>
    </cfRule>
  </conditionalFormatting>
  <conditionalFormatting sqref="N719">
    <cfRule type="cellIs" priority="2856" operator="greaterThan" aboveAverage="0" equalAverage="0" bottom="0" percent="0" rank="0" text="" dxfId="7">
      <formula>0</formula>
    </cfRule>
    <cfRule type="cellIs" priority="2857" operator="lessThan" aboveAverage="0" equalAverage="0" bottom="0" percent="0" rank="0" text="" dxfId="8">
      <formula>0</formula>
    </cfRule>
  </conditionalFormatting>
  <conditionalFormatting sqref="I720">
    <cfRule type="cellIs" priority="2858" operator="greaterThan" aboveAverage="0" equalAverage="0" bottom="0" percent="0" rank="0" text="" dxfId="7">
      <formula>0</formula>
    </cfRule>
  </conditionalFormatting>
  <conditionalFormatting sqref="K720">
    <cfRule type="cellIs" priority="2859" operator="greaterThan" aboveAverage="0" equalAverage="0" bottom="0" percent="0" rank="0" text="" dxfId="7">
      <formula>0</formula>
    </cfRule>
  </conditionalFormatting>
  <conditionalFormatting sqref="N720">
    <cfRule type="cellIs" priority="2860" operator="greaterThan" aboveAverage="0" equalAverage="0" bottom="0" percent="0" rank="0" text="" dxfId="7">
      <formula>0</formula>
    </cfRule>
    <cfRule type="cellIs" priority="2861" operator="lessThan" aboveAverage="0" equalAverage="0" bottom="0" percent="0" rank="0" text="" dxfId="8">
      <formula>0</formula>
    </cfRule>
  </conditionalFormatting>
  <conditionalFormatting sqref="I721">
    <cfRule type="cellIs" priority="2862" operator="greaterThan" aboveAverage="0" equalAverage="0" bottom="0" percent="0" rank="0" text="" dxfId="7">
      <formula>0</formula>
    </cfRule>
  </conditionalFormatting>
  <conditionalFormatting sqref="K721">
    <cfRule type="cellIs" priority="2863" operator="greaterThan" aboveAverage="0" equalAverage="0" bottom="0" percent="0" rank="0" text="" dxfId="7">
      <formula>0</formula>
    </cfRule>
  </conditionalFormatting>
  <conditionalFormatting sqref="N721">
    <cfRule type="cellIs" priority="2864" operator="greaterThan" aboveAverage="0" equalAverage="0" bottom="0" percent="0" rank="0" text="" dxfId="7">
      <formula>0</formula>
    </cfRule>
    <cfRule type="cellIs" priority="2865" operator="lessThan" aboveAverage="0" equalAverage="0" bottom="0" percent="0" rank="0" text="" dxfId="8">
      <formula>0</formula>
    </cfRule>
  </conditionalFormatting>
  <conditionalFormatting sqref="I722">
    <cfRule type="cellIs" priority="2866" operator="greaterThan" aboveAverage="0" equalAverage="0" bottom="0" percent="0" rank="0" text="" dxfId="7">
      <formula>0</formula>
    </cfRule>
  </conditionalFormatting>
  <conditionalFormatting sqref="K722">
    <cfRule type="cellIs" priority="2867" operator="greaterThan" aboveAverage="0" equalAverage="0" bottom="0" percent="0" rank="0" text="" dxfId="7">
      <formula>0</formula>
    </cfRule>
  </conditionalFormatting>
  <conditionalFormatting sqref="N722">
    <cfRule type="cellIs" priority="2868" operator="greaterThan" aboveAverage="0" equalAverage="0" bottom="0" percent="0" rank="0" text="" dxfId="7">
      <formula>0</formula>
    </cfRule>
    <cfRule type="cellIs" priority="2869" operator="lessThan" aboveAverage="0" equalAverage="0" bottom="0" percent="0" rank="0" text="" dxfId="8">
      <formula>0</formula>
    </cfRule>
  </conditionalFormatting>
  <conditionalFormatting sqref="I723">
    <cfRule type="cellIs" priority="2870" operator="greaterThan" aboveAverage="0" equalAverage="0" bottom="0" percent="0" rank="0" text="" dxfId="7">
      <formula>0</formula>
    </cfRule>
  </conditionalFormatting>
  <conditionalFormatting sqref="K723">
    <cfRule type="cellIs" priority="2871" operator="greaterThan" aboveAverage="0" equalAverage="0" bottom="0" percent="0" rank="0" text="" dxfId="7">
      <formula>0</formula>
    </cfRule>
  </conditionalFormatting>
  <conditionalFormatting sqref="N723">
    <cfRule type="cellIs" priority="2872" operator="greaterThan" aboveAverage="0" equalAverage="0" bottom="0" percent="0" rank="0" text="" dxfId="7">
      <formula>0</formula>
    </cfRule>
    <cfRule type="cellIs" priority="2873" operator="lessThan" aboveAverage="0" equalAverage="0" bottom="0" percent="0" rank="0" text="" dxfId="8">
      <formula>0</formula>
    </cfRule>
  </conditionalFormatting>
  <conditionalFormatting sqref="I724">
    <cfRule type="cellIs" priority="2874" operator="greaterThan" aboveAverage="0" equalAverage="0" bottom="0" percent="0" rank="0" text="" dxfId="7">
      <formula>0</formula>
    </cfRule>
  </conditionalFormatting>
  <conditionalFormatting sqref="K724">
    <cfRule type="cellIs" priority="2875" operator="greaterThan" aboveAverage="0" equalAverage="0" bottom="0" percent="0" rank="0" text="" dxfId="7">
      <formula>0</formula>
    </cfRule>
  </conditionalFormatting>
  <conditionalFormatting sqref="N724">
    <cfRule type="cellIs" priority="2876" operator="greaterThan" aboveAverage="0" equalAverage="0" bottom="0" percent="0" rank="0" text="" dxfId="7">
      <formula>0</formula>
    </cfRule>
    <cfRule type="cellIs" priority="2877" operator="lessThan" aboveAverage="0" equalAverage="0" bottom="0" percent="0" rank="0" text="" dxfId="8">
      <formula>0</formula>
    </cfRule>
  </conditionalFormatting>
  <conditionalFormatting sqref="I725">
    <cfRule type="cellIs" priority="2878" operator="greaterThan" aboveAverage="0" equalAverage="0" bottom="0" percent="0" rank="0" text="" dxfId="7">
      <formula>0</formula>
    </cfRule>
  </conditionalFormatting>
  <conditionalFormatting sqref="K725">
    <cfRule type="cellIs" priority="2879" operator="greaterThan" aboveAverage="0" equalAverage="0" bottom="0" percent="0" rank="0" text="" dxfId="7">
      <formula>0</formula>
    </cfRule>
  </conditionalFormatting>
  <conditionalFormatting sqref="N725">
    <cfRule type="cellIs" priority="2880" operator="greaterThan" aboveAverage="0" equalAverage="0" bottom="0" percent="0" rank="0" text="" dxfId="7">
      <formula>0</formula>
    </cfRule>
    <cfRule type="cellIs" priority="2881" operator="lessThan" aboveAverage="0" equalAverage="0" bottom="0" percent="0" rank="0" text="" dxfId="8">
      <formula>0</formula>
    </cfRule>
  </conditionalFormatting>
  <conditionalFormatting sqref="I726">
    <cfRule type="cellIs" priority="2882" operator="greaterThan" aboveAverage="0" equalAverage="0" bottom="0" percent="0" rank="0" text="" dxfId="7">
      <formula>0</formula>
    </cfRule>
  </conditionalFormatting>
  <conditionalFormatting sqref="K726">
    <cfRule type="cellIs" priority="2883" operator="greaterThan" aboveAverage="0" equalAverage="0" bottom="0" percent="0" rank="0" text="" dxfId="7">
      <formula>0</formula>
    </cfRule>
  </conditionalFormatting>
  <conditionalFormatting sqref="N726">
    <cfRule type="cellIs" priority="2884" operator="greaterThan" aboveAverage="0" equalAverage="0" bottom="0" percent="0" rank="0" text="" dxfId="7">
      <formula>0</formula>
    </cfRule>
    <cfRule type="cellIs" priority="2885" operator="lessThan" aboveAverage="0" equalAverage="0" bottom="0" percent="0" rank="0" text="" dxfId="8">
      <formula>0</formula>
    </cfRule>
  </conditionalFormatting>
  <conditionalFormatting sqref="I727">
    <cfRule type="cellIs" priority="2886" operator="greaterThan" aboveAverage="0" equalAverage="0" bottom="0" percent="0" rank="0" text="" dxfId="7">
      <formula>0</formula>
    </cfRule>
  </conditionalFormatting>
  <conditionalFormatting sqref="K727">
    <cfRule type="cellIs" priority="2887" operator="greaterThan" aboveAverage="0" equalAverage="0" bottom="0" percent="0" rank="0" text="" dxfId="7">
      <formula>0</formula>
    </cfRule>
  </conditionalFormatting>
  <conditionalFormatting sqref="N727">
    <cfRule type="cellIs" priority="2888" operator="greaterThan" aboveAverage="0" equalAverage="0" bottom="0" percent="0" rank="0" text="" dxfId="7">
      <formula>0</formula>
    </cfRule>
    <cfRule type="cellIs" priority="2889" operator="lessThan" aboveAverage="0" equalAverage="0" bottom="0" percent="0" rank="0" text="" dxfId="8">
      <formula>0</formula>
    </cfRule>
  </conditionalFormatting>
  <conditionalFormatting sqref="I728">
    <cfRule type="cellIs" priority="2890" operator="greaterThan" aboveAverage="0" equalAverage="0" bottom="0" percent="0" rank="0" text="" dxfId="7">
      <formula>0</formula>
    </cfRule>
  </conditionalFormatting>
  <conditionalFormatting sqref="K728">
    <cfRule type="cellIs" priority="2891" operator="greaterThan" aboveAverage="0" equalAverage="0" bottom="0" percent="0" rank="0" text="" dxfId="7">
      <formula>0</formula>
    </cfRule>
  </conditionalFormatting>
  <conditionalFormatting sqref="N728">
    <cfRule type="cellIs" priority="2892" operator="greaterThan" aboveAverage="0" equalAverage="0" bottom="0" percent="0" rank="0" text="" dxfId="7">
      <formula>0</formula>
    </cfRule>
    <cfRule type="cellIs" priority="2893" operator="lessThan" aboveAverage="0" equalAverage="0" bottom="0" percent="0" rank="0" text="" dxfId="8">
      <formula>0</formula>
    </cfRule>
  </conditionalFormatting>
  <conditionalFormatting sqref="I729">
    <cfRule type="cellIs" priority="2894" operator="greaterThan" aboveAverage="0" equalAverage="0" bottom="0" percent="0" rank="0" text="" dxfId="7">
      <formula>0</formula>
    </cfRule>
  </conditionalFormatting>
  <conditionalFormatting sqref="K729">
    <cfRule type="cellIs" priority="2895" operator="greaterThan" aboveAverage="0" equalAverage="0" bottom="0" percent="0" rank="0" text="" dxfId="7">
      <formula>0</formula>
    </cfRule>
  </conditionalFormatting>
  <conditionalFormatting sqref="N729">
    <cfRule type="cellIs" priority="2896" operator="greaterThan" aboveAverage="0" equalAverage="0" bottom="0" percent="0" rank="0" text="" dxfId="7">
      <formula>0</formula>
    </cfRule>
    <cfRule type="cellIs" priority="2897" operator="lessThan" aboveAverage="0" equalAverage="0" bottom="0" percent="0" rank="0" text="" dxfId="8">
      <formula>0</formula>
    </cfRule>
  </conditionalFormatting>
  <conditionalFormatting sqref="I730">
    <cfRule type="cellIs" priority="2898" operator="greaterThan" aboveAverage="0" equalAverage="0" bottom="0" percent="0" rank="0" text="" dxfId="7">
      <formula>0</formula>
    </cfRule>
  </conditionalFormatting>
  <conditionalFormatting sqref="K730">
    <cfRule type="cellIs" priority="2899" operator="greaterThan" aboveAverage="0" equalAverage="0" bottom="0" percent="0" rank="0" text="" dxfId="7">
      <formula>0</formula>
    </cfRule>
  </conditionalFormatting>
  <conditionalFormatting sqref="N730">
    <cfRule type="cellIs" priority="2900" operator="greaterThan" aboveAverage="0" equalAverage="0" bottom="0" percent="0" rank="0" text="" dxfId="7">
      <formula>0</formula>
    </cfRule>
    <cfRule type="cellIs" priority="2901" operator="lessThan" aboveAverage="0" equalAverage="0" bottom="0" percent="0" rank="0" text="" dxfId="8">
      <formula>0</formula>
    </cfRule>
  </conditionalFormatting>
  <conditionalFormatting sqref="I731">
    <cfRule type="cellIs" priority="2902" operator="greaterThan" aboveAverage="0" equalAverage="0" bottom="0" percent="0" rank="0" text="" dxfId="7">
      <formula>0</formula>
    </cfRule>
  </conditionalFormatting>
  <conditionalFormatting sqref="K731">
    <cfRule type="cellIs" priority="2903" operator="greaterThan" aboveAverage="0" equalAverage="0" bottom="0" percent="0" rank="0" text="" dxfId="7">
      <formula>0</formula>
    </cfRule>
  </conditionalFormatting>
  <conditionalFormatting sqref="N731">
    <cfRule type="cellIs" priority="2904" operator="greaterThan" aboveAverage="0" equalAverage="0" bottom="0" percent="0" rank="0" text="" dxfId="7">
      <formula>0</formula>
    </cfRule>
    <cfRule type="cellIs" priority="2905" operator="lessThan" aboveAverage="0" equalAverage="0" bottom="0" percent="0" rank="0" text="" dxfId="8">
      <formula>0</formula>
    </cfRule>
  </conditionalFormatting>
  <conditionalFormatting sqref="I732">
    <cfRule type="cellIs" priority="2906" operator="greaterThan" aboveAverage="0" equalAverage="0" bottom="0" percent="0" rank="0" text="" dxfId="7">
      <formula>0</formula>
    </cfRule>
  </conditionalFormatting>
  <conditionalFormatting sqref="K732">
    <cfRule type="cellIs" priority="2907" operator="greaterThan" aboveAverage="0" equalAverage="0" bottom="0" percent="0" rank="0" text="" dxfId="7">
      <formula>0</formula>
    </cfRule>
  </conditionalFormatting>
  <conditionalFormatting sqref="N732">
    <cfRule type="cellIs" priority="2908" operator="greaterThan" aboveAverage="0" equalAverage="0" bottom="0" percent="0" rank="0" text="" dxfId="7">
      <formula>0</formula>
    </cfRule>
    <cfRule type="cellIs" priority="2909" operator="lessThan" aboveAverage="0" equalAverage="0" bottom="0" percent="0" rank="0" text="" dxfId="8">
      <formula>0</formula>
    </cfRule>
  </conditionalFormatting>
  <conditionalFormatting sqref="I733">
    <cfRule type="cellIs" priority="2910" operator="greaterThan" aboveAverage="0" equalAverage="0" bottom="0" percent="0" rank="0" text="" dxfId="7">
      <formula>0</formula>
    </cfRule>
  </conditionalFormatting>
  <conditionalFormatting sqref="K733">
    <cfRule type="cellIs" priority="2911" operator="greaterThan" aboveAverage="0" equalAverage="0" bottom="0" percent="0" rank="0" text="" dxfId="7">
      <formula>0</formula>
    </cfRule>
  </conditionalFormatting>
  <conditionalFormatting sqref="N733">
    <cfRule type="cellIs" priority="2912" operator="greaterThan" aboveAverage="0" equalAverage="0" bottom="0" percent="0" rank="0" text="" dxfId="7">
      <formula>0</formula>
    </cfRule>
    <cfRule type="cellIs" priority="2913" operator="lessThan" aboveAverage="0" equalAverage="0" bottom="0" percent="0" rank="0" text="" dxfId="8">
      <formula>0</formula>
    </cfRule>
  </conditionalFormatting>
  <conditionalFormatting sqref="I734">
    <cfRule type="cellIs" priority="2914" operator="greaterThan" aboveAverage="0" equalAverage="0" bottom="0" percent="0" rank="0" text="" dxfId="7">
      <formula>0</formula>
    </cfRule>
  </conditionalFormatting>
  <conditionalFormatting sqref="K734">
    <cfRule type="cellIs" priority="2915" operator="greaterThan" aboveAverage="0" equalAverage="0" bottom="0" percent="0" rank="0" text="" dxfId="7">
      <formula>0</formula>
    </cfRule>
  </conditionalFormatting>
  <conditionalFormatting sqref="N734">
    <cfRule type="cellIs" priority="2916" operator="greaterThan" aboveAverage="0" equalAverage="0" bottom="0" percent="0" rank="0" text="" dxfId="7">
      <formula>0</formula>
    </cfRule>
    <cfRule type="cellIs" priority="2917" operator="lessThan" aboveAverage="0" equalAverage="0" bottom="0" percent="0" rank="0" text="" dxfId="8">
      <formula>0</formula>
    </cfRule>
  </conditionalFormatting>
  <conditionalFormatting sqref="I735">
    <cfRule type="cellIs" priority="2918" operator="greaterThan" aboveAverage="0" equalAverage="0" bottom="0" percent="0" rank="0" text="" dxfId="7">
      <formula>0</formula>
    </cfRule>
  </conditionalFormatting>
  <conditionalFormatting sqref="K735">
    <cfRule type="cellIs" priority="2919" operator="greaterThan" aboveAverage="0" equalAverage="0" bottom="0" percent="0" rank="0" text="" dxfId="7">
      <formula>0</formula>
    </cfRule>
  </conditionalFormatting>
  <conditionalFormatting sqref="N735">
    <cfRule type="cellIs" priority="2920" operator="greaterThan" aboveAverage="0" equalAverage="0" bottom="0" percent="0" rank="0" text="" dxfId="7">
      <formula>0</formula>
    </cfRule>
    <cfRule type="cellIs" priority="2921" operator="lessThan" aboveAverage="0" equalAverage="0" bottom="0" percent="0" rank="0" text="" dxfId="8">
      <formula>0</formula>
    </cfRule>
  </conditionalFormatting>
  <conditionalFormatting sqref="I736">
    <cfRule type="cellIs" priority="2922" operator="greaterThan" aboveAverage="0" equalAverage="0" bottom="0" percent="0" rank="0" text="" dxfId="7">
      <formula>0</formula>
    </cfRule>
  </conditionalFormatting>
  <conditionalFormatting sqref="K736">
    <cfRule type="cellIs" priority="2923" operator="greaterThan" aboveAverage="0" equalAverage="0" bottom="0" percent="0" rank="0" text="" dxfId="7">
      <formula>0</formula>
    </cfRule>
  </conditionalFormatting>
  <conditionalFormatting sqref="N736">
    <cfRule type="cellIs" priority="2924" operator="greaterThan" aboveAverage="0" equalAverage="0" bottom="0" percent="0" rank="0" text="" dxfId="7">
      <formula>0</formula>
    </cfRule>
    <cfRule type="cellIs" priority="2925" operator="lessThan" aboveAverage="0" equalAverage="0" bottom="0" percent="0" rank="0" text="" dxfId="8">
      <formula>0</formula>
    </cfRule>
  </conditionalFormatting>
  <conditionalFormatting sqref="I737">
    <cfRule type="cellIs" priority="2926" operator="greaterThan" aboveAverage="0" equalAverage="0" bottom="0" percent="0" rank="0" text="" dxfId="7">
      <formula>0</formula>
    </cfRule>
  </conditionalFormatting>
  <conditionalFormatting sqref="K737">
    <cfRule type="cellIs" priority="2927" operator="greaterThan" aboveAverage="0" equalAverage="0" bottom="0" percent="0" rank="0" text="" dxfId="7">
      <formula>0</formula>
    </cfRule>
  </conditionalFormatting>
  <conditionalFormatting sqref="N737">
    <cfRule type="cellIs" priority="2928" operator="greaterThan" aboveAverage="0" equalAverage="0" bottom="0" percent="0" rank="0" text="" dxfId="7">
      <formula>0</formula>
    </cfRule>
    <cfRule type="cellIs" priority="2929" operator="lessThan" aboveAverage="0" equalAverage="0" bottom="0" percent="0" rank="0" text="" dxfId="8">
      <formula>0</formula>
    </cfRule>
  </conditionalFormatting>
  <conditionalFormatting sqref="I738">
    <cfRule type="cellIs" priority="2930" operator="greaterThan" aboveAverage="0" equalAverage="0" bottom="0" percent="0" rank="0" text="" dxfId="7">
      <formula>0</formula>
    </cfRule>
  </conditionalFormatting>
  <conditionalFormatting sqref="K738">
    <cfRule type="cellIs" priority="2931" operator="greaterThan" aboveAverage="0" equalAverage="0" bottom="0" percent="0" rank="0" text="" dxfId="7">
      <formula>0</formula>
    </cfRule>
  </conditionalFormatting>
  <conditionalFormatting sqref="N738">
    <cfRule type="cellIs" priority="2932" operator="greaterThan" aboveAverage="0" equalAverage="0" bottom="0" percent="0" rank="0" text="" dxfId="7">
      <formula>0</formula>
    </cfRule>
    <cfRule type="cellIs" priority="2933" operator="lessThan" aboveAverage="0" equalAverage="0" bottom="0" percent="0" rank="0" text="" dxfId="8">
      <formula>0</formula>
    </cfRule>
  </conditionalFormatting>
  <conditionalFormatting sqref="I739">
    <cfRule type="cellIs" priority="2934" operator="greaterThan" aboveAverage="0" equalAverage="0" bottom="0" percent="0" rank="0" text="" dxfId="7">
      <formula>0</formula>
    </cfRule>
  </conditionalFormatting>
  <conditionalFormatting sqref="K739">
    <cfRule type="cellIs" priority="2935" operator="greaterThan" aboveAverage="0" equalAverage="0" bottom="0" percent="0" rank="0" text="" dxfId="7">
      <formula>0</formula>
    </cfRule>
  </conditionalFormatting>
  <conditionalFormatting sqref="N739">
    <cfRule type="cellIs" priority="2936" operator="greaterThan" aboveAverage="0" equalAverage="0" bottom="0" percent="0" rank="0" text="" dxfId="7">
      <formula>0</formula>
    </cfRule>
    <cfRule type="cellIs" priority="2937" operator="lessThan" aboveAverage="0" equalAverage="0" bottom="0" percent="0" rank="0" text="" dxfId="8">
      <formula>0</formula>
    </cfRule>
  </conditionalFormatting>
  <conditionalFormatting sqref="I740">
    <cfRule type="cellIs" priority="2938" operator="greaterThan" aboveAverage="0" equalAverage="0" bottom="0" percent="0" rank="0" text="" dxfId="7">
      <formula>0</formula>
    </cfRule>
  </conditionalFormatting>
  <conditionalFormatting sqref="K740">
    <cfRule type="cellIs" priority="2939" operator="greaterThan" aboveAverage="0" equalAverage="0" bottom="0" percent="0" rank="0" text="" dxfId="7">
      <formula>0</formula>
    </cfRule>
  </conditionalFormatting>
  <conditionalFormatting sqref="N740">
    <cfRule type="cellIs" priority="2940" operator="greaterThan" aboveAverage="0" equalAverage="0" bottom="0" percent="0" rank="0" text="" dxfId="7">
      <formula>0</formula>
    </cfRule>
    <cfRule type="cellIs" priority="2941" operator="lessThan" aboveAverage="0" equalAverage="0" bottom="0" percent="0" rank="0" text="" dxfId="8">
      <formula>0</formula>
    </cfRule>
  </conditionalFormatting>
  <conditionalFormatting sqref="I741">
    <cfRule type="cellIs" priority="2942" operator="greaterThan" aboveAverage="0" equalAverage="0" bottom="0" percent="0" rank="0" text="" dxfId="7">
      <formula>0</formula>
    </cfRule>
  </conditionalFormatting>
  <conditionalFormatting sqref="K741">
    <cfRule type="cellIs" priority="2943" operator="greaterThan" aboveAverage="0" equalAverage="0" bottom="0" percent="0" rank="0" text="" dxfId="7">
      <formula>0</formula>
    </cfRule>
  </conditionalFormatting>
  <conditionalFormatting sqref="N741">
    <cfRule type="cellIs" priority="2944" operator="greaterThan" aboveAverage="0" equalAverage="0" bottom="0" percent="0" rank="0" text="" dxfId="7">
      <formula>0</formula>
    </cfRule>
    <cfRule type="cellIs" priority="2945" operator="lessThan" aboveAverage="0" equalAverage="0" bottom="0" percent="0" rank="0" text="" dxfId="8">
      <formula>0</formula>
    </cfRule>
  </conditionalFormatting>
  <conditionalFormatting sqref="I742">
    <cfRule type="cellIs" priority="2946" operator="greaterThan" aboveAverage="0" equalAverage="0" bottom="0" percent="0" rank="0" text="" dxfId="7">
      <formula>0</formula>
    </cfRule>
  </conditionalFormatting>
  <conditionalFormatting sqref="K742">
    <cfRule type="cellIs" priority="2947" operator="greaterThan" aboveAverage="0" equalAverage="0" bottom="0" percent="0" rank="0" text="" dxfId="7">
      <formula>0</formula>
    </cfRule>
  </conditionalFormatting>
  <conditionalFormatting sqref="N742">
    <cfRule type="cellIs" priority="2948" operator="greaterThan" aboveAverage="0" equalAverage="0" bottom="0" percent="0" rank="0" text="" dxfId="7">
      <formula>0</formula>
    </cfRule>
    <cfRule type="cellIs" priority="2949" operator="lessThan" aboveAverage="0" equalAverage="0" bottom="0" percent="0" rank="0" text="" dxfId="8">
      <formula>0</formula>
    </cfRule>
  </conditionalFormatting>
  <conditionalFormatting sqref="I743">
    <cfRule type="cellIs" priority="2950" operator="greaterThan" aboveAverage="0" equalAverage="0" bottom="0" percent="0" rank="0" text="" dxfId="7">
      <formula>0</formula>
    </cfRule>
  </conditionalFormatting>
  <conditionalFormatting sqref="K743">
    <cfRule type="cellIs" priority="2951" operator="greaterThan" aboveAverage="0" equalAverage="0" bottom="0" percent="0" rank="0" text="" dxfId="7">
      <formula>0</formula>
    </cfRule>
  </conditionalFormatting>
  <conditionalFormatting sqref="N743">
    <cfRule type="cellIs" priority="2952" operator="greaterThan" aboveAverage="0" equalAverage="0" bottom="0" percent="0" rank="0" text="" dxfId="7">
      <formula>0</formula>
    </cfRule>
    <cfRule type="cellIs" priority="2953" operator="lessThan" aboveAverage="0" equalAverage="0" bottom="0" percent="0" rank="0" text="" dxfId="8">
      <formula>0</formula>
    </cfRule>
  </conditionalFormatting>
  <conditionalFormatting sqref="I744">
    <cfRule type="cellIs" priority="2954" operator="greaterThan" aboveAverage="0" equalAverage="0" bottom="0" percent="0" rank="0" text="" dxfId="7">
      <formula>0</formula>
    </cfRule>
  </conditionalFormatting>
  <conditionalFormatting sqref="K744">
    <cfRule type="cellIs" priority="2955" operator="greaterThan" aboveAverage="0" equalAverage="0" bottom="0" percent="0" rank="0" text="" dxfId="7">
      <formula>0</formula>
    </cfRule>
  </conditionalFormatting>
  <conditionalFormatting sqref="N744">
    <cfRule type="cellIs" priority="2956" operator="greaterThan" aboveAverage="0" equalAverage="0" bottom="0" percent="0" rank="0" text="" dxfId="7">
      <formula>0</formula>
    </cfRule>
    <cfRule type="cellIs" priority="2957" operator="lessThan" aboveAverage="0" equalAverage="0" bottom="0" percent="0" rank="0" text="" dxfId="8">
      <formula>0</formula>
    </cfRule>
  </conditionalFormatting>
  <conditionalFormatting sqref="I745">
    <cfRule type="cellIs" priority="2958" operator="greaterThan" aboveAverage="0" equalAverage="0" bottom="0" percent="0" rank="0" text="" dxfId="7">
      <formula>0</formula>
    </cfRule>
  </conditionalFormatting>
  <conditionalFormatting sqref="K745">
    <cfRule type="cellIs" priority="2959" operator="greaterThan" aboveAverage="0" equalAverage="0" bottom="0" percent="0" rank="0" text="" dxfId="7">
      <formula>0</formula>
    </cfRule>
  </conditionalFormatting>
  <conditionalFormatting sqref="N745">
    <cfRule type="cellIs" priority="2960" operator="greaterThan" aboveAverage="0" equalAverage="0" bottom="0" percent="0" rank="0" text="" dxfId="7">
      <formula>0</formula>
    </cfRule>
    <cfRule type="cellIs" priority="2961" operator="lessThan" aboveAverage="0" equalAverage="0" bottom="0" percent="0" rank="0" text="" dxfId="8">
      <formula>0</formula>
    </cfRule>
  </conditionalFormatting>
  <conditionalFormatting sqref="I746">
    <cfRule type="cellIs" priority="2962" operator="greaterThan" aboveAverage="0" equalAverage="0" bottom="0" percent="0" rank="0" text="" dxfId="7">
      <formula>0</formula>
    </cfRule>
  </conditionalFormatting>
  <conditionalFormatting sqref="K746">
    <cfRule type="cellIs" priority="2963" operator="greaterThan" aboveAverage="0" equalAverage="0" bottom="0" percent="0" rank="0" text="" dxfId="7">
      <formula>0</formula>
    </cfRule>
  </conditionalFormatting>
  <conditionalFormatting sqref="N746">
    <cfRule type="cellIs" priority="2964" operator="greaterThan" aboveAverage="0" equalAverage="0" bottom="0" percent="0" rank="0" text="" dxfId="7">
      <formula>0</formula>
    </cfRule>
    <cfRule type="cellIs" priority="2965" operator="lessThan" aboveAverage="0" equalAverage="0" bottom="0" percent="0" rank="0" text="" dxfId="8">
      <formula>0</formula>
    </cfRule>
  </conditionalFormatting>
  <conditionalFormatting sqref="I747">
    <cfRule type="cellIs" priority="2966" operator="greaterThan" aboveAverage="0" equalAverage="0" bottom="0" percent="0" rank="0" text="" dxfId="7">
      <formula>0</formula>
    </cfRule>
  </conditionalFormatting>
  <conditionalFormatting sqref="K747">
    <cfRule type="cellIs" priority="2967" operator="greaterThan" aboveAverage="0" equalAverage="0" bottom="0" percent="0" rank="0" text="" dxfId="7">
      <formula>0</formula>
    </cfRule>
  </conditionalFormatting>
  <conditionalFormatting sqref="N747">
    <cfRule type="cellIs" priority="2968" operator="greaterThan" aboveAverage="0" equalAverage="0" bottom="0" percent="0" rank="0" text="" dxfId="7">
      <formula>0</formula>
    </cfRule>
    <cfRule type="cellIs" priority="2969" operator="lessThan" aboveAverage="0" equalAverage="0" bottom="0" percent="0" rank="0" text="" dxfId="8">
      <formula>0</formula>
    </cfRule>
  </conditionalFormatting>
  <conditionalFormatting sqref="I748">
    <cfRule type="cellIs" priority="2970" operator="greaterThan" aboveAverage="0" equalAverage="0" bottom="0" percent="0" rank="0" text="" dxfId="7">
      <formula>0</formula>
    </cfRule>
  </conditionalFormatting>
  <conditionalFormatting sqref="K748">
    <cfRule type="cellIs" priority="2971" operator="greaterThan" aboveAverage="0" equalAverage="0" bottom="0" percent="0" rank="0" text="" dxfId="7">
      <formula>0</formula>
    </cfRule>
  </conditionalFormatting>
  <conditionalFormatting sqref="N748">
    <cfRule type="cellIs" priority="2972" operator="greaterThan" aboveAverage="0" equalAverage="0" bottom="0" percent="0" rank="0" text="" dxfId="7">
      <formula>0</formula>
    </cfRule>
    <cfRule type="cellIs" priority="2973" operator="lessThan" aboveAverage="0" equalAverage="0" bottom="0" percent="0" rank="0" text="" dxfId="8">
      <formula>0</formula>
    </cfRule>
  </conditionalFormatting>
  <conditionalFormatting sqref="I749">
    <cfRule type="cellIs" priority="2974" operator="greaterThan" aboveAverage="0" equalAverage="0" bottom="0" percent="0" rank="0" text="" dxfId="7">
      <formula>0</formula>
    </cfRule>
  </conditionalFormatting>
  <conditionalFormatting sqref="K749">
    <cfRule type="cellIs" priority="2975" operator="greaterThan" aboveAverage="0" equalAverage="0" bottom="0" percent="0" rank="0" text="" dxfId="7">
      <formula>0</formula>
    </cfRule>
  </conditionalFormatting>
  <conditionalFormatting sqref="N749">
    <cfRule type="cellIs" priority="2976" operator="greaterThan" aboveAverage="0" equalAverage="0" bottom="0" percent="0" rank="0" text="" dxfId="7">
      <formula>0</formula>
    </cfRule>
    <cfRule type="cellIs" priority="2977" operator="lessThan" aboveAverage="0" equalAverage="0" bottom="0" percent="0" rank="0" text="" dxfId="8">
      <formula>0</formula>
    </cfRule>
  </conditionalFormatting>
  <conditionalFormatting sqref="I750">
    <cfRule type="cellIs" priority="2978" operator="greaterThan" aboveAverage="0" equalAverage="0" bottom="0" percent="0" rank="0" text="" dxfId="7">
      <formula>0</formula>
    </cfRule>
  </conditionalFormatting>
  <conditionalFormatting sqref="K750">
    <cfRule type="cellIs" priority="2979" operator="greaterThan" aboveAverage="0" equalAverage="0" bottom="0" percent="0" rank="0" text="" dxfId="7">
      <formula>0</formula>
    </cfRule>
  </conditionalFormatting>
  <conditionalFormatting sqref="N750">
    <cfRule type="cellIs" priority="2980" operator="greaterThan" aboveAverage="0" equalAverage="0" bottom="0" percent="0" rank="0" text="" dxfId="7">
      <formula>0</formula>
    </cfRule>
    <cfRule type="cellIs" priority="2981" operator="lessThan" aboveAverage="0" equalAverage="0" bottom="0" percent="0" rank="0" text="" dxfId="8">
      <formula>0</formula>
    </cfRule>
  </conditionalFormatting>
  <conditionalFormatting sqref="I751">
    <cfRule type="cellIs" priority="2982" operator="greaterThan" aboveAverage="0" equalAverage="0" bottom="0" percent="0" rank="0" text="" dxfId="7">
      <formula>0</formula>
    </cfRule>
  </conditionalFormatting>
  <conditionalFormatting sqref="K751">
    <cfRule type="cellIs" priority="2983" operator="greaterThan" aboveAverage="0" equalAverage="0" bottom="0" percent="0" rank="0" text="" dxfId="7">
      <formula>0</formula>
    </cfRule>
  </conditionalFormatting>
  <conditionalFormatting sqref="N751">
    <cfRule type="cellIs" priority="2984" operator="greaterThan" aboveAverage="0" equalAverage="0" bottom="0" percent="0" rank="0" text="" dxfId="7">
      <formula>0</formula>
    </cfRule>
    <cfRule type="cellIs" priority="2985" operator="lessThan" aboveAverage="0" equalAverage="0" bottom="0" percent="0" rank="0" text="" dxfId="8">
      <formula>0</formula>
    </cfRule>
  </conditionalFormatting>
  <conditionalFormatting sqref="I752">
    <cfRule type="cellIs" priority="2986" operator="greaterThan" aboveAverage="0" equalAverage="0" bottom="0" percent="0" rank="0" text="" dxfId="7">
      <formula>0</formula>
    </cfRule>
  </conditionalFormatting>
  <conditionalFormatting sqref="K752">
    <cfRule type="cellIs" priority="2987" operator="greaterThan" aboveAverage="0" equalAverage="0" bottom="0" percent="0" rank="0" text="" dxfId="7">
      <formula>0</formula>
    </cfRule>
  </conditionalFormatting>
  <conditionalFormatting sqref="N752">
    <cfRule type="cellIs" priority="2988" operator="greaterThan" aboveAverage="0" equalAverage="0" bottom="0" percent="0" rank="0" text="" dxfId="7">
      <formula>0</formula>
    </cfRule>
    <cfRule type="cellIs" priority="2989" operator="lessThan" aboveAverage="0" equalAverage="0" bottom="0" percent="0" rank="0" text="" dxfId="8">
      <formula>0</formula>
    </cfRule>
  </conditionalFormatting>
  <conditionalFormatting sqref="I753">
    <cfRule type="cellIs" priority="2990" operator="greaterThan" aboveAverage="0" equalAverage="0" bottom="0" percent="0" rank="0" text="" dxfId="7">
      <formula>0</formula>
    </cfRule>
  </conditionalFormatting>
  <conditionalFormatting sqref="K753">
    <cfRule type="cellIs" priority="2991" operator="greaterThan" aboveAverage="0" equalAverage="0" bottom="0" percent="0" rank="0" text="" dxfId="7">
      <formula>0</formula>
    </cfRule>
  </conditionalFormatting>
  <conditionalFormatting sqref="N753">
    <cfRule type="cellIs" priority="2992" operator="greaterThan" aboveAverage="0" equalAverage="0" bottom="0" percent="0" rank="0" text="" dxfId="7">
      <formula>0</formula>
    </cfRule>
    <cfRule type="cellIs" priority="2993" operator="lessThan" aboveAverage="0" equalAverage="0" bottom="0" percent="0" rank="0" text="" dxfId="8">
      <formula>0</formula>
    </cfRule>
  </conditionalFormatting>
  <conditionalFormatting sqref="I754">
    <cfRule type="cellIs" priority="2994" operator="greaterThan" aboveAverage="0" equalAverage="0" bottom="0" percent="0" rank="0" text="" dxfId="7">
      <formula>0</formula>
    </cfRule>
  </conditionalFormatting>
  <conditionalFormatting sqref="K754">
    <cfRule type="cellIs" priority="2995" operator="greaterThan" aboveAverage="0" equalAverage="0" bottom="0" percent="0" rank="0" text="" dxfId="7">
      <formula>0</formula>
    </cfRule>
  </conditionalFormatting>
  <conditionalFormatting sqref="N754">
    <cfRule type="cellIs" priority="2996" operator="greaterThan" aboveAverage="0" equalAverage="0" bottom="0" percent="0" rank="0" text="" dxfId="7">
      <formula>0</formula>
    </cfRule>
    <cfRule type="cellIs" priority="2997" operator="lessThan" aboveAverage="0" equalAverage="0" bottom="0" percent="0" rank="0" text="" dxfId="8">
      <formula>0</formula>
    </cfRule>
  </conditionalFormatting>
  <conditionalFormatting sqref="I755">
    <cfRule type="cellIs" priority="2998" operator="greaterThan" aboveAverage="0" equalAverage="0" bottom="0" percent="0" rank="0" text="" dxfId="7">
      <formula>0</formula>
    </cfRule>
  </conditionalFormatting>
  <conditionalFormatting sqref="K755">
    <cfRule type="cellIs" priority="2999" operator="greaterThan" aboveAverage="0" equalAverage="0" bottom="0" percent="0" rank="0" text="" dxfId="7">
      <formula>0</formula>
    </cfRule>
  </conditionalFormatting>
  <conditionalFormatting sqref="N755">
    <cfRule type="cellIs" priority="3000" operator="greaterThan" aboveAverage="0" equalAverage="0" bottom="0" percent="0" rank="0" text="" dxfId="7">
      <formula>0</formula>
    </cfRule>
    <cfRule type="cellIs" priority="3001" operator="lessThan" aboveAverage="0" equalAverage="0" bottom="0" percent="0" rank="0" text="" dxfId="8">
      <formula>0</formula>
    </cfRule>
  </conditionalFormatting>
  <conditionalFormatting sqref="I756">
    <cfRule type="cellIs" priority="3002" operator="greaterThan" aboveAverage="0" equalAverage="0" bottom="0" percent="0" rank="0" text="" dxfId="7">
      <formula>0</formula>
    </cfRule>
  </conditionalFormatting>
  <conditionalFormatting sqref="K756">
    <cfRule type="cellIs" priority="3003" operator="greaterThan" aboveAverage="0" equalAverage="0" bottom="0" percent="0" rank="0" text="" dxfId="7">
      <formula>0</formula>
    </cfRule>
  </conditionalFormatting>
  <conditionalFormatting sqref="N756">
    <cfRule type="cellIs" priority="3004" operator="greaterThan" aboveAverage="0" equalAverage="0" bottom="0" percent="0" rank="0" text="" dxfId="7">
      <formula>0</formula>
    </cfRule>
    <cfRule type="cellIs" priority="3005" operator="lessThan" aboveAverage="0" equalAverage="0" bottom="0" percent="0" rank="0" text="" dxfId="8">
      <formula>0</formula>
    </cfRule>
  </conditionalFormatting>
  <conditionalFormatting sqref="I757">
    <cfRule type="cellIs" priority="3006" operator="greaterThan" aboveAverage="0" equalAverage="0" bottom="0" percent="0" rank="0" text="" dxfId="7">
      <formula>0</formula>
    </cfRule>
  </conditionalFormatting>
  <conditionalFormatting sqref="K757">
    <cfRule type="cellIs" priority="3007" operator="greaterThan" aboveAverage="0" equalAverage="0" bottom="0" percent="0" rank="0" text="" dxfId="7">
      <formula>0</formula>
    </cfRule>
  </conditionalFormatting>
  <conditionalFormatting sqref="N757">
    <cfRule type="cellIs" priority="3008" operator="greaterThan" aboveAverage="0" equalAverage="0" bottom="0" percent="0" rank="0" text="" dxfId="7">
      <formula>0</formula>
    </cfRule>
    <cfRule type="cellIs" priority="3009" operator="lessThan" aboveAverage="0" equalAverage="0" bottom="0" percent="0" rank="0" text="" dxfId="8">
      <formula>0</formula>
    </cfRule>
  </conditionalFormatting>
  <conditionalFormatting sqref="I758">
    <cfRule type="cellIs" priority="3010" operator="greaterThan" aboveAverage="0" equalAverage="0" bottom="0" percent="0" rank="0" text="" dxfId="7">
      <formula>0</formula>
    </cfRule>
  </conditionalFormatting>
  <conditionalFormatting sqref="K758">
    <cfRule type="cellIs" priority="3011" operator="greaterThan" aboveAverage="0" equalAverage="0" bottom="0" percent="0" rank="0" text="" dxfId="7">
      <formula>0</formula>
    </cfRule>
  </conditionalFormatting>
  <conditionalFormatting sqref="N758">
    <cfRule type="cellIs" priority="3012" operator="greaterThan" aboveAverage="0" equalAverage="0" bottom="0" percent="0" rank="0" text="" dxfId="7">
      <formula>0</formula>
    </cfRule>
    <cfRule type="cellIs" priority="3013" operator="lessThan" aboveAverage="0" equalAverage="0" bottom="0" percent="0" rank="0" text="" dxfId="8">
      <formula>0</formula>
    </cfRule>
  </conditionalFormatting>
  <conditionalFormatting sqref="I759">
    <cfRule type="cellIs" priority="3014" operator="greaterThan" aboveAverage="0" equalAverage="0" bottom="0" percent="0" rank="0" text="" dxfId="7">
      <formula>0</formula>
    </cfRule>
  </conditionalFormatting>
  <conditionalFormatting sqref="K759">
    <cfRule type="cellIs" priority="3015" operator="greaterThan" aboveAverage="0" equalAverage="0" bottom="0" percent="0" rank="0" text="" dxfId="7">
      <formula>0</formula>
    </cfRule>
  </conditionalFormatting>
  <conditionalFormatting sqref="N759">
    <cfRule type="cellIs" priority="3016" operator="greaterThan" aboveAverage="0" equalAverage="0" bottom="0" percent="0" rank="0" text="" dxfId="7">
      <formula>0</formula>
    </cfRule>
    <cfRule type="cellIs" priority="3017" operator="lessThan" aboveAverage="0" equalAverage="0" bottom="0" percent="0" rank="0" text="" dxfId="8">
      <formula>0</formula>
    </cfRule>
  </conditionalFormatting>
  <conditionalFormatting sqref="I760">
    <cfRule type="cellIs" priority="3018" operator="greaterThan" aboveAverage="0" equalAverage="0" bottom="0" percent="0" rank="0" text="" dxfId="7">
      <formula>0</formula>
    </cfRule>
  </conditionalFormatting>
  <conditionalFormatting sqref="K760">
    <cfRule type="cellIs" priority="3019" operator="greaterThan" aboveAverage="0" equalAverage="0" bottom="0" percent="0" rank="0" text="" dxfId="7">
      <formula>0</formula>
    </cfRule>
  </conditionalFormatting>
  <conditionalFormatting sqref="N760">
    <cfRule type="cellIs" priority="3020" operator="greaterThan" aboveAverage="0" equalAverage="0" bottom="0" percent="0" rank="0" text="" dxfId="7">
      <formula>0</formula>
    </cfRule>
    <cfRule type="cellIs" priority="3021" operator="lessThan" aboveAverage="0" equalAverage="0" bottom="0" percent="0" rank="0" text="" dxfId="8">
      <formula>0</formula>
    </cfRule>
  </conditionalFormatting>
  <conditionalFormatting sqref="I761">
    <cfRule type="cellIs" priority="3022" operator="greaterThan" aboveAverage="0" equalAverage="0" bottom="0" percent="0" rank="0" text="" dxfId="7">
      <formula>0</formula>
    </cfRule>
  </conditionalFormatting>
  <conditionalFormatting sqref="K761">
    <cfRule type="cellIs" priority="3023" operator="greaterThan" aboveAverage="0" equalAverage="0" bottom="0" percent="0" rank="0" text="" dxfId="7">
      <formula>0</formula>
    </cfRule>
  </conditionalFormatting>
  <conditionalFormatting sqref="N761">
    <cfRule type="cellIs" priority="3024" operator="greaterThan" aboveAverage="0" equalAverage="0" bottom="0" percent="0" rank="0" text="" dxfId="7">
      <formula>0</formula>
    </cfRule>
    <cfRule type="cellIs" priority="3025" operator="lessThan" aboveAverage="0" equalAverage="0" bottom="0" percent="0" rank="0" text="" dxfId="8">
      <formula>0</formula>
    </cfRule>
  </conditionalFormatting>
  <conditionalFormatting sqref="I762">
    <cfRule type="cellIs" priority="3026" operator="greaterThan" aboveAverage="0" equalAverage="0" bottom="0" percent="0" rank="0" text="" dxfId="7">
      <formula>0</formula>
    </cfRule>
  </conditionalFormatting>
  <conditionalFormatting sqref="K762">
    <cfRule type="cellIs" priority="3027" operator="greaterThan" aboveAverage="0" equalAverage="0" bottom="0" percent="0" rank="0" text="" dxfId="7">
      <formula>0</formula>
    </cfRule>
  </conditionalFormatting>
  <conditionalFormatting sqref="N762">
    <cfRule type="cellIs" priority="3028" operator="greaterThan" aboveAverage="0" equalAverage="0" bottom="0" percent="0" rank="0" text="" dxfId="7">
      <formula>0</formula>
    </cfRule>
    <cfRule type="cellIs" priority="3029" operator="lessThan" aboveAverage="0" equalAverage="0" bottom="0" percent="0" rank="0" text="" dxfId="8">
      <formula>0</formula>
    </cfRule>
  </conditionalFormatting>
  <conditionalFormatting sqref="I763">
    <cfRule type="cellIs" priority="3030" operator="greaterThan" aboveAverage="0" equalAverage="0" bottom="0" percent="0" rank="0" text="" dxfId="7">
      <formula>0</formula>
    </cfRule>
  </conditionalFormatting>
  <conditionalFormatting sqref="K763">
    <cfRule type="cellIs" priority="3031" operator="greaterThan" aboveAverage="0" equalAverage="0" bottom="0" percent="0" rank="0" text="" dxfId="7">
      <formula>0</formula>
    </cfRule>
  </conditionalFormatting>
  <conditionalFormatting sqref="N763">
    <cfRule type="cellIs" priority="3032" operator="greaterThan" aboveAverage="0" equalAverage="0" bottom="0" percent="0" rank="0" text="" dxfId="7">
      <formula>0</formula>
    </cfRule>
    <cfRule type="cellIs" priority="3033" operator="lessThan" aboveAverage="0" equalAverage="0" bottom="0" percent="0" rank="0" text="" dxfId="8">
      <formula>0</formula>
    </cfRule>
  </conditionalFormatting>
  <conditionalFormatting sqref="I764">
    <cfRule type="cellIs" priority="3034" operator="greaterThan" aboveAverage="0" equalAverage="0" bottom="0" percent="0" rank="0" text="" dxfId="7">
      <formula>0</formula>
    </cfRule>
  </conditionalFormatting>
  <conditionalFormatting sqref="K764">
    <cfRule type="cellIs" priority="3035" operator="greaterThan" aboveAverage="0" equalAverage="0" bottom="0" percent="0" rank="0" text="" dxfId="7">
      <formula>0</formula>
    </cfRule>
  </conditionalFormatting>
  <conditionalFormatting sqref="N764">
    <cfRule type="cellIs" priority="3036" operator="greaterThan" aboveAverage="0" equalAverage="0" bottom="0" percent="0" rank="0" text="" dxfId="7">
      <formula>0</formula>
    </cfRule>
    <cfRule type="cellIs" priority="3037" operator="lessThan" aboveAverage="0" equalAverage="0" bottom="0" percent="0" rank="0" text="" dxfId="8">
      <formula>0</formula>
    </cfRule>
  </conditionalFormatting>
  <conditionalFormatting sqref="I765">
    <cfRule type="cellIs" priority="3038" operator="greaterThan" aboveAverage="0" equalAverage="0" bottom="0" percent="0" rank="0" text="" dxfId="7">
      <formula>0</formula>
    </cfRule>
  </conditionalFormatting>
  <conditionalFormatting sqref="K765">
    <cfRule type="cellIs" priority="3039" operator="greaterThan" aboveAverage="0" equalAverage="0" bottom="0" percent="0" rank="0" text="" dxfId="7">
      <formula>0</formula>
    </cfRule>
  </conditionalFormatting>
  <conditionalFormatting sqref="N765">
    <cfRule type="cellIs" priority="3040" operator="greaterThan" aboveAverage="0" equalAverage="0" bottom="0" percent="0" rank="0" text="" dxfId="7">
      <formula>0</formula>
    </cfRule>
    <cfRule type="cellIs" priority="3041" operator="lessThan" aboveAverage="0" equalAverage="0" bottom="0" percent="0" rank="0" text="" dxfId="8">
      <formula>0</formula>
    </cfRule>
  </conditionalFormatting>
  <conditionalFormatting sqref="I766">
    <cfRule type="cellIs" priority="3042" operator="greaterThan" aboveAverage="0" equalAverage="0" bottom="0" percent="0" rank="0" text="" dxfId="7">
      <formula>0</formula>
    </cfRule>
  </conditionalFormatting>
  <conditionalFormatting sqref="K766">
    <cfRule type="cellIs" priority="3043" operator="greaterThan" aboveAverage="0" equalAverage="0" bottom="0" percent="0" rank="0" text="" dxfId="7">
      <formula>0</formula>
    </cfRule>
  </conditionalFormatting>
  <conditionalFormatting sqref="N766">
    <cfRule type="cellIs" priority="3044" operator="greaterThan" aboveAverage="0" equalAverage="0" bottom="0" percent="0" rank="0" text="" dxfId="7">
      <formula>0</formula>
    </cfRule>
    <cfRule type="cellIs" priority="3045" operator="lessThan" aboveAverage="0" equalAverage="0" bottom="0" percent="0" rank="0" text="" dxfId="8">
      <formula>0</formula>
    </cfRule>
  </conditionalFormatting>
  <conditionalFormatting sqref="I767">
    <cfRule type="cellIs" priority="3046" operator="greaterThan" aboveAverage="0" equalAverage="0" bottom="0" percent="0" rank="0" text="" dxfId="7">
      <formula>0</formula>
    </cfRule>
  </conditionalFormatting>
  <conditionalFormatting sqref="K767">
    <cfRule type="cellIs" priority="3047" operator="greaterThan" aboveAverage="0" equalAverage="0" bottom="0" percent="0" rank="0" text="" dxfId="7">
      <formula>0</formula>
    </cfRule>
  </conditionalFormatting>
  <conditionalFormatting sqref="N767">
    <cfRule type="cellIs" priority="3048" operator="greaterThan" aboveAverage="0" equalAverage="0" bottom="0" percent="0" rank="0" text="" dxfId="7">
      <formula>0</formula>
    </cfRule>
    <cfRule type="cellIs" priority="3049" operator="lessThan" aboveAverage="0" equalAverage="0" bottom="0" percent="0" rank="0" text="" dxfId="8">
      <formula>0</formula>
    </cfRule>
  </conditionalFormatting>
  <conditionalFormatting sqref="I768">
    <cfRule type="cellIs" priority="3050" operator="greaterThan" aboveAverage="0" equalAverage="0" bottom="0" percent="0" rank="0" text="" dxfId="7">
      <formula>0</formula>
    </cfRule>
  </conditionalFormatting>
  <conditionalFormatting sqref="K768">
    <cfRule type="cellIs" priority="3051" operator="greaterThan" aboveAverage="0" equalAverage="0" bottom="0" percent="0" rank="0" text="" dxfId="7">
      <formula>0</formula>
    </cfRule>
  </conditionalFormatting>
  <conditionalFormatting sqref="N768">
    <cfRule type="cellIs" priority="3052" operator="greaterThan" aboveAverage="0" equalAverage="0" bottom="0" percent="0" rank="0" text="" dxfId="7">
      <formula>0</formula>
    </cfRule>
    <cfRule type="cellIs" priority="3053" operator="lessThan" aboveAverage="0" equalAverage="0" bottom="0" percent="0" rank="0" text="" dxfId="8">
      <formula>0</formula>
    </cfRule>
  </conditionalFormatting>
  <conditionalFormatting sqref="I769">
    <cfRule type="cellIs" priority="3054" operator="greaterThan" aboveAverage="0" equalAverage="0" bottom="0" percent="0" rank="0" text="" dxfId="7">
      <formula>0</formula>
    </cfRule>
  </conditionalFormatting>
  <conditionalFormatting sqref="K769">
    <cfRule type="cellIs" priority="3055" operator="greaterThan" aboveAverage="0" equalAverage="0" bottom="0" percent="0" rank="0" text="" dxfId="7">
      <formula>0</formula>
    </cfRule>
  </conditionalFormatting>
  <conditionalFormatting sqref="N769">
    <cfRule type="cellIs" priority="3056" operator="greaterThan" aboveAverage="0" equalAverage="0" bottom="0" percent="0" rank="0" text="" dxfId="7">
      <formula>0</formula>
    </cfRule>
    <cfRule type="cellIs" priority="3057" operator="lessThan" aboveAverage="0" equalAverage="0" bottom="0" percent="0" rank="0" text="" dxfId="8">
      <formula>0</formula>
    </cfRule>
  </conditionalFormatting>
  <conditionalFormatting sqref="I770">
    <cfRule type="cellIs" priority="3058" operator="greaterThan" aboveAverage="0" equalAverage="0" bottom="0" percent="0" rank="0" text="" dxfId="7">
      <formula>0</formula>
    </cfRule>
  </conditionalFormatting>
  <conditionalFormatting sqref="K770">
    <cfRule type="cellIs" priority="3059" operator="greaterThan" aboveAverage="0" equalAverage="0" bottom="0" percent="0" rank="0" text="" dxfId="7">
      <formula>0</formula>
    </cfRule>
  </conditionalFormatting>
  <conditionalFormatting sqref="N770">
    <cfRule type="cellIs" priority="3060" operator="greaterThan" aboveAverage="0" equalAverage="0" bottom="0" percent="0" rank="0" text="" dxfId="7">
      <formula>0</formula>
    </cfRule>
    <cfRule type="cellIs" priority="3061" operator="lessThan" aboveAverage="0" equalAverage="0" bottom="0" percent="0" rank="0" text="" dxfId="8">
      <formula>0</formula>
    </cfRule>
  </conditionalFormatting>
  <conditionalFormatting sqref="I771">
    <cfRule type="cellIs" priority="3062" operator="greaterThan" aboveAverage="0" equalAverage="0" bottom="0" percent="0" rank="0" text="" dxfId="7">
      <formula>0</formula>
    </cfRule>
  </conditionalFormatting>
  <conditionalFormatting sqref="K771">
    <cfRule type="cellIs" priority="3063" operator="greaterThan" aboveAverage="0" equalAverage="0" bottom="0" percent="0" rank="0" text="" dxfId="7">
      <formula>0</formula>
    </cfRule>
  </conditionalFormatting>
  <conditionalFormatting sqref="N771">
    <cfRule type="cellIs" priority="3064" operator="greaterThan" aboveAverage="0" equalAverage="0" bottom="0" percent="0" rank="0" text="" dxfId="7">
      <formula>0</formula>
    </cfRule>
    <cfRule type="cellIs" priority="3065" operator="lessThan" aboveAverage="0" equalAverage="0" bottom="0" percent="0" rank="0" text="" dxfId="8">
      <formula>0</formula>
    </cfRule>
  </conditionalFormatting>
  <conditionalFormatting sqref="I772">
    <cfRule type="cellIs" priority="3066" operator="greaterThan" aboveAverage="0" equalAverage="0" bottom="0" percent="0" rank="0" text="" dxfId="7">
      <formula>0</formula>
    </cfRule>
  </conditionalFormatting>
  <conditionalFormatting sqref="K772">
    <cfRule type="cellIs" priority="3067" operator="greaterThan" aboveAverage="0" equalAverage="0" bottom="0" percent="0" rank="0" text="" dxfId="7">
      <formula>0</formula>
    </cfRule>
  </conditionalFormatting>
  <conditionalFormatting sqref="N772">
    <cfRule type="cellIs" priority="3068" operator="greaterThan" aboveAverage="0" equalAverage="0" bottom="0" percent="0" rank="0" text="" dxfId="7">
      <formula>0</formula>
    </cfRule>
    <cfRule type="cellIs" priority="3069" operator="lessThan" aboveAverage="0" equalAverage="0" bottom="0" percent="0" rank="0" text="" dxfId="8">
      <formula>0</formula>
    </cfRule>
  </conditionalFormatting>
  <conditionalFormatting sqref="I773">
    <cfRule type="cellIs" priority="3070" operator="greaterThan" aboveAverage="0" equalAverage="0" bottom="0" percent="0" rank="0" text="" dxfId="7">
      <formula>0</formula>
    </cfRule>
  </conditionalFormatting>
  <conditionalFormatting sqref="K773">
    <cfRule type="cellIs" priority="3071" operator="greaterThan" aboveAverage="0" equalAverage="0" bottom="0" percent="0" rank="0" text="" dxfId="7">
      <formula>0</formula>
    </cfRule>
  </conditionalFormatting>
  <conditionalFormatting sqref="N773">
    <cfRule type="cellIs" priority="3072" operator="greaterThan" aboveAverage="0" equalAverage="0" bottom="0" percent="0" rank="0" text="" dxfId="7">
      <formula>0</formula>
    </cfRule>
    <cfRule type="cellIs" priority="3073" operator="lessThan" aboveAverage="0" equalAverage="0" bottom="0" percent="0" rank="0" text="" dxfId="8">
      <formula>0</formula>
    </cfRule>
  </conditionalFormatting>
  <conditionalFormatting sqref="I774">
    <cfRule type="cellIs" priority="3074" operator="greaterThan" aboveAverage="0" equalAverage="0" bottom="0" percent="0" rank="0" text="" dxfId="7">
      <formula>0</formula>
    </cfRule>
  </conditionalFormatting>
  <conditionalFormatting sqref="K774">
    <cfRule type="cellIs" priority="3075" operator="greaterThan" aboveAverage="0" equalAverage="0" bottom="0" percent="0" rank="0" text="" dxfId="7">
      <formula>0</formula>
    </cfRule>
  </conditionalFormatting>
  <conditionalFormatting sqref="N774">
    <cfRule type="cellIs" priority="3076" operator="greaterThan" aboveAverage="0" equalAverage="0" bottom="0" percent="0" rank="0" text="" dxfId="7">
      <formula>0</formula>
    </cfRule>
    <cfRule type="cellIs" priority="3077" operator="lessThan" aboveAverage="0" equalAverage="0" bottom="0" percent="0" rank="0" text="" dxfId="8">
      <formula>0</formula>
    </cfRule>
  </conditionalFormatting>
  <conditionalFormatting sqref="I775">
    <cfRule type="cellIs" priority="3078" operator="greaterThan" aboveAverage="0" equalAverage="0" bottom="0" percent="0" rank="0" text="" dxfId="7">
      <formula>0</formula>
    </cfRule>
  </conditionalFormatting>
  <conditionalFormatting sqref="K775">
    <cfRule type="cellIs" priority="3079" operator="greaterThan" aboveAverage="0" equalAverage="0" bottom="0" percent="0" rank="0" text="" dxfId="7">
      <formula>0</formula>
    </cfRule>
  </conditionalFormatting>
  <conditionalFormatting sqref="N775">
    <cfRule type="cellIs" priority="3080" operator="greaterThan" aboveAverage="0" equalAverage="0" bottom="0" percent="0" rank="0" text="" dxfId="7">
      <formula>0</formula>
    </cfRule>
    <cfRule type="cellIs" priority="3081" operator="lessThan" aboveAverage="0" equalAverage="0" bottom="0" percent="0" rank="0" text="" dxfId="8">
      <formula>0</formula>
    </cfRule>
  </conditionalFormatting>
  <conditionalFormatting sqref="I776">
    <cfRule type="cellIs" priority="3082" operator="greaterThan" aboveAverage="0" equalAverage="0" bottom="0" percent="0" rank="0" text="" dxfId="7">
      <formula>0</formula>
    </cfRule>
  </conditionalFormatting>
  <conditionalFormatting sqref="K776">
    <cfRule type="cellIs" priority="3083" operator="greaterThan" aboveAverage="0" equalAverage="0" bottom="0" percent="0" rank="0" text="" dxfId="7">
      <formula>0</formula>
    </cfRule>
  </conditionalFormatting>
  <conditionalFormatting sqref="N776">
    <cfRule type="cellIs" priority="3084" operator="greaterThan" aboveAverage="0" equalAverage="0" bottom="0" percent="0" rank="0" text="" dxfId="7">
      <formula>0</formula>
    </cfRule>
    <cfRule type="cellIs" priority="3085" operator="lessThan" aboveAverage="0" equalAverage="0" bottom="0" percent="0" rank="0" text="" dxfId="8">
      <formula>0</formula>
    </cfRule>
  </conditionalFormatting>
  <conditionalFormatting sqref="I777">
    <cfRule type="cellIs" priority="3086" operator="greaterThan" aboveAverage="0" equalAverage="0" bottom="0" percent="0" rank="0" text="" dxfId="7">
      <formula>0</formula>
    </cfRule>
  </conditionalFormatting>
  <conditionalFormatting sqref="K777">
    <cfRule type="cellIs" priority="3087" operator="greaterThan" aboveAverage="0" equalAverage="0" bottom="0" percent="0" rank="0" text="" dxfId="7">
      <formula>0</formula>
    </cfRule>
  </conditionalFormatting>
  <conditionalFormatting sqref="N777">
    <cfRule type="cellIs" priority="3088" operator="greaterThan" aboveAverage="0" equalAverage="0" bottom="0" percent="0" rank="0" text="" dxfId="7">
      <formula>0</formula>
    </cfRule>
    <cfRule type="cellIs" priority="3089" operator="lessThan" aboveAverage="0" equalAverage="0" bottom="0" percent="0" rank="0" text="" dxfId="8">
      <formula>0</formula>
    </cfRule>
  </conditionalFormatting>
  <conditionalFormatting sqref="I778">
    <cfRule type="cellIs" priority="3090" operator="greaterThan" aboveAverage="0" equalAverage="0" bottom="0" percent="0" rank="0" text="" dxfId="7">
      <formula>0</formula>
    </cfRule>
  </conditionalFormatting>
  <conditionalFormatting sqref="K778">
    <cfRule type="cellIs" priority="3091" operator="greaterThan" aboveAverage="0" equalAverage="0" bottom="0" percent="0" rank="0" text="" dxfId="7">
      <formula>0</formula>
    </cfRule>
  </conditionalFormatting>
  <conditionalFormatting sqref="N778">
    <cfRule type="cellIs" priority="3092" operator="greaterThan" aboveAverage="0" equalAverage="0" bottom="0" percent="0" rank="0" text="" dxfId="7">
      <formula>0</formula>
    </cfRule>
    <cfRule type="cellIs" priority="3093" operator="lessThan" aboveAverage="0" equalAverage="0" bottom="0" percent="0" rank="0" text="" dxfId="8">
      <formula>0</formula>
    </cfRule>
  </conditionalFormatting>
  <conditionalFormatting sqref="I779">
    <cfRule type="cellIs" priority="3094" operator="greaterThan" aboveAverage="0" equalAverage="0" bottom="0" percent="0" rank="0" text="" dxfId="7">
      <formula>0</formula>
    </cfRule>
  </conditionalFormatting>
  <conditionalFormatting sqref="K779">
    <cfRule type="cellIs" priority="3095" operator="greaterThan" aboveAverage="0" equalAverage="0" bottom="0" percent="0" rank="0" text="" dxfId="7">
      <formula>0</formula>
    </cfRule>
  </conditionalFormatting>
  <conditionalFormatting sqref="N779">
    <cfRule type="cellIs" priority="3096" operator="greaterThan" aboveAverage="0" equalAverage="0" bottom="0" percent="0" rank="0" text="" dxfId="7">
      <formula>0</formula>
    </cfRule>
    <cfRule type="cellIs" priority="3097" operator="lessThan" aboveAverage="0" equalAverage="0" bottom="0" percent="0" rank="0" text="" dxfId="8">
      <formula>0</formula>
    </cfRule>
  </conditionalFormatting>
  <conditionalFormatting sqref="I780">
    <cfRule type="cellIs" priority="3098" operator="greaterThan" aboveAverage="0" equalAverage="0" bottom="0" percent="0" rank="0" text="" dxfId="7">
      <formula>0</formula>
    </cfRule>
  </conditionalFormatting>
  <conditionalFormatting sqref="K780">
    <cfRule type="cellIs" priority="3099" operator="greaterThan" aboveAverage="0" equalAverage="0" bottom="0" percent="0" rank="0" text="" dxfId="7">
      <formula>0</formula>
    </cfRule>
  </conditionalFormatting>
  <conditionalFormatting sqref="N780">
    <cfRule type="cellIs" priority="3100" operator="greaterThan" aboveAverage="0" equalAverage="0" bottom="0" percent="0" rank="0" text="" dxfId="7">
      <formula>0</formula>
    </cfRule>
    <cfRule type="cellIs" priority="3101" operator="lessThan" aboveAverage="0" equalAverage="0" bottom="0" percent="0" rank="0" text="" dxfId="8">
      <formula>0</formula>
    </cfRule>
  </conditionalFormatting>
  <conditionalFormatting sqref="I781">
    <cfRule type="cellIs" priority="3102" operator="greaterThan" aboveAverage="0" equalAverage="0" bottom="0" percent="0" rank="0" text="" dxfId="7">
      <formula>0</formula>
    </cfRule>
  </conditionalFormatting>
  <conditionalFormatting sqref="K781">
    <cfRule type="cellIs" priority="3103" operator="greaterThan" aboveAverage="0" equalAverage="0" bottom="0" percent="0" rank="0" text="" dxfId="7">
      <formula>0</formula>
    </cfRule>
  </conditionalFormatting>
  <conditionalFormatting sqref="N781">
    <cfRule type="cellIs" priority="3104" operator="greaterThan" aboveAverage="0" equalAverage="0" bottom="0" percent="0" rank="0" text="" dxfId="7">
      <formula>0</formula>
    </cfRule>
    <cfRule type="cellIs" priority="3105" operator="lessThan" aboveAverage="0" equalAverage="0" bottom="0" percent="0" rank="0" text="" dxfId="8">
      <formula>0</formula>
    </cfRule>
  </conditionalFormatting>
  <conditionalFormatting sqref="I782">
    <cfRule type="cellIs" priority="3106" operator="greaterThan" aboveAverage="0" equalAverage="0" bottom="0" percent="0" rank="0" text="" dxfId="7">
      <formula>0</formula>
    </cfRule>
  </conditionalFormatting>
  <conditionalFormatting sqref="K782">
    <cfRule type="cellIs" priority="3107" operator="greaterThan" aboveAverage="0" equalAverage="0" bottom="0" percent="0" rank="0" text="" dxfId="7">
      <formula>0</formula>
    </cfRule>
  </conditionalFormatting>
  <conditionalFormatting sqref="N782">
    <cfRule type="cellIs" priority="3108" operator="greaterThan" aboveAverage="0" equalAverage="0" bottom="0" percent="0" rank="0" text="" dxfId="7">
      <formula>0</formula>
    </cfRule>
    <cfRule type="cellIs" priority="3109" operator="lessThan" aboveAverage="0" equalAverage="0" bottom="0" percent="0" rank="0" text="" dxfId="8">
      <formula>0</formula>
    </cfRule>
  </conditionalFormatting>
  <conditionalFormatting sqref="I783">
    <cfRule type="cellIs" priority="3110" operator="greaterThan" aboveAverage="0" equalAverage="0" bottom="0" percent="0" rank="0" text="" dxfId="7">
      <formula>0</formula>
    </cfRule>
  </conditionalFormatting>
  <conditionalFormatting sqref="K783">
    <cfRule type="cellIs" priority="3111" operator="greaterThan" aboveAverage="0" equalAverage="0" bottom="0" percent="0" rank="0" text="" dxfId="7">
      <formula>0</formula>
    </cfRule>
  </conditionalFormatting>
  <conditionalFormatting sqref="N783">
    <cfRule type="cellIs" priority="3112" operator="greaterThan" aboveAverage="0" equalAverage="0" bottom="0" percent="0" rank="0" text="" dxfId="7">
      <formula>0</formula>
    </cfRule>
    <cfRule type="cellIs" priority="3113" operator="lessThan" aboveAverage="0" equalAverage="0" bottom="0" percent="0" rank="0" text="" dxfId="8">
      <formula>0</formula>
    </cfRule>
  </conditionalFormatting>
  <conditionalFormatting sqref="I784">
    <cfRule type="cellIs" priority="3114" operator="greaterThan" aboveAverage="0" equalAverage="0" bottom="0" percent="0" rank="0" text="" dxfId="7">
      <formula>0</formula>
    </cfRule>
  </conditionalFormatting>
  <conditionalFormatting sqref="K784">
    <cfRule type="cellIs" priority="3115" operator="greaterThan" aboveAverage="0" equalAverage="0" bottom="0" percent="0" rank="0" text="" dxfId="7">
      <formula>0</formula>
    </cfRule>
  </conditionalFormatting>
  <conditionalFormatting sqref="N784">
    <cfRule type="cellIs" priority="3116" operator="greaterThan" aboveAverage="0" equalAverage="0" bottom="0" percent="0" rank="0" text="" dxfId="7">
      <formula>0</formula>
    </cfRule>
    <cfRule type="cellIs" priority="3117" operator="lessThan" aboveAverage="0" equalAverage="0" bottom="0" percent="0" rank="0" text="" dxfId="8">
      <formula>0</formula>
    </cfRule>
  </conditionalFormatting>
  <conditionalFormatting sqref="I785">
    <cfRule type="cellIs" priority="3118" operator="greaterThan" aboveAverage="0" equalAverage="0" bottom="0" percent="0" rank="0" text="" dxfId="7">
      <formula>0</formula>
    </cfRule>
  </conditionalFormatting>
  <conditionalFormatting sqref="K785">
    <cfRule type="cellIs" priority="3119" operator="greaterThan" aboveAverage="0" equalAverage="0" bottom="0" percent="0" rank="0" text="" dxfId="7">
      <formula>0</formula>
    </cfRule>
  </conditionalFormatting>
  <conditionalFormatting sqref="N785">
    <cfRule type="cellIs" priority="3120" operator="greaterThan" aboveAverage="0" equalAverage="0" bottom="0" percent="0" rank="0" text="" dxfId="7">
      <formula>0</formula>
    </cfRule>
    <cfRule type="cellIs" priority="3121" operator="lessThan" aboveAverage="0" equalAverage="0" bottom="0" percent="0" rank="0" text="" dxfId="8">
      <formula>0</formula>
    </cfRule>
  </conditionalFormatting>
  <conditionalFormatting sqref="I786">
    <cfRule type="cellIs" priority="3122" operator="greaterThan" aboveAverage="0" equalAverage="0" bottom="0" percent="0" rank="0" text="" dxfId="7">
      <formula>0</formula>
    </cfRule>
  </conditionalFormatting>
  <conditionalFormatting sqref="K786">
    <cfRule type="cellIs" priority="3123" operator="greaterThan" aboveAverage="0" equalAverage="0" bottom="0" percent="0" rank="0" text="" dxfId="7">
      <formula>0</formula>
    </cfRule>
  </conditionalFormatting>
  <conditionalFormatting sqref="N786">
    <cfRule type="cellIs" priority="3124" operator="greaterThan" aboveAverage="0" equalAverage="0" bottom="0" percent="0" rank="0" text="" dxfId="7">
      <formula>0</formula>
    </cfRule>
    <cfRule type="cellIs" priority="3125" operator="lessThan" aboveAverage="0" equalAverage="0" bottom="0" percent="0" rank="0" text="" dxfId="8">
      <formula>0</formula>
    </cfRule>
  </conditionalFormatting>
  <conditionalFormatting sqref="I787">
    <cfRule type="cellIs" priority="3126" operator="greaterThan" aboveAverage="0" equalAverage="0" bottom="0" percent="0" rank="0" text="" dxfId="7">
      <formula>0</formula>
    </cfRule>
  </conditionalFormatting>
  <conditionalFormatting sqref="K787">
    <cfRule type="cellIs" priority="3127" operator="greaterThan" aboveAverage="0" equalAverage="0" bottom="0" percent="0" rank="0" text="" dxfId="7">
      <formula>0</formula>
    </cfRule>
  </conditionalFormatting>
  <conditionalFormatting sqref="N787">
    <cfRule type="cellIs" priority="3128" operator="greaterThan" aboveAverage="0" equalAverage="0" bottom="0" percent="0" rank="0" text="" dxfId="7">
      <formula>0</formula>
    </cfRule>
    <cfRule type="cellIs" priority="3129" operator="lessThan" aboveAverage="0" equalAverage="0" bottom="0" percent="0" rank="0" text="" dxfId="8">
      <formula>0</formula>
    </cfRule>
  </conditionalFormatting>
  <conditionalFormatting sqref="I788">
    <cfRule type="cellIs" priority="3130" operator="greaterThan" aboveAverage="0" equalAverage="0" bottom="0" percent="0" rank="0" text="" dxfId="7">
      <formula>0</formula>
    </cfRule>
  </conditionalFormatting>
  <conditionalFormatting sqref="K788">
    <cfRule type="cellIs" priority="3131" operator="greaterThan" aboveAverage="0" equalAverage="0" bottom="0" percent="0" rank="0" text="" dxfId="7">
      <formula>0</formula>
    </cfRule>
  </conditionalFormatting>
  <conditionalFormatting sqref="N788">
    <cfRule type="cellIs" priority="3132" operator="greaterThan" aboveAverage="0" equalAverage="0" bottom="0" percent="0" rank="0" text="" dxfId="7">
      <formula>0</formula>
    </cfRule>
    <cfRule type="cellIs" priority="3133" operator="lessThan" aboveAverage="0" equalAverage="0" bottom="0" percent="0" rank="0" text="" dxfId="8">
      <formula>0</formula>
    </cfRule>
  </conditionalFormatting>
  <conditionalFormatting sqref="I789">
    <cfRule type="cellIs" priority="3134" operator="greaterThan" aboveAverage="0" equalAverage="0" bottom="0" percent="0" rank="0" text="" dxfId="7">
      <formula>0</formula>
    </cfRule>
  </conditionalFormatting>
  <conditionalFormatting sqref="K789">
    <cfRule type="cellIs" priority="3135" operator="greaterThan" aboveAverage="0" equalAverage="0" bottom="0" percent="0" rank="0" text="" dxfId="7">
      <formula>0</formula>
    </cfRule>
  </conditionalFormatting>
  <conditionalFormatting sqref="N789">
    <cfRule type="cellIs" priority="3136" operator="greaterThan" aboveAverage="0" equalAverage="0" bottom="0" percent="0" rank="0" text="" dxfId="7">
      <formula>0</formula>
    </cfRule>
    <cfRule type="cellIs" priority="3137" operator="lessThan" aboveAverage="0" equalAverage="0" bottom="0" percent="0" rank="0" text="" dxfId="8">
      <formula>0</formula>
    </cfRule>
  </conditionalFormatting>
  <conditionalFormatting sqref="I790">
    <cfRule type="cellIs" priority="3138" operator="greaterThan" aboveAverage="0" equalAverage="0" bottom="0" percent="0" rank="0" text="" dxfId="7">
      <formula>0</formula>
    </cfRule>
  </conditionalFormatting>
  <conditionalFormatting sqref="K790">
    <cfRule type="cellIs" priority="3139" operator="greaterThan" aboveAverage="0" equalAverage="0" bottom="0" percent="0" rank="0" text="" dxfId="7">
      <formula>0</formula>
    </cfRule>
  </conditionalFormatting>
  <conditionalFormatting sqref="N790">
    <cfRule type="cellIs" priority="3140" operator="greaterThan" aboveAverage="0" equalAverage="0" bottom="0" percent="0" rank="0" text="" dxfId="7">
      <formula>0</formula>
    </cfRule>
    <cfRule type="cellIs" priority="3141" operator="lessThan" aboveAverage="0" equalAverage="0" bottom="0" percent="0" rank="0" text="" dxfId="8">
      <formula>0</formula>
    </cfRule>
  </conditionalFormatting>
  <conditionalFormatting sqref="I791">
    <cfRule type="cellIs" priority="3142" operator="greaterThan" aboveAverage="0" equalAverage="0" bottom="0" percent="0" rank="0" text="" dxfId="7">
      <formula>0</formula>
    </cfRule>
  </conditionalFormatting>
  <conditionalFormatting sqref="K791">
    <cfRule type="cellIs" priority="3143" operator="greaterThan" aboveAverage="0" equalAverage="0" bottom="0" percent="0" rank="0" text="" dxfId="7">
      <formula>0</formula>
    </cfRule>
  </conditionalFormatting>
  <conditionalFormatting sqref="N791">
    <cfRule type="cellIs" priority="3144" operator="greaterThan" aboveAverage="0" equalAverage="0" bottom="0" percent="0" rank="0" text="" dxfId="7">
      <formula>0</formula>
    </cfRule>
    <cfRule type="cellIs" priority="3145" operator="lessThan" aboveAverage="0" equalAverage="0" bottom="0" percent="0" rank="0" text="" dxfId="8">
      <formula>0</formula>
    </cfRule>
  </conditionalFormatting>
  <conditionalFormatting sqref="I792">
    <cfRule type="cellIs" priority="3146" operator="greaterThan" aboveAverage="0" equalAverage="0" bottom="0" percent="0" rank="0" text="" dxfId="7">
      <formula>0</formula>
    </cfRule>
  </conditionalFormatting>
  <conditionalFormatting sqref="K792">
    <cfRule type="cellIs" priority="3147" operator="greaterThan" aboveAverage="0" equalAverage="0" bottom="0" percent="0" rank="0" text="" dxfId="7">
      <formula>0</formula>
    </cfRule>
  </conditionalFormatting>
  <conditionalFormatting sqref="N792">
    <cfRule type="cellIs" priority="3148" operator="greaterThan" aboveAverage="0" equalAverage="0" bottom="0" percent="0" rank="0" text="" dxfId="7">
      <formula>0</formula>
    </cfRule>
    <cfRule type="cellIs" priority="3149" operator="lessThan" aboveAverage="0" equalAverage="0" bottom="0" percent="0" rank="0" text="" dxfId="8">
      <formula>0</formula>
    </cfRule>
  </conditionalFormatting>
  <conditionalFormatting sqref="I793">
    <cfRule type="cellIs" priority="3150" operator="greaterThan" aboveAverage="0" equalAverage="0" bottom="0" percent="0" rank="0" text="" dxfId="7">
      <formula>0</formula>
    </cfRule>
  </conditionalFormatting>
  <conditionalFormatting sqref="K793">
    <cfRule type="cellIs" priority="3151" operator="greaterThan" aboveAverage="0" equalAverage="0" bottom="0" percent="0" rank="0" text="" dxfId="7">
      <formula>0</formula>
    </cfRule>
  </conditionalFormatting>
  <conditionalFormatting sqref="N793">
    <cfRule type="cellIs" priority="3152" operator="greaterThan" aboveAverage="0" equalAverage="0" bottom="0" percent="0" rank="0" text="" dxfId="7">
      <formula>0</formula>
    </cfRule>
    <cfRule type="cellIs" priority="3153" operator="lessThan" aboveAverage="0" equalAverage="0" bottom="0" percent="0" rank="0" text="" dxfId="8">
      <formula>0</formula>
    </cfRule>
  </conditionalFormatting>
  <conditionalFormatting sqref="I794">
    <cfRule type="cellIs" priority="3154" operator="greaterThan" aboveAverage="0" equalAverage="0" bottom="0" percent="0" rank="0" text="" dxfId="7">
      <formula>0</formula>
    </cfRule>
  </conditionalFormatting>
  <conditionalFormatting sqref="K794">
    <cfRule type="cellIs" priority="3155" operator="greaterThan" aboveAverage="0" equalAverage="0" bottom="0" percent="0" rank="0" text="" dxfId="7">
      <formula>0</formula>
    </cfRule>
  </conditionalFormatting>
  <conditionalFormatting sqref="N794">
    <cfRule type="cellIs" priority="3156" operator="greaterThan" aboveAverage="0" equalAverage="0" bottom="0" percent="0" rank="0" text="" dxfId="7">
      <formula>0</formula>
    </cfRule>
    <cfRule type="cellIs" priority="3157" operator="lessThan" aboveAverage="0" equalAverage="0" bottom="0" percent="0" rank="0" text="" dxfId="8">
      <formula>0</formula>
    </cfRule>
  </conditionalFormatting>
  <conditionalFormatting sqref="I795">
    <cfRule type="cellIs" priority="3158" operator="greaterThan" aboveAverage="0" equalAverage="0" bottom="0" percent="0" rank="0" text="" dxfId="7">
      <formula>0</formula>
    </cfRule>
  </conditionalFormatting>
  <conditionalFormatting sqref="K795">
    <cfRule type="cellIs" priority="3159" operator="greaterThan" aboveAverage="0" equalAverage="0" bottom="0" percent="0" rank="0" text="" dxfId="7">
      <formula>0</formula>
    </cfRule>
  </conditionalFormatting>
  <conditionalFormatting sqref="N795">
    <cfRule type="cellIs" priority="3160" operator="greaterThan" aboveAverage="0" equalAverage="0" bottom="0" percent="0" rank="0" text="" dxfId="7">
      <formula>0</formula>
    </cfRule>
    <cfRule type="cellIs" priority="3161" operator="lessThan" aboveAverage="0" equalAverage="0" bottom="0" percent="0" rank="0" text="" dxfId="8">
      <formula>0</formula>
    </cfRule>
  </conditionalFormatting>
  <conditionalFormatting sqref="I796">
    <cfRule type="cellIs" priority="3162" operator="greaterThan" aboveAverage="0" equalAverage="0" bottom="0" percent="0" rank="0" text="" dxfId="7">
      <formula>0</formula>
    </cfRule>
  </conditionalFormatting>
  <conditionalFormatting sqref="K796">
    <cfRule type="cellIs" priority="3163" operator="greaterThan" aboveAverage="0" equalAverage="0" bottom="0" percent="0" rank="0" text="" dxfId="7">
      <formula>0</formula>
    </cfRule>
  </conditionalFormatting>
  <conditionalFormatting sqref="N796">
    <cfRule type="cellIs" priority="3164" operator="greaterThan" aboveAverage="0" equalAverage="0" bottom="0" percent="0" rank="0" text="" dxfId="7">
      <formula>0</formula>
    </cfRule>
    <cfRule type="cellIs" priority="3165" operator="lessThan" aboveAverage="0" equalAverage="0" bottom="0" percent="0" rank="0" text="" dxfId="8">
      <formula>0</formula>
    </cfRule>
  </conditionalFormatting>
  <conditionalFormatting sqref="I797">
    <cfRule type="cellIs" priority="3166" operator="greaterThan" aboveAverage="0" equalAverage="0" bottom="0" percent="0" rank="0" text="" dxfId="7">
      <formula>0</formula>
    </cfRule>
  </conditionalFormatting>
  <conditionalFormatting sqref="K797">
    <cfRule type="cellIs" priority="3167" operator="greaterThan" aboveAverage="0" equalAverage="0" bottom="0" percent="0" rank="0" text="" dxfId="7">
      <formula>0</formula>
    </cfRule>
  </conditionalFormatting>
  <conditionalFormatting sqref="N797">
    <cfRule type="cellIs" priority="3168" operator="greaterThan" aboveAverage="0" equalAverage="0" bottom="0" percent="0" rank="0" text="" dxfId="7">
      <formula>0</formula>
    </cfRule>
    <cfRule type="cellIs" priority="3169" operator="lessThan" aboveAverage="0" equalAverage="0" bottom="0" percent="0" rank="0" text="" dxfId="8">
      <formula>0</formula>
    </cfRule>
  </conditionalFormatting>
  <conditionalFormatting sqref="I798">
    <cfRule type="cellIs" priority="3170" operator="greaterThan" aboveAverage="0" equalAverage="0" bottom="0" percent="0" rank="0" text="" dxfId="7">
      <formula>0</formula>
    </cfRule>
  </conditionalFormatting>
  <conditionalFormatting sqref="K798">
    <cfRule type="cellIs" priority="3171" operator="greaterThan" aboveAverage="0" equalAverage="0" bottom="0" percent="0" rank="0" text="" dxfId="7">
      <formula>0</formula>
    </cfRule>
  </conditionalFormatting>
  <conditionalFormatting sqref="N798">
    <cfRule type="cellIs" priority="3172" operator="greaterThan" aboveAverage="0" equalAverage="0" bottom="0" percent="0" rank="0" text="" dxfId="7">
      <formula>0</formula>
    </cfRule>
    <cfRule type="cellIs" priority="3173" operator="lessThan" aboveAverage="0" equalAverage="0" bottom="0" percent="0" rank="0" text="" dxfId="8">
      <formula>0</formula>
    </cfRule>
  </conditionalFormatting>
  <conditionalFormatting sqref="I799">
    <cfRule type="cellIs" priority="3174" operator="greaterThan" aboveAverage="0" equalAverage="0" bottom="0" percent="0" rank="0" text="" dxfId="7">
      <formula>0</formula>
    </cfRule>
  </conditionalFormatting>
  <conditionalFormatting sqref="K799">
    <cfRule type="cellIs" priority="3175" operator="greaterThan" aboveAverage="0" equalAverage="0" bottom="0" percent="0" rank="0" text="" dxfId="7">
      <formula>0</formula>
    </cfRule>
  </conditionalFormatting>
  <conditionalFormatting sqref="N799">
    <cfRule type="cellIs" priority="3176" operator="greaterThan" aboveAverage="0" equalAverage="0" bottom="0" percent="0" rank="0" text="" dxfId="7">
      <formula>0</formula>
    </cfRule>
    <cfRule type="cellIs" priority="3177" operator="lessThan" aboveAverage="0" equalAverage="0" bottom="0" percent="0" rank="0" text="" dxfId="8">
      <formula>0</formula>
    </cfRule>
  </conditionalFormatting>
  <conditionalFormatting sqref="I800">
    <cfRule type="cellIs" priority="3178" operator="greaterThan" aboveAverage="0" equalAverage="0" bottom="0" percent="0" rank="0" text="" dxfId="7">
      <formula>0</formula>
    </cfRule>
  </conditionalFormatting>
  <conditionalFormatting sqref="K800">
    <cfRule type="cellIs" priority="3179" operator="greaterThan" aboveAverage="0" equalAverage="0" bottom="0" percent="0" rank="0" text="" dxfId="7">
      <formula>0</formula>
    </cfRule>
  </conditionalFormatting>
  <conditionalFormatting sqref="N800">
    <cfRule type="cellIs" priority="3180" operator="greaterThan" aboveAverage="0" equalAverage="0" bottom="0" percent="0" rank="0" text="" dxfId="7">
      <formula>0</formula>
    </cfRule>
    <cfRule type="cellIs" priority="3181" operator="lessThan" aboveAverage="0" equalAverage="0" bottom="0" percent="0" rank="0" text="" dxfId="8">
      <formula>0</formula>
    </cfRule>
  </conditionalFormatting>
  <conditionalFormatting sqref="I801">
    <cfRule type="cellIs" priority="3182" operator="greaterThan" aboveAverage="0" equalAverage="0" bottom="0" percent="0" rank="0" text="" dxfId="7">
      <formula>0</formula>
    </cfRule>
  </conditionalFormatting>
  <conditionalFormatting sqref="K801">
    <cfRule type="cellIs" priority="3183" operator="greaterThan" aboveAverage="0" equalAverage="0" bottom="0" percent="0" rank="0" text="" dxfId="7">
      <formula>0</formula>
    </cfRule>
  </conditionalFormatting>
  <conditionalFormatting sqref="N801">
    <cfRule type="cellIs" priority="3184" operator="greaterThan" aboveAverage="0" equalAverage="0" bottom="0" percent="0" rank="0" text="" dxfId="7">
      <formula>0</formula>
    </cfRule>
    <cfRule type="cellIs" priority="3185" operator="lessThan" aboveAverage="0" equalAverage="0" bottom="0" percent="0" rank="0" text="" dxfId="8">
      <formula>0</formula>
    </cfRule>
  </conditionalFormatting>
  <conditionalFormatting sqref="I802">
    <cfRule type="cellIs" priority="3186" operator="greaterThan" aboveAverage="0" equalAverage="0" bottom="0" percent="0" rank="0" text="" dxfId="7">
      <formula>0</formula>
    </cfRule>
  </conditionalFormatting>
  <conditionalFormatting sqref="K802">
    <cfRule type="cellIs" priority="3187" operator="greaterThan" aboveAverage="0" equalAverage="0" bottom="0" percent="0" rank="0" text="" dxfId="7">
      <formula>0</formula>
    </cfRule>
  </conditionalFormatting>
  <conditionalFormatting sqref="N802">
    <cfRule type="cellIs" priority="3188" operator="greaterThan" aboveAverage="0" equalAverage="0" bottom="0" percent="0" rank="0" text="" dxfId="7">
      <formula>0</formula>
    </cfRule>
    <cfRule type="cellIs" priority="3189" operator="lessThan" aboveAverage="0" equalAverage="0" bottom="0" percent="0" rank="0" text="" dxfId="8">
      <formula>0</formula>
    </cfRule>
  </conditionalFormatting>
  <conditionalFormatting sqref="I803">
    <cfRule type="cellIs" priority="3190" operator="greaterThan" aboveAverage="0" equalAverage="0" bottom="0" percent="0" rank="0" text="" dxfId="7">
      <formula>0</formula>
    </cfRule>
  </conditionalFormatting>
  <conditionalFormatting sqref="K803">
    <cfRule type="cellIs" priority="3191" operator="greaterThan" aboveAverage="0" equalAverage="0" bottom="0" percent="0" rank="0" text="" dxfId="7">
      <formula>0</formula>
    </cfRule>
  </conditionalFormatting>
  <conditionalFormatting sqref="N803">
    <cfRule type="cellIs" priority="3192" operator="greaterThan" aboveAverage="0" equalAverage="0" bottom="0" percent="0" rank="0" text="" dxfId="7">
      <formula>0</formula>
    </cfRule>
    <cfRule type="cellIs" priority="3193" operator="lessThan" aboveAverage="0" equalAverage="0" bottom="0" percent="0" rank="0" text="" dxfId="8">
      <formula>0</formula>
    </cfRule>
  </conditionalFormatting>
  <conditionalFormatting sqref="I804">
    <cfRule type="cellIs" priority="3194" operator="greaterThan" aboveAverage="0" equalAverage="0" bottom="0" percent="0" rank="0" text="" dxfId="7">
      <formula>0</formula>
    </cfRule>
  </conditionalFormatting>
  <conditionalFormatting sqref="K804">
    <cfRule type="cellIs" priority="3195" operator="greaterThan" aboveAverage="0" equalAverage="0" bottom="0" percent="0" rank="0" text="" dxfId="7">
      <formula>0</formula>
    </cfRule>
  </conditionalFormatting>
  <conditionalFormatting sqref="N804">
    <cfRule type="cellIs" priority="3196" operator="greaterThan" aboveAverage="0" equalAverage="0" bottom="0" percent="0" rank="0" text="" dxfId="7">
      <formula>0</formula>
    </cfRule>
    <cfRule type="cellIs" priority="3197" operator="lessThan" aboveAverage="0" equalAverage="0" bottom="0" percent="0" rank="0" text="" dxfId="8">
      <formula>0</formula>
    </cfRule>
  </conditionalFormatting>
  <conditionalFormatting sqref="I805">
    <cfRule type="cellIs" priority="3198" operator="greaterThan" aboveAverage="0" equalAverage="0" bottom="0" percent="0" rank="0" text="" dxfId="7">
      <formula>0</formula>
    </cfRule>
  </conditionalFormatting>
  <conditionalFormatting sqref="K805">
    <cfRule type="cellIs" priority="3199" operator="greaterThan" aboveAverage="0" equalAverage="0" bottom="0" percent="0" rank="0" text="" dxfId="7">
      <formula>0</formula>
    </cfRule>
  </conditionalFormatting>
  <conditionalFormatting sqref="N805">
    <cfRule type="cellIs" priority="3200" operator="greaterThan" aboveAverage="0" equalAverage="0" bottom="0" percent="0" rank="0" text="" dxfId="7">
      <formula>0</formula>
    </cfRule>
    <cfRule type="cellIs" priority="3201" operator="lessThan" aboveAverage="0" equalAverage="0" bottom="0" percent="0" rank="0" text="" dxfId="8">
      <formula>0</formula>
    </cfRule>
  </conditionalFormatting>
  <conditionalFormatting sqref="I806">
    <cfRule type="cellIs" priority="3202" operator="greaterThan" aboveAverage="0" equalAverage="0" bottom="0" percent="0" rank="0" text="" dxfId="7">
      <formula>0</formula>
    </cfRule>
  </conditionalFormatting>
  <conditionalFormatting sqref="K806">
    <cfRule type="cellIs" priority="3203" operator="greaterThan" aboveAverage="0" equalAverage="0" bottom="0" percent="0" rank="0" text="" dxfId="7">
      <formula>0</formula>
    </cfRule>
  </conditionalFormatting>
  <conditionalFormatting sqref="N806">
    <cfRule type="cellIs" priority="3204" operator="greaterThan" aboveAverage="0" equalAverage="0" bottom="0" percent="0" rank="0" text="" dxfId="7">
      <formula>0</formula>
    </cfRule>
    <cfRule type="cellIs" priority="3205" operator="lessThan" aboveAverage="0" equalAverage="0" bottom="0" percent="0" rank="0" text="" dxfId="8">
      <formula>0</formula>
    </cfRule>
  </conditionalFormatting>
  <conditionalFormatting sqref="I807">
    <cfRule type="cellIs" priority="3206" operator="greaterThan" aboveAverage="0" equalAverage="0" bottom="0" percent="0" rank="0" text="" dxfId="7">
      <formula>0</formula>
    </cfRule>
  </conditionalFormatting>
  <conditionalFormatting sqref="K807">
    <cfRule type="cellIs" priority="3207" operator="greaterThan" aboveAverage="0" equalAverage="0" bottom="0" percent="0" rank="0" text="" dxfId="7">
      <formula>0</formula>
    </cfRule>
  </conditionalFormatting>
  <conditionalFormatting sqref="N807">
    <cfRule type="cellIs" priority="3208" operator="greaterThan" aboveAverage="0" equalAverage="0" bottom="0" percent="0" rank="0" text="" dxfId="7">
      <formula>0</formula>
    </cfRule>
    <cfRule type="cellIs" priority="3209" operator="lessThan" aboveAverage="0" equalAverage="0" bottom="0" percent="0" rank="0" text="" dxfId="8">
      <formula>0</formula>
    </cfRule>
  </conditionalFormatting>
  <conditionalFormatting sqref="I808">
    <cfRule type="cellIs" priority="3210" operator="greaterThan" aboveAverage="0" equalAverage="0" bottom="0" percent="0" rank="0" text="" dxfId="7">
      <formula>0</formula>
    </cfRule>
  </conditionalFormatting>
  <conditionalFormatting sqref="K808">
    <cfRule type="cellIs" priority="3211" operator="greaterThan" aboveAverage="0" equalAverage="0" bottom="0" percent="0" rank="0" text="" dxfId="7">
      <formula>0</formula>
    </cfRule>
  </conditionalFormatting>
  <conditionalFormatting sqref="N808">
    <cfRule type="cellIs" priority="3212" operator="greaterThan" aboveAverage="0" equalAverage="0" bottom="0" percent="0" rank="0" text="" dxfId="7">
      <formula>0</formula>
    </cfRule>
    <cfRule type="cellIs" priority="3213" operator="lessThan" aboveAverage="0" equalAverage="0" bottom="0" percent="0" rank="0" text="" dxfId="8">
      <formula>0</formula>
    </cfRule>
  </conditionalFormatting>
  <conditionalFormatting sqref="I809">
    <cfRule type="cellIs" priority="3214" operator="greaterThan" aboveAverage="0" equalAverage="0" bottom="0" percent="0" rank="0" text="" dxfId="7">
      <formula>0</formula>
    </cfRule>
  </conditionalFormatting>
  <conditionalFormatting sqref="K809">
    <cfRule type="cellIs" priority="3215" operator="greaterThan" aboveAverage="0" equalAverage="0" bottom="0" percent="0" rank="0" text="" dxfId="7">
      <formula>0</formula>
    </cfRule>
  </conditionalFormatting>
  <conditionalFormatting sqref="N809">
    <cfRule type="cellIs" priority="3216" operator="greaterThan" aboveAverage="0" equalAverage="0" bottom="0" percent="0" rank="0" text="" dxfId="7">
      <formula>0</formula>
    </cfRule>
    <cfRule type="cellIs" priority="3217" operator="lessThan" aboveAverage="0" equalAverage="0" bottom="0" percent="0" rank="0" text="" dxfId="8">
      <formula>0</formula>
    </cfRule>
  </conditionalFormatting>
  <conditionalFormatting sqref="I810">
    <cfRule type="cellIs" priority="3218" operator="greaterThan" aboveAverage="0" equalAverage="0" bottom="0" percent="0" rank="0" text="" dxfId="7">
      <formula>0</formula>
    </cfRule>
  </conditionalFormatting>
  <conditionalFormatting sqref="K810">
    <cfRule type="cellIs" priority="3219" operator="greaterThan" aboveAverage="0" equalAverage="0" bottom="0" percent="0" rank="0" text="" dxfId="7">
      <formula>0</formula>
    </cfRule>
  </conditionalFormatting>
  <conditionalFormatting sqref="N810">
    <cfRule type="cellIs" priority="3220" operator="greaterThan" aboveAverage="0" equalAverage="0" bottom="0" percent="0" rank="0" text="" dxfId="7">
      <formula>0</formula>
    </cfRule>
    <cfRule type="cellIs" priority="3221" operator="lessThan" aboveAverage="0" equalAverage="0" bottom="0" percent="0" rank="0" text="" dxfId="8">
      <formula>0</formula>
    </cfRule>
  </conditionalFormatting>
  <conditionalFormatting sqref="I811">
    <cfRule type="cellIs" priority="3222" operator="greaterThan" aboveAverage="0" equalAverage="0" bottom="0" percent="0" rank="0" text="" dxfId="7">
      <formula>0</formula>
    </cfRule>
  </conditionalFormatting>
  <conditionalFormatting sqref="K811">
    <cfRule type="cellIs" priority="3223" operator="greaterThan" aboveAverage="0" equalAverage="0" bottom="0" percent="0" rank="0" text="" dxfId="7">
      <formula>0</formula>
    </cfRule>
  </conditionalFormatting>
  <conditionalFormatting sqref="N811">
    <cfRule type="cellIs" priority="3224" operator="greaterThan" aboveAverage="0" equalAverage="0" bottom="0" percent="0" rank="0" text="" dxfId="7">
      <formula>0</formula>
    </cfRule>
    <cfRule type="cellIs" priority="3225" operator="lessThan" aboveAverage="0" equalAverage="0" bottom="0" percent="0" rank="0" text="" dxfId="8">
      <formula>0</formula>
    </cfRule>
  </conditionalFormatting>
  <conditionalFormatting sqref="I812">
    <cfRule type="cellIs" priority="3226" operator="greaterThan" aboveAverage="0" equalAverage="0" bottom="0" percent="0" rank="0" text="" dxfId="7">
      <formula>0</formula>
    </cfRule>
  </conditionalFormatting>
  <conditionalFormatting sqref="K812">
    <cfRule type="cellIs" priority="3227" operator="greaterThan" aboveAverage="0" equalAverage="0" bottom="0" percent="0" rank="0" text="" dxfId="7">
      <formula>0</formula>
    </cfRule>
  </conditionalFormatting>
  <conditionalFormatting sqref="N812">
    <cfRule type="cellIs" priority="3228" operator="greaterThan" aboveAverage="0" equalAverage="0" bottom="0" percent="0" rank="0" text="" dxfId="7">
      <formula>0</formula>
    </cfRule>
    <cfRule type="cellIs" priority="3229" operator="lessThan" aboveAverage="0" equalAverage="0" bottom="0" percent="0" rank="0" text="" dxfId="8">
      <formula>0</formula>
    </cfRule>
  </conditionalFormatting>
  <conditionalFormatting sqref="I813">
    <cfRule type="cellIs" priority="3230" operator="greaterThan" aboveAverage="0" equalAverage="0" bottom="0" percent="0" rank="0" text="" dxfId="7">
      <formula>0</formula>
    </cfRule>
  </conditionalFormatting>
  <conditionalFormatting sqref="K813">
    <cfRule type="cellIs" priority="3231" operator="greaterThan" aboveAverage="0" equalAverage="0" bottom="0" percent="0" rank="0" text="" dxfId="7">
      <formula>0</formula>
    </cfRule>
  </conditionalFormatting>
  <conditionalFormatting sqref="N813">
    <cfRule type="cellIs" priority="3232" operator="greaterThan" aboveAverage="0" equalAverage="0" bottom="0" percent="0" rank="0" text="" dxfId="7">
      <formula>0</formula>
    </cfRule>
    <cfRule type="cellIs" priority="3233" operator="lessThan" aboveAverage="0" equalAverage="0" bottom="0" percent="0" rank="0" text="" dxfId="8">
      <formula>0</formula>
    </cfRule>
  </conditionalFormatting>
  <conditionalFormatting sqref="I814">
    <cfRule type="cellIs" priority="3234" operator="greaterThan" aboveAverage="0" equalAverage="0" bottom="0" percent="0" rank="0" text="" dxfId="7">
      <formula>0</formula>
    </cfRule>
  </conditionalFormatting>
  <conditionalFormatting sqref="K814">
    <cfRule type="cellIs" priority="3235" operator="greaterThan" aboveAverage="0" equalAverage="0" bottom="0" percent="0" rank="0" text="" dxfId="7">
      <formula>0</formula>
    </cfRule>
  </conditionalFormatting>
  <conditionalFormatting sqref="N814">
    <cfRule type="cellIs" priority="3236" operator="greaterThan" aboveAverage="0" equalAverage="0" bottom="0" percent="0" rank="0" text="" dxfId="7">
      <formula>0</formula>
    </cfRule>
    <cfRule type="cellIs" priority="3237" operator="lessThan" aboveAverage="0" equalAverage="0" bottom="0" percent="0" rank="0" text="" dxfId="8">
      <formula>0</formula>
    </cfRule>
  </conditionalFormatting>
  <conditionalFormatting sqref="I815">
    <cfRule type="cellIs" priority="3238" operator="greaterThan" aboveAverage="0" equalAverage="0" bottom="0" percent="0" rank="0" text="" dxfId="7">
      <formula>0</formula>
    </cfRule>
  </conditionalFormatting>
  <conditionalFormatting sqref="K815">
    <cfRule type="cellIs" priority="3239" operator="greaterThan" aboveAverage="0" equalAverage="0" bottom="0" percent="0" rank="0" text="" dxfId="7">
      <formula>0</formula>
    </cfRule>
  </conditionalFormatting>
  <conditionalFormatting sqref="N815">
    <cfRule type="cellIs" priority="3240" operator="greaterThan" aboveAverage="0" equalAverage="0" bottom="0" percent="0" rank="0" text="" dxfId="7">
      <formula>0</formula>
    </cfRule>
    <cfRule type="cellIs" priority="3241" operator="lessThan" aboveAverage="0" equalAverage="0" bottom="0" percent="0" rank="0" text="" dxfId="8">
      <formula>0</formula>
    </cfRule>
  </conditionalFormatting>
  <conditionalFormatting sqref="I816">
    <cfRule type="cellIs" priority="3242" operator="greaterThan" aboveAverage="0" equalAverage="0" bottom="0" percent="0" rank="0" text="" dxfId="7">
      <formula>0</formula>
    </cfRule>
  </conditionalFormatting>
  <conditionalFormatting sqref="K816">
    <cfRule type="cellIs" priority="3243" operator="greaterThan" aboveAverage="0" equalAverage="0" bottom="0" percent="0" rank="0" text="" dxfId="7">
      <formula>0</formula>
    </cfRule>
  </conditionalFormatting>
  <conditionalFormatting sqref="N816">
    <cfRule type="cellIs" priority="3244" operator="greaterThan" aboveAverage="0" equalAverage="0" bottom="0" percent="0" rank="0" text="" dxfId="7">
      <formula>0</formula>
    </cfRule>
    <cfRule type="cellIs" priority="3245" operator="lessThan" aboveAverage="0" equalAverage="0" bottom="0" percent="0" rank="0" text="" dxfId="8">
      <formula>0</formula>
    </cfRule>
  </conditionalFormatting>
  <conditionalFormatting sqref="I817">
    <cfRule type="cellIs" priority="3246" operator="greaterThan" aboveAverage="0" equalAverage="0" bottom="0" percent="0" rank="0" text="" dxfId="7">
      <formula>0</formula>
    </cfRule>
  </conditionalFormatting>
  <conditionalFormatting sqref="K817">
    <cfRule type="cellIs" priority="3247" operator="greaterThan" aboveAverage="0" equalAverage="0" bottom="0" percent="0" rank="0" text="" dxfId="7">
      <formula>0</formula>
    </cfRule>
  </conditionalFormatting>
  <conditionalFormatting sqref="N817">
    <cfRule type="cellIs" priority="3248" operator="greaterThan" aboveAverage="0" equalAverage="0" bottom="0" percent="0" rank="0" text="" dxfId="7">
      <formula>0</formula>
    </cfRule>
    <cfRule type="cellIs" priority="3249" operator="lessThan" aboveAverage="0" equalAverage="0" bottom="0" percent="0" rank="0" text="" dxfId="8">
      <formula>0</formula>
    </cfRule>
  </conditionalFormatting>
  <conditionalFormatting sqref="I818">
    <cfRule type="cellIs" priority="3250" operator="greaterThan" aboveAverage="0" equalAverage="0" bottom="0" percent="0" rank="0" text="" dxfId="7">
      <formula>0</formula>
    </cfRule>
  </conditionalFormatting>
  <conditionalFormatting sqref="K818">
    <cfRule type="cellIs" priority="3251" operator="greaterThan" aboveAverage="0" equalAverage="0" bottom="0" percent="0" rank="0" text="" dxfId="7">
      <formula>0</formula>
    </cfRule>
  </conditionalFormatting>
  <conditionalFormatting sqref="N818">
    <cfRule type="cellIs" priority="3252" operator="greaterThan" aboveAverage="0" equalAverage="0" bottom="0" percent="0" rank="0" text="" dxfId="7">
      <formula>0</formula>
    </cfRule>
    <cfRule type="cellIs" priority="3253" operator="lessThan" aboveAverage="0" equalAverage="0" bottom="0" percent="0" rank="0" text="" dxfId="8">
      <formula>0</formula>
    </cfRule>
  </conditionalFormatting>
  <conditionalFormatting sqref="I819">
    <cfRule type="cellIs" priority="3254" operator="greaterThan" aboveAverage="0" equalAverage="0" bottom="0" percent="0" rank="0" text="" dxfId="7">
      <formula>0</formula>
    </cfRule>
  </conditionalFormatting>
  <conditionalFormatting sqref="K819">
    <cfRule type="cellIs" priority="3255" operator="greaterThan" aboveAverage="0" equalAverage="0" bottom="0" percent="0" rank="0" text="" dxfId="7">
      <formula>0</formula>
    </cfRule>
  </conditionalFormatting>
  <conditionalFormatting sqref="N819">
    <cfRule type="cellIs" priority="3256" operator="greaterThan" aboveAverage="0" equalAverage="0" bottom="0" percent="0" rank="0" text="" dxfId="7">
      <formula>0</formula>
    </cfRule>
    <cfRule type="cellIs" priority="3257" operator="lessThan" aboveAverage="0" equalAverage="0" bottom="0" percent="0" rank="0" text="" dxfId="8">
      <formula>0</formula>
    </cfRule>
  </conditionalFormatting>
  <conditionalFormatting sqref="I820">
    <cfRule type="cellIs" priority="3258" operator="greaterThan" aboveAverage="0" equalAverage="0" bottom="0" percent="0" rank="0" text="" dxfId="7">
      <formula>0</formula>
    </cfRule>
  </conditionalFormatting>
  <conditionalFormatting sqref="K820">
    <cfRule type="cellIs" priority="3259" operator="greaterThan" aboveAverage="0" equalAverage="0" bottom="0" percent="0" rank="0" text="" dxfId="7">
      <formula>0</formula>
    </cfRule>
  </conditionalFormatting>
  <conditionalFormatting sqref="N820">
    <cfRule type="cellIs" priority="3260" operator="greaterThan" aboveAverage="0" equalAverage="0" bottom="0" percent="0" rank="0" text="" dxfId="7">
      <formula>0</formula>
    </cfRule>
    <cfRule type="cellIs" priority="3261" operator="lessThan" aboveAverage="0" equalAverage="0" bottom="0" percent="0" rank="0" text="" dxfId="8">
      <formula>0</formula>
    </cfRule>
  </conditionalFormatting>
  <conditionalFormatting sqref="I821">
    <cfRule type="cellIs" priority="3262" operator="greaterThan" aboveAverage="0" equalAverage="0" bottom="0" percent="0" rank="0" text="" dxfId="7">
      <formula>0</formula>
    </cfRule>
  </conditionalFormatting>
  <conditionalFormatting sqref="K821">
    <cfRule type="cellIs" priority="3263" operator="greaterThan" aboveAverage="0" equalAverage="0" bottom="0" percent="0" rank="0" text="" dxfId="7">
      <formula>0</formula>
    </cfRule>
  </conditionalFormatting>
  <conditionalFormatting sqref="N821">
    <cfRule type="cellIs" priority="3264" operator="greaterThan" aboveAverage="0" equalAverage="0" bottom="0" percent="0" rank="0" text="" dxfId="7">
      <formula>0</formula>
    </cfRule>
    <cfRule type="cellIs" priority="3265" operator="lessThan" aboveAverage="0" equalAverage="0" bottom="0" percent="0" rank="0" text="" dxfId="8">
      <formula>0</formula>
    </cfRule>
  </conditionalFormatting>
  <conditionalFormatting sqref="I822">
    <cfRule type="cellIs" priority="3266" operator="greaterThan" aboveAverage="0" equalAverage="0" bottom="0" percent="0" rank="0" text="" dxfId="7">
      <formula>0</formula>
    </cfRule>
  </conditionalFormatting>
  <conditionalFormatting sqref="K822">
    <cfRule type="cellIs" priority="3267" operator="greaterThan" aboveAverage="0" equalAverage="0" bottom="0" percent="0" rank="0" text="" dxfId="7">
      <formula>0</formula>
    </cfRule>
  </conditionalFormatting>
  <conditionalFormatting sqref="N822">
    <cfRule type="cellIs" priority="3268" operator="greaterThan" aboveAverage="0" equalAverage="0" bottom="0" percent="0" rank="0" text="" dxfId="7">
      <formula>0</formula>
    </cfRule>
    <cfRule type="cellIs" priority="3269" operator="lessThan" aboveAverage="0" equalAverage="0" bottom="0" percent="0" rank="0" text="" dxfId="8">
      <formula>0</formula>
    </cfRule>
  </conditionalFormatting>
  <conditionalFormatting sqref="I823">
    <cfRule type="cellIs" priority="3270" operator="greaterThan" aboveAverage="0" equalAverage="0" bottom="0" percent="0" rank="0" text="" dxfId="7">
      <formula>0</formula>
    </cfRule>
  </conditionalFormatting>
  <conditionalFormatting sqref="K823">
    <cfRule type="cellIs" priority="3271" operator="greaterThan" aboveAverage="0" equalAverage="0" bottom="0" percent="0" rank="0" text="" dxfId="7">
      <formula>0</formula>
    </cfRule>
  </conditionalFormatting>
  <conditionalFormatting sqref="N823">
    <cfRule type="cellIs" priority="3272" operator="greaterThan" aboveAverage="0" equalAverage="0" bottom="0" percent="0" rank="0" text="" dxfId="7">
      <formula>0</formula>
    </cfRule>
    <cfRule type="cellIs" priority="3273" operator="lessThan" aboveAverage="0" equalAverage="0" bottom="0" percent="0" rank="0" text="" dxfId="8">
      <formula>0</formula>
    </cfRule>
  </conditionalFormatting>
  <conditionalFormatting sqref="I824">
    <cfRule type="cellIs" priority="3274" operator="greaterThan" aboveAverage="0" equalAverage="0" bottom="0" percent="0" rank="0" text="" dxfId="7">
      <formula>0</formula>
    </cfRule>
  </conditionalFormatting>
  <conditionalFormatting sqref="K824">
    <cfRule type="cellIs" priority="3275" operator="greaterThan" aboveAverage="0" equalAverage="0" bottom="0" percent="0" rank="0" text="" dxfId="7">
      <formula>0</formula>
    </cfRule>
  </conditionalFormatting>
  <conditionalFormatting sqref="N824">
    <cfRule type="cellIs" priority="3276" operator="greaterThan" aboveAverage="0" equalAverage="0" bottom="0" percent="0" rank="0" text="" dxfId="7">
      <formula>0</formula>
    </cfRule>
    <cfRule type="cellIs" priority="3277" operator="lessThan" aboveAverage="0" equalAverage="0" bottom="0" percent="0" rank="0" text="" dxfId="8">
      <formula>0</formula>
    </cfRule>
  </conditionalFormatting>
  <conditionalFormatting sqref="I825">
    <cfRule type="cellIs" priority="3278" operator="greaterThan" aboveAverage="0" equalAverage="0" bottom="0" percent="0" rank="0" text="" dxfId="7">
      <formula>0</formula>
    </cfRule>
  </conditionalFormatting>
  <conditionalFormatting sqref="K825">
    <cfRule type="cellIs" priority="3279" operator="greaterThan" aboveAverage="0" equalAverage="0" bottom="0" percent="0" rank="0" text="" dxfId="7">
      <formula>0</formula>
    </cfRule>
  </conditionalFormatting>
  <conditionalFormatting sqref="N825">
    <cfRule type="cellIs" priority="3280" operator="greaterThan" aboveAverage="0" equalAverage="0" bottom="0" percent="0" rank="0" text="" dxfId="7">
      <formula>0</formula>
    </cfRule>
    <cfRule type="cellIs" priority="3281" operator="lessThan" aboveAverage="0" equalAverage="0" bottom="0" percent="0" rank="0" text="" dxfId="8">
      <formula>0</formula>
    </cfRule>
  </conditionalFormatting>
  <conditionalFormatting sqref="I826">
    <cfRule type="cellIs" priority="3282" operator="greaterThan" aboveAverage="0" equalAverage="0" bottom="0" percent="0" rank="0" text="" dxfId="7">
      <formula>0</formula>
    </cfRule>
  </conditionalFormatting>
  <conditionalFormatting sqref="K826">
    <cfRule type="cellIs" priority="3283" operator="greaterThan" aboveAverage="0" equalAverage="0" bottom="0" percent="0" rank="0" text="" dxfId="7">
      <formula>0</formula>
    </cfRule>
  </conditionalFormatting>
  <conditionalFormatting sqref="N826">
    <cfRule type="cellIs" priority="3284" operator="greaterThan" aboveAverage="0" equalAverage="0" bottom="0" percent="0" rank="0" text="" dxfId="7">
      <formula>0</formula>
    </cfRule>
    <cfRule type="cellIs" priority="3285" operator="lessThan" aboveAverage="0" equalAverage="0" bottom="0" percent="0" rank="0" text="" dxfId="8">
      <formula>0</formula>
    </cfRule>
  </conditionalFormatting>
  <conditionalFormatting sqref="I827">
    <cfRule type="cellIs" priority="3286" operator="greaterThan" aboveAverage="0" equalAverage="0" bottom="0" percent="0" rank="0" text="" dxfId="7">
      <formula>0</formula>
    </cfRule>
  </conditionalFormatting>
  <conditionalFormatting sqref="K827">
    <cfRule type="cellIs" priority="3287" operator="greaterThan" aboveAverage="0" equalAverage="0" bottom="0" percent="0" rank="0" text="" dxfId="7">
      <formula>0</formula>
    </cfRule>
  </conditionalFormatting>
  <conditionalFormatting sqref="N827">
    <cfRule type="cellIs" priority="3288" operator="greaterThan" aboveAverage="0" equalAverage="0" bottom="0" percent="0" rank="0" text="" dxfId="7">
      <formula>0</formula>
    </cfRule>
    <cfRule type="cellIs" priority="3289" operator="lessThan" aboveAverage="0" equalAverage="0" bottom="0" percent="0" rank="0" text="" dxfId="8">
      <formula>0</formula>
    </cfRule>
  </conditionalFormatting>
  <conditionalFormatting sqref="I828">
    <cfRule type="cellIs" priority="3290" operator="greaterThan" aboveAverage="0" equalAverage="0" bottom="0" percent="0" rank="0" text="" dxfId="7">
      <formula>0</formula>
    </cfRule>
  </conditionalFormatting>
  <conditionalFormatting sqref="K828">
    <cfRule type="cellIs" priority="3291" operator="greaterThan" aboveAverage="0" equalAverage="0" bottom="0" percent="0" rank="0" text="" dxfId="7">
      <formula>0</formula>
    </cfRule>
  </conditionalFormatting>
  <conditionalFormatting sqref="N828">
    <cfRule type="cellIs" priority="3292" operator="greaterThan" aboveAverage="0" equalAverage="0" bottom="0" percent="0" rank="0" text="" dxfId="7">
      <formula>0</formula>
    </cfRule>
    <cfRule type="cellIs" priority="3293" operator="lessThan" aboveAverage="0" equalAverage="0" bottom="0" percent="0" rank="0" text="" dxfId="8">
      <formula>0</formula>
    </cfRule>
  </conditionalFormatting>
  <conditionalFormatting sqref="I829">
    <cfRule type="cellIs" priority="3294" operator="greaterThan" aboveAverage="0" equalAverage="0" bottom="0" percent="0" rank="0" text="" dxfId="7">
      <formula>0</formula>
    </cfRule>
  </conditionalFormatting>
  <conditionalFormatting sqref="K829">
    <cfRule type="cellIs" priority="3295" operator="greaterThan" aboveAverage="0" equalAverage="0" bottom="0" percent="0" rank="0" text="" dxfId="7">
      <formula>0</formula>
    </cfRule>
  </conditionalFormatting>
  <conditionalFormatting sqref="N829">
    <cfRule type="cellIs" priority="3296" operator="greaterThan" aboveAverage="0" equalAverage="0" bottom="0" percent="0" rank="0" text="" dxfId="7">
      <formula>0</formula>
    </cfRule>
    <cfRule type="cellIs" priority="3297" operator="lessThan" aboveAverage="0" equalAverage="0" bottom="0" percent="0" rank="0" text="" dxfId="8">
      <formula>0</formula>
    </cfRule>
  </conditionalFormatting>
  <conditionalFormatting sqref="I830">
    <cfRule type="cellIs" priority="3298" operator="greaterThan" aboveAverage="0" equalAverage="0" bottom="0" percent="0" rank="0" text="" dxfId="7">
      <formula>0</formula>
    </cfRule>
  </conditionalFormatting>
  <conditionalFormatting sqref="K830">
    <cfRule type="cellIs" priority="3299" operator="greaterThan" aboveAverage="0" equalAverage="0" bottom="0" percent="0" rank="0" text="" dxfId="7">
      <formula>0</formula>
    </cfRule>
  </conditionalFormatting>
  <conditionalFormatting sqref="N830">
    <cfRule type="cellIs" priority="3300" operator="greaterThan" aboveAverage="0" equalAverage="0" bottom="0" percent="0" rank="0" text="" dxfId="7">
      <formula>0</formula>
    </cfRule>
    <cfRule type="cellIs" priority="3301" operator="lessThan" aboveAverage="0" equalAverage="0" bottom="0" percent="0" rank="0" text="" dxfId="8">
      <formula>0</formula>
    </cfRule>
  </conditionalFormatting>
  <conditionalFormatting sqref="I831">
    <cfRule type="cellIs" priority="3302" operator="greaterThan" aboveAverage="0" equalAverage="0" bottom="0" percent="0" rank="0" text="" dxfId="7">
      <formula>0</formula>
    </cfRule>
  </conditionalFormatting>
  <conditionalFormatting sqref="K831">
    <cfRule type="cellIs" priority="3303" operator="greaterThan" aboveAverage="0" equalAverage="0" bottom="0" percent="0" rank="0" text="" dxfId="7">
      <formula>0</formula>
    </cfRule>
  </conditionalFormatting>
  <conditionalFormatting sqref="N831">
    <cfRule type="cellIs" priority="3304" operator="greaterThan" aboveAverage="0" equalAverage="0" bottom="0" percent="0" rank="0" text="" dxfId="7">
      <formula>0</formula>
    </cfRule>
    <cfRule type="cellIs" priority="3305" operator="lessThan" aboveAverage="0" equalAverage="0" bottom="0" percent="0" rank="0" text="" dxfId="8">
      <formula>0</formula>
    </cfRule>
  </conditionalFormatting>
  <conditionalFormatting sqref="I832">
    <cfRule type="cellIs" priority="3306" operator="greaterThan" aboveAverage="0" equalAverage="0" bottom="0" percent="0" rank="0" text="" dxfId="7">
      <formula>0</formula>
    </cfRule>
  </conditionalFormatting>
  <conditionalFormatting sqref="K832">
    <cfRule type="cellIs" priority="3307" operator="greaterThan" aboveAverage="0" equalAverage="0" bottom="0" percent="0" rank="0" text="" dxfId="7">
      <formula>0</formula>
    </cfRule>
  </conditionalFormatting>
  <conditionalFormatting sqref="N832">
    <cfRule type="cellIs" priority="3308" operator="greaterThan" aboveAverage="0" equalAverage="0" bottom="0" percent="0" rank="0" text="" dxfId="7">
      <formula>0</formula>
    </cfRule>
    <cfRule type="cellIs" priority="3309" operator="lessThan" aboveAverage="0" equalAverage="0" bottom="0" percent="0" rank="0" text="" dxfId="8">
      <formula>0</formula>
    </cfRule>
  </conditionalFormatting>
  <conditionalFormatting sqref="I833">
    <cfRule type="cellIs" priority="3310" operator="greaterThan" aboveAverage="0" equalAverage="0" bottom="0" percent="0" rank="0" text="" dxfId="7">
      <formula>0</formula>
    </cfRule>
  </conditionalFormatting>
  <conditionalFormatting sqref="K833">
    <cfRule type="cellIs" priority="3311" operator="greaterThan" aboveAverage="0" equalAverage="0" bottom="0" percent="0" rank="0" text="" dxfId="7">
      <formula>0</formula>
    </cfRule>
  </conditionalFormatting>
  <conditionalFormatting sqref="N833">
    <cfRule type="cellIs" priority="3312" operator="greaterThan" aboveAverage="0" equalAverage="0" bottom="0" percent="0" rank="0" text="" dxfId="7">
      <formula>0</formula>
    </cfRule>
    <cfRule type="cellIs" priority="3313" operator="lessThan" aboveAverage="0" equalAverage="0" bottom="0" percent="0" rank="0" text="" dxfId="8">
      <formula>0</formula>
    </cfRule>
  </conditionalFormatting>
  <conditionalFormatting sqref="I834">
    <cfRule type="cellIs" priority="3314" operator="greaterThan" aboveAverage="0" equalAverage="0" bottom="0" percent="0" rank="0" text="" dxfId="7">
      <formula>0</formula>
    </cfRule>
  </conditionalFormatting>
  <conditionalFormatting sqref="K834">
    <cfRule type="cellIs" priority="3315" operator="greaterThan" aboveAverage="0" equalAverage="0" bottom="0" percent="0" rank="0" text="" dxfId="7">
      <formula>0</formula>
    </cfRule>
  </conditionalFormatting>
  <conditionalFormatting sqref="N834">
    <cfRule type="cellIs" priority="3316" operator="greaterThan" aboveAverage="0" equalAverage="0" bottom="0" percent="0" rank="0" text="" dxfId="7">
      <formula>0</formula>
    </cfRule>
    <cfRule type="cellIs" priority="3317" operator="lessThan" aboveAverage="0" equalAverage="0" bottom="0" percent="0" rank="0" text="" dxfId="8">
      <formula>0</formula>
    </cfRule>
  </conditionalFormatting>
  <conditionalFormatting sqref="I835">
    <cfRule type="cellIs" priority="3318" operator="greaterThan" aboveAverage="0" equalAverage="0" bottom="0" percent="0" rank="0" text="" dxfId="7">
      <formula>0</formula>
    </cfRule>
  </conditionalFormatting>
  <conditionalFormatting sqref="K835">
    <cfRule type="cellIs" priority="3319" operator="greaterThan" aboveAverage="0" equalAverage="0" bottom="0" percent="0" rank="0" text="" dxfId="7">
      <formula>0</formula>
    </cfRule>
  </conditionalFormatting>
  <conditionalFormatting sqref="N835">
    <cfRule type="cellIs" priority="3320" operator="greaterThan" aboveAverage="0" equalAverage="0" bottom="0" percent="0" rank="0" text="" dxfId="7">
      <formula>0</formula>
    </cfRule>
    <cfRule type="cellIs" priority="3321" operator="lessThan" aboveAverage="0" equalAverage="0" bottom="0" percent="0" rank="0" text="" dxfId="8">
      <formula>0</formula>
    </cfRule>
  </conditionalFormatting>
  <conditionalFormatting sqref="I836">
    <cfRule type="cellIs" priority="3322" operator="greaterThan" aboveAverage="0" equalAverage="0" bottom="0" percent="0" rank="0" text="" dxfId="7">
      <formula>0</formula>
    </cfRule>
  </conditionalFormatting>
  <conditionalFormatting sqref="K836">
    <cfRule type="cellIs" priority="3323" operator="greaterThan" aboveAverage="0" equalAverage="0" bottom="0" percent="0" rank="0" text="" dxfId="7">
      <formula>0</formula>
    </cfRule>
  </conditionalFormatting>
  <conditionalFormatting sqref="N836">
    <cfRule type="cellIs" priority="3324" operator="greaterThan" aboveAverage="0" equalAverage="0" bottom="0" percent="0" rank="0" text="" dxfId="7">
      <formula>0</formula>
    </cfRule>
    <cfRule type="cellIs" priority="3325" operator="lessThan" aboveAverage="0" equalAverage="0" bottom="0" percent="0" rank="0" text="" dxfId="8">
      <formula>0</formula>
    </cfRule>
  </conditionalFormatting>
  <conditionalFormatting sqref="I837">
    <cfRule type="cellIs" priority="3326" operator="greaterThan" aboveAverage="0" equalAverage="0" bottom="0" percent="0" rank="0" text="" dxfId="7">
      <formula>0</formula>
    </cfRule>
  </conditionalFormatting>
  <conditionalFormatting sqref="K837">
    <cfRule type="cellIs" priority="3327" operator="greaterThan" aboveAverage="0" equalAverage="0" bottom="0" percent="0" rank="0" text="" dxfId="7">
      <formula>0</formula>
    </cfRule>
  </conditionalFormatting>
  <conditionalFormatting sqref="N837">
    <cfRule type="cellIs" priority="3328" operator="greaterThan" aboveAverage="0" equalAverage="0" bottom="0" percent="0" rank="0" text="" dxfId="7">
      <formula>0</formula>
    </cfRule>
    <cfRule type="cellIs" priority="3329" operator="lessThan" aboveAverage="0" equalAverage="0" bottom="0" percent="0" rank="0" text="" dxfId="8">
      <formula>0</formula>
    </cfRule>
  </conditionalFormatting>
  <conditionalFormatting sqref="I838">
    <cfRule type="cellIs" priority="3330" operator="greaterThan" aboveAverage="0" equalAverage="0" bottom="0" percent="0" rank="0" text="" dxfId="7">
      <formula>0</formula>
    </cfRule>
  </conditionalFormatting>
  <conditionalFormatting sqref="K838">
    <cfRule type="cellIs" priority="3331" operator="greaterThan" aboveAverage="0" equalAverage="0" bottom="0" percent="0" rank="0" text="" dxfId="7">
      <formula>0</formula>
    </cfRule>
  </conditionalFormatting>
  <conditionalFormatting sqref="N838">
    <cfRule type="cellIs" priority="3332" operator="greaterThan" aboveAverage="0" equalAverage="0" bottom="0" percent="0" rank="0" text="" dxfId="7">
      <formula>0</formula>
    </cfRule>
    <cfRule type="cellIs" priority="3333" operator="lessThan" aboveAverage="0" equalAverage="0" bottom="0" percent="0" rank="0" text="" dxfId="8">
      <formula>0</formula>
    </cfRule>
  </conditionalFormatting>
  <conditionalFormatting sqref="I839">
    <cfRule type="cellIs" priority="3334" operator="greaterThan" aboveAverage="0" equalAverage="0" bottom="0" percent="0" rank="0" text="" dxfId="7">
      <formula>0</formula>
    </cfRule>
  </conditionalFormatting>
  <conditionalFormatting sqref="K839">
    <cfRule type="cellIs" priority="3335" operator="greaterThan" aboveAverage="0" equalAverage="0" bottom="0" percent="0" rank="0" text="" dxfId="7">
      <formula>0</formula>
    </cfRule>
  </conditionalFormatting>
  <conditionalFormatting sqref="N839">
    <cfRule type="cellIs" priority="3336" operator="greaterThan" aboveAverage="0" equalAverage="0" bottom="0" percent="0" rank="0" text="" dxfId="7">
      <formula>0</formula>
    </cfRule>
    <cfRule type="cellIs" priority="3337" operator="lessThan" aboveAverage="0" equalAverage="0" bottom="0" percent="0" rank="0" text="" dxfId="8">
      <formula>0</formula>
    </cfRule>
  </conditionalFormatting>
  <conditionalFormatting sqref="I840">
    <cfRule type="cellIs" priority="3338" operator="greaterThan" aboveAverage="0" equalAverage="0" bottom="0" percent="0" rank="0" text="" dxfId="7">
      <formula>0</formula>
    </cfRule>
  </conditionalFormatting>
  <conditionalFormatting sqref="K840">
    <cfRule type="cellIs" priority="3339" operator="greaterThan" aboveAverage="0" equalAverage="0" bottom="0" percent="0" rank="0" text="" dxfId="7">
      <formula>0</formula>
    </cfRule>
  </conditionalFormatting>
  <conditionalFormatting sqref="N840">
    <cfRule type="cellIs" priority="3340" operator="greaterThan" aboveAverage="0" equalAverage="0" bottom="0" percent="0" rank="0" text="" dxfId="7">
      <formula>0</formula>
    </cfRule>
    <cfRule type="cellIs" priority="3341" operator="lessThan" aboveAverage="0" equalAverage="0" bottom="0" percent="0" rank="0" text="" dxfId="8">
      <formula>0</formula>
    </cfRule>
  </conditionalFormatting>
  <conditionalFormatting sqref="I841">
    <cfRule type="cellIs" priority="3342" operator="greaterThan" aboveAverage="0" equalAverage="0" bottom="0" percent="0" rank="0" text="" dxfId="7">
      <formula>0</formula>
    </cfRule>
  </conditionalFormatting>
  <conditionalFormatting sqref="K841">
    <cfRule type="cellIs" priority="3343" operator="greaterThan" aboveAverage="0" equalAverage="0" bottom="0" percent="0" rank="0" text="" dxfId="7">
      <formula>0</formula>
    </cfRule>
  </conditionalFormatting>
  <conditionalFormatting sqref="N841">
    <cfRule type="cellIs" priority="3344" operator="greaterThan" aboveAverage="0" equalAverage="0" bottom="0" percent="0" rank="0" text="" dxfId="7">
      <formula>0</formula>
    </cfRule>
    <cfRule type="cellIs" priority="3345" operator="lessThan" aboveAverage="0" equalAverage="0" bottom="0" percent="0" rank="0" text="" dxfId="8">
      <formula>0</formula>
    </cfRule>
  </conditionalFormatting>
  <conditionalFormatting sqref="I842">
    <cfRule type="cellIs" priority="3346" operator="greaterThan" aboveAverage="0" equalAverage="0" bottom="0" percent="0" rank="0" text="" dxfId="7">
      <formula>0</formula>
    </cfRule>
  </conditionalFormatting>
  <conditionalFormatting sqref="K842">
    <cfRule type="cellIs" priority="3347" operator="greaterThan" aboveAverage="0" equalAverage="0" bottom="0" percent="0" rank="0" text="" dxfId="7">
      <formula>0</formula>
    </cfRule>
  </conditionalFormatting>
  <conditionalFormatting sqref="N842">
    <cfRule type="cellIs" priority="3348" operator="greaterThan" aboveAverage="0" equalAverage="0" bottom="0" percent="0" rank="0" text="" dxfId="7">
      <formula>0</formula>
    </cfRule>
    <cfRule type="cellIs" priority="3349" operator="lessThan" aboveAverage="0" equalAverage="0" bottom="0" percent="0" rank="0" text="" dxfId="8">
      <formula>0</formula>
    </cfRule>
  </conditionalFormatting>
  <conditionalFormatting sqref="I843">
    <cfRule type="cellIs" priority="3350" operator="greaterThan" aboveAverage="0" equalAverage="0" bottom="0" percent="0" rank="0" text="" dxfId="7">
      <formula>0</formula>
    </cfRule>
  </conditionalFormatting>
  <conditionalFormatting sqref="K843">
    <cfRule type="cellIs" priority="3351" operator="greaterThan" aboveAverage="0" equalAverage="0" bottom="0" percent="0" rank="0" text="" dxfId="7">
      <formula>0</formula>
    </cfRule>
  </conditionalFormatting>
  <conditionalFormatting sqref="N843">
    <cfRule type="cellIs" priority="3352" operator="greaterThan" aboveAverage="0" equalAverage="0" bottom="0" percent="0" rank="0" text="" dxfId="7">
      <formula>0</formula>
    </cfRule>
    <cfRule type="cellIs" priority="3353" operator="lessThan" aboveAverage="0" equalAverage="0" bottom="0" percent="0" rank="0" text="" dxfId="8">
      <formula>0</formula>
    </cfRule>
  </conditionalFormatting>
  <conditionalFormatting sqref="I844">
    <cfRule type="cellIs" priority="3354" operator="greaterThan" aboveAverage="0" equalAverage="0" bottom="0" percent="0" rank="0" text="" dxfId="7">
      <formula>0</formula>
    </cfRule>
  </conditionalFormatting>
  <conditionalFormatting sqref="K844">
    <cfRule type="cellIs" priority="3355" operator="greaterThan" aboveAverage="0" equalAverage="0" bottom="0" percent="0" rank="0" text="" dxfId="7">
      <formula>0</formula>
    </cfRule>
  </conditionalFormatting>
  <conditionalFormatting sqref="N844">
    <cfRule type="cellIs" priority="3356" operator="greaterThan" aboveAverage="0" equalAverage="0" bottom="0" percent="0" rank="0" text="" dxfId="7">
      <formula>0</formula>
    </cfRule>
    <cfRule type="cellIs" priority="3357" operator="lessThan" aboveAverage="0" equalAverage="0" bottom="0" percent="0" rank="0" text="" dxfId="8">
      <formula>0</formula>
    </cfRule>
  </conditionalFormatting>
  <conditionalFormatting sqref="I845">
    <cfRule type="cellIs" priority="3358" operator="greaterThan" aboveAverage="0" equalAverage="0" bottom="0" percent="0" rank="0" text="" dxfId="7">
      <formula>0</formula>
    </cfRule>
  </conditionalFormatting>
  <conditionalFormatting sqref="K845">
    <cfRule type="cellIs" priority="3359" operator="greaterThan" aboveAverage="0" equalAverage="0" bottom="0" percent="0" rank="0" text="" dxfId="7">
      <formula>0</formula>
    </cfRule>
  </conditionalFormatting>
  <conditionalFormatting sqref="N845">
    <cfRule type="cellIs" priority="3360" operator="greaterThan" aboveAverage="0" equalAverage="0" bottom="0" percent="0" rank="0" text="" dxfId="7">
      <formula>0</formula>
    </cfRule>
    <cfRule type="cellIs" priority="3361" operator="lessThan" aboveAverage="0" equalAverage="0" bottom="0" percent="0" rank="0" text="" dxfId="8">
      <formula>0</formula>
    </cfRule>
  </conditionalFormatting>
  <conditionalFormatting sqref="I846">
    <cfRule type="cellIs" priority="3362" operator="greaterThan" aboveAverage="0" equalAverage="0" bottom="0" percent="0" rank="0" text="" dxfId="7">
      <formula>0</formula>
    </cfRule>
  </conditionalFormatting>
  <conditionalFormatting sqref="K846">
    <cfRule type="cellIs" priority="3363" operator="greaterThan" aboveAverage="0" equalAverage="0" bottom="0" percent="0" rank="0" text="" dxfId="7">
      <formula>0</formula>
    </cfRule>
  </conditionalFormatting>
  <conditionalFormatting sqref="N846">
    <cfRule type="cellIs" priority="3364" operator="greaterThan" aboveAverage="0" equalAverage="0" bottom="0" percent="0" rank="0" text="" dxfId="7">
      <formula>0</formula>
    </cfRule>
    <cfRule type="cellIs" priority="3365" operator="lessThan" aboveAverage="0" equalAverage="0" bottom="0" percent="0" rank="0" text="" dxfId="8">
      <formula>0</formula>
    </cfRule>
  </conditionalFormatting>
  <conditionalFormatting sqref="I847">
    <cfRule type="cellIs" priority="3366" operator="greaterThan" aboveAverage="0" equalAverage="0" bottom="0" percent="0" rank="0" text="" dxfId="7">
      <formula>0</formula>
    </cfRule>
  </conditionalFormatting>
  <conditionalFormatting sqref="K847">
    <cfRule type="cellIs" priority="3367" operator="greaterThan" aboveAverage="0" equalAverage="0" bottom="0" percent="0" rank="0" text="" dxfId="7">
      <formula>0</formula>
    </cfRule>
  </conditionalFormatting>
  <conditionalFormatting sqref="N847">
    <cfRule type="cellIs" priority="3368" operator="greaterThan" aboveAverage="0" equalAverage="0" bottom="0" percent="0" rank="0" text="" dxfId="7">
      <formula>0</formula>
    </cfRule>
    <cfRule type="cellIs" priority="3369" operator="lessThan" aboveAverage="0" equalAverage="0" bottom="0" percent="0" rank="0" text="" dxfId="8">
      <formula>0</formula>
    </cfRule>
  </conditionalFormatting>
  <conditionalFormatting sqref="I848">
    <cfRule type="cellIs" priority="3370" operator="greaterThan" aboveAverage="0" equalAverage="0" bottom="0" percent="0" rank="0" text="" dxfId="7">
      <formula>0</formula>
    </cfRule>
  </conditionalFormatting>
  <conditionalFormatting sqref="K848">
    <cfRule type="cellIs" priority="3371" operator="greaterThan" aboveAverage="0" equalAverage="0" bottom="0" percent="0" rank="0" text="" dxfId="7">
      <formula>0</formula>
    </cfRule>
  </conditionalFormatting>
  <conditionalFormatting sqref="N848">
    <cfRule type="cellIs" priority="3372" operator="greaterThan" aboveAverage="0" equalAverage="0" bottom="0" percent="0" rank="0" text="" dxfId="7">
      <formula>0</formula>
    </cfRule>
    <cfRule type="cellIs" priority="3373" operator="lessThan" aboveAverage="0" equalAverage="0" bottom="0" percent="0" rank="0" text="" dxfId="8">
      <formula>0</formula>
    </cfRule>
  </conditionalFormatting>
  <conditionalFormatting sqref="I849">
    <cfRule type="cellIs" priority="3374" operator="greaterThan" aboveAverage="0" equalAverage="0" bottom="0" percent="0" rank="0" text="" dxfId="7">
      <formula>0</formula>
    </cfRule>
  </conditionalFormatting>
  <conditionalFormatting sqref="K849">
    <cfRule type="cellIs" priority="3375" operator="greaterThan" aboveAverage="0" equalAverage="0" bottom="0" percent="0" rank="0" text="" dxfId="7">
      <formula>0</formula>
    </cfRule>
  </conditionalFormatting>
  <conditionalFormatting sqref="N849">
    <cfRule type="cellIs" priority="3376" operator="greaterThan" aboveAverage="0" equalAverage="0" bottom="0" percent="0" rank="0" text="" dxfId="7">
      <formula>0</formula>
    </cfRule>
    <cfRule type="cellIs" priority="3377" operator="lessThan" aboveAverage="0" equalAverage="0" bottom="0" percent="0" rank="0" text="" dxfId="8">
      <formula>0</formula>
    </cfRule>
  </conditionalFormatting>
  <conditionalFormatting sqref="I850">
    <cfRule type="cellIs" priority="3378" operator="greaterThan" aboveAverage="0" equalAverage="0" bottom="0" percent="0" rank="0" text="" dxfId="7">
      <formula>0</formula>
    </cfRule>
  </conditionalFormatting>
  <conditionalFormatting sqref="K850">
    <cfRule type="cellIs" priority="3379" operator="greaterThan" aboveAverage="0" equalAverage="0" bottom="0" percent="0" rank="0" text="" dxfId="7">
      <formula>0</formula>
    </cfRule>
  </conditionalFormatting>
  <conditionalFormatting sqref="N850">
    <cfRule type="cellIs" priority="3380" operator="greaterThan" aboveAverage="0" equalAverage="0" bottom="0" percent="0" rank="0" text="" dxfId="7">
      <formula>0</formula>
    </cfRule>
    <cfRule type="cellIs" priority="3381" operator="lessThan" aboveAverage="0" equalAverage="0" bottom="0" percent="0" rank="0" text="" dxfId="8">
      <formula>0</formula>
    </cfRule>
  </conditionalFormatting>
  <conditionalFormatting sqref="I851">
    <cfRule type="cellIs" priority="3382" operator="greaterThan" aboveAverage="0" equalAverage="0" bottom="0" percent="0" rank="0" text="" dxfId="7">
      <formula>0</formula>
    </cfRule>
  </conditionalFormatting>
  <conditionalFormatting sqref="K851">
    <cfRule type="cellIs" priority="3383" operator="greaterThan" aboveAverage="0" equalAverage="0" bottom="0" percent="0" rank="0" text="" dxfId="7">
      <formula>0</formula>
    </cfRule>
  </conditionalFormatting>
  <conditionalFormatting sqref="N851">
    <cfRule type="cellIs" priority="3384" operator="greaterThan" aboveAverage="0" equalAverage="0" bottom="0" percent="0" rank="0" text="" dxfId="7">
      <formula>0</formula>
    </cfRule>
    <cfRule type="cellIs" priority="3385" operator="lessThan" aboveAverage="0" equalAverage="0" bottom="0" percent="0" rank="0" text="" dxfId="8">
      <formula>0</formula>
    </cfRule>
  </conditionalFormatting>
  <conditionalFormatting sqref="I852">
    <cfRule type="cellIs" priority="3386" operator="greaterThan" aboveAverage="0" equalAverage="0" bottom="0" percent="0" rank="0" text="" dxfId="7">
      <formula>0</formula>
    </cfRule>
  </conditionalFormatting>
  <conditionalFormatting sqref="K852">
    <cfRule type="cellIs" priority="3387" operator="greaterThan" aboveAverage="0" equalAverage="0" bottom="0" percent="0" rank="0" text="" dxfId="7">
      <formula>0</formula>
    </cfRule>
  </conditionalFormatting>
  <conditionalFormatting sqref="N852">
    <cfRule type="cellIs" priority="3388" operator="greaterThan" aboveAverage="0" equalAverage="0" bottom="0" percent="0" rank="0" text="" dxfId="7">
      <formula>0</formula>
    </cfRule>
    <cfRule type="cellIs" priority="3389" operator="lessThan" aboveAverage="0" equalAverage="0" bottom="0" percent="0" rank="0" text="" dxfId="8">
      <formula>0</formula>
    </cfRule>
  </conditionalFormatting>
  <conditionalFormatting sqref="I853">
    <cfRule type="cellIs" priority="3390" operator="greaterThan" aboveAverage="0" equalAverage="0" bottom="0" percent="0" rank="0" text="" dxfId="7">
      <formula>0</formula>
    </cfRule>
  </conditionalFormatting>
  <conditionalFormatting sqref="K853">
    <cfRule type="cellIs" priority="3391" operator="greaterThan" aboveAverage="0" equalAverage="0" bottom="0" percent="0" rank="0" text="" dxfId="7">
      <formula>0</formula>
    </cfRule>
  </conditionalFormatting>
  <conditionalFormatting sqref="N853">
    <cfRule type="cellIs" priority="3392" operator="greaterThan" aboveAverage="0" equalAverage="0" bottom="0" percent="0" rank="0" text="" dxfId="7">
      <formula>0</formula>
    </cfRule>
    <cfRule type="cellIs" priority="3393" operator="lessThan" aboveAverage="0" equalAverage="0" bottom="0" percent="0" rank="0" text="" dxfId="8">
      <formula>0</formula>
    </cfRule>
  </conditionalFormatting>
  <conditionalFormatting sqref="I854">
    <cfRule type="cellIs" priority="3394" operator="greaterThan" aboveAverage="0" equalAverage="0" bottom="0" percent="0" rank="0" text="" dxfId="7">
      <formula>0</formula>
    </cfRule>
  </conditionalFormatting>
  <conditionalFormatting sqref="K854">
    <cfRule type="cellIs" priority="3395" operator="greaterThan" aboveAverage="0" equalAverage="0" bottom="0" percent="0" rank="0" text="" dxfId="7">
      <formula>0</formula>
    </cfRule>
  </conditionalFormatting>
  <conditionalFormatting sqref="N854">
    <cfRule type="cellIs" priority="3396" operator="greaterThan" aboveAverage="0" equalAverage="0" bottom="0" percent="0" rank="0" text="" dxfId="7">
      <formula>0</formula>
    </cfRule>
    <cfRule type="cellIs" priority="3397" operator="lessThan" aboveAverage="0" equalAverage="0" bottom="0" percent="0" rank="0" text="" dxfId="8">
      <formula>0</formula>
    </cfRule>
  </conditionalFormatting>
  <conditionalFormatting sqref="I855">
    <cfRule type="cellIs" priority="3398" operator="greaterThan" aboveAverage="0" equalAverage="0" bottom="0" percent="0" rank="0" text="" dxfId="7">
      <formula>0</formula>
    </cfRule>
  </conditionalFormatting>
  <conditionalFormatting sqref="K855">
    <cfRule type="cellIs" priority="3399" operator="greaterThan" aboveAverage="0" equalAverage="0" bottom="0" percent="0" rank="0" text="" dxfId="7">
      <formula>0</formula>
    </cfRule>
  </conditionalFormatting>
  <conditionalFormatting sqref="N855">
    <cfRule type="cellIs" priority="3400" operator="greaterThan" aboveAverage="0" equalAverage="0" bottom="0" percent="0" rank="0" text="" dxfId="7">
      <formula>0</formula>
    </cfRule>
    <cfRule type="cellIs" priority="3401" operator="lessThan" aboveAverage="0" equalAverage="0" bottom="0" percent="0" rank="0" text="" dxfId="8">
      <formula>0</formula>
    </cfRule>
  </conditionalFormatting>
  <conditionalFormatting sqref="I856">
    <cfRule type="cellIs" priority="3402" operator="greaterThan" aboveAverage="0" equalAverage="0" bottom="0" percent="0" rank="0" text="" dxfId="7">
      <formula>0</formula>
    </cfRule>
  </conditionalFormatting>
  <conditionalFormatting sqref="K856">
    <cfRule type="cellIs" priority="3403" operator="greaterThan" aboveAverage="0" equalAverage="0" bottom="0" percent="0" rank="0" text="" dxfId="7">
      <formula>0</formula>
    </cfRule>
  </conditionalFormatting>
  <conditionalFormatting sqref="N856">
    <cfRule type="cellIs" priority="3404" operator="greaterThan" aboveAverage="0" equalAverage="0" bottom="0" percent="0" rank="0" text="" dxfId="7">
      <formula>0</formula>
    </cfRule>
    <cfRule type="cellIs" priority="3405" operator="lessThan" aboveAverage="0" equalAverage="0" bottom="0" percent="0" rank="0" text="" dxfId="8">
      <formula>0</formula>
    </cfRule>
  </conditionalFormatting>
  <conditionalFormatting sqref="I857">
    <cfRule type="cellIs" priority="3406" operator="greaterThan" aboveAverage="0" equalAverage="0" bottom="0" percent="0" rank="0" text="" dxfId="7">
      <formula>0</formula>
    </cfRule>
  </conditionalFormatting>
  <conditionalFormatting sqref="K857">
    <cfRule type="cellIs" priority="3407" operator="greaterThan" aboveAverage="0" equalAverage="0" bottom="0" percent="0" rank="0" text="" dxfId="7">
      <formula>0</formula>
    </cfRule>
  </conditionalFormatting>
  <conditionalFormatting sqref="N857">
    <cfRule type="cellIs" priority="3408" operator="greaterThan" aboveAverage="0" equalAverage="0" bottom="0" percent="0" rank="0" text="" dxfId="7">
      <formula>0</formula>
    </cfRule>
    <cfRule type="cellIs" priority="3409" operator="lessThan" aboveAverage="0" equalAverage="0" bottom="0" percent="0" rank="0" text="" dxfId="8">
      <formula>0</formula>
    </cfRule>
  </conditionalFormatting>
  <conditionalFormatting sqref="I858">
    <cfRule type="cellIs" priority="3410" operator="greaterThan" aboveAverage="0" equalAverage="0" bottom="0" percent="0" rank="0" text="" dxfId="7">
      <formula>0</formula>
    </cfRule>
  </conditionalFormatting>
  <conditionalFormatting sqref="K858">
    <cfRule type="cellIs" priority="3411" operator="greaterThan" aboveAverage="0" equalAverage="0" bottom="0" percent="0" rank="0" text="" dxfId="7">
      <formula>0</formula>
    </cfRule>
  </conditionalFormatting>
  <conditionalFormatting sqref="N858">
    <cfRule type="cellIs" priority="3412" operator="greaterThan" aboveAverage="0" equalAverage="0" bottom="0" percent="0" rank="0" text="" dxfId="7">
      <formula>0</formula>
    </cfRule>
    <cfRule type="cellIs" priority="3413" operator="lessThan" aboveAverage="0" equalAverage="0" bottom="0" percent="0" rank="0" text="" dxfId="8">
      <formula>0</formula>
    </cfRule>
  </conditionalFormatting>
  <conditionalFormatting sqref="I859">
    <cfRule type="cellIs" priority="3414" operator="greaterThan" aboveAverage="0" equalAverage="0" bottom="0" percent="0" rank="0" text="" dxfId="7">
      <formula>0</formula>
    </cfRule>
  </conditionalFormatting>
  <conditionalFormatting sqref="K859">
    <cfRule type="cellIs" priority="3415" operator="greaterThan" aboveAverage="0" equalAverage="0" bottom="0" percent="0" rank="0" text="" dxfId="7">
      <formula>0</formula>
    </cfRule>
  </conditionalFormatting>
  <conditionalFormatting sqref="N859">
    <cfRule type="cellIs" priority="3416" operator="greaterThan" aboveAverage="0" equalAverage="0" bottom="0" percent="0" rank="0" text="" dxfId="7">
      <formula>0</formula>
    </cfRule>
    <cfRule type="cellIs" priority="3417" operator="lessThan" aboveAverage="0" equalAverage="0" bottom="0" percent="0" rank="0" text="" dxfId="8">
      <formula>0</formula>
    </cfRule>
  </conditionalFormatting>
  <conditionalFormatting sqref="I860">
    <cfRule type="cellIs" priority="3418" operator="greaterThan" aboveAverage="0" equalAverage="0" bottom="0" percent="0" rank="0" text="" dxfId="7">
      <formula>0</formula>
    </cfRule>
  </conditionalFormatting>
  <conditionalFormatting sqref="K860">
    <cfRule type="cellIs" priority="3419" operator="greaterThan" aboveAverage="0" equalAverage="0" bottom="0" percent="0" rank="0" text="" dxfId="7">
      <formula>0</formula>
    </cfRule>
  </conditionalFormatting>
  <conditionalFormatting sqref="N860">
    <cfRule type="cellIs" priority="3420" operator="greaterThan" aboveAverage="0" equalAverage="0" bottom="0" percent="0" rank="0" text="" dxfId="7">
      <formula>0</formula>
    </cfRule>
    <cfRule type="cellIs" priority="3421" operator="lessThan" aboveAverage="0" equalAverage="0" bottom="0" percent="0" rank="0" text="" dxfId="8">
      <formula>0</formula>
    </cfRule>
  </conditionalFormatting>
  <conditionalFormatting sqref="I861">
    <cfRule type="cellIs" priority="3422" operator="greaterThan" aboveAverage="0" equalAverage="0" bottom="0" percent="0" rank="0" text="" dxfId="7">
      <formula>0</formula>
    </cfRule>
  </conditionalFormatting>
  <conditionalFormatting sqref="K861">
    <cfRule type="cellIs" priority="3423" operator="greaterThan" aboveAverage="0" equalAverage="0" bottom="0" percent="0" rank="0" text="" dxfId="7">
      <formula>0</formula>
    </cfRule>
  </conditionalFormatting>
  <conditionalFormatting sqref="N861">
    <cfRule type="cellIs" priority="3424" operator="greaterThan" aboveAverage="0" equalAverage="0" bottom="0" percent="0" rank="0" text="" dxfId="7">
      <formula>0</formula>
    </cfRule>
    <cfRule type="cellIs" priority="3425" operator="lessThan" aboveAverage="0" equalAverage="0" bottom="0" percent="0" rank="0" text="" dxfId="8">
      <formula>0</formula>
    </cfRule>
  </conditionalFormatting>
  <conditionalFormatting sqref="I862">
    <cfRule type="cellIs" priority="3426" operator="greaterThan" aboveAverage="0" equalAverage="0" bottom="0" percent="0" rank="0" text="" dxfId="7">
      <formula>0</formula>
    </cfRule>
  </conditionalFormatting>
  <conditionalFormatting sqref="K862">
    <cfRule type="cellIs" priority="3427" operator="greaterThan" aboveAverage="0" equalAverage="0" bottom="0" percent="0" rank="0" text="" dxfId="7">
      <formula>0</formula>
    </cfRule>
  </conditionalFormatting>
  <conditionalFormatting sqref="N862">
    <cfRule type="cellIs" priority="3428" operator="greaterThan" aboveAverage="0" equalAverage="0" bottom="0" percent="0" rank="0" text="" dxfId="7">
      <formula>0</formula>
    </cfRule>
    <cfRule type="cellIs" priority="3429" operator="lessThan" aboveAverage="0" equalAverage="0" bottom="0" percent="0" rank="0" text="" dxfId="8">
      <formula>0</formula>
    </cfRule>
  </conditionalFormatting>
  <conditionalFormatting sqref="I863">
    <cfRule type="cellIs" priority="3430" operator="greaterThan" aboveAverage="0" equalAverage="0" bottom="0" percent="0" rank="0" text="" dxfId="7">
      <formula>0</formula>
    </cfRule>
  </conditionalFormatting>
  <conditionalFormatting sqref="K863">
    <cfRule type="cellIs" priority="3431" operator="greaterThan" aboveAverage="0" equalAverage="0" bottom="0" percent="0" rank="0" text="" dxfId="7">
      <formula>0</formula>
    </cfRule>
  </conditionalFormatting>
  <conditionalFormatting sqref="N863">
    <cfRule type="cellIs" priority="3432" operator="greaterThan" aboveAverage="0" equalAverage="0" bottom="0" percent="0" rank="0" text="" dxfId="7">
      <formula>0</formula>
    </cfRule>
    <cfRule type="cellIs" priority="3433" operator="lessThan" aboveAverage="0" equalAverage="0" bottom="0" percent="0" rank="0" text="" dxfId="8">
      <formula>0</formula>
    </cfRule>
  </conditionalFormatting>
  <conditionalFormatting sqref="I864">
    <cfRule type="cellIs" priority="3434" operator="greaterThan" aboveAverage="0" equalAverage="0" bottom="0" percent="0" rank="0" text="" dxfId="7">
      <formula>0</formula>
    </cfRule>
  </conditionalFormatting>
  <conditionalFormatting sqref="K864">
    <cfRule type="cellIs" priority="3435" operator="greaterThan" aboveAverage="0" equalAverage="0" bottom="0" percent="0" rank="0" text="" dxfId="7">
      <formula>0</formula>
    </cfRule>
  </conditionalFormatting>
  <conditionalFormatting sqref="N864">
    <cfRule type="cellIs" priority="3436" operator="greaterThan" aboveAverage="0" equalAverage="0" bottom="0" percent="0" rank="0" text="" dxfId="7">
      <formula>0</formula>
    </cfRule>
    <cfRule type="cellIs" priority="3437" operator="lessThan" aboveAverage="0" equalAverage="0" bottom="0" percent="0" rank="0" text="" dxfId="8">
      <formula>0</formula>
    </cfRule>
  </conditionalFormatting>
  <conditionalFormatting sqref="I865">
    <cfRule type="cellIs" priority="3438" operator="greaterThan" aboveAverage="0" equalAverage="0" bottom="0" percent="0" rank="0" text="" dxfId="7">
      <formula>0</formula>
    </cfRule>
  </conditionalFormatting>
  <conditionalFormatting sqref="K865">
    <cfRule type="cellIs" priority="3439" operator="greaterThan" aboveAverage="0" equalAverage="0" bottom="0" percent="0" rank="0" text="" dxfId="7">
      <formula>0</formula>
    </cfRule>
  </conditionalFormatting>
  <conditionalFormatting sqref="N865">
    <cfRule type="cellIs" priority="3440" operator="greaterThan" aboveAverage="0" equalAverage="0" bottom="0" percent="0" rank="0" text="" dxfId="7">
      <formula>0</formula>
    </cfRule>
    <cfRule type="cellIs" priority="3441" operator="lessThan" aboveAverage="0" equalAverage="0" bottom="0" percent="0" rank="0" text="" dxfId="8">
      <formula>0</formula>
    </cfRule>
  </conditionalFormatting>
  <conditionalFormatting sqref="I866">
    <cfRule type="cellIs" priority="3442" operator="greaterThan" aboveAverage="0" equalAverage="0" bottom="0" percent="0" rank="0" text="" dxfId="7">
      <formula>0</formula>
    </cfRule>
  </conditionalFormatting>
  <conditionalFormatting sqref="K866">
    <cfRule type="cellIs" priority="3443" operator="greaterThan" aboveAverage="0" equalAverage="0" bottom="0" percent="0" rank="0" text="" dxfId="7">
      <formula>0</formula>
    </cfRule>
  </conditionalFormatting>
  <conditionalFormatting sqref="N866">
    <cfRule type="cellIs" priority="3444" operator="greaterThan" aboveAverage="0" equalAverage="0" bottom="0" percent="0" rank="0" text="" dxfId="7">
      <formula>0</formula>
    </cfRule>
    <cfRule type="cellIs" priority="3445" operator="lessThan" aboveAverage="0" equalAverage="0" bottom="0" percent="0" rank="0" text="" dxfId="8">
      <formula>0</formula>
    </cfRule>
  </conditionalFormatting>
  <conditionalFormatting sqref="I867">
    <cfRule type="cellIs" priority="3446" operator="greaterThan" aboveAverage="0" equalAverage="0" bottom="0" percent="0" rank="0" text="" dxfId="7">
      <formula>0</formula>
    </cfRule>
  </conditionalFormatting>
  <conditionalFormatting sqref="K867">
    <cfRule type="cellIs" priority="3447" operator="greaterThan" aboveAverage="0" equalAverage="0" bottom="0" percent="0" rank="0" text="" dxfId="7">
      <formula>0</formula>
    </cfRule>
  </conditionalFormatting>
  <conditionalFormatting sqref="N867">
    <cfRule type="cellIs" priority="3448" operator="greaterThan" aboveAverage="0" equalAverage="0" bottom="0" percent="0" rank="0" text="" dxfId="7">
      <formula>0</formula>
    </cfRule>
    <cfRule type="cellIs" priority="3449" operator="lessThan" aboveAverage="0" equalAverage="0" bottom="0" percent="0" rank="0" text="" dxfId="8">
      <formula>0</formula>
    </cfRule>
  </conditionalFormatting>
  <conditionalFormatting sqref="I868">
    <cfRule type="cellIs" priority="3450" operator="greaterThan" aboveAverage="0" equalAverage="0" bottom="0" percent="0" rank="0" text="" dxfId="7">
      <formula>0</formula>
    </cfRule>
  </conditionalFormatting>
  <conditionalFormatting sqref="K868">
    <cfRule type="cellIs" priority="3451" operator="greaterThan" aboveAverage="0" equalAverage="0" bottom="0" percent="0" rank="0" text="" dxfId="7">
      <formula>0</formula>
    </cfRule>
  </conditionalFormatting>
  <conditionalFormatting sqref="N868">
    <cfRule type="cellIs" priority="3452" operator="greaterThan" aboveAverage="0" equalAverage="0" bottom="0" percent="0" rank="0" text="" dxfId="7">
      <formula>0</formula>
    </cfRule>
    <cfRule type="cellIs" priority="3453" operator="lessThan" aboveAverage="0" equalAverage="0" bottom="0" percent="0" rank="0" text="" dxfId="8">
      <formula>0</formula>
    </cfRule>
  </conditionalFormatting>
  <conditionalFormatting sqref="I869">
    <cfRule type="cellIs" priority="3454" operator="greaterThan" aboveAverage="0" equalAverage="0" bottom="0" percent="0" rank="0" text="" dxfId="7">
      <formula>0</formula>
    </cfRule>
  </conditionalFormatting>
  <conditionalFormatting sqref="K869">
    <cfRule type="cellIs" priority="3455" operator="greaterThan" aboveAverage="0" equalAverage="0" bottom="0" percent="0" rank="0" text="" dxfId="7">
      <formula>0</formula>
    </cfRule>
  </conditionalFormatting>
  <conditionalFormatting sqref="N869">
    <cfRule type="cellIs" priority="3456" operator="greaterThan" aboveAverage="0" equalAverage="0" bottom="0" percent="0" rank="0" text="" dxfId="7">
      <formula>0</formula>
    </cfRule>
    <cfRule type="cellIs" priority="3457" operator="lessThan" aboveAverage="0" equalAverage="0" bottom="0" percent="0" rank="0" text="" dxfId="8">
      <formula>0</formula>
    </cfRule>
  </conditionalFormatting>
  <conditionalFormatting sqref="I870">
    <cfRule type="cellIs" priority="3458" operator="greaterThan" aboveAverage="0" equalAverage="0" bottom="0" percent="0" rank="0" text="" dxfId="7">
      <formula>0</formula>
    </cfRule>
  </conditionalFormatting>
  <conditionalFormatting sqref="K870">
    <cfRule type="cellIs" priority="3459" operator="greaterThan" aboveAverage="0" equalAverage="0" bottom="0" percent="0" rank="0" text="" dxfId="7">
      <formula>0</formula>
    </cfRule>
  </conditionalFormatting>
  <conditionalFormatting sqref="N870">
    <cfRule type="cellIs" priority="3460" operator="greaterThan" aboveAverage="0" equalAverage="0" bottom="0" percent="0" rank="0" text="" dxfId="7">
      <formula>0</formula>
    </cfRule>
    <cfRule type="cellIs" priority="3461" operator="lessThan" aboveAverage="0" equalAverage="0" bottom="0" percent="0" rank="0" text="" dxfId="8">
      <formula>0</formula>
    </cfRule>
  </conditionalFormatting>
  <conditionalFormatting sqref="I871">
    <cfRule type="cellIs" priority="3462" operator="greaterThan" aboveAverage="0" equalAverage="0" bottom="0" percent="0" rank="0" text="" dxfId="7">
      <formula>0</formula>
    </cfRule>
  </conditionalFormatting>
  <conditionalFormatting sqref="K871">
    <cfRule type="cellIs" priority="3463" operator="greaterThan" aboveAverage="0" equalAverage="0" bottom="0" percent="0" rank="0" text="" dxfId="7">
      <formula>0</formula>
    </cfRule>
  </conditionalFormatting>
  <conditionalFormatting sqref="N871">
    <cfRule type="cellIs" priority="3464" operator="greaterThan" aboveAverage="0" equalAverage="0" bottom="0" percent="0" rank="0" text="" dxfId="7">
      <formula>0</formula>
    </cfRule>
    <cfRule type="cellIs" priority="3465" operator="lessThan" aboveAverage="0" equalAverage="0" bottom="0" percent="0" rank="0" text="" dxfId="8">
      <formula>0</formula>
    </cfRule>
  </conditionalFormatting>
  <conditionalFormatting sqref="I872">
    <cfRule type="cellIs" priority="3466" operator="greaterThan" aboveAverage="0" equalAverage="0" bottom="0" percent="0" rank="0" text="" dxfId="7">
      <formula>0</formula>
    </cfRule>
  </conditionalFormatting>
  <conditionalFormatting sqref="K872">
    <cfRule type="cellIs" priority="3467" operator="greaterThan" aboveAverage="0" equalAverage="0" bottom="0" percent="0" rank="0" text="" dxfId="7">
      <formula>0</formula>
    </cfRule>
  </conditionalFormatting>
  <conditionalFormatting sqref="N872">
    <cfRule type="cellIs" priority="3468" operator="greaterThan" aboveAverage="0" equalAverage="0" bottom="0" percent="0" rank="0" text="" dxfId="7">
      <formula>0</formula>
    </cfRule>
    <cfRule type="cellIs" priority="3469" operator="lessThan" aboveAverage="0" equalAverage="0" bottom="0" percent="0" rank="0" text="" dxfId="8">
      <formula>0</formula>
    </cfRule>
  </conditionalFormatting>
  <conditionalFormatting sqref="I873">
    <cfRule type="cellIs" priority="3470" operator="greaterThan" aboveAverage="0" equalAverage="0" bottom="0" percent="0" rank="0" text="" dxfId="7">
      <formula>0</formula>
    </cfRule>
  </conditionalFormatting>
  <conditionalFormatting sqref="K873">
    <cfRule type="cellIs" priority="3471" operator="greaterThan" aboveAverage="0" equalAverage="0" bottom="0" percent="0" rank="0" text="" dxfId="7">
      <formula>0</formula>
    </cfRule>
  </conditionalFormatting>
  <conditionalFormatting sqref="N873">
    <cfRule type="cellIs" priority="3472" operator="greaterThan" aboveAverage="0" equalAverage="0" bottom="0" percent="0" rank="0" text="" dxfId="7">
      <formula>0</formula>
    </cfRule>
    <cfRule type="cellIs" priority="3473" operator="lessThan" aboveAverage="0" equalAverage="0" bottom="0" percent="0" rank="0" text="" dxfId="8">
      <formula>0</formula>
    </cfRule>
  </conditionalFormatting>
  <conditionalFormatting sqref="I874">
    <cfRule type="cellIs" priority="3474" operator="greaterThan" aboveAverage="0" equalAverage="0" bottom="0" percent="0" rank="0" text="" dxfId="7">
      <formula>0</formula>
    </cfRule>
  </conditionalFormatting>
  <conditionalFormatting sqref="K874">
    <cfRule type="cellIs" priority="3475" operator="greaterThan" aboveAverage="0" equalAverage="0" bottom="0" percent="0" rank="0" text="" dxfId="7">
      <formula>0</formula>
    </cfRule>
  </conditionalFormatting>
  <conditionalFormatting sqref="N874">
    <cfRule type="cellIs" priority="3476" operator="greaterThan" aboveAverage="0" equalAverage="0" bottom="0" percent="0" rank="0" text="" dxfId="7">
      <formula>0</formula>
    </cfRule>
    <cfRule type="cellIs" priority="3477" operator="lessThan" aboveAverage="0" equalAverage="0" bottom="0" percent="0" rank="0" text="" dxfId="8">
      <formula>0</formula>
    </cfRule>
  </conditionalFormatting>
  <conditionalFormatting sqref="I875">
    <cfRule type="cellIs" priority="3478" operator="greaterThan" aboveAverage="0" equalAverage="0" bottom="0" percent="0" rank="0" text="" dxfId="7">
      <formula>0</formula>
    </cfRule>
  </conditionalFormatting>
  <conditionalFormatting sqref="K875">
    <cfRule type="cellIs" priority="3479" operator="greaterThan" aboveAverage="0" equalAverage="0" bottom="0" percent="0" rank="0" text="" dxfId="7">
      <formula>0</formula>
    </cfRule>
  </conditionalFormatting>
  <conditionalFormatting sqref="N875">
    <cfRule type="cellIs" priority="3480" operator="greaterThan" aboveAverage="0" equalAverage="0" bottom="0" percent="0" rank="0" text="" dxfId="7">
      <formula>0</formula>
    </cfRule>
    <cfRule type="cellIs" priority="3481" operator="lessThan" aboveAverage="0" equalAverage="0" bottom="0" percent="0" rank="0" text="" dxfId="8">
      <formula>0</formula>
    </cfRule>
  </conditionalFormatting>
  <conditionalFormatting sqref="I876">
    <cfRule type="cellIs" priority="3482" operator="greaterThan" aboveAverage="0" equalAverage="0" bottom="0" percent="0" rank="0" text="" dxfId="7">
      <formula>0</formula>
    </cfRule>
  </conditionalFormatting>
  <conditionalFormatting sqref="K876">
    <cfRule type="cellIs" priority="3483" operator="greaterThan" aboveAverage="0" equalAverage="0" bottom="0" percent="0" rank="0" text="" dxfId="7">
      <formula>0</formula>
    </cfRule>
  </conditionalFormatting>
  <conditionalFormatting sqref="N876">
    <cfRule type="cellIs" priority="3484" operator="greaterThan" aboveAverage="0" equalAverage="0" bottom="0" percent="0" rank="0" text="" dxfId="7">
      <formula>0</formula>
    </cfRule>
    <cfRule type="cellIs" priority="3485" operator="lessThan" aboveAverage="0" equalAverage="0" bottom="0" percent="0" rank="0" text="" dxfId="8">
      <formula>0</formula>
    </cfRule>
  </conditionalFormatting>
  <conditionalFormatting sqref="I877">
    <cfRule type="cellIs" priority="3486" operator="greaterThan" aboveAverage="0" equalAverage="0" bottom="0" percent="0" rank="0" text="" dxfId="7">
      <formula>0</formula>
    </cfRule>
  </conditionalFormatting>
  <conditionalFormatting sqref="K877">
    <cfRule type="cellIs" priority="3487" operator="greaterThan" aboveAverage="0" equalAverage="0" bottom="0" percent="0" rank="0" text="" dxfId="7">
      <formula>0</formula>
    </cfRule>
  </conditionalFormatting>
  <conditionalFormatting sqref="N877">
    <cfRule type="cellIs" priority="3488" operator="greaterThan" aboveAverage="0" equalAverage="0" bottom="0" percent="0" rank="0" text="" dxfId="7">
      <formula>0</formula>
    </cfRule>
    <cfRule type="cellIs" priority="3489" operator="lessThan" aboveAverage="0" equalAverage="0" bottom="0" percent="0" rank="0" text="" dxfId="8">
      <formula>0</formula>
    </cfRule>
  </conditionalFormatting>
  <conditionalFormatting sqref="I878">
    <cfRule type="cellIs" priority="3490" operator="greaterThan" aboveAverage="0" equalAverage="0" bottom="0" percent="0" rank="0" text="" dxfId="7">
      <formula>0</formula>
    </cfRule>
  </conditionalFormatting>
  <conditionalFormatting sqref="K878">
    <cfRule type="cellIs" priority="3491" operator="greaterThan" aboveAverage="0" equalAverage="0" bottom="0" percent="0" rank="0" text="" dxfId="7">
      <formula>0</formula>
    </cfRule>
  </conditionalFormatting>
  <conditionalFormatting sqref="N878">
    <cfRule type="cellIs" priority="3492" operator="greaterThan" aboveAverage="0" equalAverage="0" bottom="0" percent="0" rank="0" text="" dxfId="7">
      <formula>0</formula>
    </cfRule>
    <cfRule type="cellIs" priority="3493" operator="lessThan" aboveAverage="0" equalAverage="0" bottom="0" percent="0" rank="0" text="" dxfId="8">
      <formula>0</formula>
    </cfRule>
  </conditionalFormatting>
  <conditionalFormatting sqref="I879">
    <cfRule type="cellIs" priority="3494" operator="greaterThan" aboveAverage="0" equalAverage="0" bottom="0" percent="0" rank="0" text="" dxfId="7">
      <formula>0</formula>
    </cfRule>
  </conditionalFormatting>
  <conditionalFormatting sqref="K879">
    <cfRule type="cellIs" priority="3495" operator="greaterThan" aboveAverage="0" equalAverage="0" bottom="0" percent="0" rank="0" text="" dxfId="7">
      <formula>0</formula>
    </cfRule>
  </conditionalFormatting>
  <conditionalFormatting sqref="N879">
    <cfRule type="cellIs" priority="3496" operator="greaterThan" aboveAverage="0" equalAverage="0" bottom="0" percent="0" rank="0" text="" dxfId="7">
      <formula>0</formula>
    </cfRule>
    <cfRule type="cellIs" priority="3497" operator="lessThan" aboveAverage="0" equalAverage="0" bottom="0" percent="0" rank="0" text="" dxfId="8">
      <formula>0</formula>
    </cfRule>
  </conditionalFormatting>
  <conditionalFormatting sqref="I880">
    <cfRule type="cellIs" priority="3498" operator="greaterThan" aboveAverage="0" equalAverage="0" bottom="0" percent="0" rank="0" text="" dxfId="7">
      <formula>0</formula>
    </cfRule>
  </conditionalFormatting>
  <conditionalFormatting sqref="K880">
    <cfRule type="cellIs" priority="3499" operator="greaterThan" aboveAverage="0" equalAverage="0" bottom="0" percent="0" rank="0" text="" dxfId="7">
      <formula>0</formula>
    </cfRule>
  </conditionalFormatting>
  <conditionalFormatting sqref="N880">
    <cfRule type="cellIs" priority="3500" operator="greaterThan" aboveAverage="0" equalAverage="0" bottom="0" percent="0" rank="0" text="" dxfId="7">
      <formula>0</formula>
    </cfRule>
    <cfRule type="cellIs" priority="3501" operator="lessThan" aboveAverage="0" equalAverage="0" bottom="0" percent="0" rank="0" text="" dxfId="8">
      <formula>0</formula>
    </cfRule>
  </conditionalFormatting>
  <conditionalFormatting sqref="I881">
    <cfRule type="cellIs" priority="3502" operator="greaterThan" aboveAverage="0" equalAverage="0" bottom="0" percent="0" rank="0" text="" dxfId="7">
      <formula>0</formula>
    </cfRule>
  </conditionalFormatting>
  <conditionalFormatting sqref="K881">
    <cfRule type="cellIs" priority="3503" operator="greaterThan" aboveAverage="0" equalAverage="0" bottom="0" percent="0" rank="0" text="" dxfId="7">
      <formula>0</formula>
    </cfRule>
  </conditionalFormatting>
  <conditionalFormatting sqref="N881">
    <cfRule type="cellIs" priority="3504" operator="greaterThan" aboveAverage="0" equalAverage="0" bottom="0" percent="0" rank="0" text="" dxfId="7">
      <formula>0</formula>
    </cfRule>
    <cfRule type="cellIs" priority="3505" operator="lessThan" aboveAverage="0" equalAverage="0" bottom="0" percent="0" rank="0" text="" dxfId="8">
      <formula>0</formula>
    </cfRule>
  </conditionalFormatting>
  <conditionalFormatting sqref="I882">
    <cfRule type="cellIs" priority="3506" operator="greaterThan" aboveAverage="0" equalAverage="0" bottom="0" percent="0" rank="0" text="" dxfId="7">
      <formula>0</formula>
    </cfRule>
  </conditionalFormatting>
  <conditionalFormatting sqref="K882">
    <cfRule type="cellIs" priority="3507" operator="greaterThan" aboveAverage="0" equalAverage="0" bottom="0" percent="0" rank="0" text="" dxfId="7">
      <formula>0</formula>
    </cfRule>
  </conditionalFormatting>
  <conditionalFormatting sqref="N882">
    <cfRule type="cellIs" priority="3508" operator="greaterThan" aboveAverage="0" equalAverage="0" bottom="0" percent="0" rank="0" text="" dxfId="7">
      <formula>0</formula>
    </cfRule>
    <cfRule type="cellIs" priority="3509" operator="lessThan" aboveAverage="0" equalAverage="0" bottom="0" percent="0" rank="0" text="" dxfId="8">
      <formula>0</formula>
    </cfRule>
  </conditionalFormatting>
  <conditionalFormatting sqref="I883">
    <cfRule type="cellIs" priority="3510" operator="greaterThan" aboveAverage="0" equalAverage="0" bottom="0" percent="0" rank="0" text="" dxfId="7">
      <formula>0</formula>
    </cfRule>
  </conditionalFormatting>
  <conditionalFormatting sqref="K883">
    <cfRule type="cellIs" priority="3511" operator="greaterThan" aboveAverage="0" equalAverage="0" bottom="0" percent="0" rank="0" text="" dxfId="7">
      <formula>0</formula>
    </cfRule>
  </conditionalFormatting>
  <conditionalFormatting sqref="N883">
    <cfRule type="cellIs" priority="3512" operator="greaterThan" aboveAverage="0" equalAverage="0" bottom="0" percent="0" rank="0" text="" dxfId="7">
      <formula>0</formula>
    </cfRule>
    <cfRule type="cellIs" priority="3513" operator="lessThan" aboveAverage="0" equalAverage="0" bottom="0" percent="0" rank="0" text="" dxfId="8">
      <formula>0</formula>
    </cfRule>
  </conditionalFormatting>
  <conditionalFormatting sqref="I884">
    <cfRule type="cellIs" priority="3514" operator="greaterThan" aboveAverage="0" equalAverage="0" bottom="0" percent="0" rank="0" text="" dxfId="7">
      <formula>0</formula>
    </cfRule>
  </conditionalFormatting>
  <conditionalFormatting sqref="K884">
    <cfRule type="cellIs" priority="3515" operator="greaterThan" aboveAverage="0" equalAverage="0" bottom="0" percent="0" rank="0" text="" dxfId="7">
      <formula>0</formula>
    </cfRule>
  </conditionalFormatting>
  <conditionalFormatting sqref="N884">
    <cfRule type="cellIs" priority="3516" operator="greaterThan" aboveAverage="0" equalAverage="0" bottom="0" percent="0" rank="0" text="" dxfId="7">
      <formula>0</formula>
    </cfRule>
    <cfRule type="cellIs" priority="3517" operator="lessThan" aboveAverage="0" equalAverage="0" bottom="0" percent="0" rank="0" text="" dxfId="8">
      <formula>0</formula>
    </cfRule>
  </conditionalFormatting>
  <conditionalFormatting sqref="I885">
    <cfRule type="cellIs" priority="3518" operator="greaterThan" aboveAverage="0" equalAverage="0" bottom="0" percent="0" rank="0" text="" dxfId="7">
      <formula>0</formula>
    </cfRule>
  </conditionalFormatting>
  <conditionalFormatting sqref="K885">
    <cfRule type="cellIs" priority="3519" operator="greaterThan" aboveAverage="0" equalAverage="0" bottom="0" percent="0" rank="0" text="" dxfId="7">
      <formula>0</formula>
    </cfRule>
  </conditionalFormatting>
  <conditionalFormatting sqref="N885">
    <cfRule type="cellIs" priority="3520" operator="greaterThan" aboveAverage="0" equalAverage="0" bottom="0" percent="0" rank="0" text="" dxfId="7">
      <formula>0</formula>
    </cfRule>
    <cfRule type="cellIs" priority="3521" operator="lessThan" aboveAverage="0" equalAverage="0" bottom="0" percent="0" rank="0" text="" dxfId="8">
      <formula>0</formula>
    </cfRule>
  </conditionalFormatting>
  <conditionalFormatting sqref="I886">
    <cfRule type="cellIs" priority="3522" operator="greaterThan" aboveAverage="0" equalAverage="0" bottom="0" percent="0" rank="0" text="" dxfId="7">
      <formula>0</formula>
    </cfRule>
  </conditionalFormatting>
  <conditionalFormatting sqref="K886">
    <cfRule type="cellIs" priority="3523" operator="greaterThan" aboveAverage="0" equalAverage="0" bottom="0" percent="0" rank="0" text="" dxfId="7">
      <formula>0</formula>
    </cfRule>
  </conditionalFormatting>
  <conditionalFormatting sqref="N886">
    <cfRule type="cellIs" priority="3524" operator="greaterThan" aboveAverage="0" equalAverage="0" bottom="0" percent="0" rank="0" text="" dxfId="7">
      <formula>0</formula>
    </cfRule>
    <cfRule type="cellIs" priority="3525" operator="lessThan" aboveAverage="0" equalAverage="0" bottom="0" percent="0" rank="0" text="" dxfId="8">
      <formula>0</formula>
    </cfRule>
  </conditionalFormatting>
  <conditionalFormatting sqref="I887">
    <cfRule type="cellIs" priority="3526" operator="greaterThan" aboveAverage="0" equalAverage="0" bottom="0" percent="0" rank="0" text="" dxfId="7">
      <formula>0</formula>
    </cfRule>
  </conditionalFormatting>
  <conditionalFormatting sqref="K887">
    <cfRule type="cellIs" priority="3527" operator="greaterThan" aboveAverage="0" equalAverage="0" bottom="0" percent="0" rank="0" text="" dxfId="7">
      <formula>0</formula>
    </cfRule>
  </conditionalFormatting>
  <conditionalFormatting sqref="N887">
    <cfRule type="cellIs" priority="3528" operator="greaterThan" aboveAverage="0" equalAverage="0" bottom="0" percent="0" rank="0" text="" dxfId="7">
      <formula>0</formula>
    </cfRule>
    <cfRule type="cellIs" priority="3529" operator="lessThan" aboveAverage="0" equalAverage="0" bottom="0" percent="0" rank="0" text="" dxfId="8">
      <formula>0</formula>
    </cfRule>
  </conditionalFormatting>
  <conditionalFormatting sqref="I888">
    <cfRule type="cellIs" priority="3530" operator="greaterThan" aboveAverage="0" equalAverage="0" bottom="0" percent="0" rank="0" text="" dxfId="7">
      <formula>0</formula>
    </cfRule>
  </conditionalFormatting>
  <conditionalFormatting sqref="K888">
    <cfRule type="cellIs" priority="3531" operator="greaterThan" aboveAverage="0" equalAverage="0" bottom="0" percent="0" rank="0" text="" dxfId="7">
      <formula>0</formula>
    </cfRule>
  </conditionalFormatting>
  <conditionalFormatting sqref="N888">
    <cfRule type="cellIs" priority="3532" operator="greaterThan" aboveAverage="0" equalAverage="0" bottom="0" percent="0" rank="0" text="" dxfId="7">
      <formula>0</formula>
    </cfRule>
    <cfRule type="cellIs" priority="3533" operator="lessThan" aboveAverage="0" equalAverage="0" bottom="0" percent="0" rank="0" text="" dxfId="8">
      <formula>0</formula>
    </cfRule>
  </conditionalFormatting>
  <conditionalFormatting sqref="I889">
    <cfRule type="cellIs" priority="3534" operator="greaterThan" aboveAverage="0" equalAverage="0" bottom="0" percent="0" rank="0" text="" dxfId="7">
      <formula>0</formula>
    </cfRule>
  </conditionalFormatting>
  <conditionalFormatting sqref="K889">
    <cfRule type="cellIs" priority="3535" operator="greaterThan" aboveAverage="0" equalAverage="0" bottom="0" percent="0" rank="0" text="" dxfId="7">
      <formula>0</formula>
    </cfRule>
  </conditionalFormatting>
  <conditionalFormatting sqref="N889">
    <cfRule type="cellIs" priority="3536" operator="greaterThan" aboveAverage="0" equalAverage="0" bottom="0" percent="0" rank="0" text="" dxfId="7">
      <formula>0</formula>
    </cfRule>
    <cfRule type="cellIs" priority="3537" operator="lessThan" aboveAverage="0" equalAverage="0" bottom="0" percent="0" rank="0" text="" dxfId="8">
      <formula>0</formula>
    </cfRule>
  </conditionalFormatting>
  <conditionalFormatting sqref="I890">
    <cfRule type="cellIs" priority="3538" operator="greaterThan" aboveAverage="0" equalAverage="0" bottom="0" percent="0" rank="0" text="" dxfId="7">
      <formula>0</formula>
    </cfRule>
  </conditionalFormatting>
  <conditionalFormatting sqref="K890">
    <cfRule type="cellIs" priority="3539" operator="greaterThan" aboveAverage="0" equalAverage="0" bottom="0" percent="0" rank="0" text="" dxfId="7">
      <formula>0</formula>
    </cfRule>
  </conditionalFormatting>
  <conditionalFormatting sqref="N890">
    <cfRule type="cellIs" priority="3540" operator="greaterThan" aboveAverage="0" equalAverage="0" bottom="0" percent="0" rank="0" text="" dxfId="7">
      <formula>0</formula>
    </cfRule>
    <cfRule type="cellIs" priority="3541" operator="lessThan" aboveAverage="0" equalAverage="0" bottom="0" percent="0" rank="0" text="" dxfId="8">
      <formula>0</formula>
    </cfRule>
  </conditionalFormatting>
  <conditionalFormatting sqref="I891">
    <cfRule type="cellIs" priority="3542" operator="greaterThan" aboveAverage="0" equalAverage="0" bottom="0" percent="0" rank="0" text="" dxfId="7">
      <formula>0</formula>
    </cfRule>
  </conditionalFormatting>
  <conditionalFormatting sqref="K891">
    <cfRule type="cellIs" priority="3543" operator="greaterThan" aboveAverage="0" equalAverage="0" bottom="0" percent="0" rank="0" text="" dxfId="7">
      <formula>0</formula>
    </cfRule>
  </conditionalFormatting>
  <conditionalFormatting sqref="N891">
    <cfRule type="cellIs" priority="3544" operator="greaterThan" aboveAverage="0" equalAverage="0" bottom="0" percent="0" rank="0" text="" dxfId="7">
      <formula>0</formula>
    </cfRule>
    <cfRule type="cellIs" priority="3545" operator="lessThan" aboveAverage="0" equalAverage="0" bottom="0" percent="0" rank="0" text="" dxfId="8">
      <formula>0</formula>
    </cfRule>
  </conditionalFormatting>
  <conditionalFormatting sqref="I892">
    <cfRule type="cellIs" priority="3546" operator="greaterThan" aboveAverage="0" equalAverage="0" bottom="0" percent="0" rank="0" text="" dxfId="7">
      <formula>0</formula>
    </cfRule>
  </conditionalFormatting>
  <conditionalFormatting sqref="K892">
    <cfRule type="cellIs" priority="3547" operator="greaterThan" aboveAverage="0" equalAverage="0" bottom="0" percent="0" rank="0" text="" dxfId="7">
      <formula>0</formula>
    </cfRule>
  </conditionalFormatting>
  <conditionalFormatting sqref="N892">
    <cfRule type="cellIs" priority="3548" operator="greaterThan" aboveAverage="0" equalAverage="0" bottom="0" percent="0" rank="0" text="" dxfId="7">
      <formula>0</formula>
    </cfRule>
    <cfRule type="cellIs" priority="3549" operator="lessThan" aboveAverage="0" equalAverage="0" bottom="0" percent="0" rank="0" text="" dxfId="8">
      <formula>0</formula>
    </cfRule>
  </conditionalFormatting>
  <conditionalFormatting sqref="I893">
    <cfRule type="cellIs" priority="3550" operator="greaterThan" aboveAverage="0" equalAverage="0" bottom="0" percent="0" rank="0" text="" dxfId="7">
      <formula>0</formula>
    </cfRule>
  </conditionalFormatting>
  <conditionalFormatting sqref="K893">
    <cfRule type="cellIs" priority="3551" operator="greaterThan" aboveAverage="0" equalAverage="0" bottom="0" percent="0" rank="0" text="" dxfId="7">
      <formula>0</formula>
    </cfRule>
  </conditionalFormatting>
  <conditionalFormatting sqref="N893">
    <cfRule type="cellIs" priority="3552" operator="greaterThan" aboveAverage="0" equalAverage="0" bottom="0" percent="0" rank="0" text="" dxfId="7">
      <formula>0</formula>
    </cfRule>
    <cfRule type="cellIs" priority="3553" operator="lessThan" aboveAverage="0" equalAverage="0" bottom="0" percent="0" rank="0" text="" dxfId="8">
      <formula>0</formula>
    </cfRule>
  </conditionalFormatting>
  <conditionalFormatting sqref="I894">
    <cfRule type="cellIs" priority="3554" operator="greaterThan" aboveAverage="0" equalAverage="0" bottom="0" percent="0" rank="0" text="" dxfId="7">
      <formula>0</formula>
    </cfRule>
  </conditionalFormatting>
  <conditionalFormatting sqref="K894">
    <cfRule type="cellIs" priority="3555" operator="greaterThan" aboveAverage="0" equalAverage="0" bottom="0" percent="0" rank="0" text="" dxfId="7">
      <formula>0</formula>
    </cfRule>
  </conditionalFormatting>
  <conditionalFormatting sqref="N894">
    <cfRule type="cellIs" priority="3556" operator="greaterThan" aboveAverage="0" equalAverage="0" bottom="0" percent="0" rank="0" text="" dxfId="7">
      <formula>0</formula>
    </cfRule>
    <cfRule type="cellIs" priority="3557" operator="lessThan" aboveAverage="0" equalAverage="0" bottom="0" percent="0" rank="0" text="" dxfId="8">
      <formula>0</formula>
    </cfRule>
  </conditionalFormatting>
  <conditionalFormatting sqref="I895">
    <cfRule type="cellIs" priority="3558" operator="greaterThan" aboveAverage="0" equalAverage="0" bottom="0" percent="0" rank="0" text="" dxfId="7">
      <formula>0</formula>
    </cfRule>
  </conditionalFormatting>
  <conditionalFormatting sqref="K895">
    <cfRule type="cellIs" priority="3559" operator="greaterThan" aboveAverage="0" equalAverage="0" bottom="0" percent="0" rank="0" text="" dxfId="7">
      <formula>0</formula>
    </cfRule>
  </conditionalFormatting>
  <conditionalFormatting sqref="N895">
    <cfRule type="cellIs" priority="3560" operator="greaterThan" aboveAverage="0" equalAverage="0" bottom="0" percent="0" rank="0" text="" dxfId="7">
      <formula>0</formula>
    </cfRule>
    <cfRule type="cellIs" priority="3561" operator="lessThan" aboveAverage="0" equalAverage="0" bottom="0" percent="0" rank="0" text="" dxfId="8">
      <formula>0</formula>
    </cfRule>
  </conditionalFormatting>
  <conditionalFormatting sqref="I896">
    <cfRule type="cellIs" priority="3562" operator="greaterThan" aboveAverage="0" equalAverage="0" bottom="0" percent="0" rank="0" text="" dxfId="7">
      <formula>0</formula>
    </cfRule>
  </conditionalFormatting>
  <conditionalFormatting sqref="K896">
    <cfRule type="cellIs" priority="3563" operator="greaterThan" aboveAverage="0" equalAverage="0" bottom="0" percent="0" rank="0" text="" dxfId="7">
      <formula>0</formula>
    </cfRule>
  </conditionalFormatting>
  <conditionalFormatting sqref="N896">
    <cfRule type="cellIs" priority="3564" operator="greaterThan" aboveAverage="0" equalAverage="0" bottom="0" percent="0" rank="0" text="" dxfId="7">
      <formula>0</formula>
    </cfRule>
    <cfRule type="cellIs" priority="3565" operator="lessThan" aboveAverage="0" equalAverage="0" bottom="0" percent="0" rank="0" text="" dxfId="8">
      <formula>0</formula>
    </cfRule>
  </conditionalFormatting>
  <conditionalFormatting sqref="I897">
    <cfRule type="cellIs" priority="3566" operator="greaterThan" aboveAverage="0" equalAverage="0" bottom="0" percent="0" rank="0" text="" dxfId="7">
      <formula>0</formula>
    </cfRule>
  </conditionalFormatting>
  <conditionalFormatting sqref="K897">
    <cfRule type="cellIs" priority="3567" operator="greaterThan" aboveAverage="0" equalAverage="0" bottom="0" percent="0" rank="0" text="" dxfId="7">
      <formula>0</formula>
    </cfRule>
  </conditionalFormatting>
  <conditionalFormatting sqref="N897">
    <cfRule type="cellIs" priority="3568" operator="greaterThan" aboveAverage="0" equalAverage="0" bottom="0" percent="0" rank="0" text="" dxfId="7">
      <formula>0</formula>
    </cfRule>
    <cfRule type="cellIs" priority="3569" operator="lessThan" aboveAverage="0" equalAverage="0" bottom="0" percent="0" rank="0" text="" dxfId="8">
      <formula>0</formula>
    </cfRule>
  </conditionalFormatting>
  <conditionalFormatting sqref="I898">
    <cfRule type="cellIs" priority="3570" operator="greaterThan" aboveAverage="0" equalAverage="0" bottom="0" percent="0" rank="0" text="" dxfId="7">
      <formula>0</formula>
    </cfRule>
  </conditionalFormatting>
  <conditionalFormatting sqref="K898">
    <cfRule type="cellIs" priority="3571" operator="greaterThan" aboveAverage="0" equalAverage="0" bottom="0" percent="0" rank="0" text="" dxfId="7">
      <formula>0</formula>
    </cfRule>
  </conditionalFormatting>
  <conditionalFormatting sqref="N898">
    <cfRule type="cellIs" priority="3572" operator="greaterThan" aboveAverage="0" equalAverage="0" bottom="0" percent="0" rank="0" text="" dxfId="7">
      <formula>0</formula>
    </cfRule>
    <cfRule type="cellIs" priority="3573" operator="lessThan" aboveAverage="0" equalAverage="0" bottom="0" percent="0" rank="0" text="" dxfId="8">
      <formula>0</formula>
    </cfRule>
  </conditionalFormatting>
  <conditionalFormatting sqref="I899">
    <cfRule type="cellIs" priority="3574" operator="greaterThan" aboveAverage="0" equalAverage="0" bottom="0" percent="0" rank="0" text="" dxfId="7">
      <formula>0</formula>
    </cfRule>
  </conditionalFormatting>
  <conditionalFormatting sqref="K899">
    <cfRule type="cellIs" priority="3575" operator="greaterThan" aboveAverage="0" equalAverage="0" bottom="0" percent="0" rank="0" text="" dxfId="7">
      <formula>0</formula>
    </cfRule>
  </conditionalFormatting>
  <conditionalFormatting sqref="N899">
    <cfRule type="cellIs" priority="3576" operator="greaterThan" aboveAverage="0" equalAverage="0" bottom="0" percent="0" rank="0" text="" dxfId="7">
      <formula>0</formula>
    </cfRule>
    <cfRule type="cellIs" priority="3577" operator="lessThan" aboveAverage="0" equalAverage="0" bottom="0" percent="0" rank="0" text="" dxfId="8">
      <formula>0</formula>
    </cfRule>
  </conditionalFormatting>
  <conditionalFormatting sqref="I900">
    <cfRule type="cellIs" priority="3578" operator="greaterThan" aboveAverage="0" equalAverage="0" bottom="0" percent="0" rank="0" text="" dxfId="7">
      <formula>0</formula>
    </cfRule>
  </conditionalFormatting>
  <conditionalFormatting sqref="K900">
    <cfRule type="cellIs" priority="3579" operator="greaterThan" aboveAverage="0" equalAverage="0" bottom="0" percent="0" rank="0" text="" dxfId="7">
      <formula>0</formula>
    </cfRule>
  </conditionalFormatting>
  <conditionalFormatting sqref="N900">
    <cfRule type="cellIs" priority="3580" operator="greaterThan" aboveAverage="0" equalAverage="0" bottom="0" percent="0" rank="0" text="" dxfId="7">
      <formula>0</formula>
    </cfRule>
    <cfRule type="cellIs" priority="3581" operator="lessThan" aboveAverage="0" equalAverage="0" bottom="0" percent="0" rank="0" text="" dxfId="8">
      <formula>0</formula>
    </cfRule>
  </conditionalFormatting>
  <conditionalFormatting sqref="I901">
    <cfRule type="cellIs" priority="3582" operator="greaterThan" aboveAverage="0" equalAverage="0" bottom="0" percent="0" rank="0" text="" dxfId="7">
      <formula>0</formula>
    </cfRule>
  </conditionalFormatting>
  <conditionalFormatting sqref="K901">
    <cfRule type="cellIs" priority="3583" operator="greaterThan" aboveAverage="0" equalAverage="0" bottom="0" percent="0" rank="0" text="" dxfId="7">
      <formula>0</formula>
    </cfRule>
  </conditionalFormatting>
  <conditionalFormatting sqref="N901">
    <cfRule type="cellIs" priority="3584" operator="greaterThan" aboveAverage="0" equalAverage="0" bottom="0" percent="0" rank="0" text="" dxfId="7">
      <formula>0</formula>
    </cfRule>
    <cfRule type="cellIs" priority="3585" operator="lessThan" aboveAverage="0" equalAverage="0" bottom="0" percent="0" rank="0" text="" dxfId="8">
      <formula>0</formula>
    </cfRule>
  </conditionalFormatting>
  <conditionalFormatting sqref="I902">
    <cfRule type="cellIs" priority="3586" operator="greaterThan" aboveAverage="0" equalAverage="0" bottom="0" percent="0" rank="0" text="" dxfId="7">
      <formula>0</formula>
    </cfRule>
  </conditionalFormatting>
  <conditionalFormatting sqref="K902">
    <cfRule type="cellIs" priority="3587" operator="greaterThan" aboveAverage="0" equalAverage="0" bottom="0" percent="0" rank="0" text="" dxfId="7">
      <formula>0</formula>
    </cfRule>
  </conditionalFormatting>
  <conditionalFormatting sqref="N902">
    <cfRule type="cellIs" priority="3588" operator="greaterThan" aboveAverage="0" equalAverage="0" bottom="0" percent="0" rank="0" text="" dxfId="7">
      <formula>0</formula>
    </cfRule>
    <cfRule type="cellIs" priority="3589" operator="lessThan" aboveAverage="0" equalAverage="0" bottom="0" percent="0" rank="0" text="" dxfId="8">
      <formula>0</formula>
    </cfRule>
  </conditionalFormatting>
  <conditionalFormatting sqref="I903">
    <cfRule type="cellIs" priority="3590" operator="greaterThan" aboveAverage="0" equalAverage="0" bottom="0" percent="0" rank="0" text="" dxfId="7">
      <formula>0</formula>
    </cfRule>
  </conditionalFormatting>
  <conditionalFormatting sqref="K903">
    <cfRule type="cellIs" priority="3591" operator="greaterThan" aboveAverage="0" equalAverage="0" bottom="0" percent="0" rank="0" text="" dxfId="7">
      <formula>0</formula>
    </cfRule>
  </conditionalFormatting>
  <conditionalFormatting sqref="N903">
    <cfRule type="cellIs" priority="3592" operator="greaterThan" aboveAverage="0" equalAverage="0" bottom="0" percent="0" rank="0" text="" dxfId="7">
      <formula>0</formula>
    </cfRule>
    <cfRule type="cellIs" priority="3593" operator="lessThan" aboveAverage="0" equalAverage="0" bottom="0" percent="0" rank="0" text="" dxfId="8">
      <formula>0</formula>
    </cfRule>
  </conditionalFormatting>
  <conditionalFormatting sqref="I904">
    <cfRule type="cellIs" priority="3594" operator="greaterThan" aboveAverage="0" equalAverage="0" bottom="0" percent="0" rank="0" text="" dxfId="7">
      <formula>0</formula>
    </cfRule>
  </conditionalFormatting>
  <conditionalFormatting sqref="K904">
    <cfRule type="cellIs" priority="3595" operator="greaterThan" aboveAverage="0" equalAverage="0" bottom="0" percent="0" rank="0" text="" dxfId="7">
      <formula>0</formula>
    </cfRule>
  </conditionalFormatting>
  <conditionalFormatting sqref="N904">
    <cfRule type="cellIs" priority="3596" operator="greaterThan" aboveAverage="0" equalAverage="0" bottom="0" percent="0" rank="0" text="" dxfId="7">
      <formula>0</formula>
    </cfRule>
    <cfRule type="cellIs" priority="3597" operator="lessThan" aboveAverage="0" equalAverage="0" bottom="0" percent="0" rank="0" text="" dxfId="8">
      <formula>0</formula>
    </cfRule>
  </conditionalFormatting>
  <conditionalFormatting sqref="I905">
    <cfRule type="cellIs" priority="3598" operator="greaterThan" aboveAverage="0" equalAverage="0" bottom="0" percent="0" rank="0" text="" dxfId="7">
      <formula>0</formula>
    </cfRule>
  </conditionalFormatting>
  <conditionalFormatting sqref="K905">
    <cfRule type="cellIs" priority="3599" operator="greaterThan" aboveAverage="0" equalAverage="0" bottom="0" percent="0" rank="0" text="" dxfId="7">
      <formula>0</formula>
    </cfRule>
  </conditionalFormatting>
  <conditionalFormatting sqref="N905">
    <cfRule type="cellIs" priority="3600" operator="greaterThan" aboveAverage="0" equalAverage="0" bottom="0" percent="0" rank="0" text="" dxfId="7">
      <formula>0</formula>
    </cfRule>
    <cfRule type="cellIs" priority="3601" operator="lessThan" aboveAverage="0" equalAverage="0" bottom="0" percent="0" rank="0" text="" dxfId="8">
      <formula>0</formula>
    </cfRule>
  </conditionalFormatting>
  <conditionalFormatting sqref="I906">
    <cfRule type="cellIs" priority="3602" operator="greaterThan" aboveAverage="0" equalAverage="0" bottom="0" percent="0" rank="0" text="" dxfId="7">
      <formula>0</formula>
    </cfRule>
  </conditionalFormatting>
  <conditionalFormatting sqref="K906">
    <cfRule type="cellIs" priority="3603" operator="greaterThan" aboveAverage="0" equalAverage="0" bottom="0" percent="0" rank="0" text="" dxfId="7">
      <formula>0</formula>
    </cfRule>
  </conditionalFormatting>
  <conditionalFormatting sqref="N906">
    <cfRule type="cellIs" priority="3604" operator="greaterThan" aboveAverage="0" equalAverage="0" bottom="0" percent="0" rank="0" text="" dxfId="7">
      <formula>0</formula>
    </cfRule>
    <cfRule type="cellIs" priority="3605" operator="lessThan" aboveAverage="0" equalAverage="0" bottom="0" percent="0" rank="0" text="" dxfId="8">
      <formula>0</formula>
    </cfRule>
  </conditionalFormatting>
  <conditionalFormatting sqref="I907">
    <cfRule type="cellIs" priority="3606" operator="greaterThan" aboveAverage="0" equalAverage="0" bottom="0" percent="0" rank="0" text="" dxfId="7">
      <formula>0</formula>
    </cfRule>
  </conditionalFormatting>
  <conditionalFormatting sqref="K907">
    <cfRule type="cellIs" priority="3607" operator="greaterThan" aboveAverage="0" equalAverage="0" bottom="0" percent="0" rank="0" text="" dxfId="7">
      <formula>0</formula>
    </cfRule>
  </conditionalFormatting>
  <conditionalFormatting sqref="N907">
    <cfRule type="cellIs" priority="3608" operator="greaterThan" aboveAverage="0" equalAverage="0" bottom="0" percent="0" rank="0" text="" dxfId="7">
      <formula>0</formula>
    </cfRule>
    <cfRule type="cellIs" priority="3609" operator="lessThan" aboveAverage="0" equalAverage="0" bottom="0" percent="0" rank="0" text="" dxfId="8">
      <formula>0</formula>
    </cfRule>
  </conditionalFormatting>
  <conditionalFormatting sqref="I908">
    <cfRule type="cellIs" priority="3610" operator="greaterThan" aboveAverage="0" equalAverage="0" bottom="0" percent="0" rank="0" text="" dxfId="7">
      <formula>0</formula>
    </cfRule>
  </conditionalFormatting>
  <conditionalFormatting sqref="K908">
    <cfRule type="cellIs" priority="3611" operator="greaterThan" aboveAverage="0" equalAverage="0" bottom="0" percent="0" rank="0" text="" dxfId="7">
      <formula>0</formula>
    </cfRule>
  </conditionalFormatting>
  <conditionalFormatting sqref="N908">
    <cfRule type="cellIs" priority="3612" operator="greaterThan" aboveAverage="0" equalAverage="0" bottom="0" percent="0" rank="0" text="" dxfId="7">
      <formula>0</formula>
    </cfRule>
    <cfRule type="cellIs" priority="3613" operator="lessThan" aboveAverage="0" equalAverage="0" bottom="0" percent="0" rank="0" text="" dxfId="8">
      <formula>0</formula>
    </cfRule>
  </conditionalFormatting>
  <conditionalFormatting sqref="I909">
    <cfRule type="cellIs" priority="3614" operator="greaterThan" aboveAverage="0" equalAverage="0" bottom="0" percent="0" rank="0" text="" dxfId="7">
      <formula>0</formula>
    </cfRule>
  </conditionalFormatting>
  <conditionalFormatting sqref="K909">
    <cfRule type="cellIs" priority="3615" operator="greaterThan" aboveAverage="0" equalAverage="0" bottom="0" percent="0" rank="0" text="" dxfId="7">
      <formula>0</formula>
    </cfRule>
  </conditionalFormatting>
  <conditionalFormatting sqref="N909">
    <cfRule type="cellIs" priority="3616" operator="greaterThan" aboveAverage="0" equalAverage="0" bottom="0" percent="0" rank="0" text="" dxfId="7">
      <formula>0</formula>
    </cfRule>
    <cfRule type="cellIs" priority="3617" operator="lessThan" aboveAverage="0" equalAverage="0" bottom="0" percent="0" rank="0" text="" dxfId="8">
      <formula>0</formula>
    </cfRule>
  </conditionalFormatting>
  <conditionalFormatting sqref="I910">
    <cfRule type="cellIs" priority="3618" operator="greaterThan" aboveAverage="0" equalAverage="0" bottom="0" percent="0" rank="0" text="" dxfId="7">
      <formula>0</formula>
    </cfRule>
  </conditionalFormatting>
  <conditionalFormatting sqref="K910">
    <cfRule type="cellIs" priority="3619" operator="greaterThan" aboveAverage="0" equalAverage="0" bottom="0" percent="0" rank="0" text="" dxfId="7">
      <formula>0</formula>
    </cfRule>
  </conditionalFormatting>
  <conditionalFormatting sqref="N910">
    <cfRule type="cellIs" priority="3620" operator="greaterThan" aboveAverage="0" equalAverage="0" bottom="0" percent="0" rank="0" text="" dxfId="7">
      <formula>0</formula>
    </cfRule>
    <cfRule type="cellIs" priority="3621" operator="lessThan" aboveAverage="0" equalAverage="0" bottom="0" percent="0" rank="0" text="" dxfId="8">
      <formula>0</formula>
    </cfRule>
  </conditionalFormatting>
  <conditionalFormatting sqref="I911">
    <cfRule type="cellIs" priority="3622" operator="greaterThan" aboveAverage="0" equalAverage="0" bottom="0" percent="0" rank="0" text="" dxfId="7">
      <formula>0</formula>
    </cfRule>
  </conditionalFormatting>
  <conditionalFormatting sqref="K911">
    <cfRule type="cellIs" priority="3623" operator="greaterThan" aboveAverage="0" equalAverage="0" bottom="0" percent="0" rank="0" text="" dxfId="7">
      <formula>0</formula>
    </cfRule>
  </conditionalFormatting>
  <conditionalFormatting sqref="N911">
    <cfRule type="cellIs" priority="3624" operator="greaterThan" aboveAverage="0" equalAverage="0" bottom="0" percent="0" rank="0" text="" dxfId="7">
      <formula>0</formula>
    </cfRule>
    <cfRule type="cellIs" priority="3625" operator="lessThan" aboveAverage="0" equalAverage="0" bottom="0" percent="0" rank="0" text="" dxfId="8">
      <formula>0</formula>
    </cfRule>
  </conditionalFormatting>
  <conditionalFormatting sqref="I912">
    <cfRule type="cellIs" priority="3626" operator="greaterThan" aboveAverage="0" equalAverage="0" bottom="0" percent="0" rank="0" text="" dxfId="7">
      <formula>0</formula>
    </cfRule>
  </conditionalFormatting>
  <conditionalFormatting sqref="K912">
    <cfRule type="cellIs" priority="3627" operator="greaterThan" aboveAverage="0" equalAverage="0" bottom="0" percent="0" rank="0" text="" dxfId="7">
      <formula>0</formula>
    </cfRule>
  </conditionalFormatting>
  <conditionalFormatting sqref="N912">
    <cfRule type="cellIs" priority="3628" operator="greaterThan" aboveAverage="0" equalAverage="0" bottom="0" percent="0" rank="0" text="" dxfId="7">
      <formula>0</formula>
    </cfRule>
    <cfRule type="cellIs" priority="3629" operator="lessThan" aboveAverage="0" equalAverage="0" bottom="0" percent="0" rank="0" text="" dxfId="8">
      <formula>0</formula>
    </cfRule>
  </conditionalFormatting>
  <conditionalFormatting sqref="I913">
    <cfRule type="cellIs" priority="3630" operator="greaterThan" aboveAverage="0" equalAverage="0" bottom="0" percent="0" rank="0" text="" dxfId="7">
      <formula>0</formula>
    </cfRule>
  </conditionalFormatting>
  <conditionalFormatting sqref="K913">
    <cfRule type="cellIs" priority="3631" operator="greaterThan" aboveAverage="0" equalAverage="0" bottom="0" percent="0" rank="0" text="" dxfId="7">
      <formula>0</formula>
    </cfRule>
  </conditionalFormatting>
  <conditionalFormatting sqref="N913">
    <cfRule type="cellIs" priority="3632" operator="greaterThan" aboveAverage="0" equalAverage="0" bottom="0" percent="0" rank="0" text="" dxfId="7">
      <formula>0</formula>
    </cfRule>
    <cfRule type="cellIs" priority="3633" operator="lessThan" aboveAverage="0" equalAverage="0" bottom="0" percent="0" rank="0" text="" dxfId="8">
      <formula>0</formula>
    </cfRule>
  </conditionalFormatting>
  <conditionalFormatting sqref="I914">
    <cfRule type="cellIs" priority="3634" operator="greaterThan" aboveAverage="0" equalAverage="0" bottom="0" percent="0" rank="0" text="" dxfId="7">
      <formula>0</formula>
    </cfRule>
  </conditionalFormatting>
  <conditionalFormatting sqref="K914">
    <cfRule type="cellIs" priority="3635" operator="greaterThan" aboveAverage="0" equalAverage="0" bottom="0" percent="0" rank="0" text="" dxfId="7">
      <formula>0</formula>
    </cfRule>
  </conditionalFormatting>
  <conditionalFormatting sqref="N914">
    <cfRule type="cellIs" priority="3636" operator="greaterThan" aboveAverage="0" equalAverage="0" bottom="0" percent="0" rank="0" text="" dxfId="7">
      <formula>0</formula>
    </cfRule>
    <cfRule type="cellIs" priority="3637" operator="lessThan" aboveAverage="0" equalAverage="0" bottom="0" percent="0" rank="0" text="" dxfId="8">
      <formula>0</formula>
    </cfRule>
  </conditionalFormatting>
  <conditionalFormatting sqref="I915">
    <cfRule type="cellIs" priority="3638" operator="greaterThan" aboveAverage="0" equalAverage="0" bottom="0" percent="0" rank="0" text="" dxfId="7">
      <formula>0</formula>
    </cfRule>
  </conditionalFormatting>
  <conditionalFormatting sqref="K915">
    <cfRule type="cellIs" priority="3639" operator="greaterThan" aboveAverage="0" equalAverage="0" bottom="0" percent="0" rank="0" text="" dxfId="7">
      <formula>0</formula>
    </cfRule>
  </conditionalFormatting>
  <conditionalFormatting sqref="N915">
    <cfRule type="cellIs" priority="3640" operator="greaterThan" aboveAverage="0" equalAverage="0" bottom="0" percent="0" rank="0" text="" dxfId="7">
      <formula>0</formula>
    </cfRule>
    <cfRule type="cellIs" priority="3641" operator="lessThan" aboveAverage="0" equalAverage="0" bottom="0" percent="0" rank="0" text="" dxfId="8">
      <formula>0</formula>
    </cfRule>
  </conditionalFormatting>
  <conditionalFormatting sqref="I916">
    <cfRule type="cellIs" priority="3642" operator="greaterThan" aboveAverage="0" equalAverage="0" bottom="0" percent="0" rank="0" text="" dxfId="7">
      <formula>0</formula>
    </cfRule>
  </conditionalFormatting>
  <conditionalFormatting sqref="K916">
    <cfRule type="cellIs" priority="3643" operator="greaterThan" aboveAverage="0" equalAverage="0" bottom="0" percent="0" rank="0" text="" dxfId="7">
      <formula>0</formula>
    </cfRule>
  </conditionalFormatting>
  <conditionalFormatting sqref="N916">
    <cfRule type="cellIs" priority="3644" operator="greaterThan" aboveAverage="0" equalAverage="0" bottom="0" percent="0" rank="0" text="" dxfId="7">
      <formula>0</formula>
    </cfRule>
    <cfRule type="cellIs" priority="3645" operator="lessThan" aboveAverage="0" equalAverage="0" bottom="0" percent="0" rank="0" text="" dxfId="8">
      <formula>0</formula>
    </cfRule>
  </conditionalFormatting>
  <conditionalFormatting sqref="I917">
    <cfRule type="cellIs" priority="3646" operator="greaterThan" aboveAverage="0" equalAverage="0" bottom="0" percent="0" rank="0" text="" dxfId="7">
      <formula>0</formula>
    </cfRule>
  </conditionalFormatting>
  <conditionalFormatting sqref="K917">
    <cfRule type="cellIs" priority="3647" operator="greaterThan" aboveAverage="0" equalAverage="0" bottom="0" percent="0" rank="0" text="" dxfId="7">
      <formula>0</formula>
    </cfRule>
  </conditionalFormatting>
  <conditionalFormatting sqref="N917">
    <cfRule type="cellIs" priority="3648" operator="greaterThan" aboveAverage="0" equalAverage="0" bottom="0" percent="0" rank="0" text="" dxfId="7">
      <formula>0</formula>
    </cfRule>
    <cfRule type="cellIs" priority="3649" operator="lessThan" aboveAverage="0" equalAverage="0" bottom="0" percent="0" rank="0" text="" dxfId="8">
      <formula>0</formula>
    </cfRule>
  </conditionalFormatting>
  <conditionalFormatting sqref="I918">
    <cfRule type="cellIs" priority="3650" operator="greaterThan" aboveAverage="0" equalAverage="0" bottom="0" percent="0" rank="0" text="" dxfId="7">
      <formula>0</formula>
    </cfRule>
  </conditionalFormatting>
  <conditionalFormatting sqref="K918">
    <cfRule type="cellIs" priority="3651" operator="greaterThan" aboveAverage="0" equalAverage="0" bottom="0" percent="0" rank="0" text="" dxfId="7">
      <formula>0</formula>
    </cfRule>
  </conditionalFormatting>
  <conditionalFormatting sqref="N918">
    <cfRule type="cellIs" priority="3652" operator="greaterThan" aboveAverage="0" equalAverage="0" bottom="0" percent="0" rank="0" text="" dxfId="7">
      <formula>0</formula>
    </cfRule>
    <cfRule type="cellIs" priority="3653" operator="lessThan" aboveAverage="0" equalAverage="0" bottom="0" percent="0" rank="0" text="" dxfId="8">
      <formula>0</formula>
    </cfRule>
  </conditionalFormatting>
  <conditionalFormatting sqref="I919">
    <cfRule type="cellIs" priority="3654" operator="greaterThan" aboveAverage="0" equalAverage="0" bottom="0" percent="0" rank="0" text="" dxfId="7">
      <formula>0</formula>
    </cfRule>
  </conditionalFormatting>
  <conditionalFormatting sqref="K919">
    <cfRule type="cellIs" priority="3655" operator="greaterThan" aboveAverage="0" equalAverage="0" bottom="0" percent="0" rank="0" text="" dxfId="7">
      <formula>0</formula>
    </cfRule>
  </conditionalFormatting>
  <conditionalFormatting sqref="N919">
    <cfRule type="cellIs" priority="3656" operator="greaterThan" aboveAverage="0" equalAverage="0" bottom="0" percent="0" rank="0" text="" dxfId="7">
      <formula>0</formula>
    </cfRule>
    <cfRule type="cellIs" priority="3657" operator="lessThan" aboveAverage="0" equalAverage="0" bottom="0" percent="0" rank="0" text="" dxfId="8">
      <formula>0</formula>
    </cfRule>
  </conditionalFormatting>
  <conditionalFormatting sqref="I920">
    <cfRule type="cellIs" priority="3658" operator="greaterThan" aboveAverage="0" equalAverage="0" bottom="0" percent="0" rank="0" text="" dxfId="7">
      <formula>0</formula>
    </cfRule>
  </conditionalFormatting>
  <conditionalFormatting sqref="K920">
    <cfRule type="cellIs" priority="3659" operator="greaterThan" aboveAverage="0" equalAverage="0" bottom="0" percent="0" rank="0" text="" dxfId="7">
      <formula>0</formula>
    </cfRule>
  </conditionalFormatting>
  <conditionalFormatting sqref="N920">
    <cfRule type="cellIs" priority="3660" operator="greaterThan" aboveAverage="0" equalAverage="0" bottom="0" percent="0" rank="0" text="" dxfId="7">
      <formula>0</formula>
    </cfRule>
    <cfRule type="cellIs" priority="3661" operator="lessThan" aboveAverage="0" equalAverage="0" bottom="0" percent="0" rank="0" text="" dxfId="8">
      <formula>0</formula>
    </cfRule>
  </conditionalFormatting>
  <conditionalFormatting sqref="I921">
    <cfRule type="cellIs" priority="3662" operator="greaterThan" aboveAverage="0" equalAverage="0" bottom="0" percent="0" rank="0" text="" dxfId="7">
      <formula>0</formula>
    </cfRule>
  </conditionalFormatting>
  <conditionalFormatting sqref="K921">
    <cfRule type="cellIs" priority="3663" operator="greaterThan" aboveAverage="0" equalAverage="0" bottom="0" percent="0" rank="0" text="" dxfId="7">
      <formula>0</formula>
    </cfRule>
  </conditionalFormatting>
  <conditionalFormatting sqref="N921">
    <cfRule type="cellIs" priority="3664" operator="greaterThan" aboveAverage="0" equalAverage="0" bottom="0" percent="0" rank="0" text="" dxfId="7">
      <formula>0</formula>
    </cfRule>
    <cfRule type="cellIs" priority="3665" operator="lessThan" aboveAverage="0" equalAverage="0" bottom="0" percent="0" rank="0" text="" dxfId="8">
      <formula>0</formula>
    </cfRule>
  </conditionalFormatting>
  <conditionalFormatting sqref="I922">
    <cfRule type="cellIs" priority="3666" operator="greaterThan" aboveAverage="0" equalAverage="0" bottom="0" percent="0" rank="0" text="" dxfId="7">
      <formula>0</formula>
    </cfRule>
  </conditionalFormatting>
  <conditionalFormatting sqref="K922">
    <cfRule type="cellIs" priority="3667" operator="greaterThan" aboveAverage="0" equalAverage="0" bottom="0" percent="0" rank="0" text="" dxfId="7">
      <formula>0</formula>
    </cfRule>
  </conditionalFormatting>
  <conditionalFormatting sqref="N922">
    <cfRule type="cellIs" priority="3668" operator="greaterThan" aboveAverage="0" equalAverage="0" bottom="0" percent="0" rank="0" text="" dxfId="7">
      <formula>0</formula>
    </cfRule>
    <cfRule type="cellIs" priority="3669" operator="lessThan" aboveAverage="0" equalAverage="0" bottom="0" percent="0" rank="0" text="" dxfId="8">
      <formula>0</formula>
    </cfRule>
  </conditionalFormatting>
  <conditionalFormatting sqref="I923">
    <cfRule type="cellIs" priority="3670" operator="greaterThan" aboveAverage="0" equalAverage="0" bottom="0" percent="0" rank="0" text="" dxfId="7">
      <formula>0</formula>
    </cfRule>
  </conditionalFormatting>
  <conditionalFormatting sqref="K923">
    <cfRule type="cellIs" priority="3671" operator="greaterThan" aboveAverage="0" equalAverage="0" bottom="0" percent="0" rank="0" text="" dxfId="7">
      <formula>0</formula>
    </cfRule>
  </conditionalFormatting>
  <conditionalFormatting sqref="N923">
    <cfRule type="cellIs" priority="3672" operator="greaterThan" aboveAverage="0" equalAverage="0" bottom="0" percent="0" rank="0" text="" dxfId="7">
      <formula>0</formula>
    </cfRule>
    <cfRule type="cellIs" priority="3673" operator="lessThan" aboveAverage="0" equalAverage="0" bottom="0" percent="0" rank="0" text="" dxfId="8">
      <formula>0</formula>
    </cfRule>
  </conditionalFormatting>
  <conditionalFormatting sqref="I924">
    <cfRule type="cellIs" priority="3674" operator="greaterThan" aboveAverage="0" equalAverage="0" bottom="0" percent="0" rank="0" text="" dxfId="7">
      <formula>0</formula>
    </cfRule>
  </conditionalFormatting>
  <conditionalFormatting sqref="K924">
    <cfRule type="cellIs" priority="3675" operator="greaterThan" aboveAverage="0" equalAverage="0" bottom="0" percent="0" rank="0" text="" dxfId="7">
      <formula>0</formula>
    </cfRule>
  </conditionalFormatting>
  <conditionalFormatting sqref="N924">
    <cfRule type="cellIs" priority="3676" operator="greaterThan" aboveAverage="0" equalAverage="0" bottom="0" percent="0" rank="0" text="" dxfId="7">
      <formula>0</formula>
    </cfRule>
    <cfRule type="cellIs" priority="3677" operator="lessThan" aboveAverage="0" equalAverage="0" bottom="0" percent="0" rank="0" text="" dxfId="8">
      <formula>0</formula>
    </cfRule>
  </conditionalFormatting>
  <conditionalFormatting sqref="I925">
    <cfRule type="cellIs" priority="3678" operator="greaterThan" aboveAverage="0" equalAverage="0" bottom="0" percent="0" rank="0" text="" dxfId="7">
      <formula>0</formula>
    </cfRule>
  </conditionalFormatting>
  <conditionalFormatting sqref="K925">
    <cfRule type="cellIs" priority="3679" operator="greaterThan" aboveAverage="0" equalAverage="0" bottom="0" percent="0" rank="0" text="" dxfId="7">
      <formula>0</formula>
    </cfRule>
  </conditionalFormatting>
  <conditionalFormatting sqref="N925">
    <cfRule type="cellIs" priority="3680" operator="greaterThan" aboveAverage="0" equalAverage="0" bottom="0" percent="0" rank="0" text="" dxfId="7">
      <formula>0</formula>
    </cfRule>
    <cfRule type="cellIs" priority="3681" operator="lessThan" aboveAverage="0" equalAverage="0" bottom="0" percent="0" rank="0" text="" dxfId="8">
      <formula>0</formula>
    </cfRule>
  </conditionalFormatting>
  <conditionalFormatting sqref="I926">
    <cfRule type="cellIs" priority="3682" operator="greaterThan" aboveAverage="0" equalAverage="0" bottom="0" percent="0" rank="0" text="" dxfId="7">
      <formula>0</formula>
    </cfRule>
  </conditionalFormatting>
  <conditionalFormatting sqref="K926">
    <cfRule type="cellIs" priority="3683" operator="greaterThan" aboveAverage="0" equalAverage="0" bottom="0" percent="0" rank="0" text="" dxfId="7">
      <formula>0</formula>
    </cfRule>
  </conditionalFormatting>
  <conditionalFormatting sqref="N926">
    <cfRule type="cellIs" priority="3684" operator="greaterThan" aboveAverage="0" equalAverage="0" bottom="0" percent="0" rank="0" text="" dxfId="7">
      <formula>0</formula>
    </cfRule>
    <cfRule type="cellIs" priority="3685" operator="lessThan" aboveAverage="0" equalAverage="0" bottom="0" percent="0" rank="0" text="" dxfId="8">
      <formula>0</formula>
    </cfRule>
  </conditionalFormatting>
  <conditionalFormatting sqref="I927">
    <cfRule type="cellIs" priority="3686" operator="greaterThan" aboveAverage="0" equalAverage="0" bottom="0" percent="0" rank="0" text="" dxfId="7">
      <formula>0</formula>
    </cfRule>
  </conditionalFormatting>
  <conditionalFormatting sqref="K927">
    <cfRule type="cellIs" priority="3687" operator="greaterThan" aboveAverage="0" equalAverage="0" bottom="0" percent="0" rank="0" text="" dxfId="7">
      <formula>0</formula>
    </cfRule>
  </conditionalFormatting>
  <conditionalFormatting sqref="N927">
    <cfRule type="cellIs" priority="3688" operator="greaterThan" aboveAverage="0" equalAverage="0" bottom="0" percent="0" rank="0" text="" dxfId="7">
      <formula>0</formula>
    </cfRule>
    <cfRule type="cellIs" priority="3689" operator="lessThan" aboveAverage="0" equalAverage="0" bottom="0" percent="0" rank="0" text="" dxfId="8">
      <formula>0</formula>
    </cfRule>
  </conditionalFormatting>
  <conditionalFormatting sqref="I928">
    <cfRule type="cellIs" priority="3690" operator="greaterThan" aboveAverage="0" equalAverage="0" bottom="0" percent="0" rank="0" text="" dxfId="7">
      <formula>0</formula>
    </cfRule>
  </conditionalFormatting>
  <conditionalFormatting sqref="K928">
    <cfRule type="cellIs" priority="3691" operator="greaterThan" aboveAverage="0" equalAverage="0" bottom="0" percent="0" rank="0" text="" dxfId="7">
      <formula>0</formula>
    </cfRule>
  </conditionalFormatting>
  <conditionalFormatting sqref="N928">
    <cfRule type="cellIs" priority="3692" operator="greaterThan" aboveAverage="0" equalAverage="0" bottom="0" percent="0" rank="0" text="" dxfId="7">
      <formula>0</formula>
    </cfRule>
    <cfRule type="cellIs" priority="3693" operator="lessThan" aboveAverage="0" equalAverage="0" bottom="0" percent="0" rank="0" text="" dxfId="8">
      <formula>0</formula>
    </cfRule>
  </conditionalFormatting>
  <conditionalFormatting sqref="I929">
    <cfRule type="cellIs" priority="3694" operator="greaterThan" aboveAverage="0" equalAverage="0" bottom="0" percent="0" rank="0" text="" dxfId="7">
      <formula>0</formula>
    </cfRule>
  </conditionalFormatting>
  <conditionalFormatting sqref="K929">
    <cfRule type="cellIs" priority="3695" operator="greaterThan" aboveAverage="0" equalAverage="0" bottom="0" percent="0" rank="0" text="" dxfId="7">
      <formula>0</formula>
    </cfRule>
  </conditionalFormatting>
  <conditionalFormatting sqref="N929">
    <cfRule type="cellIs" priority="3696" operator="greaterThan" aboveAverage="0" equalAverage="0" bottom="0" percent="0" rank="0" text="" dxfId="7">
      <formula>0</formula>
    </cfRule>
    <cfRule type="cellIs" priority="3697" operator="lessThan" aboveAverage="0" equalAverage="0" bottom="0" percent="0" rank="0" text="" dxfId="8">
      <formula>0</formula>
    </cfRule>
  </conditionalFormatting>
  <conditionalFormatting sqref="I930">
    <cfRule type="cellIs" priority="3698" operator="greaterThan" aboveAverage="0" equalAverage="0" bottom="0" percent="0" rank="0" text="" dxfId="7">
      <formula>0</formula>
    </cfRule>
  </conditionalFormatting>
  <conditionalFormatting sqref="K930">
    <cfRule type="cellIs" priority="3699" operator="greaterThan" aboveAverage="0" equalAverage="0" bottom="0" percent="0" rank="0" text="" dxfId="7">
      <formula>0</formula>
    </cfRule>
  </conditionalFormatting>
  <conditionalFormatting sqref="N930">
    <cfRule type="cellIs" priority="3700" operator="greaterThan" aboveAverage="0" equalAverage="0" bottom="0" percent="0" rank="0" text="" dxfId="7">
      <formula>0</formula>
    </cfRule>
    <cfRule type="cellIs" priority="3701" operator="lessThan" aboveAverage="0" equalAverage="0" bottom="0" percent="0" rank="0" text="" dxfId="8">
      <formula>0</formula>
    </cfRule>
  </conditionalFormatting>
  <conditionalFormatting sqref="I931">
    <cfRule type="cellIs" priority="3702" operator="greaterThan" aboveAverage="0" equalAverage="0" bottom="0" percent="0" rank="0" text="" dxfId="7">
      <formula>0</formula>
    </cfRule>
  </conditionalFormatting>
  <conditionalFormatting sqref="K931">
    <cfRule type="cellIs" priority="3703" operator="greaterThan" aboveAverage="0" equalAverage="0" bottom="0" percent="0" rank="0" text="" dxfId="7">
      <formula>0</formula>
    </cfRule>
  </conditionalFormatting>
  <conditionalFormatting sqref="N931">
    <cfRule type="cellIs" priority="3704" operator="greaterThan" aboveAverage="0" equalAverage="0" bottom="0" percent="0" rank="0" text="" dxfId="7">
      <formula>0</formula>
    </cfRule>
    <cfRule type="cellIs" priority="3705" operator="lessThan" aboveAverage="0" equalAverage="0" bottom="0" percent="0" rank="0" text="" dxfId="8">
      <formula>0</formula>
    </cfRule>
  </conditionalFormatting>
  <conditionalFormatting sqref="I932">
    <cfRule type="cellIs" priority="3706" operator="greaterThan" aboveAverage="0" equalAverage="0" bottom="0" percent="0" rank="0" text="" dxfId="7">
      <formula>0</formula>
    </cfRule>
  </conditionalFormatting>
  <conditionalFormatting sqref="K932">
    <cfRule type="cellIs" priority="3707" operator="greaterThan" aboveAverage="0" equalAverage="0" bottom="0" percent="0" rank="0" text="" dxfId="7">
      <formula>0</formula>
    </cfRule>
  </conditionalFormatting>
  <conditionalFormatting sqref="N932">
    <cfRule type="cellIs" priority="3708" operator="greaterThan" aboveAverage="0" equalAverage="0" bottom="0" percent="0" rank="0" text="" dxfId="7">
      <formula>0</formula>
    </cfRule>
    <cfRule type="cellIs" priority="3709" operator="lessThan" aboveAverage="0" equalAverage="0" bottom="0" percent="0" rank="0" text="" dxfId="8">
      <formula>0</formula>
    </cfRule>
  </conditionalFormatting>
  <conditionalFormatting sqref="I933">
    <cfRule type="cellIs" priority="3710" operator="greaterThan" aboveAverage="0" equalAverage="0" bottom="0" percent="0" rank="0" text="" dxfId="7">
      <formula>0</formula>
    </cfRule>
  </conditionalFormatting>
  <conditionalFormatting sqref="K933">
    <cfRule type="cellIs" priority="3711" operator="greaterThan" aboveAverage="0" equalAverage="0" bottom="0" percent="0" rank="0" text="" dxfId="7">
      <formula>0</formula>
    </cfRule>
  </conditionalFormatting>
  <conditionalFormatting sqref="N933">
    <cfRule type="cellIs" priority="3712" operator="greaterThan" aboveAverage="0" equalAverage="0" bottom="0" percent="0" rank="0" text="" dxfId="7">
      <formula>0</formula>
    </cfRule>
    <cfRule type="cellIs" priority="3713" operator="lessThan" aboveAverage="0" equalAverage="0" bottom="0" percent="0" rank="0" text="" dxfId="8">
      <formula>0</formula>
    </cfRule>
  </conditionalFormatting>
  <conditionalFormatting sqref="I934">
    <cfRule type="cellIs" priority="3714" operator="greaterThan" aboveAverage="0" equalAverage="0" bottom="0" percent="0" rank="0" text="" dxfId="7">
      <formula>0</formula>
    </cfRule>
  </conditionalFormatting>
  <conditionalFormatting sqref="K934">
    <cfRule type="cellIs" priority="3715" operator="greaterThan" aboveAverage="0" equalAverage="0" bottom="0" percent="0" rank="0" text="" dxfId="7">
      <formula>0</formula>
    </cfRule>
  </conditionalFormatting>
  <conditionalFormatting sqref="N934">
    <cfRule type="cellIs" priority="3716" operator="greaterThan" aboveAverage="0" equalAverage="0" bottom="0" percent="0" rank="0" text="" dxfId="7">
      <formula>0</formula>
    </cfRule>
    <cfRule type="cellIs" priority="3717" operator="lessThan" aboveAverage="0" equalAverage="0" bottom="0" percent="0" rank="0" text="" dxfId="8">
      <formula>0</formula>
    </cfRule>
  </conditionalFormatting>
  <conditionalFormatting sqref="I935">
    <cfRule type="cellIs" priority="3718" operator="greaterThan" aboveAverage="0" equalAverage="0" bottom="0" percent="0" rank="0" text="" dxfId="7">
      <formula>0</formula>
    </cfRule>
  </conditionalFormatting>
  <conditionalFormatting sqref="K935">
    <cfRule type="cellIs" priority="3719" operator="greaterThan" aboveAverage="0" equalAverage="0" bottom="0" percent="0" rank="0" text="" dxfId="7">
      <formula>0</formula>
    </cfRule>
  </conditionalFormatting>
  <conditionalFormatting sqref="N935">
    <cfRule type="cellIs" priority="3720" operator="greaterThan" aboveAverage="0" equalAverage="0" bottom="0" percent="0" rank="0" text="" dxfId="7">
      <formula>0</formula>
    </cfRule>
    <cfRule type="cellIs" priority="3721" operator="lessThan" aboveAverage="0" equalAverage="0" bottom="0" percent="0" rank="0" text="" dxfId="8">
      <formula>0</formula>
    </cfRule>
  </conditionalFormatting>
  <conditionalFormatting sqref="I936">
    <cfRule type="cellIs" priority="3722" operator="greaterThan" aboveAverage="0" equalAverage="0" bottom="0" percent="0" rank="0" text="" dxfId="7">
      <formula>0</formula>
    </cfRule>
  </conditionalFormatting>
  <conditionalFormatting sqref="K936">
    <cfRule type="cellIs" priority="3723" operator="greaterThan" aboveAverage="0" equalAverage="0" bottom="0" percent="0" rank="0" text="" dxfId="7">
      <formula>0</formula>
    </cfRule>
  </conditionalFormatting>
  <conditionalFormatting sqref="N936">
    <cfRule type="cellIs" priority="3724" operator="greaterThan" aboveAverage="0" equalAverage="0" bottom="0" percent="0" rank="0" text="" dxfId="7">
      <formula>0</formula>
    </cfRule>
    <cfRule type="cellIs" priority="3725" operator="lessThan" aboveAverage="0" equalAverage="0" bottom="0" percent="0" rank="0" text="" dxfId="8">
      <formula>0</formula>
    </cfRule>
  </conditionalFormatting>
  <conditionalFormatting sqref="I937">
    <cfRule type="cellIs" priority="3726" operator="greaterThan" aboveAverage="0" equalAverage="0" bottom="0" percent="0" rank="0" text="" dxfId="7">
      <formula>0</formula>
    </cfRule>
  </conditionalFormatting>
  <conditionalFormatting sqref="K937">
    <cfRule type="cellIs" priority="3727" operator="greaterThan" aboveAverage="0" equalAverage="0" bottom="0" percent="0" rank="0" text="" dxfId="7">
      <formula>0</formula>
    </cfRule>
  </conditionalFormatting>
  <conditionalFormatting sqref="N937">
    <cfRule type="cellIs" priority="3728" operator="greaterThan" aboveAverage="0" equalAverage="0" bottom="0" percent="0" rank="0" text="" dxfId="7">
      <formula>0</formula>
    </cfRule>
    <cfRule type="cellIs" priority="3729" operator="lessThan" aboveAverage="0" equalAverage="0" bottom="0" percent="0" rank="0" text="" dxfId="8">
      <formula>0</formula>
    </cfRule>
  </conditionalFormatting>
  <conditionalFormatting sqref="I938">
    <cfRule type="cellIs" priority="3730" operator="greaterThan" aboveAverage="0" equalAverage="0" bottom="0" percent="0" rank="0" text="" dxfId="7">
      <formula>0</formula>
    </cfRule>
  </conditionalFormatting>
  <conditionalFormatting sqref="K938">
    <cfRule type="cellIs" priority="3731" operator="greaterThan" aboveAverage="0" equalAverage="0" bottom="0" percent="0" rank="0" text="" dxfId="7">
      <formula>0</formula>
    </cfRule>
  </conditionalFormatting>
  <conditionalFormatting sqref="N938">
    <cfRule type="cellIs" priority="3732" operator="greaterThan" aboveAverage="0" equalAverage="0" bottom="0" percent="0" rank="0" text="" dxfId="7">
      <formula>0</formula>
    </cfRule>
    <cfRule type="cellIs" priority="3733" operator="lessThan" aboveAverage="0" equalAverage="0" bottom="0" percent="0" rank="0" text="" dxfId="8">
      <formula>0</formula>
    </cfRule>
  </conditionalFormatting>
  <conditionalFormatting sqref="I939">
    <cfRule type="cellIs" priority="3734" operator="greaterThan" aboveAverage="0" equalAverage="0" bottom="0" percent="0" rank="0" text="" dxfId="7">
      <formula>0</formula>
    </cfRule>
  </conditionalFormatting>
  <conditionalFormatting sqref="K939">
    <cfRule type="cellIs" priority="3735" operator="greaterThan" aboveAverage="0" equalAverage="0" bottom="0" percent="0" rank="0" text="" dxfId="7">
      <formula>0</formula>
    </cfRule>
  </conditionalFormatting>
  <conditionalFormatting sqref="N939">
    <cfRule type="cellIs" priority="3736" operator="greaterThan" aboveAverage="0" equalAverage="0" bottom="0" percent="0" rank="0" text="" dxfId="7">
      <formula>0</formula>
    </cfRule>
    <cfRule type="cellIs" priority="3737" operator="lessThan" aboveAverage="0" equalAverage="0" bottom="0" percent="0" rank="0" text="" dxfId="8">
      <formula>0</formula>
    </cfRule>
  </conditionalFormatting>
  <conditionalFormatting sqref="I940">
    <cfRule type="cellIs" priority="3738" operator="greaterThan" aboveAverage="0" equalAverage="0" bottom="0" percent="0" rank="0" text="" dxfId="7">
      <formula>0</formula>
    </cfRule>
  </conditionalFormatting>
  <conditionalFormatting sqref="K940">
    <cfRule type="cellIs" priority="3739" operator="greaterThan" aboveAverage="0" equalAverage="0" bottom="0" percent="0" rank="0" text="" dxfId="7">
      <formula>0</formula>
    </cfRule>
  </conditionalFormatting>
  <conditionalFormatting sqref="N940">
    <cfRule type="cellIs" priority="3740" operator="greaterThan" aboveAverage="0" equalAverage="0" bottom="0" percent="0" rank="0" text="" dxfId="7">
      <formula>0</formula>
    </cfRule>
    <cfRule type="cellIs" priority="3741" operator="lessThan" aboveAverage="0" equalAverage="0" bottom="0" percent="0" rank="0" text="" dxfId="8">
      <formula>0</formula>
    </cfRule>
  </conditionalFormatting>
  <conditionalFormatting sqref="I941">
    <cfRule type="cellIs" priority="3742" operator="greaterThan" aboveAverage="0" equalAverage="0" bottom="0" percent="0" rank="0" text="" dxfId="7">
      <formula>0</formula>
    </cfRule>
  </conditionalFormatting>
  <conditionalFormatting sqref="K941">
    <cfRule type="cellIs" priority="3743" operator="greaterThan" aboveAverage="0" equalAverage="0" bottom="0" percent="0" rank="0" text="" dxfId="7">
      <formula>0</formula>
    </cfRule>
  </conditionalFormatting>
  <conditionalFormatting sqref="N941">
    <cfRule type="cellIs" priority="3744" operator="greaterThan" aboveAverage="0" equalAverage="0" bottom="0" percent="0" rank="0" text="" dxfId="7">
      <formula>0</formula>
    </cfRule>
    <cfRule type="cellIs" priority="3745" operator="lessThan" aboveAverage="0" equalAverage="0" bottom="0" percent="0" rank="0" text="" dxfId="8">
      <formula>0</formula>
    </cfRule>
  </conditionalFormatting>
  <conditionalFormatting sqref="I942">
    <cfRule type="cellIs" priority="3746" operator="greaterThan" aboveAverage="0" equalAverage="0" bottom="0" percent="0" rank="0" text="" dxfId="7">
      <formula>0</formula>
    </cfRule>
  </conditionalFormatting>
  <conditionalFormatting sqref="K942">
    <cfRule type="cellIs" priority="3747" operator="greaterThan" aboveAverage="0" equalAverage="0" bottom="0" percent="0" rank="0" text="" dxfId="7">
      <formula>0</formula>
    </cfRule>
  </conditionalFormatting>
  <conditionalFormatting sqref="N942">
    <cfRule type="cellIs" priority="3748" operator="greaterThan" aboveAverage="0" equalAverage="0" bottom="0" percent="0" rank="0" text="" dxfId="7">
      <formula>0</formula>
    </cfRule>
    <cfRule type="cellIs" priority="3749" operator="lessThan" aboveAverage="0" equalAverage="0" bottom="0" percent="0" rank="0" text="" dxfId="8">
      <formula>0</formula>
    </cfRule>
  </conditionalFormatting>
  <conditionalFormatting sqref="I943">
    <cfRule type="cellIs" priority="3750" operator="greaterThan" aboveAverage="0" equalAverage="0" bottom="0" percent="0" rank="0" text="" dxfId="7">
      <formula>0</formula>
    </cfRule>
  </conditionalFormatting>
  <conditionalFormatting sqref="K943">
    <cfRule type="cellIs" priority="3751" operator="greaterThan" aboveAverage="0" equalAverage="0" bottom="0" percent="0" rank="0" text="" dxfId="7">
      <formula>0</formula>
    </cfRule>
  </conditionalFormatting>
  <conditionalFormatting sqref="N943">
    <cfRule type="cellIs" priority="3752" operator="greaterThan" aboveAverage="0" equalAverage="0" bottom="0" percent="0" rank="0" text="" dxfId="7">
      <formula>0</formula>
    </cfRule>
    <cfRule type="cellIs" priority="3753" operator="lessThan" aboveAverage="0" equalAverage="0" bottom="0" percent="0" rank="0" text="" dxfId="8">
      <formula>0</formula>
    </cfRule>
  </conditionalFormatting>
  <conditionalFormatting sqref="I944">
    <cfRule type="cellIs" priority="3754" operator="greaterThan" aboveAverage="0" equalAverage="0" bottom="0" percent="0" rank="0" text="" dxfId="7">
      <formula>0</formula>
    </cfRule>
  </conditionalFormatting>
  <conditionalFormatting sqref="K944">
    <cfRule type="cellIs" priority="3755" operator="greaterThan" aboveAverage="0" equalAverage="0" bottom="0" percent="0" rank="0" text="" dxfId="7">
      <formula>0</formula>
    </cfRule>
  </conditionalFormatting>
  <conditionalFormatting sqref="N944">
    <cfRule type="cellIs" priority="3756" operator="greaterThan" aboveAverage="0" equalAverage="0" bottom="0" percent="0" rank="0" text="" dxfId="7">
      <formula>0</formula>
    </cfRule>
    <cfRule type="cellIs" priority="3757" operator="lessThan" aboveAverage="0" equalAverage="0" bottom="0" percent="0" rank="0" text="" dxfId="8">
      <formula>0</formula>
    </cfRule>
  </conditionalFormatting>
  <conditionalFormatting sqref="I945">
    <cfRule type="cellIs" priority="3758" operator="greaterThan" aboveAverage="0" equalAverage="0" bottom="0" percent="0" rank="0" text="" dxfId="7">
      <formula>0</formula>
    </cfRule>
  </conditionalFormatting>
  <conditionalFormatting sqref="K945">
    <cfRule type="cellIs" priority="3759" operator="greaterThan" aboveAverage="0" equalAverage="0" bottom="0" percent="0" rank="0" text="" dxfId="7">
      <formula>0</formula>
    </cfRule>
  </conditionalFormatting>
  <conditionalFormatting sqref="N945">
    <cfRule type="cellIs" priority="3760" operator="greaterThan" aboveAverage="0" equalAverage="0" bottom="0" percent="0" rank="0" text="" dxfId="7">
      <formula>0</formula>
    </cfRule>
    <cfRule type="cellIs" priority="3761" operator="lessThan" aboveAverage="0" equalAverage="0" bottom="0" percent="0" rank="0" text="" dxfId="8">
      <formula>0</formula>
    </cfRule>
  </conditionalFormatting>
  <conditionalFormatting sqref="I946">
    <cfRule type="cellIs" priority="3762" operator="greaterThan" aboveAverage="0" equalAverage="0" bottom="0" percent="0" rank="0" text="" dxfId="7">
      <formula>0</formula>
    </cfRule>
  </conditionalFormatting>
  <conditionalFormatting sqref="K946">
    <cfRule type="cellIs" priority="3763" operator="greaterThan" aboveAverage="0" equalAverage="0" bottom="0" percent="0" rank="0" text="" dxfId="7">
      <formula>0</formula>
    </cfRule>
  </conditionalFormatting>
  <conditionalFormatting sqref="N946">
    <cfRule type="cellIs" priority="3764" operator="greaterThan" aboveAverage="0" equalAverage="0" bottom="0" percent="0" rank="0" text="" dxfId="7">
      <formula>0</formula>
    </cfRule>
    <cfRule type="cellIs" priority="3765" operator="lessThan" aboveAverage="0" equalAverage="0" bottom="0" percent="0" rank="0" text="" dxfId="8">
      <formula>0</formula>
    </cfRule>
  </conditionalFormatting>
  <conditionalFormatting sqref="I947">
    <cfRule type="cellIs" priority="3766" operator="greaterThan" aboveAverage="0" equalAverage="0" bottom="0" percent="0" rank="0" text="" dxfId="7">
      <formula>0</formula>
    </cfRule>
  </conditionalFormatting>
  <conditionalFormatting sqref="K947">
    <cfRule type="cellIs" priority="3767" operator="greaterThan" aboveAverage="0" equalAverage="0" bottom="0" percent="0" rank="0" text="" dxfId="7">
      <formula>0</formula>
    </cfRule>
  </conditionalFormatting>
  <conditionalFormatting sqref="N947">
    <cfRule type="cellIs" priority="3768" operator="greaterThan" aboveAverage="0" equalAverage="0" bottom="0" percent="0" rank="0" text="" dxfId="7">
      <formula>0</formula>
    </cfRule>
    <cfRule type="cellIs" priority="3769" operator="lessThan" aboveAverage="0" equalAverage="0" bottom="0" percent="0" rank="0" text="" dxfId="8">
      <formula>0</formula>
    </cfRule>
  </conditionalFormatting>
  <conditionalFormatting sqref="I948">
    <cfRule type="cellIs" priority="3770" operator="greaterThan" aboveAverage="0" equalAverage="0" bottom="0" percent="0" rank="0" text="" dxfId="7">
      <formula>0</formula>
    </cfRule>
  </conditionalFormatting>
  <conditionalFormatting sqref="K948">
    <cfRule type="cellIs" priority="3771" operator="greaterThan" aboveAverage="0" equalAverage="0" bottom="0" percent="0" rank="0" text="" dxfId="7">
      <formula>0</formula>
    </cfRule>
  </conditionalFormatting>
  <conditionalFormatting sqref="N948">
    <cfRule type="cellIs" priority="3772" operator="greaterThan" aboveAverage="0" equalAverage="0" bottom="0" percent="0" rank="0" text="" dxfId="7">
      <formula>0</formula>
    </cfRule>
    <cfRule type="cellIs" priority="3773" operator="lessThan" aboveAverage="0" equalAverage="0" bottom="0" percent="0" rank="0" text="" dxfId="8">
      <formula>0</formula>
    </cfRule>
  </conditionalFormatting>
  <conditionalFormatting sqref="I949">
    <cfRule type="cellIs" priority="3774" operator="greaterThan" aboveAverage="0" equalAverage="0" bottom="0" percent="0" rank="0" text="" dxfId="7">
      <formula>0</formula>
    </cfRule>
  </conditionalFormatting>
  <conditionalFormatting sqref="K949">
    <cfRule type="cellIs" priority="3775" operator="greaterThan" aboveAverage="0" equalAverage="0" bottom="0" percent="0" rank="0" text="" dxfId="7">
      <formula>0</formula>
    </cfRule>
  </conditionalFormatting>
  <conditionalFormatting sqref="N949">
    <cfRule type="cellIs" priority="3776" operator="greaterThan" aboveAverage="0" equalAverage="0" bottom="0" percent="0" rank="0" text="" dxfId="7">
      <formula>0</formula>
    </cfRule>
    <cfRule type="cellIs" priority="3777" operator="lessThan" aboveAverage="0" equalAverage="0" bottom="0" percent="0" rank="0" text="" dxfId="8">
      <formula>0</formula>
    </cfRule>
  </conditionalFormatting>
  <conditionalFormatting sqref="I950">
    <cfRule type="cellIs" priority="3778" operator="greaterThan" aboveAverage="0" equalAverage="0" bottom="0" percent="0" rank="0" text="" dxfId="7">
      <formula>0</formula>
    </cfRule>
  </conditionalFormatting>
  <conditionalFormatting sqref="K950">
    <cfRule type="cellIs" priority="3779" operator="greaterThan" aboveAverage="0" equalAverage="0" bottom="0" percent="0" rank="0" text="" dxfId="7">
      <formula>0</formula>
    </cfRule>
  </conditionalFormatting>
  <conditionalFormatting sqref="N950">
    <cfRule type="cellIs" priority="3780" operator="greaterThan" aboveAverage="0" equalAverage="0" bottom="0" percent="0" rank="0" text="" dxfId="7">
      <formula>0</formula>
    </cfRule>
    <cfRule type="cellIs" priority="3781" operator="lessThan" aboveAverage="0" equalAverage="0" bottom="0" percent="0" rank="0" text="" dxfId="8">
      <formula>0</formula>
    </cfRule>
  </conditionalFormatting>
  <conditionalFormatting sqref="I951">
    <cfRule type="cellIs" priority="3782" operator="greaterThan" aboveAverage="0" equalAverage="0" bottom="0" percent="0" rank="0" text="" dxfId="7">
      <formula>0</formula>
    </cfRule>
  </conditionalFormatting>
  <conditionalFormatting sqref="K951">
    <cfRule type="cellIs" priority="3783" operator="greaterThan" aboveAverage="0" equalAverage="0" bottom="0" percent="0" rank="0" text="" dxfId="7">
      <formula>0</formula>
    </cfRule>
  </conditionalFormatting>
  <conditionalFormatting sqref="N951">
    <cfRule type="cellIs" priority="3784" operator="greaterThan" aboveAverage="0" equalAverage="0" bottom="0" percent="0" rank="0" text="" dxfId="7">
      <formula>0</formula>
    </cfRule>
    <cfRule type="cellIs" priority="3785" operator="lessThan" aboveAverage="0" equalAverage="0" bottom="0" percent="0" rank="0" text="" dxfId="8">
      <formula>0</formula>
    </cfRule>
  </conditionalFormatting>
  <conditionalFormatting sqref="I952">
    <cfRule type="cellIs" priority="3786" operator="greaterThan" aboveAverage="0" equalAverage="0" bottom="0" percent="0" rank="0" text="" dxfId="7">
      <formula>0</formula>
    </cfRule>
  </conditionalFormatting>
  <conditionalFormatting sqref="K952">
    <cfRule type="cellIs" priority="3787" operator="greaterThan" aboveAverage="0" equalAverage="0" bottom="0" percent="0" rank="0" text="" dxfId="7">
      <formula>0</formula>
    </cfRule>
  </conditionalFormatting>
  <conditionalFormatting sqref="N952">
    <cfRule type="cellIs" priority="3788" operator="greaterThan" aboveAverage="0" equalAverage="0" bottom="0" percent="0" rank="0" text="" dxfId="7">
      <formula>0</formula>
    </cfRule>
    <cfRule type="cellIs" priority="3789" operator="lessThan" aboveAverage="0" equalAverage="0" bottom="0" percent="0" rank="0" text="" dxfId="8">
      <formula>0</formula>
    </cfRule>
  </conditionalFormatting>
  <conditionalFormatting sqref="I953">
    <cfRule type="cellIs" priority="3790" operator="greaterThan" aboveAverage="0" equalAverage="0" bottom="0" percent="0" rank="0" text="" dxfId="7">
      <formula>0</formula>
    </cfRule>
  </conditionalFormatting>
  <conditionalFormatting sqref="K953">
    <cfRule type="cellIs" priority="3791" operator="greaterThan" aboveAverage="0" equalAverage="0" bottom="0" percent="0" rank="0" text="" dxfId="7">
      <formula>0</formula>
    </cfRule>
  </conditionalFormatting>
  <conditionalFormatting sqref="N953">
    <cfRule type="cellIs" priority="3792" operator="greaterThan" aboveAverage="0" equalAverage="0" bottom="0" percent="0" rank="0" text="" dxfId="7">
      <formula>0</formula>
    </cfRule>
    <cfRule type="cellIs" priority="3793" operator="lessThan" aboveAverage="0" equalAverage="0" bottom="0" percent="0" rank="0" text="" dxfId="8">
      <formula>0</formula>
    </cfRule>
  </conditionalFormatting>
  <conditionalFormatting sqref="I954">
    <cfRule type="cellIs" priority="3794" operator="greaterThan" aboveAverage="0" equalAverage="0" bottom="0" percent="0" rank="0" text="" dxfId="7">
      <formula>0</formula>
    </cfRule>
  </conditionalFormatting>
  <conditionalFormatting sqref="K954">
    <cfRule type="cellIs" priority="3795" operator="greaterThan" aboveAverage="0" equalAverage="0" bottom="0" percent="0" rank="0" text="" dxfId="7">
      <formula>0</formula>
    </cfRule>
  </conditionalFormatting>
  <conditionalFormatting sqref="N954">
    <cfRule type="cellIs" priority="3796" operator="greaterThan" aboveAverage="0" equalAverage="0" bottom="0" percent="0" rank="0" text="" dxfId="7">
      <formula>0</formula>
    </cfRule>
    <cfRule type="cellIs" priority="3797" operator="lessThan" aboveAverage="0" equalAverage="0" bottom="0" percent="0" rank="0" text="" dxfId="8">
      <formula>0</formula>
    </cfRule>
  </conditionalFormatting>
  <conditionalFormatting sqref="I955">
    <cfRule type="cellIs" priority="3798" operator="greaterThan" aboveAverage="0" equalAverage="0" bottom="0" percent="0" rank="0" text="" dxfId="7">
      <formula>0</formula>
    </cfRule>
  </conditionalFormatting>
  <conditionalFormatting sqref="K955">
    <cfRule type="cellIs" priority="3799" operator="greaterThan" aboveAverage="0" equalAverage="0" bottom="0" percent="0" rank="0" text="" dxfId="7">
      <formula>0</formula>
    </cfRule>
  </conditionalFormatting>
  <conditionalFormatting sqref="N955">
    <cfRule type="cellIs" priority="3800" operator="greaterThan" aboveAverage="0" equalAverage="0" bottom="0" percent="0" rank="0" text="" dxfId="7">
      <formula>0</formula>
    </cfRule>
    <cfRule type="cellIs" priority="3801" operator="lessThan" aboveAverage="0" equalAverage="0" bottom="0" percent="0" rank="0" text="" dxfId="8">
      <formula>0</formula>
    </cfRule>
  </conditionalFormatting>
  <conditionalFormatting sqref="I956">
    <cfRule type="cellIs" priority="3802" operator="greaterThan" aboveAverage="0" equalAverage="0" bottom="0" percent="0" rank="0" text="" dxfId="7">
      <formula>0</formula>
    </cfRule>
  </conditionalFormatting>
  <conditionalFormatting sqref="K956">
    <cfRule type="cellIs" priority="3803" operator="greaterThan" aboveAverage="0" equalAverage="0" bottom="0" percent="0" rank="0" text="" dxfId="7">
      <formula>0</formula>
    </cfRule>
  </conditionalFormatting>
  <conditionalFormatting sqref="N956">
    <cfRule type="cellIs" priority="3804" operator="greaterThan" aboveAverage="0" equalAverage="0" bottom="0" percent="0" rank="0" text="" dxfId="7">
      <formula>0</formula>
    </cfRule>
    <cfRule type="cellIs" priority="3805" operator="lessThan" aboveAverage="0" equalAverage="0" bottom="0" percent="0" rank="0" text="" dxfId="8">
      <formula>0</formula>
    </cfRule>
  </conditionalFormatting>
  <conditionalFormatting sqref="I957">
    <cfRule type="cellIs" priority="3806" operator="greaterThan" aboveAverage="0" equalAverage="0" bottom="0" percent="0" rank="0" text="" dxfId="7">
      <formula>0</formula>
    </cfRule>
  </conditionalFormatting>
  <conditionalFormatting sqref="K957">
    <cfRule type="cellIs" priority="3807" operator="greaterThan" aboveAverage="0" equalAverage="0" bottom="0" percent="0" rank="0" text="" dxfId="7">
      <formula>0</formula>
    </cfRule>
  </conditionalFormatting>
  <conditionalFormatting sqref="N957">
    <cfRule type="cellIs" priority="3808" operator="greaterThan" aboveAverage="0" equalAverage="0" bottom="0" percent="0" rank="0" text="" dxfId="7">
      <formula>0</formula>
    </cfRule>
    <cfRule type="cellIs" priority="3809" operator="lessThan" aboveAverage="0" equalAverage="0" bottom="0" percent="0" rank="0" text="" dxfId="8">
      <formula>0</formula>
    </cfRule>
  </conditionalFormatting>
  <conditionalFormatting sqref="I958">
    <cfRule type="cellIs" priority="3810" operator="greaterThan" aboveAverage="0" equalAverage="0" bottom="0" percent="0" rank="0" text="" dxfId="7">
      <formula>0</formula>
    </cfRule>
  </conditionalFormatting>
  <conditionalFormatting sqref="K958">
    <cfRule type="cellIs" priority="3811" operator="greaterThan" aboveAverage="0" equalAverage="0" bottom="0" percent="0" rank="0" text="" dxfId="7">
      <formula>0</formula>
    </cfRule>
  </conditionalFormatting>
  <conditionalFormatting sqref="N958">
    <cfRule type="cellIs" priority="3812" operator="greaterThan" aboveAverage="0" equalAverage="0" bottom="0" percent="0" rank="0" text="" dxfId="7">
      <formula>0</formula>
    </cfRule>
    <cfRule type="cellIs" priority="3813" operator="lessThan" aboveAverage="0" equalAverage="0" bottom="0" percent="0" rank="0" text="" dxfId="8">
      <formula>0</formula>
    </cfRule>
  </conditionalFormatting>
  <conditionalFormatting sqref="I959">
    <cfRule type="cellIs" priority="3814" operator="greaterThan" aboveAverage="0" equalAverage="0" bottom="0" percent="0" rank="0" text="" dxfId="7">
      <formula>0</formula>
    </cfRule>
  </conditionalFormatting>
  <conditionalFormatting sqref="K959">
    <cfRule type="cellIs" priority="3815" operator="greaterThan" aboveAverage="0" equalAverage="0" bottom="0" percent="0" rank="0" text="" dxfId="7">
      <formula>0</formula>
    </cfRule>
  </conditionalFormatting>
  <conditionalFormatting sqref="N959">
    <cfRule type="cellIs" priority="3816" operator="greaterThan" aboveAverage="0" equalAverage="0" bottom="0" percent="0" rank="0" text="" dxfId="7">
      <formula>0</formula>
    </cfRule>
    <cfRule type="cellIs" priority="3817" operator="lessThan" aboveAverage="0" equalAverage="0" bottom="0" percent="0" rank="0" text="" dxfId="8">
      <formula>0</formula>
    </cfRule>
  </conditionalFormatting>
  <conditionalFormatting sqref="I960">
    <cfRule type="cellIs" priority="3818" operator="greaterThan" aboveAverage="0" equalAverage="0" bottom="0" percent="0" rank="0" text="" dxfId="7">
      <formula>0</formula>
    </cfRule>
  </conditionalFormatting>
  <conditionalFormatting sqref="K960">
    <cfRule type="cellIs" priority="3819" operator="greaterThan" aboveAverage="0" equalAverage="0" bottom="0" percent="0" rank="0" text="" dxfId="7">
      <formula>0</formula>
    </cfRule>
  </conditionalFormatting>
  <conditionalFormatting sqref="N960">
    <cfRule type="cellIs" priority="3820" operator="greaterThan" aboveAverage="0" equalAverage="0" bottom="0" percent="0" rank="0" text="" dxfId="7">
      <formula>0</formula>
    </cfRule>
    <cfRule type="cellIs" priority="3821" operator="lessThan" aboveAverage="0" equalAverage="0" bottom="0" percent="0" rank="0" text="" dxfId="8">
      <formula>0</formula>
    </cfRule>
  </conditionalFormatting>
  <conditionalFormatting sqref="I961">
    <cfRule type="cellIs" priority="3822" operator="greaterThan" aboveAverage="0" equalAverage="0" bottom="0" percent="0" rank="0" text="" dxfId="7">
      <formula>0</formula>
    </cfRule>
  </conditionalFormatting>
  <conditionalFormatting sqref="K961">
    <cfRule type="cellIs" priority="3823" operator="greaterThan" aboveAverage="0" equalAverage="0" bottom="0" percent="0" rank="0" text="" dxfId="7">
      <formula>0</formula>
    </cfRule>
  </conditionalFormatting>
  <conditionalFormatting sqref="N961">
    <cfRule type="cellIs" priority="3824" operator="greaterThan" aboveAverage="0" equalAverage="0" bottom="0" percent="0" rank="0" text="" dxfId="7">
      <formula>0</formula>
    </cfRule>
    <cfRule type="cellIs" priority="3825" operator="lessThan" aboveAverage="0" equalAverage="0" bottom="0" percent="0" rank="0" text="" dxfId="8">
      <formula>0</formula>
    </cfRule>
  </conditionalFormatting>
  <conditionalFormatting sqref="I962">
    <cfRule type="cellIs" priority="3826" operator="greaterThan" aboveAverage="0" equalAverage="0" bottom="0" percent="0" rank="0" text="" dxfId="7">
      <formula>0</formula>
    </cfRule>
  </conditionalFormatting>
  <conditionalFormatting sqref="K962">
    <cfRule type="cellIs" priority="3827" operator="greaterThan" aboveAverage="0" equalAverage="0" bottom="0" percent="0" rank="0" text="" dxfId="7">
      <formula>0</formula>
    </cfRule>
  </conditionalFormatting>
  <conditionalFormatting sqref="N962">
    <cfRule type="cellIs" priority="3828" operator="greaterThan" aboveAverage="0" equalAverage="0" bottom="0" percent="0" rank="0" text="" dxfId="7">
      <formula>0</formula>
    </cfRule>
    <cfRule type="cellIs" priority="3829" operator="lessThan" aboveAverage="0" equalAverage="0" bottom="0" percent="0" rank="0" text="" dxfId="8">
      <formula>0</formula>
    </cfRule>
  </conditionalFormatting>
  <conditionalFormatting sqref="I963">
    <cfRule type="cellIs" priority="3830" operator="greaterThan" aboveAverage="0" equalAverage="0" bottom="0" percent="0" rank="0" text="" dxfId="7">
      <formula>0</formula>
    </cfRule>
  </conditionalFormatting>
  <conditionalFormatting sqref="K963">
    <cfRule type="cellIs" priority="3831" operator="greaterThan" aboveAverage="0" equalAverage="0" bottom="0" percent="0" rank="0" text="" dxfId="7">
      <formula>0</formula>
    </cfRule>
  </conditionalFormatting>
  <conditionalFormatting sqref="N963">
    <cfRule type="cellIs" priority="3832" operator="greaterThan" aboveAverage="0" equalAverage="0" bottom="0" percent="0" rank="0" text="" dxfId="7">
      <formula>0</formula>
    </cfRule>
    <cfRule type="cellIs" priority="3833" operator="lessThan" aboveAverage="0" equalAverage="0" bottom="0" percent="0" rank="0" text="" dxfId="8">
      <formula>0</formula>
    </cfRule>
  </conditionalFormatting>
  <conditionalFormatting sqref="I964">
    <cfRule type="cellIs" priority="3834" operator="greaterThan" aboveAverage="0" equalAverage="0" bottom="0" percent="0" rank="0" text="" dxfId="7">
      <formula>0</formula>
    </cfRule>
  </conditionalFormatting>
  <conditionalFormatting sqref="K964">
    <cfRule type="cellIs" priority="3835" operator="greaterThan" aboveAverage="0" equalAverage="0" bottom="0" percent="0" rank="0" text="" dxfId="7">
      <formula>0</formula>
    </cfRule>
  </conditionalFormatting>
  <conditionalFormatting sqref="N964">
    <cfRule type="cellIs" priority="3836" operator="greaterThan" aboveAverage="0" equalAverage="0" bottom="0" percent="0" rank="0" text="" dxfId="7">
      <formula>0</formula>
    </cfRule>
    <cfRule type="cellIs" priority="3837" operator="lessThan" aboveAverage="0" equalAverage="0" bottom="0" percent="0" rank="0" text="" dxfId="8">
      <formula>0</formula>
    </cfRule>
  </conditionalFormatting>
  <conditionalFormatting sqref="I965">
    <cfRule type="cellIs" priority="3838" operator="greaterThan" aboveAverage="0" equalAverage="0" bottom="0" percent="0" rank="0" text="" dxfId="7">
      <formula>0</formula>
    </cfRule>
  </conditionalFormatting>
  <conditionalFormatting sqref="K965">
    <cfRule type="cellIs" priority="3839" operator="greaterThan" aboveAverage="0" equalAverage="0" bottom="0" percent="0" rank="0" text="" dxfId="7">
      <formula>0</formula>
    </cfRule>
  </conditionalFormatting>
  <conditionalFormatting sqref="N965">
    <cfRule type="cellIs" priority="3840" operator="greaterThan" aboveAverage="0" equalAverage="0" bottom="0" percent="0" rank="0" text="" dxfId="7">
      <formula>0</formula>
    </cfRule>
    <cfRule type="cellIs" priority="3841" operator="lessThan" aboveAverage="0" equalAverage="0" bottom="0" percent="0" rank="0" text="" dxfId="8">
      <formula>0</formula>
    </cfRule>
  </conditionalFormatting>
  <conditionalFormatting sqref="I966">
    <cfRule type="cellIs" priority="3842" operator="greaterThan" aboveAverage="0" equalAverage="0" bottom="0" percent="0" rank="0" text="" dxfId="7">
      <formula>0</formula>
    </cfRule>
  </conditionalFormatting>
  <conditionalFormatting sqref="K966">
    <cfRule type="cellIs" priority="3843" operator="greaterThan" aboveAverage="0" equalAverage="0" bottom="0" percent="0" rank="0" text="" dxfId="7">
      <formula>0</formula>
    </cfRule>
  </conditionalFormatting>
  <conditionalFormatting sqref="N966">
    <cfRule type="cellIs" priority="3844" operator="greaterThan" aboveAverage="0" equalAverage="0" bottom="0" percent="0" rank="0" text="" dxfId="7">
      <formula>0</formula>
    </cfRule>
    <cfRule type="cellIs" priority="3845" operator="lessThan" aboveAverage="0" equalAverage="0" bottom="0" percent="0" rank="0" text="" dxfId="8">
      <formula>0</formula>
    </cfRule>
  </conditionalFormatting>
  <conditionalFormatting sqref="I967">
    <cfRule type="cellIs" priority="3846" operator="greaterThan" aboveAverage="0" equalAverage="0" bottom="0" percent="0" rank="0" text="" dxfId="7">
      <formula>0</formula>
    </cfRule>
  </conditionalFormatting>
  <conditionalFormatting sqref="K967">
    <cfRule type="cellIs" priority="3847" operator="greaterThan" aboveAverage="0" equalAverage="0" bottom="0" percent="0" rank="0" text="" dxfId="7">
      <formula>0</formula>
    </cfRule>
  </conditionalFormatting>
  <conditionalFormatting sqref="N967">
    <cfRule type="cellIs" priority="3848" operator="greaterThan" aboveAverage="0" equalAverage="0" bottom="0" percent="0" rank="0" text="" dxfId="7">
      <formula>0</formula>
    </cfRule>
    <cfRule type="cellIs" priority="3849" operator="lessThan" aboveAverage="0" equalAverage="0" bottom="0" percent="0" rank="0" text="" dxfId="8">
      <formula>0</formula>
    </cfRule>
  </conditionalFormatting>
  <conditionalFormatting sqref="I968">
    <cfRule type="cellIs" priority="3850" operator="greaterThan" aboveAverage="0" equalAverage="0" bottom="0" percent="0" rank="0" text="" dxfId="7">
      <formula>0</formula>
    </cfRule>
  </conditionalFormatting>
  <conditionalFormatting sqref="K968">
    <cfRule type="cellIs" priority="3851" operator="greaterThan" aboveAverage="0" equalAverage="0" bottom="0" percent="0" rank="0" text="" dxfId="7">
      <formula>0</formula>
    </cfRule>
  </conditionalFormatting>
  <conditionalFormatting sqref="N968">
    <cfRule type="cellIs" priority="3852" operator="greaterThan" aboveAverage="0" equalAverage="0" bottom="0" percent="0" rank="0" text="" dxfId="7">
      <formula>0</formula>
    </cfRule>
    <cfRule type="cellIs" priority="3853" operator="lessThan" aboveAverage="0" equalAverage="0" bottom="0" percent="0" rank="0" text="" dxfId="8">
      <formula>0</formula>
    </cfRule>
  </conditionalFormatting>
  <conditionalFormatting sqref="I969">
    <cfRule type="cellIs" priority="3854" operator="greaterThan" aboveAverage="0" equalAverage="0" bottom="0" percent="0" rank="0" text="" dxfId="7">
      <formula>0</formula>
    </cfRule>
  </conditionalFormatting>
  <conditionalFormatting sqref="K969">
    <cfRule type="cellIs" priority="3855" operator="greaterThan" aboveAverage="0" equalAverage="0" bottom="0" percent="0" rank="0" text="" dxfId="7">
      <formula>0</formula>
    </cfRule>
  </conditionalFormatting>
  <conditionalFormatting sqref="N969">
    <cfRule type="cellIs" priority="3856" operator="greaterThan" aboveAverage="0" equalAverage="0" bottom="0" percent="0" rank="0" text="" dxfId="7">
      <formula>0</formula>
    </cfRule>
    <cfRule type="cellIs" priority="3857" operator="lessThan" aboveAverage="0" equalAverage="0" bottom="0" percent="0" rank="0" text="" dxfId="8">
      <formula>0</formula>
    </cfRule>
  </conditionalFormatting>
  <conditionalFormatting sqref="I970">
    <cfRule type="cellIs" priority="3858" operator="greaterThan" aboveAverage="0" equalAverage="0" bottom="0" percent="0" rank="0" text="" dxfId="7">
      <formula>0</formula>
    </cfRule>
  </conditionalFormatting>
  <conditionalFormatting sqref="K970">
    <cfRule type="cellIs" priority="3859" operator="greaterThan" aboveAverage="0" equalAverage="0" bottom="0" percent="0" rank="0" text="" dxfId="7">
      <formula>0</formula>
    </cfRule>
  </conditionalFormatting>
  <conditionalFormatting sqref="N970">
    <cfRule type="cellIs" priority="3860" operator="greaterThan" aboveAverage="0" equalAverage="0" bottom="0" percent="0" rank="0" text="" dxfId="7">
      <formula>0</formula>
    </cfRule>
    <cfRule type="cellIs" priority="3861" operator="lessThan" aboveAverage="0" equalAverage="0" bottom="0" percent="0" rank="0" text="" dxfId="8">
      <formula>0</formula>
    </cfRule>
  </conditionalFormatting>
  <conditionalFormatting sqref="I971">
    <cfRule type="cellIs" priority="3862" operator="greaterThan" aboveAverage="0" equalAverage="0" bottom="0" percent="0" rank="0" text="" dxfId="7">
      <formula>0</formula>
    </cfRule>
  </conditionalFormatting>
  <conditionalFormatting sqref="K971">
    <cfRule type="cellIs" priority="3863" operator="greaterThan" aboveAverage="0" equalAverage="0" bottom="0" percent="0" rank="0" text="" dxfId="7">
      <formula>0</formula>
    </cfRule>
  </conditionalFormatting>
  <conditionalFormatting sqref="N971">
    <cfRule type="cellIs" priority="3864" operator="greaterThan" aboveAverage="0" equalAverage="0" bottom="0" percent="0" rank="0" text="" dxfId="7">
      <formula>0</formula>
    </cfRule>
    <cfRule type="cellIs" priority="3865" operator="lessThan" aboveAverage="0" equalAverage="0" bottom="0" percent="0" rank="0" text="" dxfId="8">
      <formula>0</formula>
    </cfRule>
  </conditionalFormatting>
  <conditionalFormatting sqref="I972">
    <cfRule type="cellIs" priority="3866" operator="greaterThan" aboveAverage="0" equalAverage="0" bottom="0" percent="0" rank="0" text="" dxfId="7">
      <formula>0</formula>
    </cfRule>
  </conditionalFormatting>
  <conditionalFormatting sqref="K972">
    <cfRule type="cellIs" priority="3867" operator="greaterThan" aboveAverage="0" equalAverage="0" bottom="0" percent="0" rank="0" text="" dxfId="7">
      <formula>0</formula>
    </cfRule>
  </conditionalFormatting>
  <conditionalFormatting sqref="N972">
    <cfRule type="cellIs" priority="3868" operator="greaterThan" aboveAverage="0" equalAverage="0" bottom="0" percent="0" rank="0" text="" dxfId="7">
      <formula>0</formula>
    </cfRule>
    <cfRule type="cellIs" priority="3869" operator="lessThan" aboveAverage="0" equalAverage="0" bottom="0" percent="0" rank="0" text="" dxfId="8">
      <formula>0</formula>
    </cfRule>
  </conditionalFormatting>
  <conditionalFormatting sqref="I973">
    <cfRule type="cellIs" priority="3870" operator="greaterThan" aboveAverage="0" equalAverage="0" bottom="0" percent="0" rank="0" text="" dxfId="7">
      <formula>0</formula>
    </cfRule>
  </conditionalFormatting>
  <conditionalFormatting sqref="K973">
    <cfRule type="cellIs" priority="3871" operator="greaterThan" aboveAverage="0" equalAverage="0" bottom="0" percent="0" rank="0" text="" dxfId="7">
      <formula>0</formula>
    </cfRule>
  </conditionalFormatting>
  <conditionalFormatting sqref="N973">
    <cfRule type="cellIs" priority="3872" operator="greaterThan" aboveAverage="0" equalAverage="0" bottom="0" percent="0" rank="0" text="" dxfId="7">
      <formula>0</formula>
    </cfRule>
    <cfRule type="cellIs" priority="3873" operator="lessThan" aboveAverage="0" equalAverage="0" bottom="0" percent="0" rank="0" text="" dxfId="8">
      <formula>0</formula>
    </cfRule>
  </conditionalFormatting>
  <conditionalFormatting sqref="I974">
    <cfRule type="cellIs" priority="3874" operator="greaterThan" aboveAverage="0" equalAverage="0" bottom="0" percent="0" rank="0" text="" dxfId="7">
      <formula>0</formula>
    </cfRule>
  </conditionalFormatting>
  <conditionalFormatting sqref="K974">
    <cfRule type="cellIs" priority="3875" operator="greaterThan" aboveAverage="0" equalAverage="0" bottom="0" percent="0" rank="0" text="" dxfId="7">
      <formula>0</formula>
    </cfRule>
  </conditionalFormatting>
  <conditionalFormatting sqref="N974">
    <cfRule type="cellIs" priority="3876" operator="greaterThan" aboveAverage="0" equalAverage="0" bottom="0" percent="0" rank="0" text="" dxfId="7">
      <formula>0</formula>
    </cfRule>
    <cfRule type="cellIs" priority="3877" operator="lessThan" aboveAverage="0" equalAverage="0" bottom="0" percent="0" rank="0" text="" dxfId="8">
      <formula>0</formula>
    </cfRule>
  </conditionalFormatting>
  <conditionalFormatting sqref="I975">
    <cfRule type="cellIs" priority="3878" operator="greaterThan" aboveAverage="0" equalAverage="0" bottom="0" percent="0" rank="0" text="" dxfId="7">
      <formula>0</formula>
    </cfRule>
  </conditionalFormatting>
  <conditionalFormatting sqref="K975">
    <cfRule type="cellIs" priority="3879" operator="greaterThan" aboveAverage="0" equalAverage="0" bottom="0" percent="0" rank="0" text="" dxfId="7">
      <formula>0</formula>
    </cfRule>
  </conditionalFormatting>
  <conditionalFormatting sqref="N975">
    <cfRule type="cellIs" priority="3880" operator="greaterThan" aboveAverage="0" equalAverage="0" bottom="0" percent="0" rank="0" text="" dxfId="7">
      <formula>0</formula>
    </cfRule>
    <cfRule type="cellIs" priority="3881" operator="lessThan" aboveAverage="0" equalAverage="0" bottom="0" percent="0" rank="0" text="" dxfId="8">
      <formula>0</formula>
    </cfRule>
  </conditionalFormatting>
  <conditionalFormatting sqref="I976">
    <cfRule type="cellIs" priority="3882" operator="greaterThan" aboveAverage="0" equalAverage="0" bottom="0" percent="0" rank="0" text="" dxfId="7">
      <formula>0</formula>
    </cfRule>
  </conditionalFormatting>
  <conditionalFormatting sqref="K976">
    <cfRule type="cellIs" priority="3883" operator="greaterThan" aboveAverage="0" equalAverage="0" bottom="0" percent="0" rank="0" text="" dxfId="7">
      <formula>0</formula>
    </cfRule>
  </conditionalFormatting>
  <conditionalFormatting sqref="N976">
    <cfRule type="cellIs" priority="3884" operator="greaterThan" aboveAverage="0" equalAverage="0" bottom="0" percent="0" rank="0" text="" dxfId="7">
      <formula>0</formula>
    </cfRule>
    <cfRule type="cellIs" priority="3885" operator="lessThan" aboveAverage="0" equalAverage="0" bottom="0" percent="0" rank="0" text="" dxfId="8">
      <formula>0</formula>
    </cfRule>
  </conditionalFormatting>
  <conditionalFormatting sqref="I977">
    <cfRule type="cellIs" priority="3886" operator="greaterThan" aboveAverage="0" equalAverage="0" bottom="0" percent="0" rank="0" text="" dxfId="7">
      <formula>0</formula>
    </cfRule>
  </conditionalFormatting>
  <conditionalFormatting sqref="K977">
    <cfRule type="cellIs" priority="3887" operator="greaterThan" aboveAverage="0" equalAverage="0" bottom="0" percent="0" rank="0" text="" dxfId="7">
      <formula>0</formula>
    </cfRule>
  </conditionalFormatting>
  <conditionalFormatting sqref="N977">
    <cfRule type="cellIs" priority="3888" operator="greaterThan" aboveAverage="0" equalAverage="0" bottom="0" percent="0" rank="0" text="" dxfId="7">
      <formula>0</formula>
    </cfRule>
    <cfRule type="cellIs" priority="3889" operator="lessThan" aboveAverage="0" equalAverage="0" bottom="0" percent="0" rank="0" text="" dxfId="8">
      <formula>0</formula>
    </cfRule>
  </conditionalFormatting>
  <conditionalFormatting sqref="I978">
    <cfRule type="cellIs" priority="3890" operator="greaterThan" aboveAverage="0" equalAverage="0" bottom="0" percent="0" rank="0" text="" dxfId="7">
      <formula>0</formula>
    </cfRule>
  </conditionalFormatting>
  <conditionalFormatting sqref="K978">
    <cfRule type="cellIs" priority="3891" operator="greaterThan" aboveAverage="0" equalAverage="0" bottom="0" percent="0" rank="0" text="" dxfId="7">
      <formula>0</formula>
    </cfRule>
  </conditionalFormatting>
  <conditionalFormatting sqref="N978">
    <cfRule type="cellIs" priority="3892" operator="greaterThan" aboveAverage="0" equalAverage="0" bottom="0" percent="0" rank="0" text="" dxfId="7">
      <formula>0</formula>
    </cfRule>
    <cfRule type="cellIs" priority="3893" operator="lessThan" aboveAverage="0" equalAverage="0" bottom="0" percent="0" rank="0" text="" dxfId="8">
      <formula>0</formula>
    </cfRule>
  </conditionalFormatting>
  <conditionalFormatting sqref="I979">
    <cfRule type="cellIs" priority="3894" operator="greaterThan" aboveAverage="0" equalAverage="0" bottom="0" percent="0" rank="0" text="" dxfId="7">
      <formula>0</formula>
    </cfRule>
  </conditionalFormatting>
  <conditionalFormatting sqref="K979">
    <cfRule type="cellIs" priority="3895" operator="greaterThan" aboveAverage="0" equalAverage="0" bottom="0" percent="0" rank="0" text="" dxfId="7">
      <formula>0</formula>
    </cfRule>
  </conditionalFormatting>
  <conditionalFormatting sqref="N979">
    <cfRule type="cellIs" priority="3896" operator="greaterThan" aboveAverage="0" equalAverage="0" bottom="0" percent="0" rank="0" text="" dxfId="7">
      <formula>0</formula>
    </cfRule>
    <cfRule type="cellIs" priority="3897" operator="lessThan" aboveAverage="0" equalAverage="0" bottom="0" percent="0" rank="0" text="" dxfId="8">
      <formula>0</formula>
    </cfRule>
  </conditionalFormatting>
  <conditionalFormatting sqref="I980">
    <cfRule type="cellIs" priority="3898" operator="greaterThan" aboveAverage="0" equalAverage="0" bottom="0" percent="0" rank="0" text="" dxfId="7">
      <formula>0</formula>
    </cfRule>
  </conditionalFormatting>
  <conditionalFormatting sqref="K980">
    <cfRule type="cellIs" priority="3899" operator="greaterThan" aboveAverage="0" equalAverage="0" bottom="0" percent="0" rank="0" text="" dxfId="7">
      <formula>0</formula>
    </cfRule>
  </conditionalFormatting>
  <conditionalFormatting sqref="N980">
    <cfRule type="cellIs" priority="3900" operator="greaterThan" aboveAverage="0" equalAverage="0" bottom="0" percent="0" rank="0" text="" dxfId="7">
      <formula>0</formula>
    </cfRule>
    <cfRule type="cellIs" priority="3901" operator="lessThan" aboveAverage="0" equalAverage="0" bottom="0" percent="0" rank="0" text="" dxfId="8">
      <formula>0</formula>
    </cfRule>
  </conditionalFormatting>
  <conditionalFormatting sqref="I981">
    <cfRule type="cellIs" priority="3902" operator="greaterThan" aboveAverage="0" equalAverage="0" bottom="0" percent="0" rank="0" text="" dxfId="7">
      <formula>0</formula>
    </cfRule>
  </conditionalFormatting>
  <conditionalFormatting sqref="K981">
    <cfRule type="cellIs" priority="3903" operator="greaterThan" aboveAverage="0" equalAverage="0" bottom="0" percent="0" rank="0" text="" dxfId="7">
      <formula>0</formula>
    </cfRule>
  </conditionalFormatting>
  <conditionalFormatting sqref="N981">
    <cfRule type="cellIs" priority="3904" operator="greaterThan" aboveAverage="0" equalAverage="0" bottom="0" percent="0" rank="0" text="" dxfId="7">
      <formula>0</formula>
    </cfRule>
    <cfRule type="cellIs" priority="3905" operator="lessThan" aboveAverage="0" equalAverage="0" bottom="0" percent="0" rank="0" text="" dxfId="8">
      <formula>0</formula>
    </cfRule>
  </conditionalFormatting>
  <conditionalFormatting sqref="I982">
    <cfRule type="cellIs" priority="3906" operator="greaterThan" aboveAverage="0" equalAverage="0" bottom="0" percent="0" rank="0" text="" dxfId="7">
      <formula>0</formula>
    </cfRule>
  </conditionalFormatting>
  <conditionalFormatting sqref="K982">
    <cfRule type="cellIs" priority="3907" operator="greaterThan" aboveAverage="0" equalAverage="0" bottom="0" percent="0" rank="0" text="" dxfId="7">
      <formula>0</formula>
    </cfRule>
  </conditionalFormatting>
  <conditionalFormatting sqref="N982">
    <cfRule type="cellIs" priority="3908" operator="greaterThan" aboveAverage="0" equalAverage="0" bottom="0" percent="0" rank="0" text="" dxfId="7">
      <formula>0</formula>
    </cfRule>
    <cfRule type="cellIs" priority="3909" operator="lessThan" aboveAverage="0" equalAverage="0" bottom="0" percent="0" rank="0" text="" dxfId="8">
      <formula>0</formula>
    </cfRule>
  </conditionalFormatting>
  <conditionalFormatting sqref="I983">
    <cfRule type="cellIs" priority="3910" operator="greaterThan" aboveAverage="0" equalAverage="0" bottom="0" percent="0" rank="0" text="" dxfId="7">
      <formula>0</formula>
    </cfRule>
  </conditionalFormatting>
  <conditionalFormatting sqref="K983">
    <cfRule type="cellIs" priority="3911" operator="greaterThan" aboveAverage="0" equalAverage="0" bottom="0" percent="0" rank="0" text="" dxfId="7">
      <formula>0</formula>
    </cfRule>
  </conditionalFormatting>
  <conditionalFormatting sqref="N983">
    <cfRule type="cellIs" priority="3912" operator="greaterThan" aboveAverage="0" equalAverage="0" bottom="0" percent="0" rank="0" text="" dxfId="7">
      <formula>0</formula>
    </cfRule>
    <cfRule type="cellIs" priority="3913" operator="lessThan" aboveAverage="0" equalAverage="0" bottom="0" percent="0" rank="0" text="" dxfId="8">
      <formula>0</formula>
    </cfRule>
  </conditionalFormatting>
  <conditionalFormatting sqref="I984">
    <cfRule type="cellIs" priority="3914" operator="greaterThan" aboveAverage="0" equalAverage="0" bottom="0" percent="0" rank="0" text="" dxfId="7">
      <formula>0</formula>
    </cfRule>
  </conditionalFormatting>
  <conditionalFormatting sqref="K984">
    <cfRule type="cellIs" priority="3915" operator="greaterThan" aboveAverage="0" equalAverage="0" bottom="0" percent="0" rank="0" text="" dxfId="7">
      <formula>0</formula>
    </cfRule>
  </conditionalFormatting>
  <conditionalFormatting sqref="N984">
    <cfRule type="cellIs" priority="3916" operator="greaterThan" aboveAverage="0" equalAverage="0" bottom="0" percent="0" rank="0" text="" dxfId="7">
      <formula>0</formula>
    </cfRule>
    <cfRule type="cellIs" priority="3917" operator="lessThan" aboveAverage="0" equalAverage="0" bottom="0" percent="0" rank="0" text="" dxfId="8">
      <formula>0</formula>
    </cfRule>
  </conditionalFormatting>
  <conditionalFormatting sqref="I985">
    <cfRule type="cellIs" priority="3918" operator="greaterThan" aboveAverage="0" equalAverage="0" bottom="0" percent="0" rank="0" text="" dxfId="7">
      <formula>0</formula>
    </cfRule>
  </conditionalFormatting>
  <conditionalFormatting sqref="K985">
    <cfRule type="cellIs" priority="3919" operator="greaterThan" aboveAverage="0" equalAverage="0" bottom="0" percent="0" rank="0" text="" dxfId="7">
      <formula>0</formula>
    </cfRule>
  </conditionalFormatting>
  <conditionalFormatting sqref="N985">
    <cfRule type="cellIs" priority="3920" operator="greaterThan" aboveAverage="0" equalAverage="0" bottom="0" percent="0" rank="0" text="" dxfId="7">
      <formula>0</formula>
    </cfRule>
    <cfRule type="cellIs" priority="3921" operator="lessThan" aboveAverage="0" equalAverage="0" bottom="0" percent="0" rank="0" text="" dxfId="8">
      <formula>0</formula>
    </cfRule>
  </conditionalFormatting>
  <conditionalFormatting sqref="I986">
    <cfRule type="cellIs" priority="3922" operator="greaterThan" aboveAverage="0" equalAverage="0" bottom="0" percent="0" rank="0" text="" dxfId="7">
      <formula>0</formula>
    </cfRule>
  </conditionalFormatting>
  <conditionalFormatting sqref="K986">
    <cfRule type="cellIs" priority="3923" operator="greaterThan" aboveAverage="0" equalAverage="0" bottom="0" percent="0" rank="0" text="" dxfId="7">
      <formula>0</formula>
    </cfRule>
  </conditionalFormatting>
  <conditionalFormatting sqref="N986">
    <cfRule type="cellIs" priority="3924" operator="greaterThan" aboveAverage="0" equalAverage="0" bottom="0" percent="0" rank="0" text="" dxfId="7">
      <formula>0</formula>
    </cfRule>
    <cfRule type="cellIs" priority="3925" operator="lessThan" aboveAverage="0" equalAverage="0" bottom="0" percent="0" rank="0" text="" dxfId="8">
      <formula>0</formula>
    </cfRule>
  </conditionalFormatting>
  <conditionalFormatting sqref="I987">
    <cfRule type="cellIs" priority="3926" operator="greaterThan" aboveAverage="0" equalAverage="0" bottom="0" percent="0" rank="0" text="" dxfId="7">
      <formula>0</formula>
    </cfRule>
  </conditionalFormatting>
  <conditionalFormatting sqref="K987">
    <cfRule type="cellIs" priority="3927" operator="greaterThan" aboveAverage="0" equalAverage="0" bottom="0" percent="0" rank="0" text="" dxfId="7">
      <formula>0</formula>
    </cfRule>
  </conditionalFormatting>
  <conditionalFormatting sqref="N987">
    <cfRule type="cellIs" priority="3928" operator="greaterThan" aboveAverage="0" equalAverage="0" bottom="0" percent="0" rank="0" text="" dxfId="7">
      <formula>0</formula>
    </cfRule>
    <cfRule type="cellIs" priority="3929" operator="lessThan" aboveAverage="0" equalAverage="0" bottom="0" percent="0" rank="0" text="" dxfId="8">
      <formula>0</formula>
    </cfRule>
  </conditionalFormatting>
  <conditionalFormatting sqref="I988">
    <cfRule type="cellIs" priority="3930" operator="greaterThan" aboveAverage="0" equalAverage="0" bottom="0" percent="0" rank="0" text="" dxfId="7">
      <formula>0</formula>
    </cfRule>
  </conditionalFormatting>
  <conditionalFormatting sqref="K988">
    <cfRule type="cellIs" priority="3931" operator="greaterThan" aboveAverage="0" equalAverage="0" bottom="0" percent="0" rank="0" text="" dxfId="7">
      <formula>0</formula>
    </cfRule>
  </conditionalFormatting>
  <conditionalFormatting sqref="N988">
    <cfRule type="cellIs" priority="3932" operator="greaterThan" aboveAverage="0" equalAverage="0" bottom="0" percent="0" rank="0" text="" dxfId="7">
      <formula>0</formula>
    </cfRule>
    <cfRule type="cellIs" priority="3933" operator="lessThan" aboveAverage="0" equalAverage="0" bottom="0" percent="0" rank="0" text="" dxfId="8">
      <formula>0</formula>
    </cfRule>
  </conditionalFormatting>
  <conditionalFormatting sqref="I989">
    <cfRule type="cellIs" priority="3934" operator="greaterThan" aboveAverage="0" equalAverage="0" bottom="0" percent="0" rank="0" text="" dxfId="7">
      <formula>0</formula>
    </cfRule>
  </conditionalFormatting>
  <conditionalFormatting sqref="K989">
    <cfRule type="cellIs" priority="3935" operator="greaterThan" aboveAverage="0" equalAverage="0" bottom="0" percent="0" rank="0" text="" dxfId="7">
      <formula>0</formula>
    </cfRule>
  </conditionalFormatting>
  <conditionalFormatting sqref="N989">
    <cfRule type="cellIs" priority="3936" operator="greaterThan" aboveAverage="0" equalAverage="0" bottom="0" percent="0" rank="0" text="" dxfId="7">
      <formula>0</formula>
    </cfRule>
    <cfRule type="cellIs" priority="3937" operator="lessThan" aboveAverage="0" equalAverage="0" bottom="0" percent="0" rank="0" text="" dxfId="8">
      <formula>0</formula>
    </cfRule>
  </conditionalFormatting>
  <conditionalFormatting sqref="I990">
    <cfRule type="cellIs" priority="3938" operator="greaterThan" aboveAverage="0" equalAverage="0" bottom="0" percent="0" rank="0" text="" dxfId="7">
      <formula>0</formula>
    </cfRule>
  </conditionalFormatting>
  <conditionalFormatting sqref="K990">
    <cfRule type="cellIs" priority="3939" operator="greaterThan" aboveAverage="0" equalAverage="0" bottom="0" percent="0" rank="0" text="" dxfId="7">
      <formula>0</formula>
    </cfRule>
  </conditionalFormatting>
  <conditionalFormatting sqref="N990">
    <cfRule type="cellIs" priority="3940" operator="greaterThan" aboveAverage="0" equalAverage="0" bottom="0" percent="0" rank="0" text="" dxfId="7">
      <formula>0</formula>
    </cfRule>
    <cfRule type="cellIs" priority="3941" operator="lessThan" aboveAverage="0" equalAverage="0" bottom="0" percent="0" rank="0" text="" dxfId="8">
      <formula>0</formula>
    </cfRule>
  </conditionalFormatting>
  <conditionalFormatting sqref="I991">
    <cfRule type="cellIs" priority="3942" operator="greaterThan" aboveAverage="0" equalAverage="0" bottom="0" percent="0" rank="0" text="" dxfId="7">
      <formula>0</formula>
    </cfRule>
  </conditionalFormatting>
  <conditionalFormatting sqref="K991">
    <cfRule type="cellIs" priority="3943" operator="greaterThan" aboveAverage="0" equalAverage="0" bottom="0" percent="0" rank="0" text="" dxfId="7">
      <formula>0</formula>
    </cfRule>
  </conditionalFormatting>
  <conditionalFormatting sqref="N991">
    <cfRule type="cellIs" priority="3944" operator="greaterThan" aboveAverage="0" equalAverage="0" bottom="0" percent="0" rank="0" text="" dxfId="7">
      <formula>0</formula>
    </cfRule>
    <cfRule type="cellIs" priority="3945" operator="lessThan" aboveAverage="0" equalAverage="0" bottom="0" percent="0" rank="0" text="" dxfId="8">
      <formula>0</formula>
    </cfRule>
  </conditionalFormatting>
  <conditionalFormatting sqref="I992">
    <cfRule type="cellIs" priority="3946" operator="greaterThan" aboveAverage="0" equalAverage="0" bottom="0" percent="0" rank="0" text="" dxfId="7">
      <formula>0</formula>
    </cfRule>
  </conditionalFormatting>
  <conditionalFormatting sqref="K992">
    <cfRule type="cellIs" priority="3947" operator="greaterThan" aboveAverage="0" equalAverage="0" bottom="0" percent="0" rank="0" text="" dxfId="7">
      <formula>0</formula>
    </cfRule>
  </conditionalFormatting>
  <conditionalFormatting sqref="N992">
    <cfRule type="cellIs" priority="3948" operator="greaterThan" aboveAverage="0" equalAverage="0" bottom="0" percent="0" rank="0" text="" dxfId="7">
      <formula>0</formula>
    </cfRule>
    <cfRule type="cellIs" priority="3949" operator="lessThan" aboveAverage="0" equalAverage="0" bottom="0" percent="0" rank="0" text="" dxfId="8">
      <formula>0</formula>
    </cfRule>
  </conditionalFormatting>
  <conditionalFormatting sqref="I993">
    <cfRule type="cellIs" priority="3950" operator="greaterThan" aboveAverage="0" equalAverage="0" bottom="0" percent="0" rank="0" text="" dxfId="7">
      <formula>0</formula>
    </cfRule>
  </conditionalFormatting>
  <conditionalFormatting sqref="K993">
    <cfRule type="cellIs" priority="3951" operator="greaterThan" aboveAverage="0" equalAverage="0" bottom="0" percent="0" rank="0" text="" dxfId="7">
      <formula>0</formula>
    </cfRule>
  </conditionalFormatting>
  <conditionalFormatting sqref="N993">
    <cfRule type="cellIs" priority="3952" operator="greaterThan" aboveAverage="0" equalAverage="0" bottom="0" percent="0" rank="0" text="" dxfId="7">
      <formula>0</formula>
    </cfRule>
    <cfRule type="cellIs" priority="3953" operator="lessThan" aboveAverage="0" equalAverage="0" bottom="0" percent="0" rank="0" text="" dxfId="8">
      <formula>0</formula>
    </cfRule>
  </conditionalFormatting>
  <conditionalFormatting sqref="I994">
    <cfRule type="cellIs" priority="3954" operator="greaterThan" aboveAverage="0" equalAverage="0" bottom="0" percent="0" rank="0" text="" dxfId="7">
      <formula>0</formula>
    </cfRule>
  </conditionalFormatting>
  <conditionalFormatting sqref="K994">
    <cfRule type="cellIs" priority="3955" operator="greaterThan" aboveAverage="0" equalAverage="0" bottom="0" percent="0" rank="0" text="" dxfId="7">
      <formula>0</formula>
    </cfRule>
  </conditionalFormatting>
  <conditionalFormatting sqref="N994">
    <cfRule type="cellIs" priority="3956" operator="greaterThan" aboveAverage="0" equalAverage="0" bottom="0" percent="0" rank="0" text="" dxfId="7">
      <formula>0</formula>
    </cfRule>
    <cfRule type="cellIs" priority="3957" operator="lessThan" aboveAverage="0" equalAverage="0" bottom="0" percent="0" rank="0" text="" dxfId="8">
      <formula>0</formula>
    </cfRule>
  </conditionalFormatting>
  <conditionalFormatting sqref="I995">
    <cfRule type="cellIs" priority="3958" operator="greaterThan" aboveAverage="0" equalAverage="0" bottom="0" percent="0" rank="0" text="" dxfId="7">
      <formula>0</formula>
    </cfRule>
  </conditionalFormatting>
  <conditionalFormatting sqref="K995">
    <cfRule type="cellIs" priority="3959" operator="greaterThan" aboveAverage="0" equalAverage="0" bottom="0" percent="0" rank="0" text="" dxfId="7">
      <formula>0</formula>
    </cfRule>
  </conditionalFormatting>
  <conditionalFormatting sqref="N995">
    <cfRule type="cellIs" priority="3960" operator="greaterThan" aboveAverage="0" equalAverage="0" bottom="0" percent="0" rank="0" text="" dxfId="7">
      <formula>0</formula>
    </cfRule>
    <cfRule type="cellIs" priority="3961" operator="lessThan" aboveAverage="0" equalAverage="0" bottom="0" percent="0" rank="0" text="" dxfId="8">
      <formula>0</formula>
    </cfRule>
  </conditionalFormatting>
  <conditionalFormatting sqref="I996">
    <cfRule type="cellIs" priority="3962" operator="greaterThan" aboveAverage="0" equalAverage="0" bottom="0" percent="0" rank="0" text="" dxfId="7">
      <formula>0</formula>
    </cfRule>
  </conditionalFormatting>
  <conditionalFormatting sqref="K996">
    <cfRule type="cellIs" priority="3963" operator="greaterThan" aboveAverage="0" equalAverage="0" bottom="0" percent="0" rank="0" text="" dxfId="7">
      <formula>0</formula>
    </cfRule>
  </conditionalFormatting>
  <conditionalFormatting sqref="N996">
    <cfRule type="cellIs" priority="3964" operator="greaterThan" aboveAverage="0" equalAverage="0" bottom="0" percent="0" rank="0" text="" dxfId="7">
      <formula>0</formula>
    </cfRule>
    <cfRule type="cellIs" priority="3965" operator="lessThan" aboveAverage="0" equalAverage="0" bottom="0" percent="0" rank="0" text="" dxfId="8">
      <formula>0</formula>
    </cfRule>
  </conditionalFormatting>
  <conditionalFormatting sqref="I997">
    <cfRule type="cellIs" priority="3966" operator="greaterThan" aboveAverage="0" equalAverage="0" bottom="0" percent="0" rank="0" text="" dxfId="7">
      <formula>0</formula>
    </cfRule>
  </conditionalFormatting>
  <conditionalFormatting sqref="K997">
    <cfRule type="cellIs" priority="3967" operator="greaterThan" aboveAverage="0" equalAverage="0" bottom="0" percent="0" rank="0" text="" dxfId="7">
      <formula>0</formula>
    </cfRule>
  </conditionalFormatting>
  <conditionalFormatting sqref="N997">
    <cfRule type="cellIs" priority="3968" operator="greaterThan" aboveAverage="0" equalAverage="0" bottom="0" percent="0" rank="0" text="" dxfId="7">
      <formula>0</formula>
    </cfRule>
    <cfRule type="cellIs" priority="3969" operator="lessThan" aboveAverage="0" equalAverage="0" bottom="0" percent="0" rank="0" text="" dxfId="8">
      <formula>0</formula>
    </cfRule>
  </conditionalFormatting>
  <conditionalFormatting sqref="I998">
    <cfRule type="cellIs" priority="3970" operator="greaterThan" aboveAverage="0" equalAverage="0" bottom="0" percent="0" rank="0" text="" dxfId="7">
      <formula>0</formula>
    </cfRule>
  </conditionalFormatting>
  <conditionalFormatting sqref="K998">
    <cfRule type="cellIs" priority="3971" operator="greaterThan" aboveAverage="0" equalAverage="0" bottom="0" percent="0" rank="0" text="" dxfId="7">
      <formula>0</formula>
    </cfRule>
  </conditionalFormatting>
  <conditionalFormatting sqref="N998">
    <cfRule type="cellIs" priority="3972" operator="greaterThan" aboveAverage="0" equalAverage="0" bottom="0" percent="0" rank="0" text="" dxfId="7">
      <formula>0</formula>
    </cfRule>
    <cfRule type="cellIs" priority="3973" operator="lessThan" aboveAverage="0" equalAverage="0" bottom="0" percent="0" rank="0" text="" dxfId="8">
      <formula>0</formula>
    </cfRule>
  </conditionalFormatting>
  <conditionalFormatting sqref="I999">
    <cfRule type="cellIs" priority="3974" operator="greaterThan" aboveAverage="0" equalAverage="0" bottom="0" percent="0" rank="0" text="" dxfId="7">
      <formula>0</formula>
    </cfRule>
  </conditionalFormatting>
  <conditionalFormatting sqref="K999">
    <cfRule type="cellIs" priority="3975" operator="greaterThan" aboveAverage="0" equalAverage="0" bottom="0" percent="0" rank="0" text="" dxfId="7">
      <formula>0</formula>
    </cfRule>
  </conditionalFormatting>
  <conditionalFormatting sqref="N999">
    <cfRule type="cellIs" priority="3976" operator="greaterThan" aboveAverage="0" equalAverage="0" bottom="0" percent="0" rank="0" text="" dxfId="7">
      <formula>0</formula>
    </cfRule>
    <cfRule type="cellIs" priority="3977" operator="lessThan" aboveAverage="0" equalAverage="0" bottom="0" percent="0" rank="0" text="" dxfId="8">
      <formula>0</formula>
    </cfRule>
  </conditionalFormatting>
  <conditionalFormatting sqref="I1000">
    <cfRule type="cellIs" priority="3978" operator="greaterThan" aboveAverage="0" equalAverage="0" bottom="0" percent="0" rank="0" text="" dxfId="7">
      <formula>0</formula>
    </cfRule>
  </conditionalFormatting>
  <conditionalFormatting sqref="K1000">
    <cfRule type="cellIs" priority="3979" operator="greaterThan" aboveAverage="0" equalAverage="0" bottom="0" percent="0" rank="0" text="" dxfId="7">
      <formula>0</formula>
    </cfRule>
  </conditionalFormatting>
  <conditionalFormatting sqref="N1000">
    <cfRule type="cellIs" priority="3980" operator="greaterThan" aboveAverage="0" equalAverage="0" bottom="0" percent="0" rank="0" text="" dxfId="7">
      <formula>0</formula>
    </cfRule>
    <cfRule type="cellIs" priority="3981" operator="lessThan" aboveAverage="0" equalAverage="0" bottom="0" percent="0" rank="0" text="" dxfId="8">
      <formula>0</formula>
    </cfRule>
  </conditionalFormatting>
  <conditionalFormatting sqref="I1001">
    <cfRule type="cellIs" priority="3982" operator="greaterThan" aboveAverage="0" equalAverage="0" bottom="0" percent="0" rank="0" text="" dxfId="7">
      <formula>0</formula>
    </cfRule>
  </conditionalFormatting>
  <conditionalFormatting sqref="K1001">
    <cfRule type="cellIs" priority="3983" operator="greaterThan" aboveAverage="0" equalAverage="0" bottom="0" percent="0" rank="0" text="" dxfId="7">
      <formula>0</formula>
    </cfRule>
  </conditionalFormatting>
  <conditionalFormatting sqref="N1001">
    <cfRule type="cellIs" priority="3984" operator="greaterThan" aboveAverage="0" equalAverage="0" bottom="0" percent="0" rank="0" text="" dxfId="7">
      <formula>0</formula>
    </cfRule>
    <cfRule type="cellIs" priority="3985" operator="lessThan" aboveAverage="0" equalAverage="0" bottom="0" percent="0" rank="0" text="" dxfId="8">
      <formula>0</formula>
    </cfRule>
  </conditionalFormatting>
  <conditionalFormatting sqref="I1002">
    <cfRule type="cellIs" priority="3986" operator="greaterThan" aboveAverage="0" equalAverage="0" bottom="0" percent="0" rank="0" text="" dxfId="7">
      <formula>0</formula>
    </cfRule>
  </conditionalFormatting>
  <conditionalFormatting sqref="K1002">
    <cfRule type="cellIs" priority="3987" operator="greaterThan" aboveAverage="0" equalAverage="0" bottom="0" percent="0" rank="0" text="" dxfId="7">
      <formula>0</formula>
    </cfRule>
  </conditionalFormatting>
  <conditionalFormatting sqref="N1002">
    <cfRule type="cellIs" priority="3988" operator="greaterThan" aboveAverage="0" equalAverage="0" bottom="0" percent="0" rank="0" text="" dxfId="7">
      <formula>0</formula>
    </cfRule>
    <cfRule type="cellIs" priority="3989" operator="lessThan" aboveAverage="0" equalAverage="0" bottom="0" percent="0" rank="0" text="" dxfId="8">
      <formula>0</formula>
    </cfRule>
  </conditionalFormatting>
  <conditionalFormatting sqref="I1003">
    <cfRule type="cellIs" priority="3990" operator="greaterThan" aboveAverage="0" equalAverage="0" bottom="0" percent="0" rank="0" text="" dxfId="7">
      <formula>0</formula>
    </cfRule>
  </conditionalFormatting>
  <conditionalFormatting sqref="K1003">
    <cfRule type="cellIs" priority="3991" operator="greaterThan" aboveAverage="0" equalAverage="0" bottom="0" percent="0" rank="0" text="" dxfId="7">
      <formula>0</formula>
    </cfRule>
  </conditionalFormatting>
  <conditionalFormatting sqref="N1003">
    <cfRule type="cellIs" priority="3992" operator="greaterThan" aboveAverage="0" equalAverage="0" bottom="0" percent="0" rank="0" text="" dxfId="7">
      <formula>0</formula>
    </cfRule>
    <cfRule type="cellIs" priority="3993" operator="lessThan" aboveAverage="0" equalAverage="0" bottom="0" percent="0" rank="0" text="" dxfId="8">
      <formula>0</formula>
    </cfRule>
  </conditionalFormatting>
  <dataValidations count="5">
    <dataValidation allowBlank="true" error="01.01.2000'den sonraki bir tarih girin." errorStyle="stop" errorTitle="Geçersiz tarih" operator="greaterThan" prompt="Çalışanın işe başladığı tarih." promptTitle="İşe Giriş Tarihi" showDropDown="false" showErrorMessage="true" showInputMessage="true" sqref="B6:B1004" type="date">
      <formula1>2000-1-1</formula1>
      <formula2>0</formula2>
    </dataValidation>
    <dataValidation allowBlank="true" error="01.01.2000'den sonraki bir tarih girin." errorStyle="stop" errorTitle="Geçersiz tarih" operator="greaterThan" prompt="Çalışanın işten ayrıldığı tarih." promptTitle="İşten Çıkış Tarihi" showDropDown="false" showErrorMessage="true" showInputMessage="true" sqref="C6:C1004" type="date">
      <formula1>2000-1-1</formula1>
      <formula2>0</formula2>
    </dataValidation>
    <dataValidation allowBlank="true" error="Ücret 0'dan büyük olmalı." errorStyle="stop" errorTitle="Geçersiz ücret" operator="greaterThan" prompt="Aylık veya günlük brüt ücret." promptTitle="Brüt Ücret (₺)" showDropDown="false" showErrorMessage="true" showInputMessage="true" sqref="D6:D1004" type="decimal">
      <formula1>0</formula1>
      <formula2>0</formula2>
    </dataValidation>
    <dataValidation allowBlank="true" error="Aylık veya Günlük olmalı." errorStyle="stop" errorTitle="Geçersiz seçim" operator="between" prompt="Aylık veya Günlük seçin." promptTitle="Ücret Türü" showDropDown="false" showErrorMessage="true" showInputMessage="true" sqref="E6:E1004" type="list">
      <formula1>ListeUcretTuru</formula1>
      <formula2>0</formula2>
    </dataValidation>
    <dataValidation allowBlank="true" error="Gün sayısı 0'dan küçük olamaz." errorStyle="stop" errorTitle="Geçersiz değer" operator="greaterThanOrEqual" prompt="Kullanılmış yıllık izin günü." promptTitle="Kullanılan İzin (Gün)" showDropDown="false" showErrorMessage="true" showInputMessage="true" sqref="M6:M1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52</v>
      </c>
    </row>
    <row r="6" customFormat="false" ht="15" hidden="false" customHeight="false" outlineLevel="0" collapsed="false">
      <c r="A6" s="28" t="s">
        <v>53</v>
      </c>
      <c r="B6" s="29" t="n">
        <f aca="false">IFERROR(COUNT(tblCalisan[Çalışan Adı]),0)</f>
        <v>0</v>
      </c>
    </row>
    <row r="7" customFormat="false" ht="15" hidden="false" customHeight="false" outlineLevel="0" collapsed="false">
      <c r="A7" s="28" t="s">
        <v>54</v>
      </c>
      <c r="B7" s="30" t="n">
        <f aca="false">IFERROR(ROUND(SUM(tblCalisan[Kıdem Tazminatı (₺)]),0),0)</f>
        <v>6005055</v>
      </c>
    </row>
    <row r="8" customFormat="false" ht="15" hidden="false" customHeight="false" outlineLevel="0" collapsed="false">
      <c r="A8" s="28" t="s">
        <v>55</v>
      </c>
      <c r="B8" s="30" t="n">
        <f aca="false">IFERROR(ROUND(SUM(tblCalisan[İhbar Tazminatı (₺)]),0),0)</f>
        <v>724267</v>
      </c>
    </row>
    <row r="9" customFormat="false" ht="15" hidden="false" customHeight="false" outlineLevel="0" collapsed="false">
      <c r="A9" s="28" t="s">
        <v>56</v>
      </c>
      <c r="B9" s="30" t="n">
        <f aca="false">IFERROR(ROUND(SUMPRODUCT(tblCalisan[İzin Hakkı (Gün)],tblCalisan[Günlük Ücret (₺)])-SUMPRODUCT(tblCalisan[Kullanılan İzin (Gün)],tblCalisan[Günlük Ücret (₺)]),0),0)</f>
        <v>162467</v>
      </c>
    </row>
    <row r="10" customFormat="false" ht="15" hidden="false" customHeight="false" outlineLevel="0" collapsed="false">
      <c r="A10" s="31" t="s">
        <v>57</v>
      </c>
      <c r="B10" s="30" t="n">
        <f aca="false">IFERROR(ROUND(SUM(tblCalisan[Toplam Çıkarma Maliyeti (₺)]),0),0)</f>
        <v>6891788</v>
      </c>
    </row>
    <row r="11" customFormat="false" ht="15" hidden="false" customHeight="false" outlineLevel="0" collapsed="false">
      <c r="A11" s="28" t="s">
        <v>58</v>
      </c>
      <c r="B11" s="29" t="n">
        <f aca="false">IFERROR(AVERAGE(tblCalisan[Kıdem Yıl]),0)</f>
        <v>8.375</v>
      </c>
    </row>
    <row r="12" customFormat="false" ht="15" hidden="false" customHeight="false" outlineLevel="0" collapsed="false">
      <c r="A12" s="28" t="s">
        <v>59</v>
      </c>
      <c r="B12" s="30" t="n">
        <f aca="false">IFERROR(AVERAGE(tblCalisan[Günlük Ücret (₺)]),0)</f>
        <v>1616.66666666667</v>
      </c>
    </row>
    <row r="13" customFormat="false" ht="15" hidden="false" customHeight="false" outlineLevel="0" collapsed="false">
      <c r="A13" s="28" t="s">
        <v>60</v>
      </c>
      <c r="B13" s="30" t="n">
        <f aca="false">IFERROR(MAX(tblCalisan[Toplam Çıkarma Maliyeti (₺)]),0)</f>
        <v>1604534.24657534</v>
      </c>
    </row>
    <row r="14" customFormat="false" ht="15" hidden="false" customHeight="false" outlineLevel="0" collapsed="false">
      <c r="A14" s="28" t="s">
        <v>61</v>
      </c>
      <c r="B14" s="32" t="n">
        <f aca="false">IFERROR(IF(ToplamCikarmaMaliyeti=0,0,EnYuksekCalisanMaliyeti/ToplamCikarmaMaliyeti),0)</f>
        <v>0.232818282653985</v>
      </c>
    </row>
    <row r="15" customFormat="false" ht="15" hidden="false" customHeight="false" outlineLevel="0" collapsed="false">
      <c r="A15" s="28" t="s">
        <v>62</v>
      </c>
      <c r="B15" s="29" t="n">
        <f aca="false">IFERROR(AVERAGE(tblCalisan[İhbar Gün]),0)</f>
        <v>56</v>
      </c>
    </row>
    <row r="16" customFormat="false" ht="15" hidden="false" customHeight="false" outlineLevel="0" collapsed="false">
      <c r="A16" s="28" t="s">
        <v>63</v>
      </c>
      <c r="B16" s="30" t="n">
        <f aca="false">IFERROR(ROUND(SUM(tblCalisan[Brüt Ücret (₺)]),0),0)</f>
        <v>286500</v>
      </c>
    </row>
    <row r="17" customFormat="false" ht="15" hidden="false" customHeight="false" outlineLevel="0" collapsed="false">
      <c r="A17" s="28" t="s">
        <v>64</v>
      </c>
      <c r="B17" s="30" t="n">
        <f aca="false">IFERROR(AylikBrutUcretYuku*12,0)</f>
        <v>3438000</v>
      </c>
    </row>
    <row r="18" customFormat="false" ht="15" hidden="false" customHeight="false" outlineLevel="0" collapsed="false">
      <c r="A18" s="28" t="s">
        <v>65</v>
      </c>
      <c r="B18" s="32" t="n">
        <f aca="false">IFERROR(IF(CikarmaButceEsik=0,0,ToplamCikarmaMaliyeti/CikarmaButceEsik),0)</f>
        <v>13.783576</v>
      </c>
    </row>
    <row r="19" customFormat="false" ht="15" hidden="false" customHeight="false" outlineLevel="0" collapsed="false">
      <c r="A19" s="31" t="s">
        <v>66</v>
      </c>
      <c r="B19" s="30" t="n">
        <f aca="false">IFERROR(CikarmaButceEsik-ToplamCikarmaMaliyeti,0)</f>
        <v>-6391788</v>
      </c>
    </row>
    <row r="20" customFormat="false" ht="15" hidden="false" customHeight="false" outlineLevel="0" collapsed="false">
      <c r="A20" s="28" t="s">
        <v>67</v>
      </c>
      <c r="B20" s="29" t="n">
        <f aca="false">SUMPRODUCT(--(tblCalisan[Brüt Ücret (₺)]&lt;&gt;""),--(ABS(tblCalisan[Brüt Ücret (₺)]-IFERROR(AVERAGE(tblCalisan[Brüt Ücret (₺)]),0))&gt;UcretAnomaliZEsik*IFERROR(stdev.p(tblCalisan[Brüt Ücret (₺)]),0)))</f>
        <v>8</v>
      </c>
    </row>
    <row r="21" customFormat="false" ht="15" hidden="false" customHeight="false" outlineLevel="0" collapsed="false">
      <c r="A21" s="28" t="s">
        <v>68</v>
      </c>
      <c r="B21" s="32" t="n">
        <f aca="false">IFERROR(IF(SUMPRODUCT(tblCalisan[İzin Hakkı (Gün)])&gt;0,1-SUMPRODUCT(tblCalisan[Kullanılan İzin (Gün)])/SUMPRODUCT(tblCalisan[İzin Hakkı (Gün)]),0),0)</f>
        <v>0.63125</v>
      </c>
    </row>
    <row r="25" customFormat="false" ht="15" hidden="false" customHeight="false" outlineLevel="0" collapsed="false">
      <c r="A25" s="27" t="s">
        <v>69</v>
      </c>
    </row>
    <row r="26" customFormat="false" ht="15" hidden="false" customHeight="false" outlineLevel="0" collapsed="false">
      <c r="A26" s="28" t="s">
        <v>70</v>
      </c>
      <c r="B26" s="29" t="n">
        <f aca="false">IFERROR(MAX(tblCalisan[İşten Çıkış Tarihi])-MIN(tblCalisan[İşe Giriş Tarihi]),0)</f>
        <v>6147</v>
      </c>
    </row>
    <row r="27" customFormat="false" ht="15" hidden="false" customHeight="false" outlineLevel="0" collapsed="false">
      <c r="A27" s="28" t="s">
        <v>71</v>
      </c>
      <c r="B27" s="30" t="n">
        <f aca="false">IFERROR(SLOPE(tblCalisan[Brüt Ücret (₺)],ROW(tblCalisan[Brüt Ücret (₺)])-ROW(tblCalisan[[#Headers],[Brüt Ücret (₺)]])),0)</f>
        <v>-1498.80952380952</v>
      </c>
    </row>
    <row r="28" customFormat="false" ht="15" hidden="false" customHeight="false" outlineLevel="0" collapsed="false">
      <c r="A28" s="28" t="s">
        <v>72</v>
      </c>
      <c r="B28" s="32" t="n">
        <f aca="false">IFERROR(LARGE(tblCalisan[Toplam Çıkarma Maliyeti (₺)],1)/MAX(1,SUM(tblCalisan[Toplam Çıkarma Maliyeti (₺)])),0)</f>
        <v>0.232818278334827</v>
      </c>
    </row>
    <row r="29" customFormat="false" ht="15" hidden="false" customHeight="false" outlineLevel="0" collapsed="false">
      <c r="A29" s="28" t="s">
        <v>73</v>
      </c>
      <c r="B29" s="30" t="n">
        <f aca="false">IFERROR(CikarmaButceEsik-ToplamCikarmaMaliyeti,0)</f>
        <v>-6391788</v>
      </c>
    </row>
    <row r="30" customFormat="false" ht="15" hidden="false" customHeight="false" outlineLevel="0" collapsed="false">
      <c r="A30" s="28" t="s">
        <v>74</v>
      </c>
      <c r="B30" s="32" t="n">
        <f aca="false">IFERROR(IF(ToplamCikarmaMaliyeti=0,0,ToplamKidem/ToplamCikarmaMaliyeti),0)</f>
        <v>0.871334840827954</v>
      </c>
    </row>
    <row r="31" customFormat="false" ht="15" hidden="false" customHeight="false" outlineLevel="0" collapsed="false">
      <c r="A31" s="28" t="s">
        <v>75</v>
      </c>
      <c r="B31" s="32" t="n">
        <f aca="false">IFERROR(IF(COUNT(tblCalisan[Çalışan Adı])=0,0,AnomaliCalisanAdedi/COUNT(tblCalisan[Çalışan Adı])),0)</f>
        <v>0</v>
      </c>
    </row>
    <row r="32" customFormat="false" ht="15" hidden="false" customHeight="false" outlineLevel="0" collapsed="false">
      <c r="A32" s="28" t="s">
        <v>76</v>
      </c>
      <c r="B32" s="33" t="str">
        <f aca="false">IFERROR(INDEX(SENARYO_DUYARLILIK!$A$13:$A$14,MATCH(MAX(SENARYO_DUYARLILIK!$G$13:$G$14),SENARYO_DUYARLILIK!$G$13:$G$14,0)),"VERİ YOK")</f>
        <v>Ücret Seviyesi</v>
      </c>
    </row>
    <row r="33" customFormat="false" ht="15" hidden="false" customHeight="false" outlineLevel="0" collapsed="false">
      <c r="A33" s="28" t="s">
        <v>77</v>
      </c>
      <c r="B33" s="30" t="n">
        <f aca="false">SENARYO_DUYARLILIK!$D$8</f>
        <v>6891788</v>
      </c>
    </row>
    <row r="34" customFormat="false" ht="15" hidden="false" customHeight="false" outlineLevel="0" collapsed="false">
      <c r="A34" s="28" t="s">
        <v>78</v>
      </c>
      <c r="B34" s="29" t="n">
        <f aca="false">IFERROR(AVERAGE(tblCalisan[Kıdem Gün])/30,0)</f>
        <v>107.279166666667</v>
      </c>
    </row>
    <row r="35" customFormat="false" ht="15" hidden="false" customHeight="false" outlineLevel="0" collapsed="false">
      <c r="A35" s="28" t="s">
        <v>79</v>
      </c>
      <c r="B35" s="34" t="n">
        <f aca="false">IFERROR(SUMPRODUCT((IF(ISNUMBER(tblCalisan[Toplam Çıkarma Maliyeti (₺)]),tblCalisan[Toplam Çıkarma Maliyeti (₺)],0)/MAX(1,SUM(tblCalisan[Toplam Çıkarma Maliyeti (₺)])))^2),0)</f>
        <v>0.146451823262239</v>
      </c>
    </row>
    <row r="36" customFormat="false" ht="15" hidden="false" customHeight="false" outlineLevel="0" collapsed="false">
      <c r="A36" s="28" t="s">
        <v>80</v>
      </c>
      <c r="B36" s="29" t="n">
        <f aca="false">KONTROL!$B$21</f>
        <v>0</v>
      </c>
    </row>
    <row r="37" customFormat="false" ht="15" hidden="false" customHeight="false" outlineLevel="0" collapsed="false">
      <c r="A37" s="28" t="s">
        <v>81</v>
      </c>
      <c r="B37" s="30" t="n">
        <f aca="false">IFERROR(FORECAST(COUNTA(tblCalisan[Çalışan Adı])+1,tblCalisan[Toplam Çıkarma Maliyeti (₺)],ROW(tblCalisan[Toplam Çıkarma Maliyeti (₺)])-ROW(tblCalisan[[#Headers],[Toplam Çıkarma Maliyeti (₺)]])),0)</f>
        <v>939628.848662753</v>
      </c>
    </row>
    <row r="38" customFormat="false" ht="15" hidden="false" customHeight="false" outlineLevel="0" collapsed="false">
      <c r="A38" s="28" t="s">
        <v>82</v>
      </c>
      <c r="B38" s="30" t="n">
        <f aca="false">IFERROR(PERCENTILE(tblCalisan[Toplam Çıkarma Maliyeti (₺)],P90Kuantil),0)</f>
        <v>1269825.57077626</v>
      </c>
    </row>
    <row r="39" customFormat="false" ht="15" hidden="false" customHeight="false" outlineLevel="0" collapsed="false">
      <c r="A39" s="28" t="s">
        <v>83</v>
      </c>
      <c r="B39" s="30" t="n">
        <f aca="false">IFERROR(NPV(IskontoOrani,tblCalisan[Toplam Çıkarma Maliyeti (₺)]),0)</f>
        <v>4547343.78557644</v>
      </c>
    </row>
    <row r="40" customFormat="false" ht="15" hidden="false" customHeight="false" outlineLevel="0" collapsed="false">
      <c r="A40" s="28" t="s">
        <v>84</v>
      </c>
      <c r="B40" s="30" t="n">
        <f aca="false">IFERROR(ABS(ButceFarki)/MAX(0.01,1),0)</f>
        <v>6391788</v>
      </c>
    </row>
    <row r="41" customFormat="false" ht="15" hidden="false" customHeight="false" outlineLevel="0" collapsed="false">
      <c r="A41" s="28" t="s">
        <v>85</v>
      </c>
      <c r="B41" s="30" t="n">
        <f aca="false">IFERROR(MAX(0,ToplamCikarmaMaliyeti),0)</f>
        <v>6891788</v>
      </c>
    </row>
    <row r="42" customFormat="false" ht="15" hidden="false" customHeight="false" outlineLevel="0" collapsed="false">
      <c r="A42" s="28" t="s">
        <v>86</v>
      </c>
      <c r="B42" s="30" t="n">
        <f aca="false">IFERROR(MAX(0,ToplamCikarmaMaliyeti-CikarmaButceEsik),0)</f>
        <v>6391788</v>
      </c>
    </row>
    <row r="44" customFormat="false" ht="15" hidden="false" customHeight="false" outlineLevel="0" collapsed="false">
      <c r="A44" s="27" t="s">
        <v>87</v>
      </c>
    </row>
    <row r="45" customFormat="false" ht="15" hidden="false" customHeight="false" outlineLevel="0" collapsed="false">
      <c r="A45" s="28" t="s">
        <v>88</v>
      </c>
      <c r="B45" s="29" t="n">
        <f aca="false">modulT1CalisanYasOrt</f>
        <v>6147</v>
      </c>
      <c r="C45" s="35" t="str">
        <f aca="false">_xlfn.TEXTJOIN(" | ",TRUE(),"T1: Çalışan kayıtları "&amp;modulT1CalisanYasOrt&amp;" günlük aralığa yayılıyor",IF(modulT1CalisanYasOrt&gt;365,"kadro bir yılı aşıyor, kıdem yükü yükselebilir","kadro tek yıl içinde"))</f>
        <v>T1: Çalışan kayıtları 6147 günlük aralığa yayılıyor | kadro bir yılı aşıyor, kıdem yükü yükselebilir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5" hidden="false" customHeight="false" outlineLevel="0" collapsed="false">
      <c r="A46" s="28" t="s">
        <v>89</v>
      </c>
      <c r="B46" s="30" t="n">
        <f aca="false">modulT2UcretEgim</f>
        <v>-1498.80952380952</v>
      </c>
      <c r="C46" s="35" t="str">
        <f aca="false">_xlfn.TEXTJOIN(" | ",TRUE(),"T2: Ücret eğilimi çalışan başına "&amp;TEXT(modulT2UcretEgim,"#,##0")&amp;" TL değişim",IF(modulT2UcretEgim&gt;0,"ücretler yükselme eğiliminde, yük maliyeti artıyor","ücretler düşme eğiliminde"))</f>
        <v>T2: Ücret eğilimi çalışan başına -1.499 TL değişim | ücretler düşme eğiliminde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5" hidden="false" customHeight="false" outlineLevel="0" collapsed="false">
      <c r="A47" s="28" t="s">
        <v>90</v>
      </c>
      <c r="B47" s="32" t="n">
        <f aca="false">modulT3MaliyetParetoPay</f>
        <v>0.232818278334827</v>
      </c>
      <c r="C47" s="35" t="str">
        <f aca="false">_xlfn.TEXTJOIN(" | ",TRUE(),"T3: En yüksek maliyetli çalışan toplamın "&amp;TEXT(modulT3MaliyetParetoPay*100,"0")&amp;"% tutarında",IF(modulT3MaliyetParetoPay&gt;ParetoEsikOran,"maliyet tek çalışanda yoğun, planlama dikkatli yapılmalı","maliyet çalışanlara dağılmış"))</f>
        <v>T3: En yüksek maliyetli çalışan toplamın 23% tutarında | maliyet çalışanlara dağılmış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5" hidden="false" customHeight="false" outlineLevel="0" collapsed="false">
      <c r="A48" s="28" t="s">
        <v>91</v>
      </c>
      <c r="B48" s="30" t="n">
        <f aca="false">modulT5ButceMutabakat</f>
        <v>-6391788</v>
      </c>
      <c r="C48" s="35" t="str">
        <f aca="false">_xlfn.TEXTJOIN(" | ",TRUE(),"T5: Bütçe - maliyet farkı "&amp;TEXT(modulT5ButceMutabakat,"#,##0")&amp;" TL",IF(modulT5ButceMutabakat&lt;0,"maliyet bütçeyi aşıyor","bütçe içinde"))</f>
        <v>T5: Bütçe - maliyet farkı -6.391.788 TL | maliyet bütçeyi aşıyor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5" hidden="false" customHeight="false" outlineLevel="0" collapsed="false">
      <c r="A49" s="28" t="s">
        <v>92</v>
      </c>
      <c r="B49" s="32" t="n">
        <f aca="false">modulT6KidemPay</f>
        <v>0.871334840827954</v>
      </c>
      <c r="C49" s="35" t="str">
        <f aca="false">_xlfn.TEXTJOIN(" | ",TRUE(),"T6: Kıdem tazminatı toplam maliyetin "&amp;TEXT(modulT6KidemPay*100,"0")&amp;"% tutarında",IF(modulT6KidemPay&gt;0.5,"kıdem yükü baskın, sözleşme ve tavanı gözden geçirin","maliyet dağılımı dengeli"))</f>
        <v>T6: Kıdem tazminatı toplam maliyetin 87% tutarında | kıdem yükü baskın, sözleşme ve tavanı gözden geçirin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5" hidden="false" customHeight="false" outlineLevel="0" collapsed="false">
      <c r="A50" s="28" t="s">
        <v>93</v>
      </c>
      <c r="B50" s="32" t="n">
        <f aca="false">modulO1AnomaliOran</f>
        <v>0</v>
      </c>
      <c r="C50" s="35" t="str">
        <f aca="false">_xlfn.TEXTJOIN(" | ",TRUE(),"O1: Çalışanların "&amp;TEXT(modulO1AnomaliOran*100,"0")&amp;"% ücretinde anomali var",IF(modulO1AnomaliOran&gt;0,"uç ücretli çalışanları bordroyla mutabakat edin","ücret dağılımı tutarlı"))</f>
        <v>O1: Çalışanların 0% ücretinde anomali var | ücret dağılımı tutarlı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5" hidden="false" customHeight="false" outlineLevel="0" collapsed="false">
      <c r="A51" s="28" t="s">
        <v>94</v>
      </c>
      <c r="B51" s="33" t="str">
        <f aca="false">modulO2TornadoZirve</f>
        <v>Ücret Seviyesi</v>
      </c>
      <c r="C51" s="35" t="str">
        <f aca="false">_xlfn.TEXTJOIN(" | ",TRUE(),"O2: Toplam maliyeti en çok etkileyen değişken: "&amp;modulO2TornadoZirve,IF(modulO2TornadoZirve="Ücret Seviyesi","ücret yapısını ve toplu çıkarma planını gözden geçirin","ana değişken netleşti"))</f>
        <v>O2: Toplam maliyeti en çok etkileyen değişken: Ücret Seviyesi | ücret yapısını ve toplu çıkarma planını gözden geçirin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5" hidden="false" customHeight="false" outlineLevel="0" collapsed="false">
      <c r="A52" s="28" t="s">
        <v>95</v>
      </c>
      <c r="B52" s="30" t="n">
        <f aca="false">modulO3SenaryoBazFark</f>
        <v>6891788</v>
      </c>
      <c r="C52" s="35" t="str">
        <f aca="false">_xlfn.TEXTJOIN(" | ",TRUE(),"O3: Senaryo motoru — baz toplam maliyet "&amp;TEXT(modulO3SenaryoBazFark,"#,##0")&amp;" TL",IF(modulO3SenaryoBazFark&gt;CikarmaButceEsik,"baz senaryoda bütçe aşılıyor","senaryo aralığı bütçe içinde"))</f>
        <v>O3: Senaryo motoru — baz toplam maliyet 6.891.788 TL | baz senaryoda bütçe aşılıyor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5" hidden="false" customHeight="false" outlineLevel="0" collapsed="false">
      <c r="A53" s="28" t="s">
        <v>96</v>
      </c>
      <c r="B53" s="29" t="n">
        <f aca="false">modulO4OrtalamaKidemAy</f>
        <v>107.279166666667</v>
      </c>
      <c r="C53" s="35" t="str">
        <f aca="false">_xlfn.TEXTJOIN(" | ",TRUE(),"O4: Ortalama kıdem "&amp;modulO4OrtalamaKidemAy&amp;" ay",IF(modulO4OrtalamaKidemAy&gt;KidemYilEsik*12,"kıdem yükü eşik üstünde, çıkarma maliyeti yüksek","kıdem yükü eşik içinde"))</f>
        <v>O4: Ortalama kıdem 107,279166666667 ay | kıdem yükü eşik içinde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5" hidden="false" customHeight="false" outlineLevel="0" collapsed="false">
      <c r="A54" s="28" t="s">
        <v>97</v>
      </c>
      <c r="B54" s="34" t="n">
        <f aca="false">modulO6MaliyetHhi</f>
        <v>0.146451823262239</v>
      </c>
      <c r="C54" s="35" t="str">
        <f aca="false">_xlfn.TEXTJOIN(" | ",TRUE(),"O6: Maliyet yoğunlaşma endeksi "&amp;TEXT(modulO6MaliyetHhi,"0,00")&amp;" (HHI)",IF(modulO6MaliyetHhi&gt;0.5,"maliyet tek çalışanda yoğun, risk izlenmeli","yoğunlaşma dağılmış"))</f>
        <v>O6: Maliyet yoğunlaşma endeksi 0,15 (HHI) | yoğunlaşma dağılmış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5" hidden="false" customHeight="false" outlineLevel="0" collapsed="false">
      <c r="A55" s="28" t="s">
        <v>98</v>
      </c>
      <c r="B55" s="29" t="n">
        <f aca="false">modulO8KaliteSkoru</f>
        <v>0</v>
      </c>
      <c r="C55" s="35" t="str">
        <f aca="false">_xlfn.TEXTJOIN(" | ",TRUE(),"O8: Veri kalitesi "&amp;modulO8KaliteSkoru&amp;"/100",IF(modulO8KaliteSkoru&lt;VeriKaliteOrtaEsik,"girişler eksik, karar güvenilir değil","giriş kalitesi karar için yeterli"))</f>
        <v>O8: Veri kalitesi 0/100 | girişler eksik, karar güvenilir değil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5" hidden="false" customHeight="false" outlineLevel="0" collapsed="false">
      <c r="A56" s="28" t="s">
        <v>99</v>
      </c>
      <c r="B56" s="30" t="n">
        <f aca="false">modulI1TahminOrta</f>
        <v>939628.848662753</v>
      </c>
      <c r="C56" s="35" t="str">
        <f aca="false">_xlfn.TEXTJOIN(" | ",TRUE(),"I1: Tahmin — sonraki çalışan maliyeti "&amp;TEXT(modulI1TahminOrta,"#,##0")&amp;" TL öngörülüyor",IF(modulI1TahminOrta&gt;MAX(tblCalisan[Toplam Çıkarma Maliyeti (₺)]),"tahmin mevcut maliyetlerin üzerinde","tahmin mevcut seviyeye yakın"))</f>
        <v>I1: Tahmin — sonraki çalışan maliyeti 939.629 TL öngörülüyor | tahmin mevcut seviyeye yakın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5" hidden="false" customHeight="false" outlineLevel="0" collapsed="false">
      <c r="A57" s="28" t="s">
        <v>100</v>
      </c>
      <c r="B57" s="30" t="n">
        <f aca="false">modulI2MaliyetP90</f>
        <v>1269825.57077626</v>
      </c>
      <c r="C57" s="35" t="str">
        <f aca="false">_xlfn.TEXTJOIN(" | ",TRUE(),"I2: Dağılım — çalışan maliyetlerinin %90'ı "&amp;TEXT(modulI2MaliyetP90,"#,##0")&amp;" TL değerinin altında",IF(modulI2MaliyetP90&gt;0,"yüksek maliyetli çalışanlar var","maliyet dağılımı dengeli"))</f>
        <v>I2: Dağılım — çalışan maliyetlerinin %90'ı 1.269.826 TL değerinin altında | yüksek maliyetli çalışanlar var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5" hidden="false" customHeight="false" outlineLevel="0" collapsed="false">
      <c r="A58" s="28" t="s">
        <v>101</v>
      </c>
      <c r="B58" s="30" t="n">
        <f aca="false">modulI3MaliyetNpv</f>
        <v>4547343.78557644</v>
      </c>
      <c r="C58" s="35" t="str">
        <f aca="false">_xlfn.TEXTJOIN(" | ",TRUE(),"I3: İskonto edilmiş maliyet yükü "&amp;TEXT(modulI3MaliyetNpv,"#,##0")&amp;" TL",IF(modulI3MaliyetNpv&lt;0,"maliyet yükü zamanla değer kaybediyor","maliyet yükü pozitif bugünkü değer üretiyor"))</f>
        <v>I3: İskonto edilmiş maliyet yükü 4.547.344 TL | maliyet yükü pozitif bugünkü değer üretiyor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5" hidden="false" customHeight="false" outlineLevel="0" collapsed="false">
      <c r="A59" s="28" t="s">
        <v>102</v>
      </c>
      <c r="B59" s="30" t="n">
        <f aca="false">modulI7ButceAcikKopru</f>
        <v>6391788</v>
      </c>
      <c r="C59" s="35" t="str">
        <f aca="false">_xlfn.TEXTJOIN(" | ",TRUE(),"I7: Bütçe açığı için gereken ek kaynak "&amp;TEXT(modulI7ButceAcikKopru,"#,##0")&amp;" TL",IF(modulI7ButceAcikKopru&gt;0,"bütçe revizyonunu veya ödeme planını değerlendirin","bütçe köprüsüne gerek yok"))</f>
        <v>I7: Bütçe açığı için gereken ek kaynak 6.391.788 TL | bütçe revizyonunu veya ödeme planını değerlendirin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1" customFormat="false" ht="19.5" hidden="false" customHeight="true" outlineLevel="0" collapsed="false">
      <c r="A61" s="11" t="s">
        <v>103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</sheetData>
  <sheetProtection sheet="true" password="cc3d" objects="true" scenarios="true" deleteColumns="false" deleteRows="false"/>
  <mergeCells count="17">
    <mergeCell ref="A1:AD1"/>
    <mergeCell ref="C45:Z45"/>
    <mergeCell ref="C46:Z46"/>
    <mergeCell ref="C47:Z47"/>
    <mergeCell ref="C48:Z48"/>
    <mergeCell ref="C49:Z49"/>
    <mergeCell ref="C50:Z50"/>
    <mergeCell ref="C51:Z51"/>
    <mergeCell ref="C52:Z52"/>
    <mergeCell ref="C53:Z53"/>
    <mergeCell ref="C54:Z54"/>
    <mergeCell ref="C55:Z55"/>
    <mergeCell ref="C56:Z56"/>
    <mergeCell ref="C57:Z57"/>
    <mergeCell ref="C58:Z58"/>
    <mergeCell ref="C59:Z59"/>
    <mergeCell ref="A61:AN61"/>
  </mergeCells>
  <conditionalFormatting sqref="B10">
    <cfRule type="cellIs" priority="2" operator="greaterThan" aboveAverage="0" equalAverage="0" bottom="0" percent="0" rank="0" text="" dxfId="8">
      <formula>CikarmaButceEsik</formula>
    </cfRule>
    <cfRule type="cellIs" priority="3" operator="lessThanOrEqual" aboveAverage="0" equalAverage="0" bottom="0" percent="0" rank="0" text="" dxfId="7">
      <formula>CikarmaButceEsik</formula>
    </cfRule>
  </conditionalFormatting>
  <conditionalFormatting sqref="B18">
    <cfRule type="cellIs" priority="4" operator="greaterThan" aboveAverage="0" equalAverage="0" bottom="0" percent="0" rank="0" text="" dxfId="9">
      <formula>ButceKullanimEsik</formula>
    </cfRule>
  </conditionalFormatting>
  <conditionalFormatting sqref="B11">
    <cfRule type="cellIs" priority="5" operator="greaterThan" aboveAverage="0" equalAverage="0" bottom="0" percent="0" rank="0" text="" dxfId="9">
      <formula>KidemYilEsik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2" t="s">
        <v>104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105</v>
      </c>
    </row>
    <row r="5" customFormat="false" ht="15" hidden="false" customHeight="false" outlineLevel="0" collapsed="false">
      <c r="A5" s="36" t="s">
        <v>106</v>
      </c>
    </row>
    <row r="7" customFormat="false" ht="15" hidden="false" customHeight="false" outlineLevel="0" collapsed="false">
      <c r="A7" s="37" t="s">
        <v>107</v>
      </c>
      <c r="B7" s="38" t="str">
        <f aca="false">IF(COUNTIF(tblCalisan[Çalışan Adı],"")&gt;0,"FAIL","PASS")</f>
        <v>FAIL</v>
      </c>
    </row>
    <row r="8" customFormat="false" ht="15" hidden="false" customHeight="false" outlineLevel="0" collapsed="false">
      <c r="A8" s="37" t="s">
        <v>108</v>
      </c>
      <c r="B8" s="38" t="str">
        <f aca="false">IF(COUNTBLANK(tblCalisan[İşe Giriş Tarihi])&gt;0,"FAIL","PASS")</f>
        <v>FAIL</v>
      </c>
    </row>
    <row r="9" customFormat="false" ht="15" hidden="false" customHeight="false" outlineLevel="0" collapsed="false">
      <c r="A9" s="37" t="s">
        <v>109</v>
      </c>
      <c r="B9" s="38" t="str">
        <f aca="false">IF(SUMPRODUCT(--(tblCalisan[Brüt Ücret (₺)]=""))+SUMPRODUCT(--(tblCalisan[Brüt Ücret (₺)]&lt;=0))&gt;0,"FAIL","PASS")</f>
        <v>FAIL</v>
      </c>
    </row>
    <row r="10" customFormat="false" ht="15" hidden="false" customHeight="false" outlineLevel="0" collapsed="false">
      <c r="A10" s="37" t="s">
        <v>110</v>
      </c>
      <c r="B10" s="38" t="str">
        <f aca="false">IF(COUNTIF(tblCalisan[İşten Çıkış Tarihi],"")&gt;0,"WARN","PASS")</f>
        <v>WARN</v>
      </c>
    </row>
    <row r="11" customFormat="false" ht="15" hidden="false" customHeight="false" outlineLevel="0" collapsed="false">
      <c r="A11" s="37" t="s">
        <v>111</v>
      </c>
      <c r="B11" s="38" t="str">
        <f aca="false">IF(COUNT(tblCalisan[Brüt Ücret (₺)])=0,"FAIL","PASS")</f>
        <v>PASS</v>
      </c>
    </row>
    <row r="12" customFormat="false" ht="15" hidden="false" customHeight="false" outlineLevel="0" collapsed="false">
      <c r="A12" s="37" t="s">
        <v>112</v>
      </c>
      <c r="B12" s="38" t="str">
        <f aca="false">IF(ToplamCikarmaMaliyeti&gt;CikarmaButceEsik,"WARN","PASS")</f>
        <v>WARN</v>
      </c>
    </row>
    <row r="13" customFormat="false" ht="15" hidden="false" customHeight="false" outlineLevel="0" collapsed="false">
      <c r="A13" s="37" t="s">
        <v>113</v>
      </c>
      <c r="B13" s="38" t="str">
        <f aca="false">IF(OrtalamaKidemYil&gt;KidemYilEsik,"WARN","PASS")</f>
        <v>PASS</v>
      </c>
    </row>
    <row r="14" customFormat="false" ht="15" hidden="false" customHeight="false" outlineLevel="0" collapsed="false">
      <c r="A14" s="37" t="s">
        <v>114</v>
      </c>
      <c r="B14" s="38" t="str">
        <f aca="false">IF(AnomaliCalisanAdedi&gt;0,"WARN","PASS")</f>
        <v>WARN</v>
      </c>
    </row>
    <row r="15" customFormat="false" ht="15" hidden="false" customHeight="false" outlineLevel="0" collapsed="false">
      <c r="A15" s="37" t="s">
        <v>115</v>
      </c>
      <c r="B15" s="38" t="str">
        <f aca="false">IF(SUMPRODUCT(tblCalisan[İzin Hakkı (Gün)])&gt;SUMPRODUCT(tblCalisan[Kullanılan İzin (Gün)]),"WARN","PASS")</f>
        <v>WARN</v>
      </c>
    </row>
    <row r="16" customFormat="false" ht="15" hidden="false" customHeight="false" outlineLevel="0" collapsed="false">
      <c r="A16" s="37" t="s">
        <v>116</v>
      </c>
      <c r="B16" s="38" t="str">
        <f aca="false">IF(MAX(tblCalisan[Günlük Ücret (₺)])*UcretGunSayisi&gt;KidemTavan,"WARN","PASS")</f>
        <v>WARN</v>
      </c>
    </row>
    <row r="18" customFormat="false" ht="15" hidden="false" customHeight="false" outlineLevel="0" collapsed="false">
      <c r="A18" s="36" t="s">
        <v>117</v>
      </c>
    </row>
    <row r="19" customFormat="false" ht="15" hidden="false" customHeight="false" outlineLevel="0" collapsed="false">
      <c r="A19" s="37" t="s">
        <v>118</v>
      </c>
      <c r="B19" s="39" t="n">
        <f aca="false">COUNTIF(B7:B16,"PASS")</f>
        <v>2</v>
      </c>
    </row>
    <row r="20" customFormat="false" ht="15" hidden="false" customHeight="false" outlineLevel="0" collapsed="false">
      <c r="A20" s="37" t="s">
        <v>119</v>
      </c>
      <c r="B20" s="39" t="n">
        <f aca="false">COUNTIF(B7:B16,"FAIL")</f>
        <v>3</v>
      </c>
    </row>
    <row r="21" customFormat="false" ht="15" hidden="false" customHeight="false" outlineLevel="0" collapsed="false">
      <c r="A21" s="40" t="s">
        <v>120</v>
      </c>
      <c r="B21" s="41" t="n">
        <f aca="false">IF(COUNTIF(B7:B16,"FAIL")=0,ROUND(100-COUNTIF(B7:B16,"WARN")*VeriKaliteUyariCeza,0),0)</f>
        <v>0</v>
      </c>
    </row>
    <row r="22" customFormat="false" ht="15" hidden="false" customHeight="false" outlineLevel="0" collapsed="false">
      <c r="A22" s="37" t="s">
        <v>121</v>
      </c>
      <c r="B22" s="40" t="str">
        <f aca="false">IF(VeriKaliteSkoru=0,"VERİ YOK",IF(VeriKaliteSkoru&gt;=VeriKaliteIyiEsik,"YÜKSEK",IF(VeriKaliteSkoru&gt;=VeriKaliteOrtaEsik,"ORTA","DÜŞÜK")))</f>
        <v>VERİ YOK</v>
      </c>
    </row>
    <row r="24" customFormat="false" ht="15" hidden="false" customHeight="false" outlineLevel="0" collapsed="false">
      <c r="A24" s="37" t="s">
        <v>122</v>
      </c>
      <c r="B24" s="40" t="str">
        <f aca="false">IF(FAIL_Sayisi=0,"SAĞLIKLI","İNCELE")</f>
        <v>İNCELE</v>
      </c>
    </row>
    <row r="26" customFormat="false" ht="19.5" hidden="false" customHeight="true" outlineLevel="0" collapsed="false">
      <c r="A26" s="11" t="s">
        <v>123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2">
    <mergeCell ref="A1:AD1"/>
    <mergeCell ref="A26:AN26"/>
  </mergeCells>
  <conditionalFormatting sqref="B7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9">
      <formula>"WARN"</formula>
    </cfRule>
    <cfRule type="cellIs" priority="4" operator="equal" aboveAverage="0" equalAverage="0" bottom="0" percent="0" rank="0" text="" dxfId="7">
      <formula>"PASS"</formula>
    </cfRule>
  </conditionalFormatting>
  <conditionalFormatting sqref="B8">
    <cfRule type="cellIs" priority="5" operator="equal" aboveAverage="0" equalAverage="0" bottom="0" percent="0" rank="0" text="" dxfId="8">
      <formula>"FAIL"</formula>
    </cfRule>
    <cfRule type="cellIs" priority="6" operator="equal" aboveAverage="0" equalAverage="0" bottom="0" percent="0" rank="0" text="" dxfId="9">
      <formula>"WARN"</formula>
    </cfRule>
    <cfRule type="cellIs" priority="7" operator="equal" aboveAverage="0" equalAverage="0" bottom="0" percent="0" rank="0" text="" dxfId="7">
      <formula>"PASS"</formula>
    </cfRule>
  </conditionalFormatting>
  <conditionalFormatting sqref="B9">
    <cfRule type="cellIs" priority="8" operator="equal" aboveAverage="0" equalAverage="0" bottom="0" percent="0" rank="0" text="" dxfId="8">
      <formula>"FAIL"</formula>
    </cfRule>
    <cfRule type="cellIs" priority="9" operator="equal" aboveAverage="0" equalAverage="0" bottom="0" percent="0" rank="0" text="" dxfId="9">
      <formula>"WARN"</formula>
    </cfRule>
    <cfRule type="cellIs" priority="10" operator="equal" aboveAverage="0" equalAverage="0" bottom="0" percent="0" rank="0" text="" dxfId="7">
      <formula>"PASS"</formula>
    </cfRule>
  </conditionalFormatting>
  <conditionalFormatting sqref="B10">
    <cfRule type="cellIs" priority="11" operator="equal" aboveAverage="0" equalAverage="0" bottom="0" percent="0" rank="0" text="" dxfId="8">
      <formula>"FAIL"</formula>
    </cfRule>
    <cfRule type="cellIs" priority="12" operator="equal" aboveAverage="0" equalAverage="0" bottom="0" percent="0" rank="0" text="" dxfId="9">
      <formula>"WARN"</formula>
    </cfRule>
    <cfRule type="cellIs" priority="13" operator="equal" aboveAverage="0" equalAverage="0" bottom="0" percent="0" rank="0" text="" dxfId="7">
      <formula>"PASS"</formula>
    </cfRule>
  </conditionalFormatting>
  <conditionalFormatting sqref="B11">
    <cfRule type="cellIs" priority="14" operator="equal" aboveAverage="0" equalAverage="0" bottom="0" percent="0" rank="0" text="" dxfId="8">
      <formula>"FAIL"</formula>
    </cfRule>
    <cfRule type="cellIs" priority="15" operator="equal" aboveAverage="0" equalAverage="0" bottom="0" percent="0" rank="0" text="" dxfId="9">
      <formula>"WARN"</formula>
    </cfRule>
    <cfRule type="cellIs" priority="16" operator="equal" aboveAverage="0" equalAverage="0" bottom="0" percent="0" rank="0" text="" dxfId="7">
      <formula>"PASS"</formula>
    </cfRule>
  </conditionalFormatting>
  <conditionalFormatting sqref="B12">
    <cfRule type="cellIs" priority="17" operator="equal" aboveAverage="0" equalAverage="0" bottom="0" percent="0" rank="0" text="" dxfId="8">
      <formula>"FAIL"</formula>
    </cfRule>
    <cfRule type="cellIs" priority="18" operator="equal" aboveAverage="0" equalAverage="0" bottom="0" percent="0" rank="0" text="" dxfId="9">
      <formula>"WARN"</formula>
    </cfRule>
    <cfRule type="cellIs" priority="19" operator="equal" aboveAverage="0" equalAverage="0" bottom="0" percent="0" rank="0" text="" dxfId="7">
      <formula>"PASS"</formula>
    </cfRule>
  </conditionalFormatting>
  <conditionalFormatting sqref="B13">
    <cfRule type="cellIs" priority="20" operator="equal" aboveAverage="0" equalAverage="0" bottom="0" percent="0" rank="0" text="" dxfId="8">
      <formula>"FAIL"</formula>
    </cfRule>
    <cfRule type="cellIs" priority="21" operator="equal" aboveAverage="0" equalAverage="0" bottom="0" percent="0" rank="0" text="" dxfId="9">
      <formula>"WARN"</formula>
    </cfRule>
    <cfRule type="cellIs" priority="22" operator="equal" aboveAverage="0" equalAverage="0" bottom="0" percent="0" rank="0" text="" dxfId="7">
      <formula>"PASS"</formula>
    </cfRule>
  </conditionalFormatting>
  <conditionalFormatting sqref="B14">
    <cfRule type="cellIs" priority="23" operator="equal" aboveAverage="0" equalAverage="0" bottom="0" percent="0" rank="0" text="" dxfId="8">
      <formula>"FAIL"</formula>
    </cfRule>
    <cfRule type="cellIs" priority="24" operator="equal" aboveAverage="0" equalAverage="0" bottom="0" percent="0" rank="0" text="" dxfId="9">
      <formula>"WARN"</formula>
    </cfRule>
    <cfRule type="cellIs" priority="25" operator="equal" aboveAverage="0" equalAverage="0" bottom="0" percent="0" rank="0" text="" dxfId="7">
      <formula>"PASS"</formula>
    </cfRule>
  </conditionalFormatting>
  <conditionalFormatting sqref="B15">
    <cfRule type="cellIs" priority="26" operator="equal" aboveAverage="0" equalAverage="0" bottom="0" percent="0" rank="0" text="" dxfId="8">
      <formula>"FAIL"</formula>
    </cfRule>
    <cfRule type="cellIs" priority="27" operator="equal" aboveAverage="0" equalAverage="0" bottom="0" percent="0" rank="0" text="" dxfId="9">
      <formula>"WARN"</formula>
    </cfRule>
    <cfRule type="cellIs" priority="28" operator="equal" aboveAverage="0" equalAverage="0" bottom="0" percent="0" rank="0" text="" dxfId="7">
      <formula>"PASS"</formula>
    </cfRule>
  </conditionalFormatting>
  <conditionalFormatting sqref="B16">
    <cfRule type="cellIs" priority="29" operator="equal" aboveAverage="0" equalAverage="0" bottom="0" percent="0" rank="0" text="" dxfId="8">
      <formula>"FAIL"</formula>
    </cfRule>
    <cfRule type="cellIs" priority="30" operator="equal" aboveAverage="0" equalAverage="0" bottom="0" percent="0" rank="0" text="" dxfId="9">
      <formula>"WARN"</formula>
    </cfRule>
    <cfRule type="cellIs" priority="31" operator="equal" aboveAverage="0" equalAverage="0" bottom="0" percent="0" rank="0" text="" dxfId="7">
      <formula>"PASS"</formula>
    </cfRule>
  </conditionalFormatting>
  <conditionalFormatting sqref="B21">
    <cfRule type="cellIs" priority="32" operator="greaterThanOrEqual" aboveAverage="0" equalAverage="0" bottom="0" percent="0" rank="0" text="" dxfId="7">
      <formula>90</formula>
    </cfRule>
    <cfRule type="cellIs" priority="33" operator="lessThan" aboveAverage="0" equalAverage="0" bottom="0" percent="0" rank="0" text="" dxfId="8">
      <formula>70</formula>
    </cfRule>
  </conditionalFormatting>
  <conditionalFormatting sqref="B24">
    <cfRule type="cellIs" priority="34" operator="equal" aboveAverage="0" equalAverage="0" bottom="0" percent="0" rank="0" text="" dxfId="7">
      <formula>"SAĞLIKLI"</formula>
    </cfRule>
    <cfRule type="cellIs" priority="35" operator="equal" aboveAverage="0" equalAverage="0" bottom="0" percent="0" rank="0" text="" dxfId="9">
      <formula>"İNCELE"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125</v>
      </c>
    </row>
    <row r="5" customFormat="false" ht="15" hidden="false" customHeight="false" outlineLevel="0" collapsed="false">
      <c r="A5" s="36" t="s">
        <v>126</v>
      </c>
    </row>
    <row r="6" customFormat="false" ht="15" hidden="false" customHeight="false" outlineLevel="0" collapsed="false">
      <c r="A6" s="40" t="s">
        <v>57</v>
      </c>
      <c r="B6" s="30" t="n">
        <f aca="false">ToplamCikarmaMaliyeti</f>
        <v>6891788</v>
      </c>
    </row>
    <row r="7" customFormat="false" ht="15" hidden="false" customHeight="false" outlineLevel="0" collapsed="false">
      <c r="A7" s="40" t="s">
        <v>127</v>
      </c>
      <c r="B7" s="30" t="n">
        <f aca="false">IFERROR(ButceFarki+ToplamCikarmaMaliyeti,CikarmaButceEsik)</f>
        <v>500000</v>
      </c>
    </row>
    <row r="8" customFormat="false" ht="15" hidden="false" customHeight="false" outlineLevel="0" collapsed="false">
      <c r="A8" s="40" t="s">
        <v>128</v>
      </c>
      <c r="B8" s="32" t="n">
        <f aca="false">ButceKullanimOrani</f>
        <v>13.783576</v>
      </c>
    </row>
    <row r="9" customFormat="false" ht="15" hidden="false" customHeight="false" outlineLevel="0" collapsed="false">
      <c r="A9" s="40" t="s">
        <v>58</v>
      </c>
      <c r="B9" s="29" t="n">
        <f aca="false">OrtalamaKidemYil</f>
        <v>8.375</v>
      </c>
    </row>
    <row r="11" customFormat="false" ht="19.4" hidden="false" customHeight="false" outlineLevel="0" collapsed="false">
      <c r="A11" s="27" t="s">
        <v>129</v>
      </c>
      <c r="B11" s="42" t="str">
        <f aca="false">IF(VeriKaliteSkoru=0,"VERİ YOK",IF(OR(ToplamCikarmaMaliyeti&lt;0,AnomaliCalisanAdedi&lt;0),"DURDUR",IF(ToplamCikarmaMaliyeti&gt;CikarmaButceEsik,"DURDUR",IF(ButceKullanimOrani&gt;ButceKullanimEsik,"İNCELE",IF(OrtalamaKidemYil&gt;KidemYilEsik,"İNCELE","UYGUN")))))</f>
        <v>VERİ YOK</v>
      </c>
    </row>
    <row r="12" customFormat="false" ht="28.35" hidden="false" customHeight="false" outlineLevel="0" collapsed="false">
      <c r="A12" s="40" t="s">
        <v>130</v>
      </c>
      <c r="B12" s="43" t="str">
        <f aca="false">IF(VeriKaliteSkoru=0,"Girdi eksik; lütfen sarı hücreleri doldurun.",IF(ToplamCikarmaMaliyeti&lt;0,"Çıkarma maliyeti negatif: ücret kayıtlarını kontrol edin.",IF(ToplamCikarmaMaliyeti&gt;CikarmaButceEsik,"Toplam maliyet "&amp;TEXT(ToplamCikarmaMaliyeti,"#,##0")&amp;" ₺ bütçeyi aşıyor; planı revize edin.",IF(ButceKullanimOrani&gt;ButceKullanimEsik,"Bütçenin "&amp;TEXT(ButceKullanimOrani,"0.0%")&amp;" kullanılıyor; kaynak planına ihtiyaç var.",IF(OrtalamaKidemYil&gt;KidemYilEsik,"Ortalama kıdem "&amp;TEXT(OrtalamaKidemYil,"0")&amp;" yıl eşik üstünde; kıdem yükü yüksek.","Kıdem, ihbar ve izin yükü bütçe ve eşikler içinde kabul edilebilir.")))))</f>
        <v>Girdi eksik; lütfen sarı hücreleri doldurun.</v>
      </c>
    </row>
    <row r="14" customFormat="false" ht="15" hidden="false" customHeight="false" outlineLevel="0" collapsed="false">
      <c r="A14" s="36" t="s">
        <v>131</v>
      </c>
    </row>
    <row r="15" customFormat="false" ht="15" hidden="false" customHeight="false" outlineLevel="0" collapsed="false">
      <c r="A15" s="44" t="str">
        <f aca="false">IF(OR(KararSonuc="VERİ YOK",KararSonuc="DURDUR"),"Çalışan ücret ve tarih kayıtlarını bordroyla mutabakat edin; tavanı ve bütçeyi yeniden değerlendirin",IF(ButceKullanimOrani&gt;ButceKullanimEsik,"Çıkarma planını dönemlere yayın ve bütçeyi revize edin","Çıkarma planını ve ödeme takvimini bütçeye işleyin"))</f>
        <v>Çalışan ücret ve tarih kayıtlarını bordroyla mutabakat edin; tavanı ve bütçeyi yeniden değerlendirin</v>
      </c>
      <c r="B15" s="44"/>
      <c r="C15" s="44"/>
    </row>
    <row r="16" customFormat="false" ht="15" hidden="false" customHeight="false" outlineLevel="0" collapsed="false">
      <c r="A16" s="44" t="str">
        <f aca="false">IF(OrtalamaKidemYil&gt;KidemYilEsik,"Kıdem yükü yüksek çalışanlar için tavan ve sözleşme koşullarını teyit edin","Kıdem yükü kabul edilebilir seviyede")</f>
        <v>Kıdem yükü kabul edilebilir seviyede</v>
      </c>
      <c r="B16" s="44"/>
      <c r="C16" s="44"/>
    </row>
    <row r="17" customFormat="false" ht="15" hidden="false" customHeight="false" outlineLevel="0" collapsed="false">
      <c r="A17" s="44" t="str">
        <f aca="false">IF(AnomaliCalisanAdedi&gt;0,"Anomali ücretli çalışanların bordro ve sözleşmelerini inceleyin","Ücret dağılımı tutarlı")</f>
        <v>Anomali ücretli çalışanların bordro ve sözleşmelerini inceleyin</v>
      </c>
      <c r="B17" s="44"/>
      <c r="C17" s="44"/>
    </row>
    <row r="18" customFormat="false" ht="15" hidden="false" customHeight="false" outlineLevel="0" collapsed="false">
      <c r="A18" s="44" t="str">
        <f aca="false">IF(ButceFarki&lt;0,"Bütçe açığı "&amp;TEXT(ABS(ButceFarki),"#,##0")&amp;" ₺; kaynak planını güçlendirin","Bütçe farkı pozitif; planlama sürdürülebilir")</f>
        <v>Bütçe açığı 6.391.788 ₺; kaynak planını güçlendirin</v>
      </c>
      <c r="B18" s="44"/>
      <c r="C18" s="44"/>
    </row>
    <row r="21" customFormat="false" ht="19.5" hidden="false" customHeight="true" outlineLevel="0" collapsed="false">
      <c r="A21" s="11" t="s">
        <v>132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  <cfRule type="cellIs" priority="5" operator="equal" aboveAverage="0" equalAverage="0" bottom="0" percent="0" rank="0" text="" dxfId="13">
      <formula>"VERİ YOK"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45" t="s">
        <v>134</v>
      </c>
    </row>
    <row r="5" customFormat="false" ht="15" hidden="false" customHeight="false" outlineLevel="0" collapsed="false">
      <c r="A5" s="46" t="s">
        <v>135</v>
      </c>
      <c r="B5" s="46"/>
      <c r="D5" s="47" t="s">
        <v>136</v>
      </c>
      <c r="E5" s="47"/>
      <c r="G5" s="48" t="s">
        <v>137</v>
      </c>
      <c r="H5" s="48"/>
      <c r="J5" s="49" t="s">
        <v>129</v>
      </c>
      <c r="K5" s="49"/>
    </row>
    <row r="6" customFormat="false" ht="16.15" hidden="false" customHeight="false" outlineLevel="0" collapsed="false">
      <c r="A6" s="50" t="n">
        <f aca="false">ToplamCikarmaMaliyeti</f>
        <v>6891788</v>
      </c>
      <c r="B6" s="50"/>
      <c r="D6" s="51" t="n">
        <f aca="false">ButceKullanimOrani</f>
        <v>13.783576</v>
      </c>
      <c r="E6" s="51"/>
      <c r="G6" s="52" t="n">
        <f aca="false">OrtalamaKidemYil</f>
        <v>8.375</v>
      </c>
      <c r="H6" s="52"/>
      <c r="J6" s="53" t="str">
        <f aca="false">KararSonuc</f>
        <v>VERİ YOK</v>
      </c>
      <c r="K6" s="53"/>
    </row>
    <row r="8" customFormat="false" ht="15" hidden="false" customHeight="false" outlineLevel="0" collapsed="false">
      <c r="A8" s="31" t="s">
        <v>54</v>
      </c>
      <c r="B8" s="30" t="n">
        <f aca="false">ToplamKidem</f>
        <v>6005055</v>
      </c>
    </row>
    <row r="9" customFormat="false" ht="15" hidden="false" customHeight="false" outlineLevel="0" collapsed="false">
      <c r="A9" s="31" t="s">
        <v>55</v>
      </c>
      <c r="B9" s="30" t="n">
        <f aca="false">ToplamIhbar</f>
        <v>724267</v>
      </c>
    </row>
    <row r="10" customFormat="false" ht="15" hidden="false" customHeight="false" outlineLevel="0" collapsed="false">
      <c r="A10" s="31" t="s">
        <v>56</v>
      </c>
      <c r="B10" s="30" t="n">
        <f aca="false">ToplamIzinUcreti</f>
        <v>162467</v>
      </c>
    </row>
    <row r="11" customFormat="false" ht="15" hidden="false" customHeight="false" outlineLevel="0" collapsed="false">
      <c r="A11" s="31" t="s">
        <v>138</v>
      </c>
      <c r="B11" s="29" t="n">
        <f aca="false">ToplamCalisanSayisi</f>
        <v>0</v>
      </c>
    </row>
    <row r="12" customFormat="false" ht="15" hidden="false" customHeight="false" outlineLevel="0" collapsed="false">
      <c r="A12" s="31" t="s">
        <v>67</v>
      </c>
      <c r="B12" s="29" t="n">
        <f aca="false">AnomaliCalisanAdedi</f>
        <v>8</v>
      </c>
    </row>
    <row r="13" customFormat="false" ht="15" hidden="false" customHeight="false" outlineLevel="0" collapsed="false">
      <c r="A13" s="31" t="s">
        <v>139</v>
      </c>
      <c r="B13" s="29" t="n">
        <f aca="false">VeriKaliteSkoru</f>
        <v>0</v>
      </c>
    </row>
    <row r="15" customFormat="false" ht="15" hidden="false" customHeight="false" outlineLevel="0" collapsed="false">
      <c r="A15" s="36" t="s">
        <v>140</v>
      </c>
    </row>
    <row r="16" customFormat="false" ht="15" hidden="false" customHeight="false" outlineLevel="0" collapsed="false">
      <c r="A16" s="44" t="str">
        <f aca="false">"Toplam çıkarma maliyeti "&amp;TEXT(ToplamCikarmaMaliyeti,"#,##0")&amp;" ₺; bütçe kullanımı %"&amp;TEXT(ButceKullanimOrani,"0.0%")&amp;"."</f>
        <v>Toplam çıkarma maliyeti 6.891.788 ₺; bütçe kullanımı %1.378%.</v>
      </c>
      <c r="B16" s="44"/>
      <c r="C16" s="44"/>
      <c r="D16" s="44"/>
      <c r="E16" s="44"/>
      <c r="F16" s="44"/>
    </row>
    <row r="17" customFormat="false" ht="15" hidden="false" customHeight="false" outlineLevel="0" collapsed="false">
      <c r="A17" s="44" t="str">
        <f aca="false">"Kıdem "&amp;TEXT(ToplamKidem,"#,##0")&amp;", ihbar "&amp;TEXT(ToplamIhbar,"#,##0")&amp;", izin "&amp;TEXT(ToplamIzinUcreti,"#,##0")&amp;" ₺."</f>
        <v>Kıdem 6.005.055, ihbar 724.267, izin 162.467 ₺.</v>
      </c>
      <c r="B17" s="44"/>
      <c r="C17" s="44"/>
      <c r="D17" s="44"/>
      <c r="E17" s="44"/>
      <c r="F17" s="44"/>
    </row>
    <row r="18" customFormat="false" ht="15" hidden="false" customHeight="false" outlineLevel="0" collapsed="false">
      <c r="A18" s="44" t="str">
        <f aca="false">"Ortalama kıdem "&amp;TEXT(OrtalamaKidemYil,"0")&amp;" yıl; "&amp;AnomaliCalisanAdedi&amp;" çalışanda ücret anomalisi var."</f>
        <v>Ortalama kıdem 8 yıl; 8 çalışanda ücret anomalisi var.</v>
      </c>
      <c r="B18" s="44"/>
      <c r="C18" s="44"/>
      <c r="D18" s="44"/>
      <c r="E18" s="44"/>
      <c r="F18" s="44"/>
    </row>
    <row r="20" customFormat="false" ht="15" hidden="false" customHeight="false" outlineLevel="0" collapsed="false">
      <c r="A20" s="31" t="s">
        <v>141</v>
      </c>
      <c r="B20" s="0" t="s">
        <v>142</v>
      </c>
      <c r="C20" s="24" t="n">
        <f aca="false">ToplamKidem</f>
        <v>6005055</v>
      </c>
    </row>
    <row r="21" customFormat="false" ht="15" hidden="false" customHeight="false" outlineLevel="0" collapsed="false">
      <c r="B21" s="0" t="s">
        <v>143</v>
      </c>
      <c r="C21" s="24" t="n">
        <f aca="false">ToplamIhbar</f>
        <v>724267</v>
      </c>
    </row>
    <row r="22" customFormat="false" ht="15" hidden="false" customHeight="false" outlineLevel="0" collapsed="false">
      <c r="B22" s="0" t="s">
        <v>144</v>
      </c>
      <c r="C22" s="24" t="n">
        <f aca="false">ToplamIzinUcreti</f>
        <v>162467</v>
      </c>
    </row>
    <row r="23" customFormat="false" ht="15" hidden="false" customHeight="false" outlineLevel="0" collapsed="false">
      <c r="A23" s="31" t="s">
        <v>145</v>
      </c>
      <c r="B23" s="0" t="s">
        <v>146</v>
      </c>
      <c r="C23" s="24" t="n">
        <f aca="false">IFERROR(ButceFarki+ToplamCikarmaMaliyeti,0)</f>
        <v>500000</v>
      </c>
    </row>
    <row r="24" customFormat="false" ht="15" hidden="false" customHeight="false" outlineLevel="0" collapsed="false">
      <c r="B24" s="0" t="s">
        <v>147</v>
      </c>
      <c r="C24" s="24" t="n">
        <f aca="false">ToplamCikarmaMaliyeti</f>
        <v>6891788</v>
      </c>
    </row>
    <row r="26" customFormat="false" ht="15" hidden="false" customHeight="false" outlineLevel="0" collapsed="false">
      <c r="A26" s="31" t="s">
        <v>148</v>
      </c>
      <c r="B26" s="0" t="s">
        <v>149</v>
      </c>
      <c r="C26" s="54" t="n">
        <f aca="false">ButceKullanimOrani</f>
        <v>13.783576</v>
      </c>
    </row>
    <row r="27" customFormat="false" ht="15" hidden="false" customHeight="false" outlineLevel="0" collapsed="false">
      <c r="B27" s="0" t="s">
        <v>150</v>
      </c>
      <c r="C27" s="54" t="n">
        <f aca="false">MAX(0,1-ButceKullanimOrani)</f>
        <v>0</v>
      </c>
    </row>
    <row r="30" customFormat="false" ht="15" hidden="false" customHeight="false" outlineLevel="0" collapsed="false">
      <c r="A30" s="31" t="s">
        <v>151</v>
      </c>
      <c r="B30" s="55" t="s">
        <v>152</v>
      </c>
      <c r="C30" s="24" t="n">
        <f aca="false">MAX(0,modulI1TahminOrta*(1-TahminBantOrani))</f>
        <v>845665.963796477</v>
      </c>
    </row>
    <row r="31" customFormat="false" ht="15" hidden="false" customHeight="false" outlineLevel="0" collapsed="false">
      <c r="B31" s="0" t="s">
        <v>153</v>
      </c>
      <c r="C31" s="24" t="n">
        <f aca="false">modulI1TahminOrta</f>
        <v>939628.848662753</v>
      </c>
    </row>
    <row r="32" customFormat="false" ht="15" hidden="false" customHeight="false" outlineLevel="0" collapsed="false">
      <c r="B32" s="0" t="s">
        <v>154</v>
      </c>
      <c r="C32" s="24" t="n">
        <f aca="false">modulI1TahminOrta*(1+TahminBantOrani)</f>
        <v>1033591.73352903</v>
      </c>
    </row>
  </sheetData>
  <sheetProtection sheet="true" password="cc3d" objects="true" scenarios="true" deleteColumns="false" deleteRows="false"/>
  <mergeCells count="12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F16"/>
    <mergeCell ref="A17:F17"/>
    <mergeCell ref="A18:F18"/>
  </mergeCells>
  <conditionalFormatting sqref="B30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&amp;LKIDEM–İHBAR YÜKÜ VE PERSONEL ÇIKARMA MALİYETİ HESAPLAYICI&amp;CExcelArşiv&amp;RSayfa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155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156</v>
      </c>
    </row>
    <row r="5" customFormat="false" ht="15" hidden="false" customHeight="false" outlineLevel="0" collapsed="false">
      <c r="A5" s="36" t="s">
        <v>157</v>
      </c>
    </row>
    <row r="6" customFormat="false" ht="30" hidden="false" customHeight="true" outlineLevel="0" collapsed="false">
      <c r="A6" s="14" t="s">
        <v>158</v>
      </c>
      <c r="B6" s="14" t="s">
        <v>159</v>
      </c>
      <c r="C6" s="14" t="s">
        <v>160</v>
      </c>
      <c r="D6" s="14" t="s">
        <v>161</v>
      </c>
      <c r="E6" s="14" t="s">
        <v>162</v>
      </c>
      <c r="F6" s="14" t="s">
        <v>163</v>
      </c>
      <c r="G6" s="14" t="s">
        <v>164</v>
      </c>
    </row>
    <row r="7" customFormat="false" ht="15" hidden="false" customHeight="false" outlineLevel="0" collapsed="false">
      <c r="A7" s="56" t="s">
        <v>165</v>
      </c>
      <c r="B7" s="32" t="n">
        <f aca="false">IFERROR(IF(COUNT(tblCalisan[Brüt Ücret (₺)])=0,1+SenaryoKotumserKat,MAX(1+SenaryoKotumserKat,MAX(tblCalisan[Brüt Ücret (₺)])/IFERROR(AVERAGE(tblCalisan[Brüt Ücret (₺)]),1))),1+SenaryoKotumserKat)</f>
        <v>1.67539267015707</v>
      </c>
      <c r="C7" s="32" t="n">
        <f aca="false">IFERROR(IF(COUNT(tblCalisan[Çalışan Adı])=0,1+SenaryoKotumserKat,1+SenaryoKotumserKat),1+SenaryoKotumserKat)</f>
        <v>1.1</v>
      </c>
      <c r="D7" s="30" t="n">
        <f aca="false">IFERROR(ToplamCikarmaMaliyeti*B7*C7,0)</f>
        <v>12701096.2094241</v>
      </c>
      <c r="E7" s="32" t="n">
        <f aca="false">IFERROR(IF(CikarmaButceEsik=0,0,D7/CikarmaButceEsik),0)</f>
        <v>25.4021924188482</v>
      </c>
      <c r="F7" s="30" t="n">
        <f aca="false">IFERROR(ToplamIzinUcreti*B7*C7,0)</f>
        <v>299415.623036649</v>
      </c>
      <c r="G7" s="38" t="str">
        <f aca="false">IF(VeriKaliteSkoru=0,"VERİ YOK",IF(D7&gt;CikarmaButceEsik,"DURDUR",IF(E7&gt;ButceKullanimEsik,"İNCELE","UYGUN")))</f>
        <v>VERİ YOK</v>
      </c>
    </row>
    <row r="8" customFormat="false" ht="15" hidden="false" customHeight="false" outlineLevel="0" collapsed="false">
      <c r="A8" s="56" t="s">
        <v>166</v>
      </c>
      <c r="B8" s="32" t="n">
        <f aca="false">1</f>
        <v>1</v>
      </c>
      <c r="C8" s="32" t="n">
        <f aca="false">1</f>
        <v>1</v>
      </c>
      <c r="D8" s="30" t="n">
        <f aca="false">IFERROR(ToplamCikarmaMaliyeti*B8*C8,0)</f>
        <v>6891788</v>
      </c>
      <c r="E8" s="32" t="n">
        <f aca="false">IFERROR(IF(CikarmaButceEsik=0,0,D8/CikarmaButceEsik),0)</f>
        <v>13.783576</v>
      </c>
      <c r="F8" s="30" t="n">
        <f aca="false">IFERROR(ToplamIzinUcreti*B8*C8,0)</f>
        <v>162467</v>
      </c>
      <c r="G8" s="38" t="str">
        <f aca="false">IF(VeriKaliteSkoru=0,"VERİ YOK",IF(D8&gt;CikarmaButceEsik,"DURDUR",IF(E8&gt;ButceKullanimEsik,"İNCELE","UYGUN")))</f>
        <v>VERİ YOK</v>
      </c>
    </row>
    <row r="9" customFormat="false" ht="15" hidden="false" customHeight="false" outlineLevel="0" collapsed="false">
      <c r="A9" s="56" t="s">
        <v>167</v>
      </c>
      <c r="B9" s="32" t="n">
        <f aca="false">IFERROR(IF(COUNT(tblCalisan[Brüt Ücret (₺)])=0,1-SenaryoIyimserKat,MAX(1-SenaryoIyimserKat,MIN(tblCalisan[Brüt Ücret (₺)])/IFERROR(AVERAGE(tblCalisan[Brüt Ücret (₺)]),1))),1-SenaryoIyimserKat)</f>
        <v>0.9</v>
      </c>
      <c r="C9" s="32" t="n">
        <f aca="false">IFERROR(IF(COUNT(tblCalisan[Çalışan Adı])=0,1-SenaryoIyimserKat,1-SenaryoIyimserKat),1-SenaryoIyimserKat)</f>
        <v>0.9</v>
      </c>
      <c r="D9" s="30" t="n">
        <f aca="false">IFERROR(ToplamCikarmaMaliyeti*B9*C9,0)</f>
        <v>5582348.28</v>
      </c>
      <c r="E9" s="32" t="n">
        <f aca="false">IFERROR(IF(CikarmaButceEsik=0,0,D9/CikarmaButceEsik),0)</f>
        <v>11.16469656</v>
      </c>
      <c r="F9" s="30" t="n">
        <f aca="false">IFERROR(ToplamIzinUcreti*B9*C9,0)</f>
        <v>131598.27</v>
      </c>
      <c r="G9" s="38" t="str">
        <f aca="false">IF(VeriKaliteSkoru=0,"VERİ YOK",IF(D9&gt;CikarmaButceEsik,"DURDUR",IF(E9&gt;ButceKullanimEsik,"İNCELE","UYGUN")))</f>
        <v>VERİ YOK</v>
      </c>
    </row>
    <row r="11" customFormat="false" ht="15" hidden="false" customHeight="false" outlineLevel="0" collapsed="false">
      <c r="A11" s="36" t="s">
        <v>168</v>
      </c>
    </row>
    <row r="12" customFormat="false" ht="30" hidden="false" customHeight="true" outlineLevel="0" collapsed="false">
      <c r="A12" s="14" t="s">
        <v>169</v>
      </c>
      <c r="B12" s="14" t="s">
        <v>170</v>
      </c>
      <c r="C12" s="14" t="s">
        <v>171</v>
      </c>
      <c r="D12" s="14" t="s">
        <v>172</v>
      </c>
      <c r="E12" s="14" t="s">
        <v>173</v>
      </c>
      <c r="F12" s="14" t="s">
        <v>174</v>
      </c>
      <c r="G12" s="14" t="s">
        <v>175</v>
      </c>
    </row>
    <row r="13" customFormat="false" ht="15" hidden="false" customHeight="false" outlineLevel="0" collapsed="false">
      <c r="A13" s="40" t="s">
        <v>176</v>
      </c>
      <c r="B13" s="30" t="n">
        <f aca="false">ToplamCikarmaMaliyeti*(1-DuyarliDegisim)</f>
        <v>6547198.6</v>
      </c>
      <c r="C13" s="30" t="n">
        <f aca="false">ToplamCikarmaMaliyeti</f>
        <v>6891788</v>
      </c>
      <c r="D13" s="30" t="n">
        <f aca="false">ToplamCikarmaMaliyeti*(1+DuyarliDegisim)</f>
        <v>7236377.4</v>
      </c>
      <c r="E13" s="32" t="n">
        <f aca="false">B13/CikarmaButceEsik</f>
        <v>13.0943972</v>
      </c>
      <c r="F13" s="32" t="n">
        <f aca="false">D13/CikarmaButceEsik</f>
        <v>14.4727548</v>
      </c>
      <c r="G13" s="32" t="n">
        <f aca="false">ABS(F13-E13)</f>
        <v>1.3783576</v>
      </c>
    </row>
    <row r="14" customFormat="false" ht="15" hidden="false" customHeight="false" outlineLevel="0" collapsed="false">
      <c r="A14" s="40" t="s">
        <v>177</v>
      </c>
      <c r="B14" s="30" t="n">
        <f aca="false">ToplamCikarmaMaliyeti*(1-DuyarliDegisim)</f>
        <v>6547198.6</v>
      </c>
      <c r="C14" s="30" t="n">
        <f aca="false">ToplamCikarmaMaliyeti</f>
        <v>6891788</v>
      </c>
      <c r="D14" s="30" t="n">
        <f aca="false">ToplamCikarmaMaliyeti*(1+DuyarliDegisim)</f>
        <v>7236377.4</v>
      </c>
      <c r="E14" s="32" t="n">
        <f aca="false">B14/CikarmaButceEsik</f>
        <v>13.0943972</v>
      </c>
      <c r="F14" s="32" t="n">
        <f aca="false">D14/CikarmaButceEsik</f>
        <v>14.4727548</v>
      </c>
      <c r="G14" s="32" t="n">
        <f aca="false">ABS(F14-E14)</f>
        <v>1.3783576</v>
      </c>
    </row>
    <row r="16" customFormat="false" ht="15" hidden="false" customHeight="false" outlineLevel="0" collapsed="false">
      <c r="A16" s="36" t="s">
        <v>178</v>
      </c>
    </row>
    <row r="17" customFormat="false" ht="15" hidden="false" customHeight="false" outlineLevel="0" collapsed="false">
      <c r="A17" s="40" t="s">
        <v>179</v>
      </c>
      <c r="B17" s="32" t="n">
        <f aca="false">IFERROR(IF(ToplamCikarmaMaliyeti=0,0,(ToplamCikarmaMaliyeti-CikarmaButceEsik)/ToplamCikarmaMaliyeti),0)</f>
        <v>0.927449886734763</v>
      </c>
    </row>
    <row r="18" customFormat="false" ht="15" hidden="false" customHeight="false" outlineLevel="0" collapsed="false">
      <c r="A18" s="40" t="s">
        <v>180</v>
      </c>
      <c r="B18" s="32" t="n">
        <f aca="false">IFERROR(ButceKullanimOrani-ButceKullanimEsik,0)</f>
        <v>12.983576</v>
      </c>
    </row>
    <row r="19" customFormat="false" ht="15" hidden="false" customHeight="false" outlineLevel="0" collapsed="false">
      <c r="A19" s="40" t="s">
        <v>181</v>
      </c>
      <c r="B19" s="30" t="n">
        <f aca="false">IFERROR(ToplamCikarmaMaliyeti+MAX(0,ToplamCikarmaMaliyeti-CikarmaButceEsik),0)</f>
        <v>13283576</v>
      </c>
    </row>
    <row r="21" customFormat="false" ht="19.5" hidden="false" customHeight="true" outlineLevel="0" collapsed="false">
      <c r="A21" s="11" t="s">
        <v>182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G7">
    <cfRule type="cellIs" priority="2" operator="equal" aboveAverage="0" equalAverage="0" bottom="0" percent="0" rank="0" text="" dxfId="7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8">
      <formula>"DURDUR"</formula>
    </cfRule>
  </conditionalFormatting>
  <conditionalFormatting sqref="G8">
    <cfRule type="cellIs" priority="5" operator="equal" aboveAverage="0" equalAverage="0" bottom="0" percent="0" rank="0" text="" dxfId="7">
      <formula>"UYGUN"</formula>
    </cfRule>
    <cfRule type="cellIs" priority="6" operator="equal" aboveAverage="0" equalAverage="0" bottom="0" percent="0" rank="0" text="" dxfId="9">
      <formula>"İNCELE"</formula>
    </cfRule>
    <cfRule type="cellIs" priority="7" operator="equal" aboveAverage="0" equalAverage="0" bottom="0" percent="0" rank="0" text="" dxfId="8">
      <formula>"DURDUR"</formula>
    </cfRule>
  </conditionalFormatting>
  <conditionalFormatting sqref="G9">
    <cfRule type="cellIs" priority="8" operator="equal" aboveAverage="0" equalAverage="0" bottom="0" percent="0" rank="0" text="" dxfId="7">
      <formula>"UYGUN"</formula>
    </cfRule>
    <cfRule type="cellIs" priority="9" operator="equal" aboveAverage="0" equalAverage="0" bottom="0" percent="0" rank="0" text="" dxfId="9">
      <formula>"İNCELE"</formula>
    </cfRule>
    <cfRule type="cellIs" priority="10" operator="equal" aboveAverage="0" equalAverage="0" bottom="0" percent="0" rank="0" text="" dxfId="8">
      <formula>"DURDUR"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57" t="s">
        <v>183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</row>
    <row r="2" customFormat="false" ht="15" hidden="false" customHeight="false" outlineLevel="0" collapsed="false">
      <c r="A2" s="58" t="str">
        <f aca="false">firmaUnvani</f>
        <v>Örnek Şirket A.Ş.</v>
      </c>
    </row>
    <row r="3" customFormat="false" ht="15" hidden="false" customHeight="false" outlineLevel="0" collapsed="false">
      <c r="A3" s="59" t="str">
        <f aca="false">TEXT(raporTarihi,"gg.aa.yyyy") &amp; " | Rapor: " &amp; TEXT(raporTarihi,"gg.aa.yyyy")</f>
        <v>MS.aa.2026 | Rapor: MS.aa.2026</v>
      </c>
    </row>
    <row r="5" customFormat="false" ht="15" hidden="false" customHeight="false" outlineLevel="0" collapsed="false">
      <c r="A5" s="36" t="s">
        <v>184</v>
      </c>
    </row>
    <row r="6" customFormat="false" ht="15" hidden="false" customHeight="false" outlineLevel="0" collapsed="false">
      <c r="A6" s="37" t="s">
        <v>53</v>
      </c>
      <c r="B6" s="39" t="n">
        <f aca="false">ToplamCalisanSayisi</f>
        <v>0</v>
      </c>
    </row>
    <row r="7" customFormat="false" ht="15" hidden="false" customHeight="false" outlineLevel="0" collapsed="false">
      <c r="A7" s="37" t="s">
        <v>57</v>
      </c>
      <c r="B7" s="60" t="n">
        <f aca="false">ToplamCikarmaMaliyeti</f>
        <v>6891788</v>
      </c>
    </row>
    <row r="8" customFormat="false" ht="15" hidden="false" customHeight="false" outlineLevel="0" collapsed="false">
      <c r="A8" s="37" t="s">
        <v>128</v>
      </c>
      <c r="B8" s="61" t="n">
        <f aca="false">ButceKullanimOrani</f>
        <v>13.783576</v>
      </c>
    </row>
    <row r="9" customFormat="false" ht="15" hidden="false" customHeight="false" outlineLevel="0" collapsed="false">
      <c r="A9" s="37" t="s">
        <v>58</v>
      </c>
      <c r="B9" s="39" t="n">
        <f aca="false">OrtalamaKidemYil</f>
        <v>8.375</v>
      </c>
    </row>
    <row r="10" customFormat="false" ht="15" hidden="false" customHeight="false" outlineLevel="0" collapsed="false">
      <c r="A10" s="37" t="s">
        <v>164</v>
      </c>
      <c r="B10" s="37" t="str">
        <f aca="false">KararSonuc</f>
        <v>VERİ YOK</v>
      </c>
    </row>
    <row r="12" customFormat="false" ht="15" hidden="false" customHeight="false" outlineLevel="0" collapsed="false">
      <c r="A12" s="36" t="s">
        <v>185</v>
      </c>
    </row>
    <row r="13" customFormat="false" ht="15" hidden="false" customHeight="false" outlineLevel="0" collapsed="false">
      <c r="A13" s="44" t="str">
        <f aca="false">KararGerekce</f>
        <v>Girdi eksik; lütfen sarı hücreleri doldurun.</v>
      </c>
      <c r="B13" s="44"/>
      <c r="C13" s="44"/>
      <c r="D13" s="44"/>
      <c r="E13" s="44"/>
      <c r="F13" s="44"/>
    </row>
    <row r="15" customFormat="false" ht="15" hidden="false" customHeight="false" outlineLevel="0" collapsed="false">
      <c r="A15" s="36" t="s">
        <v>186</v>
      </c>
    </row>
    <row r="16" customFormat="false" ht="15" hidden="false" customHeight="false" outlineLevel="0" collapsed="false">
      <c r="A16" s="7" t="s">
        <v>187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188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189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190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191</v>
      </c>
      <c r="B20" s="7"/>
      <c r="C20" s="7"/>
      <c r="D20" s="7"/>
      <c r="E20" s="7"/>
      <c r="F20" s="7"/>
    </row>
    <row r="22" customFormat="false" ht="15" hidden="false" customHeight="false" outlineLevel="0" collapsed="false">
      <c r="A22" s="36" t="s">
        <v>192</v>
      </c>
    </row>
    <row r="23" customFormat="false" ht="15" hidden="false" customHeight="false" outlineLevel="0" collapsed="false">
      <c r="A23" s="62" t="str">
        <f aca="false">IF(ToplamCikarmaMaliyeti&gt;CikarmaButceEsik,"Toplam maliyet bütçeyi aşıyor; planı revize edin.","Maliyet bütçe içinde görünüyor.")</f>
        <v>Toplam maliyet bütçeyi aşıyor; planı revize edin.</v>
      </c>
      <c r="B23" s="62"/>
      <c r="C23" s="62"/>
      <c r="D23" s="62"/>
      <c r="E23" s="62"/>
      <c r="F23" s="62"/>
    </row>
    <row r="24" customFormat="false" ht="15" hidden="false" customHeight="false" outlineLevel="0" collapsed="false">
      <c r="A24" s="62" t="str">
        <f aca="false">IF(OrtalamaKidemYil&gt;KidemYilEsik,"Ortalama kıdem eşik üstünde; kıdem yükü yüksek.","Kıdem yükü kabul edilebilir seviyede.")</f>
        <v>Kıdem yükü kabul edilebilir seviyede.</v>
      </c>
      <c r="B24" s="62"/>
      <c r="C24" s="62"/>
      <c r="D24" s="62"/>
      <c r="E24" s="62"/>
      <c r="F24" s="62"/>
    </row>
    <row r="26" customFormat="false" ht="15" hidden="false" customHeight="false" outlineLevel="0" collapsed="false">
      <c r="A26" s="36" t="s">
        <v>193</v>
      </c>
    </row>
    <row r="27" customFormat="false" ht="15" hidden="false" customHeight="false" outlineLevel="0" collapsed="false">
      <c r="A27" s="63" t="str">
        <f aca="false">Aksiyon1</f>
        <v>Çalışan ücret ve tarih kayıtlarını bordroyla mutabakat edin; tavanı ve bütçeyi yeniden değerlendirin</v>
      </c>
      <c r="B27" s="63"/>
      <c r="C27" s="63"/>
      <c r="D27" s="63"/>
      <c r="E27" s="63"/>
      <c r="F27" s="63"/>
    </row>
    <row r="28" customFormat="false" ht="15" hidden="false" customHeight="false" outlineLevel="0" collapsed="false">
      <c r="A28" s="63" t="str">
        <f aca="false">Aksiyon2</f>
        <v>Kıdem yükü kabul edilebilir seviyede</v>
      </c>
      <c r="B28" s="63"/>
      <c r="C28" s="63"/>
      <c r="D28" s="63"/>
      <c r="E28" s="63"/>
      <c r="F28" s="63"/>
    </row>
    <row r="29" customFormat="false" ht="15" hidden="false" customHeight="false" outlineLevel="0" collapsed="false">
      <c r="A29" s="63" t="str">
        <f aca="false">Aksiyon3</f>
        <v>Anomali ücretli çalışanların bordro ve sözleşmelerini inceleyin</v>
      </c>
      <c r="B29" s="63"/>
      <c r="C29" s="63"/>
      <c r="D29" s="63"/>
      <c r="E29" s="63"/>
      <c r="F29" s="63"/>
    </row>
    <row r="31" customFormat="false" ht="15" hidden="false" customHeight="false" outlineLevel="0" collapsed="false">
      <c r="A31" s="64" t="str">
        <f aca="false">firmaUnvani &amp; " | " &amp; TEXT(raporTarihi,"gg.aa.yyyy") &amp; " | Rev 1.0"</f>
        <v>Örnek Şirket A.Ş. | MS.aa.2026 | Rev 1.0</v>
      </c>
      <c r="B31" s="64"/>
      <c r="C31" s="64"/>
      <c r="D31" s="64"/>
      <c r="E31" s="64"/>
      <c r="F31" s="64"/>
    </row>
    <row r="32" customFormat="false" ht="15" hidden="false" customHeight="false" outlineLevel="0" collapsed="false">
      <c r="A32" s="64" t="s">
        <v>194</v>
      </c>
      <c r="B32" s="64"/>
      <c r="C32" s="64"/>
      <c r="D32" s="64"/>
      <c r="E32" s="64"/>
      <c r="F32" s="64"/>
    </row>
  </sheetData>
  <sheetProtection sheet="true" password="cc3d" objects="true" scenarios="true" deleteColumns="false" deleteRows="false"/>
  <mergeCells count="14">
    <mergeCell ref="A1:AN1"/>
    <mergeCell ref="A13:F13"/>
    <mergeCell ref="A16:F16"/>
    <mergeCell ref="A17:F17"/>
    <mergeCell ref="A18:F18"/>
    <mergeCell ref="A19:F19"/>
    <mergeCell ref="A20:F20"/>
    <mergeCell ref="A23:F23"/>
    <mergeCell ref="A24:F24"/>
    <mergeCell ref="A27:F27"/>
    <mergeCell ref="A28:F28"/>
    <mergeCell ref="A29:F29"/>
    <mergeCell ref="A31:F31"/>
    <mergeCell ref="A32:F32"/>
  </mergeCells>
  <conditionalFormatting sqref="B10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&amp;LKIDEM–İHBAR YÜKÜ VE PERSONEL ÇIKARMA MALİYETİ HESAPLAYICI&amp;CExcelArşiv&amp;RSayfa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6" min="5" style="0" width="12"/>
  </cols>
  <sheetData>
    <row r="1" customFormat="false" ht="25.5" hidden="false" customHeight="true" outlineLevel="0" collapsed="false">
      <c r="A1" s="12" t="s">
        <v>195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196</v>
      </c>
    </row>
    <row r="4" customFormat="false" ht="15" hidden="false" customHeight="false" outlineLevel="0" collapsed="false">
      <c r="A4" s="7" t="s">
        <v>197</v>
      </c>
      <c r="B4" s="7"/>
      <c r="C4" s="7"/>
      <c r="D4" s="7"/>
      <c r="E4" s="7"/>
      <c r="F4" s="7"/>
    </row>
    <row r="6" customFormat="false" ht="30" hidden="false" customHeight="true" outlineLevel="0" collapsed="false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  <c r="F6" s="14" t="s">
        <v>198</v>
      </c>
    </row>
    <row r="7" customFormat="false" ht="15" hidden="false" customHeight="false" outlineLevel="0" collapsed="false">
      <c r="A7" s="15" t="s">
        <v>40</v>
      </c>
      <c r="B7" s="16" t="n">
        <v>43891</v>
      </c>
      <c r="C7" s="16" t="n">
        <v>46235</v>
      </c>
      <c r="D7" s="17" t="n">
        <v>45000</v>
      </c>
      <c r="E7" s="15" t="s">
        <v>41</v>
      </c>
      <c r="F7" s="20" t="n">
        <v>5</v>
      </c>
    </row>
    <row r="8" customFormat="false" ht="15" hidden="false" customHeight="false" outlineLevel="0" collapsed="false">
      <c r="A8" s="15" t="s">
        <v>42</v>
      </c>
      <c r="B8" s="16" t="n">
        <v>42156</v>
      </c>
      <c r="C8" s="16" t="n">
        <v>46266</v>
      </c>
      <c r="D8" s="17" t="n">
        <v>55000</v>
      </c>
      <c r="E8" s="15" t="s">
        <v>41</v>
      </c>
      <c r="F8" s="20" t="n">
        <v>8</v>
      </c>
    </row>
    <row r="9" customFormat="false" ht="15" hidden="false" customHeight="false" outlineLevel="0" collapsed="false">
      <c r="A9" s="15" t="s">
        <v>43</v>
      </c>
      <c r="B9" s="16" t="n">
        <v>44576</v>
      </c>
      <c r="C9" s="16" t="n">
        <v>46218</v>
      </c>
      <c r="D9" s="17" t="n">
        <v>1800</v>
      </c>
      <c r="E9" s="15" t="s">
        <v>44</v>
      </c>
      <c r="F9" s="20" t="n">
        <v>2</v>
      </c>
    </row>
    <row r="12" customFormat="false" ht="19.5" hidden="false" customHeight="true" outlineLevel="0" collapsed="false">
      <c r="A12" s="11" t="s">
        <v>199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3">
    <mergeCell ref="A1:AD1"/>
    <mergeCell ref="A4:F4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200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201</v>
      </c>
    </row>
    <row r="5" customFormat="false" ht="30" hidden="false" customHeight="true" outlineLevel="0" collapsed="false">
      <c r="A5" s="14" t="s">
        <v>202</v>
      </c>
      <c r="B5" s="14" t="s">
        <v>203</v>
      </c>
      <c r="C5" s="14" t="s">
        <v>204</v>
      </c>
    </row>
    <row r="6" customFormat="false" ht="15" hidden="false" customHeight="true" outlineLevel="0" collapsed="false">
      <c r="A6" s="37" t="s">
        <v>205</v>
      </c>
      <c r="B6" s="37" t="s">
        <v>206</v>
      </c>
      <c r="C6" s="44" t="s">
        <v>207</v>
      </c>
      <c r="D6" s="44"/>
      <c r="E6" s="44"/>
      <c r="F6" s="44"/>
      <c r="G6" s="44"/>
      <c r="H6" s="44"/>
    </row>
    <row r="8" customFormat="false" ht="19.5" hidden="false" customHeight="true" outlineLevel="0" collapsed="false">
      <c r="A8" s="11" t="s">
        <v>208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3">
    <mergeCell ref="A1:AD1"/>
    <mergeCell ref="C6:H6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210</v>
      </c>
    </row>
    <row r="4" customFormat="false" ht="15" hidden="false" customHeight="false" outlineLevel="0" collapsed="false">
      <c r="A4" s="56" t="s">
        <v>30</v>
      </c>
    </row>
    <row r="6" customFormat="false" ht="15" hidden="false" customHeight="false" outlineLevel="0" collapsed="false">
      <c r="A6" s="15" t="s">
        <v>41</v>
      </c>
    </row>
    <row r="7" customFormat="false" ht="15" hidden="false" customHeight="false" outlineLevel="0" collapsed="false">
      <c r="A7" s="15" t="s">
        <v>44</v>
      </c>
    </row>
    <row r="10" customFormat="false" ht="19.5" hidden="false" customHeight="true" outlineLevel="0" collapsed="false">
      <c r="A10" s="11" t="s">
        <v>211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</sheetData>
  <sheetProtection sheet="true" password="cc3d" objects="true" scenarios="true" deleteColumns="false" deleteRows="false"/>
  <mergeCells count="2">
    <mergeCell ref="A1:AD1"/>
    <mergeCell ref="A10:A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213</v>
      </c>
      <c r="B3" s="13"/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65" t="s">
        <v>214</v>
      </c>
      <c r="B4" s="65"/>
      <c r="C4" s="65"/>
      <c r="D4" s="65"/>
      <c r="E4" s="65"/>
      <c r="F4" s="65"/>
      <c r="G4" s="65"/>
      <c r="H4" s="65"/>
    </row>
    <row r="5" customFormat="false" ht="30" hidden="false" customHeight="true" outlineLevel="0" collapsed="false">
      <c r="A5" s="14" t="s">
        <v>215</v>
      </c>
      <c r="B5" s="14" t="s">
        <v>216</v>
      </c>
      <c r="C5" s="14" t="s">
        <v>217</v>
      </c>
      <c r="D5" s="14" t="s">
        <v>218</v>
      </c>
      <c r="E5" s="14" t="s">
        <v>219</v>
      </c>
      <c r="F5" s="14" t="s">
        <v>220</v>
      </c>
      <c r="G5" s="14" t="s">
        <v>221</v>
      </c>
      <c r="H5" s="14" t="s">
        <v>222</v>
      </c>
    </row>
    <row r="6" customFormat="false" ht="15" hidden="false" customHeight="false" outlineLevel="0" collapsed="false">
      <c r="A6" s="66" t="s">
        <v>223</v>
      </c>
      <c r="B6" s="66" t="s">
        <v>224</v>
      </c>
      <c r="C6" s="15" t="s">
        <v>225</v>
      </c>
      <c r="D6" s="59" t="s">
        <v>226</v>
      </c>
      <c r="E6" s="67" t="s">
        <v>227</v>
      </c>
      <c r="F6" s="67" t="s">
        <v>228</v>
      </c>
      <c r="G6" s="59" t="s">
        <v>205</v>
      </c>
      <c r="H6" s="59" t="s">
        <v>205</v>
      </c>
    </row>
    <row r="7" customFormat="false" ht="15" hidden="false" customHeight="false" outlineLevel="0" collapsed="false">
      <c r="A7" s="66" t="s">
        <v>223</v>
      </c>
      <c r="B7" s="66" t="s">
        <v>229</v>
      </c>
      <c r="C7" s="68" t="n">
        <f aca="true">TODAY()</f>
        <v>46243</v>
      </c>
      <c r="D7" s="59" t="s">
        <v>230</v>
      </c>
      <c r="E7" s="67" t="s">
        <v>231</v>
      </c>
      <c r="F7" s="67" t="s">
        <v>228</v>
      </c>
      <c r="G7" s="59" t="s">
        <v>205</v>
      </c>
      <c r="H7" s="59" t="s">
        <v>205</v>
      </c>
    </row>
    <row r="8" customFormat="false" ht="37.3" hidden="false" customHeight="false" outlineLevel="0" collapsed="false">
      <c r="A8" s="66" t="s">
        <v>142</v>
      </c>
      <c r="B8" s="66" t="s">
        <v>232</v>
      </c>
      <c r="C8" s="17" t="n">
        <v>45000</v>
      </c>
      <c r="D8" s="59" t="s">
        <v>233</v>
      </c>
      <c r="E8" s="67" t="s">
        <v>234</v>
      </c>
      <c r="F8" s="67" t="s">
        <v>235</v>
      </c>
      <c r="G8" s="59" t="s">
        <v>205</v>
      </c>
      <c r="H8" s="59" t="s">
        <v>205</v>
      </c>
    </row>
    <row r="9" customFormat="false" ht="15" hidden="false" customHeight="false" outlineLevel="0" collapsed="false">
      <c r="A9" s="66" t="s">
        <v>142</v>
      </c>
      <c r="B9" s="66" t="s">
        <v>236</v>
      </c>
      <c r="C9" s="20" t="n">
        <v>30</v>
      </c>
      <c r="D9" s="59" t="s">
        <v>237</v>
      </c>
      <c r="E9" s="67" t="s">
        <v>238</v>
      </c>
      <c r="F9" s="67" t="s">
        <v>239</v>
      </c>
      <c r="G9" s="59" t="s">
        <v>240</v>
      </c>
      <c r="H9" s="59" t="s">
        <v>205</v>
      </c>
    </row>
    <row r="10" customFormat="false" ht="15" hidden="false" customHeight="false" outlineLevel="0" collapsed="false">
      <c r="A10" s="66" t="s">
        <v>143</v>
      </c>
      <c r="B10" s="66" t="s">
        <v>241</v>
      </c>
      <c r="C10" s="20" t="n">
        <v>14</v>
      </c>
      <c r="D10" s="59" t="s">
        <v>237</v>
      </c>
      <c r="E10" s="67" t="s">
        <v>242</v>
      </c>
      <c r="F10" s="67" t="s">
        <v>243</v>
      </c>
      <c r="G10" s="59" t="s">
        <v>244</v>
      </c>
      <c r="H10" s="59" t="s">
        <v>205</v>
      </c>
    </row>
    <row r="11" customFormat="false" ht="15" hidden="false" customHeight="false" outlineLevel="0" collapsed="false">
      <c r="A11" s="66" t="s">
        <v>143</v>
      </c>
      <c r="B11" s="66" t="s">
        <v>245</v>
      </c>
      <c r="C11" s="20" t="n">
        <v>28</v>
      </c>
      <c r="D11" s="59" t="s">
        <v>237</v>
      </c>
      <c r="E11" s="67" t="s">
        <v>246</v>
      </c>
      <c r="F11" s="67" t="s">
        <v>243</v>
      </c>
      <c r="G11" s="59" t="s">
        <v>244</v>
      </c>
      <c r="H11" s="59" t="s">
        <v>205</v>
      </c>
    </row>
    <row r="12" customFormat="false" ht="15" hidden="false" customHeight="false" outlineLevel="0" collapsed="false">
      <c r="A12" s="66" t="s">
        <v>143</v>
      </c>
      <c r="B12" s="66" t="s">
        <v>247</v>
      </c>
      <c r="C12" s="20" t="n">
        <v>42</v>
      </c>
      <c r="D12" s="59" t="s">
        <v>237</v>
      </c>
      <c r="E12" s="67" t="s">
        <v>248</v>
      </c>
      <c r="F12" s="67" t="s">
        <v>243</v>
      </c>
      <c r="G12" s="59" t="s">
        <v>244</v>
      </c>
      <c r="H12" s="59" t="s">
        <v>205</v>
      </c>
    </row>
    <row r="13" customFormat="false" ht="15" hidden="false" customHeight="false" outlineLevel="0" collapsed="false">
      <c r="A13" s="66" t="s">
        <v>143</v>
      </c>
      <c r="B13" s="66" t="s">
        <v>249</v>
      </c>
      <c r="C13" s="20" t="n">
        <v>56</v>
      </c>
      <c r="D13" s="59" t="s">
        <v>237</v>
      </c>
      <c r="E13" s="67" t="s">
        <v>250</v>
      </c>
      <c r="F13" s="67" t="s">
        <v>243</v>
      </c>
      <c r="G13" s="59" t="s">
        <v>244</v>
      </c>
      <c r="H13" s="59" t="s">
        <v>205</v>
      </c>
    </row>
    <row r="14" customFormat="false" ht="15" hidden="false" customHeight="false" outlineLevel="0" collapsed="false">
      <c r="A14" s="66" t="s">
        <v>143</v>
      </c>
      <c r="B14" s="66" t="s">
        <v>251</v>
      </c>
      <c r="C14" s="20" t="n">
        <v>180</v>
      </c>
      <c r="D14" s="59" t="s">
        <v>237</v>
      </c>
      <c r="E14" s="67" t="s">
        <v>252</v>
      </c>
      <c r="F14" s="67" t="s">
        <v>243</v>
      </c>
      <c r="G14" s="59" t="s">
        <v>244</v>
      </c>
      <c r="H14" s="59" t="s">
        <v>205</v>
      </c>
    </row>
    <row r="15" customFormat="false" ht="15" hidden="false" customHeight="false" outlineLevel="0" collapsed="false">
      <c r="A15" s="66" t="s">
        <v>143</v>
      </c>
      <c r="B15" s="66" t="s">
        <v>253</v>
      </c>
      <c r="C15" s="20" t="n">
        <v>547</v>
      </c>
      <c r="D15" s="59" t="s">
        <v>237</v>
      </c>
      <c r="E15" s="67" t="s">
        <v>254</v>
      </c>
      <c r="F15" s="67" t="s">
        <v>243</v>
      </c>
      <c r="G15" s="59" t="s">
        <v>244</v>
      </c>
      <c r="H15" s="59" t="s">
        <v>205</v>
      </c>
    </row>
    <row r="16" customFormat="false" ht="15" hidden="false" customHeight="false" outlineLevel="0" collapsed="false">
      <c r="A16" s="66" t="s">
        <v>143</v>
      </c>
      <c r="B16" s="66" t="s">
        <v>255</v>
      </c>
      <c r="C16" s="20" t="n">
        <v>1095</v>
      </c>
      <c r="D16" s="59" t="s">
        <v>237</v>
      </c>
      <c r="E16" s="67" t="s">
        <v>256</v>
      </c>
      <c r="F16" s="67" t="s">
        <v>243</v>
      </c>
      <c r="G16" s="59" t="s">
        <v>244</v>
      </c>
      <c r="H16" s="59" t="s">
        <v>205</v>
      </c>
    </row>
    <row r="17" customFormat="false" ht="15" hidden="false" customHeight="false" outlineLevel="0" collapsed="false">
      <c r="A17" s="66" t="s">
        <v>144</v>
      </c>
      <c r="B17" s="66" t="s">
        <v>257</v>
      </c>
      <c r="C17" s="20" t="n">
        <v>14</v>
      </c>
      <c r="D17" s="59" t="s">
        <v>237</v>
      </c>
      <c r="E17" s="67" t="s">
        <v>258</v>
      </c>
      <c r="F17" s="67" t="s">
        <v>259</v>
      </c>
      <c r="G17" s="59" t="s">
        <v>244</v>
      </c>
      <c r="H17" s="59" t="s">
        <v>205</v>
      </c>
    </row>
    <row r="18" customFormat="false" ht="15" hidden="false" customHeight="false" outlineLevel="0" collapsed="false">
      <c r="A18" s="66" t="s">
        <v>144</v>
      </c>
      <c r="B18" s="66" t="s">
        <v>260</v>
      </c>
      <c r="C18" s="20" t="n">
        <v>20</v>
      </c>
      <c r="D18" s="59" t="s">
        <v>237</v>
      </c>
      <c r="E18" s="67" t="s">
        <v>261</v>
      </c>
      <c r="F18" s="67" t="s">
        <v>259</v>
      </c>
      <c r="G18" s="59" t="s">
        <v>244</v>
      </c>
      <c r="H18" s="59" t="s">
        <v>205</v>
      </c>
    </row>
    <row r="19" customFormat="false" ht="15" hidden="false" customHeight="false" outlineLevel="0" collapsed="false">
      <c r="A19" s="66" t="s">
        <v>144</v>
      </c>
      <c r="B19" s="66" t="s">
        <v>262</v>
      </c>
      <c r="C19" s="20" t="n">
        <v>26</v>
      </c>
      <c r="D19" s="59" t="s">
        <v>237</v>
      </c>
      <c r="E19" s="67" t="s">
        <v>263</v>
      </c>
      <c r="F19" s="67" t="s">
        <v>259</v>
      </c>
      <c r="G19" s="59" t="s">
        <v>244</v>
      </c>
      <c r="H19" s="59" t="s">
        <v>205</v>
      </c>
    </row>
    <row r="20" customFormat="false" ht="15" hidden="false" customHeight="false" outlineLevel="0" collapsed="false">
      <c r="A20" s="66" t="s">
        <v>144</v>
      </c>
      <c r="B20" s="66" t="s">
        <v>264</v>
      </c>
      <c r="C20" s="20" t="n">
        <v>5</v>
      </c>
      <c r="D20" s="59" t="s">
        <v>265</v>
      </c>
      <c r="E20" s="67" t="s">
        <v>266</v>
      </c>
      <c r="F20" s="67" t="s">
        <v>259</v>
      </c>
      <c r="G20" s="59" t="s">
        <v>244</v>
      </c>
      <c r="H20" s="59" t="s">
        <v>205</v>
      </c>
    </row>
    <row r="21" customFormat="false" ht="15" hidden="false" customHeight="false" outlineLevel="0" collapsed="false">
      <c r="A21" s="66" t="s">
        <v>144</v>
      </c>
      <c r="B21" s="66" t="s">
        <v>267</v>
      </c>
      <c r="C21" s="20" t="n">
        <v>15</v>
      </c>
      <c r="D21" s="59" t="s">
        <v>265</v>
      </c>
      <c r="E21" s="67" t="s">
        <v>268</v>
      </c>
      <c r="F21" s="67" t="s">
        <v>259</v>
      </c>
      <c r="G21" s="59" t="s">
        <v>244</v>
      </c>
      <c r="H21" s="59" t="s">
        <v>205</v>
      </c>
    </row>
    <row r="22" customFormat="false" ht="15" hidden="false" customHeight="false" outlineLevel="0" collapsed="false">
      <c r="A22" s="66" t="s">
        <v>269</v>
      </c>
      <c r="B22" s="66" t="s">
        <v>270</v>
      </c>
      <c r="C22" s="17" t="n">
        <v>500000</v>
      </c>
      <c r="D22" s="59" t="s">
        <v>233</v>
      </c>
      <c r="E22" s="67" t="s">
        <v>271</v>
      </c>
      <c r="F22" s="67" t="s">
        <v>272</v>
      </c>
      <c r="G22" s="59" t="s">
        <v>205</v>
      </c>
      <c r="H22" s="59" t="s">
        <v>205</v>
      </c>
    </row>
    <row r="23" customFormat="false" ht="15" hidden="false" customHeight="false" outlineLevel="0" collapsed="false">
      <c r="A23" s="66" t="s">
        <v>269</v>
      </c>
      <c r="B23" s="66" t="s">
        <v>273</v>
      </c>
      <c r="C23" s="69" t="n">
        <v>0.8</v>
      </c>
      <c r="D23" s="59" t="s">
        <v>274</v>
      </c>
      <c r="E23" s="67" t="s">
        <v>275</v>
      </c>
      <c r="F23" s="67" t="s">
        <v>272</v>
      </c>
      <c r="G23" s="59" t="s">
        <v>205</v>
      </c>
      <c r="H23" s="59" t="s">
        <v>205</v>
      </c>
    </row>
    <row r="24" customFormat="false" ht="15" hidden="false" customHeight="false" outlineLevel="0" collapsed="false">
      <c r="A24" s="66" t="s">
        <v>269</v>
      </c>
      <c r="B24" s="66" t="s">
        <v>276</v>
      </c>
      <c r="C24" s="20" t="n">
        <v>10</v>
      </c>
      <c r="D24" s="59" t="s">
        <v>265</v>
      </c>
      <c r="E24" s="67" t="s">
        <v>277</v>
      </c>
      <c r="F24" s="67" t="s">
        <v>272</v>
      </c>
      <c r="G24" s="59" t="s">
        <v>205</v>
      </c>
      <c r="H24" s="59" t="s">
        <v>205</v>
      </c>
    </row>
    <row r="25" customFormat="false" ht="15" hidden="false" customHeight="false" outlineLevel="0" collapsed="false">
      <c r="A25" s="66" t="s">
        <v>269</v>
      </c>
      <c r="B25" s="66" t="s">
        <v>278</v>
      </c>
      <c r="C25" s="69" t="n">
        <v>2</v>
      </c>
      <c r="D25" s="59" t="s">
        <v>274</v>
      </c>
      <c r="E25" s="67" t="s">
        <v>279</v>
      </c>
      <c r="F25" s="67" t="s">
        <v>272</v>
      </c>
      <c r="G25" s="59" t="s">
        <v>205</v>
      </c>
      <c r="H25" s="59" t="s">
        <v>205</v>
      </c>
    </row>
    <row r="26" customFormat="false" ht="15" hidden="false" customHeight="false" outlineLevel="0" collapsed="false">
      <c r="A26" s="66" t="s">
        <v>269</v>
      </c>
      <c r="B26" s="66" t="s">
        <v>280</v>
      </c>
      <c r="C26" s="20" t="n">
        <v>90</v>
      </c>
      <c r="D26" s="59" t="s">
        <v>281</v>
      </c>
      <c r="E26" s="67" t="s">
        <v>282</v>
      </c>
      <c r="F26" s="67" t="s">
        <v>272</v>
      </c>
      <c r="G26" s="59" t="s">
        <v>205</v>
      </c>
      <c r="H26" s="59" t="s">
        <v>205</v>
      </c>
    </row>
    <row r="27" customFormat="false" ht="15" hidden="false" customHeight="false" outlineLevel="0" collapsed="false">
      <c r="A27" s="66" t="s">
        <v>269</v>
      </c>
      <c r="B27" s="66" t="s">
        <v>283</v>
      </c>
      <c r="C27" s="20" t="n">
        <v>70</v>
      </c>
      <c r="D27" s="59" t="s">
        <v>281</v>
      </c>
      <c r="E27" s="67" t="s">
        <v>284</v>
      </c>
      <c r="F27" s="67" t="s">
        <v>272</v>
      </c>
      <c r="G27" s="59" t="s">
        <v>205</v>
      </c>
      <c r="H27" s="59" t="s">
        <v>205</v>
      </c>
    </row>
    <row r="28" customFormat="false" ht="15" hidden="false" customHeight="false" outlineLevel="0" collapsed="false">
      <c r="A28" s="66" t="s">
        <v>269</v>
      </c>
      <c r="B28" s="66" t="s">
        <v>285</v>
      </c>
      <c r="C28" s="20" t="n">
        <v>10</v>
      </c>
      <c r="D28" s="59" t="s">
        <v>281</v>
      </c>
      <c r="E28" s="67" t="s">
        <v>286</v>
      </c>
      <c r="F28" s="67" t="s">
        <v>272</v>
      </c>
      <c r="G28" s="59" t="s">
        <v>205</v>
      </c>
      <c r="H28" s="59" t="s">
        <v>205</v>
      </c>
    </row>
    <row r="29" customFormat="false" ht="15" hidden="false" customHeight="false" outlineLevel="0" collapsed="false">
      <c r="A29" s="66" t="s">
        <v>158</v>
      </c>
      <c r="B29" s="66" t="s">
        <v>287</v>
      </c>
      <c r="C29" s="69" t="n">
        <v>0.1</v>
      </c>
      <c r="D29" s="59" t="s">
        <v>274</v>
      </c>
      <c r="E29" s="67" t="s">
        <v>288</v>
      </c>
      <c r="F29" s="67" t="s">
        <v>272</v>
      </c>
      <c r="G29" s="59" t="s">
        <v>205</v>
      </c>
      <c r="H29" s="59" t="s">
        <v>205</v>
      </c>
    </row>
    <row r="30" customFormat="false" ht="15" hidden="false" customHeight="false" outlineLevel="0" collapsed="false">
      <c r="A30" s="66" t="s">
        <v>158</v>
      </c>
      <c r="B30" s="66" t="s">
        <v>289</v>
      </c>
      <c r="C30" s="69" t="n">
        <v>0.1</v>
      </c>
      <c r="D30" s="59" t="s">
        <v>274</v>
      </c>
      <c r="E30" s="67" t="s">
        <v>290</v>
      </c>
      <c r="F30" s="67" t="s">
        <v>272</v>
      </c>
      <c r="G30" s="59" t="s">
        <v>205</v>
      </c>
      <c r="H30" s="59" t="s">
        <v>205</v>
      </c>
    </row>
    <row r="31" customFormat="false" ht="15" hidden="false" customHeight="false" outlineLevel="0" collapsed="false">
      <c r="A31" s="66" t="s">
        <v>291</v>
      </c>
      <c r="B31" s="66" t="s">
        <v>292</v>
      </c>
      <c r="C31" s="69" t="n">
        <v>0.05</v>
      </c>
      <c r="D31" s="59" t="s">
        <v>274</v>
      </c>
      <c r="E31" s="67" t="s">
        <v>293</v>
      </c>
      <c r="F31" s="67" t="s">
        <v>272</v>
      </c>
      <c r="G31" s="59" t="s">
        <v>205</v>
      </c>
      <c r="H31" s="59" t="s">
        <v>205</v>
      </c>
    </row>
    <row r="32" customFormat="false" ht="15" hidden="false" customHeight="false" outlineLevel="0" collapsed="false">
      <c r="A32" s="66" t="s">
        <v>291</v>
      </c>
      <c r="B32" s="66" t="s">
        <v>294</v>
      </c>
      <c r="C32" s="69" t="n">
        <v>0.5</v>
      </c>
      <c r="D32" s="59" t="s">
        <v>274</v>
      </c>
      <c r="E32" s="67" t="s">
        <v>295</v>
      </c>
      <c r="F32" s="67" t="s">
        <v>272</v>
      </c>
      <c r="G32" s="59" t="s">
        <v>205</v>
      </c>
      <c r="H32" s="59" t="s">
        <v>205</v>
      </c>
    </row>
    <row r="33" customFormat="false" ht="15" hidden="false" customHeight="false" outlineLevel="0" collapsed="false">
      <c r="A33" s="66" t="s">
        <v>296</v>
      </c>
      <c r="B33" s="66" t="s">
        <v>297</v>
      </c>
      <c r="C33" s="69" t="n">
        <v>0.9</v>
      </c>
      <c r="D33" s="59" t="s">
        <v>274</v>
      </c>
      <c r="E33" s="67" t="s">
        <v>298</v>
      </c>
      <c r="F33" s="67" t="s">
        <v>272</v>
      </c>
      <c r="G33" s="59" t="s">
        <v>205</v>
      </c>
      <c r="H33" s="59" t="s">
        <v>205</v>
      </c>
    </row>
    <row r="34" customFormat="false" ht="15" hidden="false" customHeight="false" outlineLevel="0" collapsed="false">
      <c r="A34" s="66" t="s">
        <v>296</v>
      </c>
      <c r="B34" s="66" t="s">
        <v>299</v>
      </c>
      <c r="C34" s="69" t="n">
        <v>0.1</v>
      </c>
      <c r="D34" s="59" t="s">
        <v>274</v>
      </c>
      <c r="E34" s="67" t="s">
        <v>300</v>
      </c>
      <c r="F34" s="67" t="s">
        <v>272</v>
      </c>
      <c r="G34" s="59" t="s">
        <v>205</v>
      </c>
      <c r="H34" s="59" t="s">
        <v>205</v>
      </c>
    </row>
    <row r="35" customFormat="false" ht="15" hidden="false" customHeight="false" outlineLevel="0" collapsed="false">
      <c r="A35" s="66" t="s">
        <v>301</v>
      </c>
      <c r="B35" s="66" t="s">
        <v>302</v>
      </c>
      <c r="C35" s="69" t="n">
        <v>0.1</v>
      </c>
      <c r="D35" s="59" t="s">
        <v>274</v>
      </c>
      <c r="E35" s="67" t="s">
        <v>303</v>
      </c>
      <c r="F35" s="67" t="s">
        <v>272</v>
      </c>
      <c r="G35" s="59" t="s">
        <v>205</v>
      </c>
      <c r="H35" s="59" t="s">
        <v>205</v>
      </c>
    </row>
    <row r="37" customFormat="false" ht="15" hidden="false" customHeight="false" outlineLevel="0" collapsed="false">
      <c r="A37" s="7" t="s">
        <v>304</v>
      </c>
      <c r="B37" s="7"/>
      <c r="C37" s="7"/>
      <c r="D37" s="7"/>
      <c r="E37" s="7"/>
      <c r="F37" s="7"/>
      <c r="G37" s="7"/>
      <c r="H37" s="7"/>
    </row>
    <row r="39" customFormat="false" ht="19.5" hidden="false" customHeight="true" outlineLevel="0" collapsed="false">
      <c r="A39" s="11" t="s">
        <v>305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</sheetData>
  <sheetProtection sheet="true" password="cc3d" objects="true" scenarios="true" deleteColumns="false" deleteRows="false"/>
  <mergeCells count="5">
    <mergeCell ref="A1:AD1"/>
    <mergeCell ref="A3:H3"/>
    <mergeCell ref="A4:H4"/>
    <mergeCell ref="A37:H37"/>
    <mergeCell ref="A39:A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307</v>
      </c>
    </row>
    <row r="5" customFormat="false" ht="15" hidden="false" customHeight="false" outlineLevel="0" collapsed="false">
      <c r="A5" s="70" t="s">
        <v>308</v>
      </c>
    </row>
    <row r="6" customFormat="false" ht="15" hidden="false" customHeight="false" outlineLevel="0" collapsed="false">
      <c r="A6" s="71" t="s">
        <v>309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</row>
    <row r="7" customFormat="false" ht="15" hidden="false" customHeight="false" outlineLevel="0" collapsed="false">
      <c r="A7" s="71" t="s">
        <v>310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customFormat="false" ht="15" hidden="false" customHeight="false" outlineLevel="0" collapsed="false">
      <c r="A8" s="71" t="s">
        <v>311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</row>
    <row r="9" customFormat="false" ht="15" hidden="false" customHeight="false" outlineLevel="0" collapsed="false">
      <c r="A9" s="71" t="s">
        <v>312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</row>
    <row r="10" customFormat="false" ht="15" hidden="false" customHeight="false" outlineLevel="0" collapsed="false">
      <c r="A10" s="71" t="s">
        <v>313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</row>
    <row r="11" customFormat="false" ht="15" hidden="false" customHeight="false" outlineLevel="0" collapsed="false">
      <c r="A11" s="71" t="s">
        <v>314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</row>
    <row r="12" customFormat="false" ht="15" hidden="false" customHeight="false" outlineLevel="0" collapsed="false">
      <c r="A12" s="71" t="s">
        <v>315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</row>
    <row r="13" customFormat="false" ht="15" hidden="false" customHeight="false" outlineLevel="0" collapsed="false">
      <c r="A13" s="71" t="s">
        <v>316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</row>
    <row r="14" customFormat="false" ht="15" hidden="false" customHeight="false" outlineLevel="0" collapsed="false">
      <c r="A14" s="71" t="s">
        <v>317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</row>
    <row r="15" customFormat="false" ht="15" hidden="false" customHeight="false" outlineLevel="0" collapsed="false">
      <c r="A15" s="71" t="s">
        <v>318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</row>
    <row r="16" customFormat="false" ht="15" hidden="false" customHeight="true" outlineLevel="0" collapsed="false">
      <c r="A16" s="9" t="s">
        <v>319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28" customFormat="false" ht="19.5" hidden="false" customHeight="true" outlineLevel="0" collapsed="false">
      <c r="A28" s="11" t="s">
        <v>320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</sheetData>
  <sheetProtection sheet="true" password="cc3d" objects="true" scenarios="true" deleteColumns="false" deleteRows="false"/>
  <mergeCells count="13">
    <mergeCell ref="A1:AN1"/>
    <mergeCell ref="A6:AN6"/>
    <mergeCell ref="A7:AN7"/>
    <mergeCell ref="A8:AN8"/>
    <mergeCell ref="A9:AN9"/>
    <mergeCell ref="A10:AN10"/>
    <mergeCell ref="A11:AN11"/>
    <mergeCell ref="A12:AN12"/>
    <mergeCell ref="A13:AN13"/>
    <mergeCell ref="A14:AN14"/>
    <mergeCell ref="A15:AN15"/>
    <mergeCell ref="A16:AN16"/>
    <mergeCell ref="A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2026-08-09T15:01:47Z</dcterms:created>
  <dc:creator>openpyxl</dc:creator>
  <dc:description/>
  <dc:language>tr-TR</dc:language>
  <cp:lastModifiedBy/>
  <dcterms:modified xsi:type="dcterms:W3CDTF">2026-08-09T15:01:47Z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