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A_HESAPLARI" sheetId="1" state="visible" r:id="rId1"/>
    <sheet name="KASA_HAREKETLERI" sheetId="2" state="visible" r:id="rId2"/>
    <sheet name="ODEME_TAHSILAT_TAKVIMI" sheetId="3" state="visible" r:id="rId3"/>
    <sheet name="FIZIKI_KASA_MUTABAKAT" sheetId="4" state="visible" r:id="rId4"/>
    <sheet name="GUNLUK_OZET" sheetId="5" state="visible" r:id="rId5"/>
    <sheet name="NAKIT_PROJEKSIYONU" sheetId="6" state="visible" r:id="rId6"/>
    <sheet name="KONTROLLER" sheetId="7" state="visible" r:id="rId7"/>
    <sheet name="KARAR_MOTORU" sheetId="8" state="visible" r:id="rId8"/>
    <sheet name="PANO" sheetId="9" state="visible" r:id="rId9"/>
    <sheet name="SENARYO_DUYARLILIK" sheetId="10" state="visible" r:id="rId10"/>
    <sheet name="RAPOR" sheetId="11" state="visible" r:id="rId11"/>
    <sheet name="ORNEK_VERI" sheetId="12" state="visible" r:id="rId12"/>
    <sheet name="TESTLER" sheetId="13" state="visible" r:id="rId13"/>
    <sheet name="DEGISIKLIK_KAYDI" sheetId="14" state="visible" r:id="rId14"/>
    <sheet name="LISTELER" sheetId="15" state="visible" r:id="rId15"/>
    <sheet name="AYARLAR" sheetId="16" state="visible" r:id="rId16"/>
    <sheet name="KILAVUZ" sheetId="17" state="visible" r:id="rId17"/>
  </sheets>
  <definedNames>
    <definedName name="FirmaUnvan">AYARLAR!$B$5</definedName>
    <definedName name="RaporTarihi">AYARLAR!$B$7</definedName>
    <definedName name="RaporHazirlayan">AYARLAR!$B$8</definedName>
    <definedName name="DosyaSurumu">AYARLAR!$B$10</definedName>
    <definedName name="KasaBaslangicBakiye">AYARLAR!$B$15</definedName>
    <definedName name="AsgariNakitTamponu">AYARLAR!$B$16</definedName>
    <definedName name="KritikUfukGun">AYARLAR!$B$17</definedName>
    <definedName name="KritikRiskEsik">AYARLAR!$B$18</definedName>
    <definedName name="AnomaliKatsayisi">AYARLAR!$B$19</definedName>
    <definedName name="MutabakatToleransi">AYARLAR!$B$20</definedName>
    <definedName name="MaksimumHareketTutari">AYARLAR!$B$21</definedName>
    <definedName name="IyimserTahsilat">AYARLAR!$B$22</definedName>
    <definedName name="KotumserEkOdeme">AYARLAR!$B$23</definedName>
    <definedName name="DuyarliOran">AYARLAR!$B$24</definedName>
    <definedName name="VeriKaliteYuksek">AYARLAR!$B$25</definedName>
    <definedName name="VeriKaliteOrta">AYARLAR!$B$26</definedName>
    <definedName name="HataAgirligi">AYARLAR!$B$27</definedName>
    <definedName name="UyariAgirligi">AYARLAR!$B$28</definedName>
    <definedName name="BaslangicSatir">AYARLAR!$B$29</definedName>
    <definedName name="HaftaUzunluk">AYARLAR!$B$30</definedName>
    <definedName name="KayitSayisi">KONTROLLER!$B$5</definedName>
    <definedName name="VeriKaliteSkor">KONTROLLER!$B$15</definedName>
    <definedName name="MutabakatFarkSayisi">KONTROLLER!$B$11</definedName>
    <definedName name="ToplamHesapBakiye">KARAR_MOTORU!$B$5</definedName>
    <definedName name="ToplamBloke">KARAR_MOTORU!$B$6</definedName>
    <definedName name="ToplamMinEsik">KARAR_MOTORU!$B$7</definedName>
    <definedName name="KullanilabilirNakit">KARAR_MOTORU!$B$8</definedName>
    <definedName name="NakitAcik">KARAR_MOTORU!$B$9</definedName>
    <definedName name="BekleyenOdeme">KARAR_MOTORU!$B$10</definedName>
    <definedName name="BekleyenTahsilat">KARAR_MOTORU!$B$11</definedName>
    <definedName name="KararBildirimi">KARAR_MOTORU!$B$12</definedName>
    <definedName name="KritikOdemeToplami">KARAR_MOTORU!$B$18</definedName>
    <definedName name="IlkKritikOdemeTarihi">KARAR_MOTORU!$B$19</definedName>
    <definedName name="OdenecekOnerisi">KARAR_MOTORU!$B$17</definedName>
    <definedName name="MutabakatFarki">PANO!$K$9</definedName>
    <definedName name="TahsilatArtisOrani">SENARYO_DUYARLILIK!$B$6</definedName>
    <definedName name="_xlnm.Print_Area" localSheetId="4">'GUNLUK_OZET'!$A$1:$H$120</definedName>
    <definedName name="_xlnm.Print_Area" localSheetId="8">'PANO'!$A$1:$X$120</definedName>
    <definedName name="_xlnm.Print_Area" localSheetId="10">'RAPOR'!$A$1:$J$33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dd.mm.yyyy"/>
    <numFmt numFmtId="166" formatCode="0.0%;[Red](0.0%);-"/>
    <numFmt numFmtId="167" formatCode="yyyy-mm-dd"/>
    <numFmt numFmtId="168" formatCode="0&quot; gün&quot;"/>
    <numFmt numFmtId="169" formatCode="0.0"/>
  </numFmts>
  <fonts count="2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i val="1"/>
      <color rgb="00595959"/>
      <sz val="9"/>
    </font>
    <font>
      <name val="Segoe UI"/>
      <b val="1"/>
      <color rgb="00000000"/>
      <sz val="9"/>
    </font>
    <font>
      <name val="Segoe UI"/>
      <b val="1"/>
      <color rgb="00000000"/>
      <sz val="10"/>
    </font>
    <font>
      <name val="Segoe UI"/>
      <color rgb="00006100"/>
      <sz val="10"/>
    </font>
    <font>
      <name val="Segoe UI"/>
      <b val="1"/>
      <color rgb="00000000"/>
      <sz val="11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i val="1"/>
      <color rgb="00000000"/>
      <sz val="9"/>
    </font>
    <font>
      <name val="Segoe UI"/>
      <b val="1"/>
      <color rgb="00006100"/>
      <sz val="12"/>
    </font>
    <font>
      <name val="Segoe UI"/>
      <b val="1"/>
      <color rgb="00006100"/>
      <sz val="13"/>
    </font>
    <font>
      <name val="Segoe UI"/>
      <b val="1"/>
      <color rgb="00006100"/>
      <sz val="14"/>
    </font>
    <font>
      <name val="Segoe UI"/>
      <color rgb="00C00000"/>
      <sz val="10"/>
    </font>
    <font>
      <name val="Segoe UI"/>
      <color rgb="001F7A4D"/>
      <sz val="10"/>
    </font>
    <font>
      <name val="Segoe UI"/>
      <b val="1"/>
      <color rgb="00FFFFFF"/>
      <sz val="16"/>
    </font>
    <font>
      <name val="Segoe UI"/>
      <b val="1"/>
      <color rgb="00000000"/>
      <sz val="13"/>
    </font>
    <font>
      <name val="Segoe UI"/>
      <color rgb="00000000"/>
      <sz val="9"/>
    </font>
    <font>
      <name val="Segoe UI"/>
      <i val="1"/>
      <color rgb="00006100"/>
      <sz val="9"/>
    </font>
    <font>
      <name val="Segoe UI"/>
      <i val="1"/>
      <color rgb="00000000"/>
      <sz val="8"/>
    </font>
    <font>
      <name val="Segoe UI"/>
      <i val="1"/>
      <color rgb="00000000"/>
      <sz val="10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sz val="9"/>
    </font>
    <font>
      <name val="Segoe UI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0" applyAlignment="1" applyProtection="1" pivotButton="0" quotePrefix="0" xfId="0">
      <alignment horizontal="center" vertical="center"/>
      <protection locked="0" hidden="0"/>
    </xf>
    <xf numFmtId="0" fontId="2" fillId="5" borderId="0" applyAlignment="1" applyProtection="1" pivotButton="0" quotePrefix="0" xfId="0">
      <alignment horizontal="left" vertical="center"/>
      <protection locked="0" hidden="0"/>
    </xf>
    <xf numFmtId="0" fontId="26" fillId="5" borderId="0" applyAlignment="1" applyProtection="1" pivotButton="0" quotePrefix="0" xfId="0">
      <alignment horizontal="left" vertical="center"/>
      <protection locked="0" hidden="0"/>
    </xf>
    <xf numFmtId="164" fontId="2" fillId="5" borderId="0" applyAlignment="1" applyProtection="1" pivotButton="0" quotePrefix="0" xfId="0">
      <alignment horizontal="left" vertical="center"/>
      <protection locked="0" hidden="0"/>
    </xf>
    <xf numFmtId="164" fontId="7" fillId="0" borderId="0" pivotButton="0" quotePrefix="0" xfId="0"/>
    <xf numFmtId="0" fontId="19" fillId="5" borderId="0" applyAlignment="1" applyProtection="1" pivotButton="0" quotePrefix="0" xfId="0">
      <alignment horizontal="left" vertical="center"/>
      <protection locked="0" hidden="0"/>
    </xf>
    <xf numFmtId="0" fontId="0" fillId="5" borderId="0" applyProtection="1" pivotButton="0" quotePrefix="0" xfId="0">
      <protection locked="0" hidden="0"/>
    </xf>
    <xf numFmtId="165" fontId="2" fillId="5" borderId="0" applyAlignment="1" applyProtection="1" pivotButton="0" quotePrefix="0" xfId="0">
      <alignment horizontal="left" vertical="center"/>
      <protection locked="0" hidden="0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2" fillId="7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left" vertical="center"/>
      <protection locked="0" hidden="0"/>
    </xf>
    <xf numFmtId="0" fontId="21" fillId="6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8" fontId="2" fillId="5" borderId="0" applyAlignment="1" applyProtection="1" pivotButton="0" quotePrefix="0" xfId="0">
      <alignment horizontal="left" vertical="center"/>
      <protection locked="0" hidden="0"/>
    </xf>
    <xf numFmtId="168" fontId="9" fillId="0" borderId="0" applyAlignment="1" pivotButton="0" quotePrefix="0" xfId="0">
      <alignment horizontal="left" vertical="center"/>
    </xf>
    <xf numFmtId="169" fontId="2" fillId="5" borderId="0" applyAlignment="1" applyProtection="1" pivotButton="0" quotePrefix="0" xfId="0">
      <alignment horizontal="left" vertical="center"/>
      <protection locked="0" hidden="0"/>
    </xf>
    <xf numFmtId="169" fontId="9" fillId="0" borderId="0" applyAlignment="1" pivotButton="0" quotePrefix="0" xfId="0">
      <alignment horizontal="left" vertical="center"/>
    </xf>
    <xf numFmtId="1" fontId="2" fillId="5" borderId="0" applyAlignment="1" applyProtection="1" pivotButton="0" quotePrefix="0" xfId="0">
      <alignment horizontal="left" vertical="center"/>
      <protection locked="0" hidden="0"/>
    </xf>
    <xf numFmtId="1" fontId="9" fillId="0" borderId="0" applyAlignment="1" pivotButton="0" quotePrefix="0" xfId="0">
      <alignment horizontal="left" vertical="center"/>
    </xf>
    <xf numFmtId="166" fontId="2" fillId="5" borderId="0" applyAlignment="1" applyProtection="1" pivotButton="0" quotePrefix="0" xfId="0">
      <alignment horizontal="left" vertical="center"/>
      <protection locked="0" hidden="0"/>
    </xf>
    <xf numFmtId="166" fontId="9" fillId="0" borderId="0" applyAlignment="1" pivotButton="0" quotePrefix="0" xfId="0">
      <alignment horizontal="left" vertical="center"/>
    </xf>
    <xf numFmtId="3" fontId="2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24" fillId="2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6">
    <dxf>
      <font>
        <name val="Segoe UI"/>
        <color rgb="00B3261E"/>
      </font>
      <fill>
        <patternFill patternType="solid">
          <fgColor rgb="00FDE7E9"/>
          <bgColor rgb="00FDE7E9"/>
        </patternFill>
      </fill>
    </dxf>
    <dxf>
      <font>
        <name val="Segoe UI"/>
        <color rgb="001F7A4D"/>
      </font>
    </dxf>
    <dxf>
      <font>
        <name val="Segoe UI"/>
        <color rgb="00595959"/>
      </font>
    </dxf>
    <dxf>
      <font>
        <name val="Segoe UI"/>
        <color rgb="00B3261E"/>
      </font>
    </dxf>
    <dxf>
      <font>
        <name val="Segoe UI"/>
        <color rgb="00B7791F"/>
      </font>
    </dxf>
    <dxf>
      <font>
        <name val="Segoe UI"/>
        <color rgb="00BF8F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Bekleyen Ödemelerin Öncelik Dağılımı</a:t>
            </a:r>
          </a:p>
        </rich>
      </tx>
    </title>
    <plotArea>
      <pieChart>
        <varyColors val="1"/>
        <ser>
          <idx val="0"/>
          <order val="0"/>
          <tx>
            <strRef>
              <f>'ODEME_TAHSILAT_TAKVIMI'!N4</f>
            </strRef>
          </tx>
          <spPr>
            <a:ln>
              <a:prstDash val="solid"/>
            </a:ln>
          </spPr>
          <cat>
            <numRef>
              <f>'ODEME_TAHSILAT_TAKVIMI'!$M$5:$M$8</f>
            </numRef>
          </cat>
          <val>
            <numRef>
              <f>'ODEME_TAHSILAT_TAKVIMI'!$N$5:$N$8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Haftalık Beklenen Giriş ve Çıkış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'NAKIT_PROJEKSIYONU'!C4</f>
            </strRef>
          </tx>
          <spPr>
            <a:ln>
              <a:prstDash val="solid"/>
            </a:ln>
          </spPr>
          <cat>
            <numRef>
              <f>'NAKIT_PROJEKSIYONU'!$A$5:$A$300</f>
            </numRef>
          </cat>
          <val>
            <numRef>
              <f>'NAKIT_PROJEKSIYONU'!$C$5:$C$300</f>
            </numRef>
          </val>
        </ser>
        <ser>
          <idx val="1"/>
          <order val="1"/>
          <tx>
            <strRef>
              <f>'NAKIT_PROJEKSIYONU'!D4</f>
            </strRef>
          </tx>
          <spPr>
            <a:ln>
              <a:prstDash val="solid"/>
            </a:ln>
          </spPr>
          <cat>
            <numRef>
              <f>'NAKIT_PROJEKSIYONU'!$A$5:$A$300</f>
            </numRef>
          </cat>
          <val>
            <numRef>
              <f>'NAKIT_PROJEKSIYONU'!$D$5:$D$300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Tutar (₺)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Haftalık Net ve Dönem Sonu Kasa</a:t>
            </a:r>
          </a:p>
        </rich>
      </tx>
    </title>
    <plotArea>
      <lineChart>
        <grouping val="standard"/>
        <ser>
          <idx val="0"/>
          <order val="0"/>
          <tx>
            <strRef>
              <f>'NAKIT_PROJEKSIYONU'!E4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'NAKIT_PROJEKSIYONU'!$A$5:$A$300</f>
            </numRef>
          </cat>
          <val>
            <numRef>
              <f>'NAKIT_PROJEKSIYONU'!$E$5:$E$300</f>
            </numRef>
          </val>
        </ser>
        <ser>
          <idx val="1"/>
          <order val="1"/>
          <tx>
            <strRef>
              <f>'NAKIT_PROJEKSIYONU'!F4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'NAKIT_PROJEKSIYONU'!$A$5:$A$300</f>
            </numRef>
          </cat>
          <val>
            <numRef>
              <f>'NAKIT_PROJEKSIYONU'!$F$5:$F$300</f>
            </numRef>
          </val>
        </ser>
        <ser>
          <idx val="2"/>
          <order val="2"/>
          <tx>
            <strRef>
              <f>'NAKIT_PROJEKSIYONU'!G4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'NAKIT_PROJEKSIYONU'!$A$5:$A$300</f>
            </numRef>
          </cat>
          <val>
            <numRef>
              <f>'NAKIT_PROJEKSIYONU'!$G$5:$G$300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Günlük Nakit Girişi ve Çıkışı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'GUNLUK_OZET'!B4</f>
            </strRef>
          </tx>
          <spPr>
            <a:ln>
              <a:prstDash val="solid"/>
            </a:ln>
          </spPr>
          <cat>
            <numRef>
              <f>'GUNLUK_OZET'!$A$5:$A$120</f>
            </numRef>
          </cat>
          <val>
            <numRef>
              <f>'GUNLUK_OZET'!$B$5:$B$120</f>
            </numRef>
          </val>
        </ser>
        <ser>
          <idx val="1"/>
          <order val="1"/>
          <tx>
            <strRef>
              <f>'GUNLUK_OZET'!C4</f>
            </strRef>
          </tx>
          <spPr>
            <a:ln>
              <a:prstDash val="solid"/>
            </a:ln>
          </spPr>
          <cat>
            <numRef>
              <f>'GUNLUK_OZET'!$A$5:$A$120</f>
            </numRef>
          </cat>
          <val>
            <numRef>
              <f>'GUNLUK_OZET'!$C$5:$C$120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Tarih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Tutar (₺)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Kümülatif Net Nakit</a:t>
            </a:r>
          </a:p>
        </rich>
      </tx>
    </title>
    <plotArea>
      <lineChart>
        <grouping val="standard"/>
        <ser>
          <idx val="0"/>
          <order val="0"/>
          <tx>
            <strRef>
              <f>'GUNLUK_OZET'!E4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'GUNLUK_OZET'!$A$5:$A$120</f>
            </numRef>
          </cat>
          <val>
            <numRef>
              <f>'GUNLUK_OZET'!$E$5:$E$120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Günlük Giriş / Çıkış / Net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'GUNLUK_OZET'!D4</f>
            </strRef>
          </tx>
          <spPr>
            <a:ln>
              <a:prstDash val="solid"/>
            </a:ln>
          </spPr>
          <cat>
            <numRef>
              <f>'GUNLUK_OZET'!$A$5:$A$120</f>
            </numRef>
          </cat>
          <val>
            <numRef>
              <f>'GUNLUK_OZET'!$D$5:$D$120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asaHesap" displayName="tblKasaHesap" ref="A5:K1000" headerRowCount="1">
  <tableColumns count="11">
    <tableColumn id="1" name="Hesap Kodu"/>
    <tableColumn id="2" name="Hesap Adı"/>
    <tableColumn id="3" name="Tür"/>
    <tableColumn id="4" name="Banka"/>
    <tableColumn id="5" name="IBAN"/>
    <tableColumn id="6" name="Bakiye (₺)"/>
    <tableColumn id="7" name="Bloke Tutar (₺)"/>
    <tableColumn id="8" name="Minimum Kasa Eşiği (₺)"/>
    <tableColumn id="9" name="Durum"/>
    <tableColumn id="10" name="Kullanılabilir (₺)">
      <calculatedColumnFormula>=IF($A6="","",$F6-$G6-$H6)</calculatedColumnFormula>
    </tableColumn>
    <tableColumn id="11" name="Açıklama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asaHareket" displayName="tblKasaHareket" ref="A5:N5000" headerRowCount="1">
  <tableColumns count="14">
    <tableColumn id="1" name="Tarih"/>
    <tableColumn id="2" name="Fiş Numarası"/>
    <tableColumn id="3" name="Hesap"/>
    <tableColumn id="4" name="İşlem Türü"/>
    <tableColumn id="5" name="Kategori"/>
    <tableColumn id="6" name="Alt Kategori"/>
    <tableColumn id="7" name="Karşı Taraf"/>
    <tableColumn id="8" name="Ödeme Yöntemi"/>
    <tableColumn id="9" name="Belge Numarası"/>
    <tableColumn id="10" name="Tutar (₺)"/>
    <tableColumn id="11" name="Açıklama"/>
    <tableColumn id="12" name="Net Etki (₺)">
      <calculatedColumnFormula>=IF($A6="","",IF($D6="GİRİŞ",$J6,-$J6))</calculatedColumnFormula>
    </tableColumn>
    <tableColumn id="13" name="Kontrol">
      <calculatedColumnFormula>=IF($A6="","",IF(OR($A6="",$D6="",$J6=""),"EKSİK",IF($J6&lt;=0,"SIFIR/NEGATİF",IF($J6&gt;MaksimumHareketTutari,"AŞIRI TUTAR",IF(COUNTIFS($B$6:$B$5000,$B6,$J$6:$J$5000,$J6)&gt;1,"MÜKERRER","OK")))))</calculatedColumnFormula>
    </tableColumn>
    <tableColumn id="14" name="Kayıt ID">
      <calculatedColumnFormula>=IF($A6="","",CONCATENATE(TEXT($A6,"yyyymmdd"),"-",$B6))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Takvim" displayName="tblTakvim" ref="A5:K5000" headerRowCount="1">
  <tableColumns count="11">
    <tableColumn id="1" name="Tarih"/>
    <tableColumn id="2" name="Vade"/>
    <tableColumn id="3" name="Tür"/>
    <tableColumn id="4" name="Karşı Taraf"/>
    <tableColumn id="5" name="Öncelik"/>
    <tableColumn id="6" name="Tutar (₺)"/>
    <tableColumn id="7" name="Durum"/>
    <tableColumn id="8" name="Vade Kontrolü">
      <calculatedColumnFormula>=IF($A5="","",IF(AND($B5&lt;&gt;"",$B5&lt;RaporTarihi),"VADE GEÇTİ",IF($B5="","VADE YOK","VADESİNDE")))</calculatedColumnFormula>
    </tableColumn>
    <tableColumn id="9" name="Ödeme Yöntemi"/>
    <tableColumn id="10" name="Kaynak Hesap"/>
    <tableColumn id="11" name="Açıklama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Mutabakat" displayName="tblMutabakat" ref="A5:I1000" headerRowCount="1">
  <tableColumns count="9">
    <tableColumn id="1" name="Sayım Tarihi"/>
    <tableColumn id="2" name="Sayımı Yapan"/>
    <tableColumn id="3" name="Defter Bakiyesi (₺)"/>
    <tableColumn id="4" name="Sayım Tutarı (₺)"/>
    <tableColumn id="5" name="Fark (₺)">
      <calculatedColumnFormula>=IF($A6="","",$D6-$C6)</calculatedColumnFormula>
    </tableColumn>
    <tableColumn id="6" name="Fark Oranı">
      <calculatedColumnFormula>=IF(AND($A6&lt;&gt;"",$C6&lt;&gt;0),$E6/$C6,"")</calculatedColumnFormula>
    </tableColumn>
    <tableColumn id="7" name="Sonuç">
      <calculatedColumnFormula>=IF($A6="","",IF(ABS($E6)&lt;=MutabakatToleransi,"UYUMLU","FARK VAR"))</calculatedColumnFormula>
    </tableColumn>
    <tableColumn id="8" name="Kök Neden">
      <calculatedColumnFormula>=IF($A6="","",IF(ABS($E6)&lt;=MutabakatToleransi,"UYUMLU",IF($E6&lt;0,"SAYIM EKSİK","SAYIM FAZLA")))</calculatedColumnFormula>
    </tableColumn>
    <tableColumn id="9" name="Açıklama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GunlukOzet" displayName="tblGunlukOzet" ref="A5:E5000" headerRowCount="1">
  <tableColumns count="5">
    <tableColumn id="1" name="Tarih"/>
    <tableColumn id="2" name="Toplam Giriş (₺)">
      <calculatedColumnFormula>=IF($A5="","",SUMIFS(KASA_HAREKETLERI!$J$6:$J$5000,KASA_HAREKETLERI!$A$6:$A$5000,$A5,KASA_HAREKETLERI!$D$6:$D$5000,"GİRİŞ"))</calculatedColumnFormula>
    </tableColumn>
    <tableColumn id="3" name="Toplam Çıkış (₺)">
      <calculatedColumnFormula>=IF($A5="","",SUMIFS(KASA_HAREKETLERI!$J$6:$J$5000,KASA_HAREKETLERI!$A$6:$A$5000,$A5,KASA_HAREKETLERI!$D$6:$D$5000,"ÇIKIŞ"))</calculatedColumnFormula>
    </tableColumn>
    <tableColumn id="4" name="Net (₺)">
      <calculatedColumnFormula>=IF($A5="","",$B5-$C5)</calculatedColumnFormula>
    </tableColumn>
    <tableColumn id="5" name="Kümülatif Net (₺)">
      <calculatedColumnFormula>=IF($A5="","",SUM($D$5:$D5))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Projeksiyon" displayName="tblProjeksiyon" ref="A5:G300" headerRowCount="1">
  <tableColumns count="7">
    <tableColumn id="1" name="Hafta Başlangıcı"/>
    <tableColumn id="2" name="Hafta Sonu">
      <calculatedColumnFormula>=IF($A5="","",$A5+HaftaUzunluk-1)</calculatedColumnFormula>
    </tableColumn>
    <tableColumn id="3" name="Beklenen Giriş (₺)">
      <calculatedColumnFormula>=IF($A5="","",SUMIFS(ODEME_TAHSILAT_TAKVIMI!$F$6:$F$5000,ODEME_TAHSILAT_TAKVIMI!$B$6:$B$5000,"&gt;="&amp;$A5,ODEME_TAHSILAT_TAKVIMI!$B$6:$B$5000,"&lt;="&amp;$B5,ODEME_TAHSILAT_TAKVIMI!$C$6:$C$5000,"TAHSİLAT",ODEME_TAHSILAT_TAKVIMI!$G$6:$G$5000,"BEKLEMEDE"))</calculatedColumnFormula>
    </tableColumn>
    <tableColumn id="4" name="Beklenen Çıkış (₺)">
      <calculatedColumnFormula>=IF($A5="","",SUMIFS(ODEME_TAHSILAT_TAKVIMI!$F$6:$F$5000,ODEME_TAHSILAT_TAKVIMI!$B$6:$B$5000,"&gt;="&amp;$A5,ODEME_TAHSILAT_TAKVIMI!$B$6:$B$5000,"&lt;="&amp;$B5,ODEME_TAHSILAT_TAKVIMI!$C$6:$C$5000,"ÖDEME",ODEME_TAHSILAT_TAKVIMI!$G$6:$G$5000,"BEKLEMEDE"))</calculatedColumnFormula>
    </tableColumn>
    <tableColumn id="5" name="Net (₺)">
      <calculatedColumnFormula>=IF($A5="","",$C5-$D5)</calculatedColumnFormula>
    </tableColumn>
    <tableColumn id="6" name="Dönem Başı Kasa (₺)">
      <calculatedColumnFormula>=IF($A5="","",IF(ROW()=BaslangicSatir,KasaBaslangicBakiye,$G4))</calculatedColumnFormula>
    </tableColumn>
    <tableColumn id="7" name="Dönem Sonu Kasa (₺)">
      <calculatedColumnFormula>=IF($A5="","",$F5+$E5)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3.xm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001F7A4D"/>
    <outlinePr summaryBelow="1" summaryRight="1"/>
    <pageSetUpPr/>
  </sheetPr>
  <dimension ref="A1:A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4" customWidth="1" min="4" max="4"/>
    <col width="26" customWidth="1" min="5" max="5"/>
    <col width="16" customWidth="1" min="6" max="6"/>
    <col width="16" customWidth="1" min="7" max="7"/>
    <col width="18" customWidth="1" min="8" max="8"/>
    <col width="10" customWidth="1" min="9" max="9"/>
    <col width="16" customWidth="1" min="10" max="10"/>
    <col width="42" customWidth="1" min="11" max="11"/>
    <col width="46" customWidth="1" min="12" max="12"/>
  </cols>
  <sheetData>
    <row r="1" ht="26" customHeight="1">
      <c r="A1" s="1" t="inlineStr">
        <is>
          <t>KASA HESAPLARI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Kasa ve banka hesaplarını burada tanımlayın. Bakiye, Bloke Tutar ve Minimum Kasa Eşiği sütunları günlük kullanılabilir para hesabını besler.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L3" s="5" t="inlineStr">
        <is>
          <t>Sarı hücreler elle doldurulur; Kullanılabilir sütunu otomatik hesaplanır.</t>
        </is>
      </c>
    </row>
    <row r="4" ht="30" customHeight="1">
      <c r="A4" s="6" t="inlineStr">
        <is>
          <t>Hesap Kodu</t>
        </is>
      </c>
      <c r="B4" s="6" t="inlineStr">
        <is>
          <t>Hesap Adı</t>
        </is>
      </c>
      <c r="C4" s="6" t="inlineStr">
        <is>
          <t>Tür</t>
        </is>
      </c>
      <c r="D4" s="6" t="inlineStr">
        <is>
          <t>Banka</t>
        </is>
      </c>
      <c r="E4" s="6" t="inlineStr">
        <is>
          <t>IBAN</t>
        </is>
      </c>
      <c r="F4" s="6" t="inlineStr">
        <is>
          <t>Bakiye (₺)</t>
        </is>
      </c>
      <c r="G4" s="6" t="inlineStr">
        <is>
          <t>Bloke Tutar (₺)</t>
        </is>
      </c>
      <c r="H4" s="6" t="inlineStr">
        <is>
          <t>Minimum Kasa Eşiği (₺)</t>
        </is>
      </c>
      <c r="I4" s="6" t="inlineStr">
        <is>
          <t>Durum</t>
        </is>
      </c>
      <c r="J4" s="6" t="inlineStr">
        <is>
          <t>Kullanılabilir (₺)</t>
        </is>
      </c>
      <c r="K4" s="6" t="inlineStr">
        <is>
          <t>Açıklama</t>
        </is>
      </c>
    </row>
    <row r="5"/>
    <row r="6">
      <c r="A6" s="7" t="inlineStr">
        <is>
          <t>KS-001</t>
        </is>
      </c>
      <c r="B6" s="8" t="inlineStr">
        <is>
          <t>Ana Kasa</t>
        </is>
      </c>
      <c r="C6" s="7" t="inlineStr">
        <is>
          <t>KASA</t>
        </is>
      </c>
      <c r="D6" s="8" t="inlineStr"/>
      <c r="E6" s="9" t="inlineStr"/>
      <c r="F6" s="10" t="n">
        <v>450000</v>
      </c>
      <c r="G6" s="10" t="n">
        <v>0</v>
      </c>
      <c r="H6" s="10" t="n">
        <v>50000</v>
      </c>
      <c r="I6" s="7" t="inlineStr">
        <is>
          <t>AKTİF</t>
        </is>
      </c>
      <c r="J6" s="11">
        <f>IF($A6="","",$F6-$G6-$H6)</f>
        <v/>
      </c>
      <c r="K6" s="12" t="inlineStr">
        <is>
          <t>Günlük operasyon kasası</t>
        </is>
      </c>
    </row>
    <row r="7">
      <c r="A7" s="7" t="inlineStr">
        <is>
          <t>BK-001</t>
        </is>
      </c>
      <c r="B7" s="8" t="inlineStr">
        <is>
          <t>İş Bankası Cari</t>
        </is>
      </c>
      <c r="C7" s="7" t="inlineStr">
        <is>
          <t>BANKA</t>
        </is>
      </c>
      <c r="D7" s="8" t="inlineStr">
        <is>
          <t>İŞ</t>
        </is>
      </c>
      <c r="E7" s="9" t="inlineStr">
        <is>
          <t>TR33 0006 4000 0011 1234 5678 90</t>
        </is>
      </c>
      <c r="F7" s="10" t="n">
        <v>800000</v>
      </c>
      <c r="G7" s="10" t="n">
        <v>200000</v>
      </c>
      <c r="H7" s="10" t="n">
        <v>100000</v>
      </c>
      <c r="I7" s="7" t="inlineStr">
        <is>
          <t>AKTİF</t>
        </is>
      </c>
      <c r="J7" s="11">
        <f>IF($A7="","",$F7-$G7-$H7)</f>
        <v/>
      </c>
      <c r="K7" s="12" t="inlineStr">
        <is>
          <t>Tedarikçi ödemeleri</t>
        </is>
      </c>
    </row>
    <row r="8">
      <c r="A8" s="7" t="inlineStr">
        <is>
          <t>BK-002</t>
        </is>
      </c>
      <c r="B8" s="8" t="inlineStr">
        <is>
          <t>Ziraat Vadesiz</t>
        </is>
      </c>
      <c r="C8" s="7" t="inlineStr">
        <is>
          <t>BANKA</t>
        </is>
      </c>
      <c r="D8" s="8" t="inlineStr">
        <is>
          <t>ZİRAAT</t>
        </is>
      </c>
      <c r="E8" s="9" t="inlineStr">
        <is>
          <t>TR12 0001 0000 0000 4321 0987 65</t>
        </is>
      </c>
      <c r="F8" s="10" t="n">
        <v>250000</v>
      </c>
      <c r="G8" s="10" t="n">
        <v>0</v>
      </c>
      <c r="H8" s="10" t="n">
        <v>50000</v>
      </c>
      <c r="I8" s="7" t="inlineStr">
        <is>
          <t>AKTİF</t>
        </is>
      </c>
      <c r="J8" s="11">
        <f>IF($A8="","",$F8-$G8-$H8)</f>
        <v/>
      </c>
      <c r="K8" s="12" t="inlineStr">
        <is>
          <t>Vergi ve SGK ödemeleri</t>
        </is>
      </c>
    </row>
    <row r="9">
      <c r="A9" s="7" t="inlineStr">
        <is>
          <t>BK-003</t>
        </is>
      </c>
      <c r="B9" s="8" t="inlineStr">
        <is>
          <t>Garanti Kredi Hesabı</t>
        </is>
      </c>
      <c r="C9" s="7" t="inlineStr">
        <is>
          <t>BANKA</t>
        </is>
      </c>
      <c r="D9" s="8" t="inlineStr">
        <is>
          <t>GARANTİ</t>
        </is>
      </c>
      <c r="E9" s="9" t="inlineStr">
        <is>
          <t>TR45 0006 2000 0000 9988 7766 55</t>
        </is>
      </c>
      <c r="F9" s="10" t="n">
        <v>150000</v>
      </c>
      <c r="G9" s="10" t="n">
        <v>150000</v>
      </c>
      <c r="H9" s="10" t="n">
        <v>0</v>
      </c>
      <c r="I9" s="7" t="inlineStr">
        <is>
          <t>PASİF</t>
        </is>
      </c>
      <c r="J9" s="11">
        <f>IF($A9="","",$F9-$G9-$H9)</f>
        <v/>
      </c>
      <c r="K9" s="12" t="inlineStr">
        <is>
          <t>Kredi kullandırımı pasif</t>
        </is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K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K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K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K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K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K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K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K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K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K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K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K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K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K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K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K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K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K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K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K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K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K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K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K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K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K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K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K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K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K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K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K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K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K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K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K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K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K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K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K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K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K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K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K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K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K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K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K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K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K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K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K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K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K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K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K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K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K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K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K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K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K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K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K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K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K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K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K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K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K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K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K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K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K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K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K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K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K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K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K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K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K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K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K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K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K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K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K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K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K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K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K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K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K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K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K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K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K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K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K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K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K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K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K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K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K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K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K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K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K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K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K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K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K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K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K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K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K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K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K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K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K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K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K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K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K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K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K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K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K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K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K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K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K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K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K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K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K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K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K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K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K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K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K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K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K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K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K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K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K200" s="1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L1"/>
  </mergeCells>
  <conditionalFormatting sqref="H6:H1000">
    <cfRule type="cellIs" priority="1" operator="lessThan" dxfId="0">
      <formula>0</formula>
    </cfRule>
    <cfRule type="cellIs" priority="2" operator="equal" dxfId="1">
      <formula>"AKTİF"</formula>
    </cfRule>
    <cfRule type="cellIs" priority="3" operator="equal" dxfId="2">
      <formula>"PASİF"</formula>
    </cfRule>
  </conditionalFormatting>
  <dataValidations count="5">
    <dataValidation sqref="C6:C1000" showDropDown="0" showInputMessage="1" showErrorMessage="1" allowBlank="1" errorTitle="Geçersiz Tür" error="Hesap türü yalnızca KASA veya BANKA olabilir." promptTitle="Hesap Türü" prompt="KASA veya BANKA seçin." type="list" errorStyle="stop">
      <formula1>"KASA,BANKA"</formula1>
    </dataValidation>
    <dataValidation sqref="I6:I1000" showDropDown="0" showInputMessage="1" showErrorMessage="1" allowBlank="1" errorTitle="Geçersiz Durum" error="Durum yalnızca AKTİF veya PASİF olabilir." promptTitle="Hesap Durumu" prompt="AKTİF hesaplar kullanılabilir para toplamına girer." type="list" errorStyle="stop">
      <formula1>"AKTİF,PASİF"</formula1>
    </dataValidation>
    <dataValidation sqref="F6:F1000" showDropDown="0" showInputMessage="1" showErrorMessage="1" allowBlank="1" errorTitle="Geçersiz Bakiye" error="Bakiye negatif olamaz." promptTitle="Bakiye" prompt="Hesabın güncel bakiyesini TL olarak girin." type="decimal" errorStyle="stop" operator="greaterThanOrEqual">
      <formula1>0</formula1>
    </dataValidation>
    <dataValidation sqref="G6:G1000" showDropDown="0" showInputMessage="1" showErrorMessage="1" allowBlank="1" errorTitle="Geçersiz Tutar" error="Bloke tutar negatif olamaz." promptTitle="Bloke Tutar" prompt="Rehin, teminat veya bloke edilmiş tutarı girin." type="decimal" errorStyle="stop" operator="greaterThanOrEqual">
      <formula1>0</formula1>
    </dataValidation>
    <dataValidation sqref="H6:H1000" showDropDown="0" showInputMessage="1" showErrorMessage="1" allowBlank="1" errorTitle="Geçersiz Eşik" error="Eşik negatif olamaz." promptTitle="Minimum Kasa Eşiği" prompt="Hesapta sürekli kalması gereken asgari tutar.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8" customWidth="1" min="5" max="5"/>
    <col width="18" customWidth="1" min="6" max="6"/>
    <col width="26" customWidth="1" min="7" max="7"/>
    <col width="16" customWidth="1" min="8" max="8"/>
    <col width="14" customWidth="1" min="9" max="9"/>
    <col width="14" customWidth="1" min="10" max="10"/>
    <col width="42" customWidth="1" min="11" max="11"/>
    <col width="14" customWidth="1" min="12" max="12"/>
    <col width="14" customWidth="1" min="13" max="13"/>
    <col width="16" customWidth="1" min="14" max="14"/>
  </cols>
  <sheetData>
    <row r="1" ht="26" customHeight="1">
      <c r="A1" s="1" t="inlineStr">
        <is>
          <t>KASA HAREKETLERI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Tüm kasa ve banka hareketleri burada toplanır. İşlem Türü GİRİŞ veya ÇIKIŞ; kategori LISTELER'den, hesap KASA_HESAPLARI'ndan gelir. Net Etki ve Kontrol sütunları otomatiktir.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 ht="30" customHeight="1">
      <c r="A4" s="6" t="inlineStr">
        <is>
          <t>Tarih</t>
        </is>
      </c>
      <c r="B4" s="6" t="inlineStr">
        <is>
          <t>Fiş Numarası</t>
        </is>
      </c>
      <c r="C4" s="6" t="inlineStr">
        <is>
          <t>Hesap</t>
        </is>
      </c>
      <c r="D4" s="6" t="inlineStr">
        <is>
          <t>İşlem Türü</t>
        </is>
      </c>
      <c r="E4" s="6" t="inlineStr">
        <is>
          <t>Kategori</t>
        </is>
      </c>
      <c r="F4" s="6" t="inlineStr">
        <is>
          <t>Alt Kategori</t>
        </is>
      </c>
      <c r="G4" s="6" t="inlineStr">
        <is>
          <t>Karşı Taraf</t>
        </is>
      </c>
      <c r="H4" s="6" t="inlineStr">
        <is>
          <t>Ödeme Yöntemi</t>
        </is>
      </c>
      <c r="I4" s="6" t="inlineStr">
        <is>
          <t>Belge Numarası</t>
        </is>
      </c>
      <c r="J4" s="6" t="inlineStr">
        <is>
          <t>Tutar (₺)</t>
        </is>
      </c>
      <c r="K4" s="6" t="inlineStr">
        <is>
          <t>Açıklama</t>
        </is>
      </c>
      <c r="L4" s="6" t="inlineStr">
        <is>
          <t>Net Etki (₺)</t>
        </is>
      </c>
      <c r="M4" s="6" t="inlineStr">
        <is>
          <t>Kontrol</t>
        </is>
      </c>
      <c r="N4" s="6" t="inlineStr">
        <is>
          <t>Kayıt ID</t>
        </is>
      </c>
    </row>
    <row r="5"/>
    <row r="6">
      <c r="A6" s="14" t="n">
        <v>46204</v>
      </c>
      <c r="B6" s="8" t="inlineStr">
        <is>
          <t>FİŞ-0001</t>
        </is>
      </c>
      <c r="C6" s="8" t="inlineStr">
        <is>
          <t>KS-001</t>
        </is>
      </c>
      <c r="D6" s="7" t="inlineStr">
        <is>
          <t>GİRİŞ</t>
        </is>
      </c>
      <c r="E6" s="8" t="inlineStr">
        <is>
          <t>SATIŞ</t>
        </is>
      </c>
      <c r="F6" s="8" t="inlineStr">
        <is>
          <t>TİCARİ MAL</t>
        </is>
      </c>
      <c r="G6" s="8" t="inlineStr">
        <is>
          <t>Yıldız Market</t>
        </is>
      </c>
      <c r="H6" s="8" t="inlineStr">
        <is>
          <t>NAKİT</t>
        </is>
      </c>
      <c r="I6" s="8" t="inlineStr">
        <is>
          <t>SAT-001</t>
        </is>
      </c>
      <c r="J6" s="10" t="n">
        <v>120000</v>
      </c>
      <c r="K6" s="12" t="inlineStr">
        <is>
          <t>Toptan satış tahsilatı</t>
        </is>
      </c>
    </row>
    <row r="7">
      <c r="A7" s="14" t="n">
        <v>46205</v>
      </c>
      <c r="B7" s="8" t="inlineStr">
        <is>
          <t>FİŞ-0002</t>
        </is>
      </c>
      <c r="C7" s="8" t="inlineStr">
        <is>
          <t>KS-001</t>
        </is>
      </c>
      <c r="D7" s="7" t="inlineStr">
        <is>
          <t>ÇIKIŞ</t>
        </is>
      </c>
      <c r="E7" s="8" t="inlineStr">
        <is>
          <t>ALIM</t>
        </is>
      </c>
      <c r="F7" s="8" t="inlineStr">
        <is>
          <t>HAMMADDE</t>
        </is>
      </c>
      <c r="G7" s="8" t="inlineStr">
        <is>
          <t>Tarım Ürünleri A.Ş.</t>
        </is>
      </c>
      <c r="H7" s="8" t="inlineStr">
        <is>
          <t>HAVALE</t>
        </is>
      </c>
      <c r="I7" s="8" t="inlineStr">
        <is>
          <t>AL-001</t>
        </is>
      </c>
      <c r="J7" s="10" t="n">
        <v>90000</v>
      </c>
      <c r="K7" s="12" t="inlineStr">
        <is>
          <t>Hammadde alımı</t>
        </is>
      </c>
    </row>
    <row r="8">
      <c r="A8" s="14" t="n">
        <v>46206</v>
      </c>
      <c r="B8" s="8" t="inlineStr">
        <is>
          <t>FİŞ-0003</t>
        </is>
      </c>
      <c r="C8" s="8" t="inlineStr">
        <is>
          <t>BK-001</t>
        </is>
      </c>
      <c r="D8" s="7" t="inlineStr">
        <is>
          <t>GİRİŞ</t>
        </is>
      </c>
      <c r="E8" s="8" t="inlineStr">
        <is>
          <t>TAHSİLAT</t>
        </is>
      </c>
      <c r="F8" s="8" t="inlineStr">
        <is>
          <t>TİCARİ MAL</t>
        </is>
      </c>
      <c r="G8" s="8" t="inlineStr">
        <is>
          <t>Mega Market</t>
        </is>
      </c>
      <c r="H8" s="8" t="inlineStr">
        <is>
          <t>HAVALE</t>
        </is>
      </c>
      <c r="I8" s="8" t="inlineStr">
        <is>
          <t>TAH-001</t>
        </is>
      </c>
      <c r="J8" s="10" t="n">
        <v>85000</v>
      </c>
      <c r="K8" s="12" t="inlineStr">
        <is>
          <t>Cari hesap tahsilatı</t>
        </is>
      </c>
    </row>
    <row r="9">
      <c r="A9" s="14" t="n">
        <v>46208</v>
      </c>
      <c r="B9" s="8" t="inlineStr">
        <is>
          <t>FİŞ-0004</t>
        </is>
      </c>
      <c r="C9" s="8" t="inlineStr">
        <is>
          <t>BK-001</t>
        </is>
      </c>
      <c r="D9" s="7" t="inlineStr">
        <is>
          <t>ÇIKIŞ</t>
        </is>
      </c>
      <c r="E9" s="8" t="inlineStr">
        <is>
          <t>MAAŞ</t>
        </is>
      </c>
      <c r="F9" s="8" t="inlineStr">
        <is>
          <t>PERSONEL</t>
        </is>
      </c>
      <c r="G9" s="8" t="inlineStr">
        <is>
          <t>Personel</t>
        </is>
      </c>
      <c r="H9" s="8" t="inlineStr">
        <is>
          <t>EFT</t>
        </is>
      </c>
      <c r="I9" s="8" t="inlineStr">
        <is>
          <t>PER-001</t>
        </is>
      </c>
      <c r="J9" s="10" t="n">
        <v>180000</v>
      </c>
      <c r="K9" s="12" t="inlineStr">
        <is>
          <t>Temmuz maaş ödemesi</t>
        </is>
      </c>
    </row>
    <row r="10">
      <c r="A10" s="14" t="n">
        <v>46210</v>
      </c>
      <c r="B10" s="8" t="inlineStr">
        <is>
          <t>FİŞ-0005</t>
        </is>
      </c>
      <c r="C10" s="8" t="inlineStr">
        <is>
          <t>BK-002</t>
        </is>
      </c>
      <c r="D10" s="7" t="inlineStr">
        <is>
          <t>ÇIKIŞ</t>
        </is>
      </c>
      <c r="E10" s="8" t="inlineStr">
        <is>
          <t>VERGİ</t>
        </is>
      </c>
      <c r="F10" s="8" t="inlineStr">
        <is>
          <t>OFİS</t>
        </is>
      </c>
      <c r="G10" s="8" t="inlineStr">
        <is>
          <t>Vergi Dairesi</t>
        </is>
      </c>
      <c r="H10" s="8" t="inlineStr">
        <is>
          <t>EFT</t>
        </is>
      </c>
      <c r="I10" s="8" t="inlineStr">
        <is>
          <t>VGN-001</t>
        </is>
      </c>
      <c r="J10" s="10" t="n">
        <v>60000</v>
      </c>
      <c r="K10" s="12" t="inlineStr">
        <is>
          <t>Geçici vergi</t>
        </is>
      </c>
    </row>
    <row r="11">
      <c r="A11" s="14" t="n">
        <v>46211</v>
      </c>
      <c r="B11" s="8" t="inlineStr">
        <is>
          <t>FİŞ-0006</t>
        </is>
      </c>
      <c r="C11" s="8" t="inlineStr">
        <is>
          <t>KS-001</t>
        </is>
      </c>
      <c r="D11" s="7" t="inlineStr">
        <is>
          <t>GİRİŞ</t>
        </is>
      </c>
      <c r="E11" s="8" t="inlineStr">
        <is>
          <t>SATIŞ</t>
        </is>
      </c>
      <c r="F11" s="8" t="inlineStr">
        <is>
          <t>PERAKENDE</t>
        </is>
      </c>
      <c r="G11" s="8" t="inlineStr">
        <is>
          <t>Müşteriler</t>
        </is>
      </c>
      <c r="H11" s="8" t="inlineStr">
        <is>
          <t>NAKİT</t>
        </is>
      </c>
      <c r="I11" s="8" t="inlineStr">
        <is>
          <t>SAT-002</t>
        </is>
      </c>
      <c r="J11" s="10" t="n">
        <v>45000</v>
      </c>
      <c r="K11" s="12" t="inlineStr">
        <is>
          <t>Perakende satış</t>
        </is>
      </c>
    </row>
    <row r="12">
      <c r="A12" s="14" t="n">
        <v>46213</v>
      </c>
      <c r="B12" s="8" t="inlineStr">
        <is>
          <t>FİŞ-0007</t>
        </is>
      </c>
      <c r="C12" s="8" t="inlineStr">
        <is>
          <t>BK-001</t>
        </is>
      </c>
      <c r="D12" s="7" t="inlineStr">
        <is>
          <t>ÇIKIŞ</t>
        </is>
      </c>
      <c r="E12" s="8" t="inlineStr">
        <is>
          <t>KİRA</t>
        </is>
      </c>
      <c r="F12" s="8" t="inlineStr">
        <is>
          <t>OFİS</t>
        </is>
      </c>
      <c r="G12" s="8" t="inlineStr">
        <is>
          <t>Depo Sahibi</t>
        </is>
      </c>
      <c r="H12" s="8" t="inlineStr">
        <is>
          <t>HAVALE</t>
        </is>
      </c>
      <c r="I12" s="8" t="inlineStr">
        <is>
          <t>KIR-001</t>
        </is>
      </c>
      <c r="J12" s="10" t="n">
        <v>75000</v>
      </c>
      <c r="K12" s="12" t="inlineStr">
        <is>
          <t>Depo ve ofis kirası</t>
        </is>
      </c>
    </row>
    <row r="13">
      <c r="A13" s="14" t="n">
        <v>46215</v>
      </c>
      <c r="B13" s="8" t="inlineStr">
        <is>
          <t>FİŞ-0008</t>
        </is>
      </c>
      <c r="C13" s="8" t="inlineStr">
        <is>
          <t>BK-001</t>
        </is>
      </c>
      <c r="D13" s="7" t="inlineStr">
        <is>
          <t>ÇIKIŞ</t>
        </is>
      </c>
      <c r="E13" s="8" t="inlineStr">
        <is>
          <t>SGK PRİMİ</t>
        </is>
      </c>
      <c r="F13" s="8" t="inlineStr">
        <is>
          <t>PERSONEL</t>
        </is>
      </c>
      <c r="G13" s="8" t="inlineStr">
        <is>
          <t>SGK</t>
        </is>
      </c>
      <c r="H13" s="8" t="inlineStr">
        <is>
          <t>EFT</t>
        </is>
      </c>
      <c r="I13" s="8" t="inlineStr">
        <is>
          <t>SGK-001</t>
        </is>
      </c>
      <c r="J13" s="10" t="n">
        <v>52000</v>
      </c>
      <c r="K13" s="12" t="inlineStr">
        <is>
          <t>SGK primi ödemesi</t>
        </is>
      </c>
    </row>
    <row r="14">
      <c r="A14" s="14" t="n">
        <v>46218</v>
      </c>
      <c r="B14" s="8" t="inlineStr">
        <is>
          <t>FİŞ-0009</t>
        </is>
      </c>
      <c r="C14" s="8" t="inlineStr">
        <is>
          <t>BK-001</t>
        </is>
      </c>
      <c r="D14" s="7" t="inlineStr">
        <is>
          <t>ÇIKIŞ</t>
        </is>
      </c>
      <c r="E14" s="8" t="inlineStr">
        <is>
          <t>KREDİ TAKSİDİ</t>
        </is>
      </c>
      <c r="F14" s="8" t="inlineStr">
        <is>
          <t>OFİS</t>
        </is>
      </c>
      <c r="G14" s="8" t="inlineStr">
        <is>
          <t>Garanti Bankası</t>
        </is>
      </c>
      <c r="H14" s="8" t="inlineStr">
        <is>
          <t>EFT</t>
        </is>
      </c>
      <c r="I14" s="8" t="inlineStr">
        <is>
          <t>KRD-001</t>
        </is>
      </c>
      <c r="J14" s="10" t="n">
        <v>120000</v>
      </c>
      <c r="K14" s="12" t="inlineStr">
        <is>
          <t>Kredi taksiti</t>
        </is>
      </c>
    </row>
    <row r="15">
      <c r="A15" s="14" t="n">
        <v>46219</v>
      </c>
      <c r="B15" s="8" t="inlineStr">
        <is>
          <t>FİŞ-0010</t>
        </is>
      </c>
      <c r="C15" s="8" t="inlineStr">
        <is>
          <t>KS-001</t>
        </is>
      </c>
      <c r="D15" s="7" t="inlineStr">
        <is>
          <t>GİRİŞ</t>
        </is>
      </c>
      <c r="E15" s="8" t="inlineStr">
        <is>
          <t>TAHSİLAT</t>
        </is>
      </c>
      <c r="F15" s="8" t="inlineStr">
        <is>
          <t>HİZMET</t>
        </is>
      </c>
      <c r="G15" s="8" t="inlineStr">
        <is>
          <t>Orion Lojistik</t>
        </is>
      </c>
      <c r="H15" s="8" t="inlineStr">
        <is>
          <t>ÇEK</t>
        </is>
      </c>
      <c r="I15" s="8" t="inlineStr">
        <is>
          <t>TAH-002</t>
        </is>
      </c>
      <c r="J15" s="10" t="n">
        <v>95000</v>
      </c>
      <c r="K15" s="12" t="inlineStr">
        <is>
          <t>Hizmet tahsilatı</t>
        </is>
      </c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2:AN2"/>
  </mergeCells>
  <conditionalFormatting sqref="F6:F5000">
    <cfRule type="cellIs" priority="1" operator="equal" dxfId="1">
      <formula>"GİRİŞ"</formula>
    </cfRule>
    <cfRule type="cellIs" priority="2" operator="equal" dxfId="3">
      <formula>"ÇIKIŞ"</formula>
    </cfRule>
  </conditionalFormatting>
  <conditionalFormatting sqref="L6:L5000">
    <cfRule type="cellIs" priority="3" operator="greaterThan" dxfId="1">
      <formula>0</formula>
    </cfRule>
    <cfRule type="cellIs" priority="4" operator="lessThan" dxfId="3">
      <formula>0</formula>
    </cfRule>
  </conditionalFormatting>
  <conditionalFormatting sqref="M6:M5000">
    <cfRule type="cellIs" priority="5" operator="equal" dxfId="1">
      <formula>"OK"</formula>
    </cfRule>
    <cfRule type="cellIs" priority="6" operator="equal" dxfId="4">
      <formula>"EKSİK"</formula>
    </cfRule>
    <cfRule type="cellIs" priority="7" operator="equal" dxfId="0">
      <formula>"MÜKERRER"</formula>
    </cfRule>
    <cfRule type="cellIs" priority="8" operator="equal" dxfId="3">
      <formula>"SIFIR/NEGATİF"</formula>
    </cfRule>
    <cfRule type="cellIs" priority="9" operator="equal" dxfId="0">
      <formula>"AŞIRI TUTAR"</formula>
    </cfRule>
  </conditionalFormatting>
  <dataValidations count="6">
    <dataValidation sqref="D6:D5000" showDropDown="0" showInputMessage="1" showErrorMessage="1" allowBlank="1" errorTitle="Geçersiz İşlem Türü" error="İşlem türü yalnızca GİRİŞ veya ÇIKIŞ olabilir." promptTitle="İşlem Türü" prompt="Para girişi ise GİRİŞ, çıkış ise ÇIKIŞ seçin." type="list" errorStyle="stop">
      <formula1>"GİRİŞ,ÇIKIŞ"</formula1>
    </dataValidation>
    <dataValidation sqref="E6:E5000" showDropDown="0" showInputMessage="1" showErrorMessage="1" allowBlank="1" errorTitle="Geçersiz Kategori" error="Kategoriyi LISTELER sayfasındaki listeden seçin." promptTitle="Kategori" prompt="Hareketin ait olduğu gelir veya gider kategorisini seçin." type="list" errorStyle="stop">
      <formula1>LISTELER!$B$4:$B$30</formula1>
    </dataValidation>
    <dataValidation sqref="F6:F5000" showDropDown="0" showInputMessage="1" showErrorMessage="1" allowBlank="1" errorTitle="Geçersiz Alt Kategori" error="Alt kategoriyi listeden seçin." promptTitle="Alt Kategori" prompt="Opsiyonel alt kategori seçin." type="list" errorStyle="stop">
      <formula1>LISTELER!$C$4:$C$30</formula1>
    </dataValidation>
    <dataValidation sqref="H6:H5000" showDropDown="0" showInputMessage="1" showErrorMessage="1" allowBlank="1" errorTitle="Geçersiz Yöntem" error="Ödeme yöntemini listeden seçin." promptTitle="Ödeme Yöntemi" prompt="Nakit, havale veya kart ile yapılan ödeme türü." type="list" errorStyle="stop">
      <formula1>LISTELER!$D$4:$D$15</formula1>
    </dataValidation>
    <dataValidation sqref="C6:C5000" showDropDown="0" showInputMessage="1" showErrorMessage="1" allowBlank="1" errorTitle="Geçersiz Hesap" error="Hesabı KASA_HESAPLARI sayfasından seçin." promptTitle="Hesap" prompt="Hareketin gerçekleştiği kasa veya banka hesabı." type="list" errorStyle="stop">
      <formula1>KASA_HESAPLARI!$A$6:$A$1000</formula1>
    </dataValidation>
    <dataValidation sqref="J6:J5000" showDropDown="0" showInputMessage="1" showErrorMessage="1" allowBlank="1" errorTitle="Geçersiz Tutar" error="Tutar pozitif bir sayı olmalıdır." promptTitle="Tutar" prompt="Hareket tutarını TL olarak, sıfırdan büyük girin." type="decimal" errorStyle="stop" operator="greaterThan">
      <formula1>1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  <col width="42" customWidth="1" min="11" max="11"/>
  </cols>
  <sheetData>
    <row r="1" ht="26" customHeight="1">
      <c r="A1" s="1" t="inlineStr">
        <is>
          <t>ODEME TAHSILAT TAKVIMI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Vadesi gelen veya gelecek tüm ödemeler ve tahsilatlar burada takip edilir. Öncelik ve Durum, karar motorunu ve ödeme önerisini besler.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 ht="30" customHeight="1">
      <c r="A4" s="6" t="inlineStr">
        <is>
          <t>Tarih</t>
        </is>
      </c>
      <c r="B4" s="6" t="inlineStr">
        <is>
          <t>Vade</t>
        </is>
      </c>
      <c r="C4" s="6" t="inlineStr">
        <is>
          <t>Tür</t>
        </is>
      </c>
      <c r="D4" s="6" t="inlineStr">
        <is>
          <t>Karşı Taraf</t>
        </is>
      </c>
      <c r="E4" s="6" t="inlineStr">
        <is>
          <t>Öncelik</t>
        </is>
      </c>
      <c r="F4" s="6" t="inlineStr">
        <is>
          <t>Tutar (₺)</t>
        </is>
      </c>
      <c r="G4" s="6" t="inlineStr">
        <is>
          <t>Durum</t>
        </is>
      </c>
      <c r="H4" s="6" t="inlineStr">
        <is>
          <t>Vade Kontrolü</t>
        </is>
      </c>
      <c r="I4" s="6" t="inlineStr">
        <is>
          <t>Ödeme Yöntemi</t>
        </is>
      </c>
      <c r="J4" s="6" t="inlineStr">
        <is>
          <t>Kaynak Hesap</t>
        </is>
      </c>
      <c r="K4" s="6" t="inlineStr">
        <is>
          <t>Açıklama</t>
        </is>
      </c>
      <c r="M4" s="15" t="inlineStr">
        <is>
          <t>Öncelik</t>
        </is>
      </c>
      <c r="N4" s="15" t="inlineStr">
        <is>
          <t>Bekleyen Ödeme (₺)</t>
        </is>
      </c>
    </row>
    <row r="5">
      <c r="M5" s="16" t="inlineStr">
        <is>
          <t>KRİTİK</t>
        </is>
      </c>
      <c r="N5" s="17">
        <f>IF(KayitSayisi=0,"",SUMIFS($F$6:$F$5000,$E$6:$E$5000,"KRİTİK",$G$6:$G$5000,"BEKLEMEDE",$C$6:$C$5000,"ÖDEME"))</f>
        <v/>
      </c>
    </row>
    <row r="6">
      <c r="A6" s="14" t="n">
        <v>46244</v>
      </c>
      <c r="B6" s="14" t="n">
        <v>46244</v>
      </c>
      <c r="C6" s="7" t="inlineStr">
        <is>
          <t>ÖDEME</t>
        </is>
      </c>
      <c r="D6" s="8" t="inlineStr">
        <is>
          <t>Vergi Dairesi</t>
        </is>
      </c>
      <c r="E6" s="7" t="inlineStr">
        <is>
          <t>KRİTİK</t>
        </is>
      </c>
      <c r="F6" s="10" t="n">
        <v>80000</v>
      </c>
      <c r="G6" s="7" t="inlineStr">
        <is>
          <t>BEKLEMEDE</t>
        </is>
      </c>
      <c r="I6" s="8" t="inlineStr">
        <is>
          <t>EFT</t>
        </is>
      </c>
      <c r="J6" s="8" t="inlineStr">
        <is>
          <t>BK-002</t>
        </is>
      </c>
      <c r="K6" s="12" t="inlineStr">
        <is>
          <t>Muhtasar ve KDV</t>
        </is>
      </c>
      <c r="M6" s="16" t="inlineStr">
        <is>
          <t>YÜKSEK</t>
        </is>
      </c>
      <c r="N6" s="17">
        <f>IF(KayitSayisi=0,"",SUMIFS($F$6:$F$5000,$E$6:$E$5000,"YÜKSEK",$G$6:$G$5000,"BEKLEMEDE",$C$6:$C$5000,"ÖDEME"))</f>
        <v/>
      </c>
    </row>
    <row r="7">
      <c r="A7" s="14" t="n">
        <v>46246</v>
      </c>
      <c r="B7" s="14" t="n">
        <v>46246</v>
      </c>
      <c r="C7" s="7" t="inlineStr">
        <is>
          <t>TAHSİLAT</t>
        </is>
      </c>
      <c r="D7" s="8" t="inlineStr">
        <is>
          <t>Mega Market</t>
        </is>
      </c>
      <c r="E7" s="7" t="inlineStr">
        <is>
          <t>KRİTİK</t>
        </is>
      </c>
      <c r="F7" s="10" t="n">
        <v>200000</v>
      </c>
      <c r="G7" s="7" t="inlineStr">
        <is>
          <t>BEKLEMEDE</t>
        </is>
      </c>
      <c r="I7" s="8" t="inlineStr">
        <is>
          <t>HAVALE</t>
        </is>
      </c>
      <c r="J7" s="8" t="inlineStr">
        <is>
          <t>BK-001</t>
        </is>
      </c>
      <c r="K7" s="12" t="inlineStr">
        <is>
          <t>Cari tahsilat</t>
        </is>
      </c>
      <c r="M7" s="16" t="inlineStr">
        <is>
          <t>ORTA</t>
        </is>
      </c>
      <c r="N7" s="17">
        <f>IF(KayitSayisi=0,"",SUMIFS($F$6:$F$5000,$E$6:$E$5000,"ORTA",$G$6:$G$5000,"BEKLEMEDE",$C$6:$C$5000,"ÖDEME"))</f>
        <v/>
      </c>
    </row>
    <row r="8">
      <c r="A8" s="14" t="n">
        <v>46249</v>
      </c>
      <c r="B8" s="14" t="n">
        <v>46249</v>
      </c>
      <c r="C8" s="7" t="inlineStr">
        <is>
          <t>ÖDEME</t>
        </is>
      </c>
      <c r="D8" s="8" t="inlineStr">
        <is>
          <t>Tarım Ürünleri A.Ş.</t>
        </is>
      </c>
      <c r="E8" s="7" t="inlineStr">
        <is>
          <t>YÜKSEK</t>
        </is>
      </c>
      <c r="F8" s="10" t="n">
        <v>150000</v>
      </c>
      <c r="G8" s="7" t="inlineStr">
        <is>
          <t>BEKLEMEDE</t>
        </is>
      </c>
      <c r="I8" s="8" t="inlineStr">
        <is>
          <t>HAVALE</t>
        </is>
      </c>
      <c r="J8" s="8" t="inlineStr">
        <is>
          <t>BK-001</t>
        </is>
      </c>
      <c r="K8" s="12" t="inlineStr">
        <is>
          <t>Hammadde ödemesi</t>
        </is>
      </c>
      <c r="M8" s="16" t="inlineStr">
        <is>
          <t>DÜŞÜK</t>
        </is>
      </c>
      <c r="N8" s="17">
        <f>IF(KayitSayisi=0,"",SUMIFS($F$6:$F$5000,$E$6:$E$5000,"DÜŞÜK",$G$6:$G$5000,"BEKLEMEDE",$C$6:$C$5000,"ÖDEME"))</f>
        <v/>
      </c>
    </row>
    <row r="9">
      <c r="A9" s="14" t="n">
        <v>46254</v>
      </c>
      <c r="B9" s="14" t="n">
        <v>46254</v>
      </c>
      <c r="C9" s="7" t="inlineStr">
        <is>
          <t>ÖDEME</t>
        </is>
      </c>
      <c r="D9" s="8" t="inlineStr">
        <is>
          <t>Personel</t>
        </is>
      </c>
      <c r="E9" s="7" t="inlineStr">
        <is>
          <t>KRİTİK</t>
        </is>
      </c>
      <c r="F9" s="10" t="n">
        <v>180000</v>
      </c>
      <c r="G9" s="7" t="inlineStr">
        <is>
          <t>BEKLEMEDE</t>
        </is>
      </c>
      <c r="I9" s="8" t="inlineStr">
        <is>
          <t>EFT</t>
        </is>
      </c>
      <c r="J9" s="8" t="inlineStr">
        <is>
          <t>BK-001</t>
        </is>
      </c>
      <c r="K9" s="12" t="inlineStr">
        <is>
          <t>Ağustos maaşları</t>
        </is>
      </c>
    </row>
    <row r="10">
      <c r="A10" s="14" t="n">
        <v>46259</v>
      </c>
      <c r="B10" s="14" t="n">
        <v>46259</v>
      </c>
      <c r="C10" s="7" t="inlineStr">
        <is>
          <t>TAHSİLAT</t>
        </is>
      </c>
      <c r="D10" s="8" t="inlineStr">
        <is>
          <t>Yıldız Market</t>
        </is>
      </c>
      <c r="E10" s="7" t="inlineStr">
        <is>
          <t>ORTA</t>
        </is>
      </c>
      <c r="F10" s="10" t="n">
        <v>150000</v>
      </c>
      <c r="G10" s="7" t="inlineStr">
        <is>
          <t>BEKLEMEDE</t>
        </is>
      </c>
      <c r="I10" s="8" t="inlineStr">
        <is>
          <t>HAVALE</t>
        </is>
      </c>
      <c r="J10" s="8" t="inlineStr">
        <is>
          <t>BK-001</t>
        </is>
      </c>
      <c r="K10" s="12" t="inlineStr">
        <is>
          <t>Vadeli tahsilat</t>
        </is>
      </c>
    </row>
    <row r="11">
      <c r="A11" s="14" t="n">
        <v>46266</v>
      </c>
      <c r="B11" s="14" t="n">
        <v>46266</v>
      </c>
      <c r="C11" s="7" t="inlineStr">
        <is>
          <t>ÖDEME</t>
        </is>
      </c>
      <c r="D11" s="8" t="inlineStr">
        <is>
          <t>SGK</t>
        </is>
      </c>
      <c r="E11" s="7" t="inlineStr">
        <is>
          <t>YÜKSEK</t>
        </is>
      </c>
      <c r="F11" s="10" t="n">
        <v>52000</v>
      </c>
      <c r="G11" s="7" t="inlineStr">
        <is>
          <t>BEKLEMEDE</t>
        </is>
      </c>
      <c r="I11" s="8" t="inlineStr">
        <is>
          <t>EFT</t>
        </is>
      </c>
      <c r="J11" s="8" t="inlineStr">
        <is>
          <t>BK-002</t>
        </is>
      </c>
      <c r="K11" s="12" t="inlineStr">
        <is>
          <t>SGK primi</t>
        </is>
      </c>
    </row>
    <row r="12">
      <c r="A12" s="14" t="n">
        <v>46270</v>
      </c>
      <c r="B12" s="14" t="n">
        <v>46270</v>
      </c>
      <c r="C12" s="7" t="inlineStr">
        <is>
          <t>ÖDEME</t>
        </is>
      </c>
      <c r="D12" s="8" t="inlineStr">
        <is>
          <t>Depo Sahibi</t>
        </is>
      </c>
      <c r="E12" s="7" t="inlineStr">
        <is>
          <t>ORTA</t>
        </is>
      </c>
      <c r="F12" s="10" t="n">
        <v>75000</v>
      </c>
      <c r="G12" s="7" t="inlineStr">
        <is>
          <t>BEKLEMEDE</t>
        </is>
      </c>
      <c r="I12" s="8" t="inlineStr">
        <is>
          <t>HAVALE</t>
        </is>
      </c>
      <c r="J12" s="8" t="inlineStr">
        <is>
          <t>BK-001</t>
        </is>
      </c>
      <c r="K12" s="12" t="inlineStr">
        <is>
          <t>Kira</t>
        </is>
      </c>
    </row>
    <row r="13">
      <c r="A13" s="13" t="n"/>
      <c r="B13" s="13" t="n"/>
      <c r="C13" s="13" t="n"/>
      <c r="D13" s="13" t="n"/>
      <c r="E13" s="13" t="n"/>
      <c r="F13" s="13" t="n"/>
      <c r="G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I39" s="13" t="n"/>
      <c r="J39" s="13" t="n"/>
      <c r="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I40" s="13" t="n"/>
      <c r="J40" s="13" t="n"/>
      <c r="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I41" s="13" t="n"/>
      <c r="J41" s="13" t="n"/>
      <c r="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I42" s="13" t="n"/>
      <c r="J42" s="13" t="n"/>
      <c r="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I43" s="13" t="n"/>
      <c r="J43" s="13" t="n"/>
      <c r="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I44" s="13" t="n"/>
      <c r="J44" s="13" t="n"/>
      <c r="K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I45" s="13" t="n"/>
      <c r="J45" s="13" t="n"/>
      <c r="K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I46" s="13" t="n"/>
      <c r="J46" s="13" t="n"/>
      <c r="K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I47" s="13" t="n"/>
      <c r="J47" s="13" t="n"/>
      <c r="K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I48" s="13" t="n"/>
      <c r="J48" s="13" t="n"/>
      <c r="K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I49" s="13" t="n"/>
      <c r="J49" s="13" t="n"/>
      <c r="K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I50" s="13" t="n"/>
      <c r="J50" s="13" t="n"/>
      <c r="K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I51" s="13" t="n"/>
      <c r="J51" s="13" t="n"/>
      <c r="K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I52" s="13" t="n"/>
      <c r="J52" s="13" t="n"/>
      <c r="K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I53" s="13" t="n"/>
      <c r="J53" s="13" t="n"/>
      <c r="K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I54" s="13" t="n"/>
      <c r="J54" s="13" t="n"/>
      <c r="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I55" s="13" t="n"/>
      <c r="J55" s="13" t="n"/>
      <c r="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I56" s="13" t="n"/>
      <c r="J56" s="13" t="n"/>
      <c r="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I57" s="13" t="n"/>
      <c r="J57" s="13" t="n"/>
      <c r="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I58" s="13" t="n"/>
      <c r="J58" s="13" t="n"/>
      <c r="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I59" s="13" t="n"/>
      <c r="J59" s="13" t="n"/>
      <c r="K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I60" s="13" t="n"/>
      <c r="J60" s="13" t="n"/>
      <c r="K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I61" s="13" t="n"/>
      <c r="J61" s="13" t="n"/>
      <c r="K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I62" s="13" t="n"/>
      <c r="J62" s="13" t="n"/>
      <c r="K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I63" s="13" t="n"/>
      <c r="J63" s="13" t="n"/>
      <c r="K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I64" s="13" t="n"/>
      <c r="J64" s="13" t="n"/>
      <c r="K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I65" s="13" t="n"/>
      <c r="J65" s="13" t="n"/>
      <c r="K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I66" s="13" t="n"/>
      <c r="J66" s="13" t="n"/>
      <c r="K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I67" s="13" t="n"/>
      <c r="J67" s="13" t="n"/>
      <c r="K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I68" s="13" t="n"/>
      <c r="J68" s="13" t="n"/>
      <c r="K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I69" s="13" t="n"/>
      <c r="J69" s="13" t="n"/>
      <c r="K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I70" s="13" t="n"/>
      <c r="J70" s="13" t="n"/>
      <c r="K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I71" s="13" t="n"/>
      <c r="J71" s="13" t="n"/>
      <c r="K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I72" s="13" t="n"/>
      <c r="J72" s="13" t="n"/>
      <c r="K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I73" s="13" t="n"/>
      <c r="J73" s="13" t="n"/>
      <c r="K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I74" s="13" t="n"/>
      <c r="J74" s="13" t="n"/>
      <c r="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I75" s="13" t="n"/>
      <c r="J75" s="13" t="n"/>
      <c r="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I76" s="13" t="n"/>
      <c r="J76" s="13" t="n"/>
      <c r="K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I77" s="13" t="n"/>
      <c r="J77" s="13" t="n"/>
      <c r="K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I78" s="13" t="n"/>
      <c r="J78" s="13" t="n"/>
      <c r="K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I79" s="13" t="n"/>
      <c r="J79" s="13" t="n"/>
      <c r="K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I80" s="13" t="n"/>
      <c r="J80" s="13" t="n"/>
      <c r="K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I81" s="13" t="n"/>
      <c r="J81" s="13" t="n"/>
      <c r="K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I82" s="13" t="n"/>
      <c r="J82" s="13" t="n"/>
      <c r="K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I83" s="13" t="n"/>
      <c r="J83" s="13" t="n"/>
      <c r="K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I84" s="13" t="n"/>
      <c r="J84" s="13" t="n"/>
      <c r="K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I85" s="13" t="n"/>
      <c r="J85" s="13" t="n"/>
      <c r="K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I86" s="13" t="n"/>
      <c r="J86" s="13" t="n"/>
      <c r="K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I87" s="13" t="n"/>
      <c r="J87" s="13" t="n"/>
      <c r="K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I88" s="13" t="n"/>
      <c r="J88" s="13" t="n"/>
      <c r="K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I89" s="13" t="n"/>
      <c r="J89" s="13" t="n"/>
      <c r="K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I90" s="13" t="n"/>
      <c r="J90" s="13" t="n"/>
      <c r="K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I91" s="13" t="n"/>
      <c r="J91" s="13" t="n"/>
      <c r="K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I92" s="13" t="n"/>
      <c r="J92" s="13" t="n"/>
      <c r="K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I93" s="13" t="n"/>
      <c r="J93" s="13" t="n"/>
      <c r="K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I94" s="13" t="n"/>
      <c r="J94" s="13" t="n"/>
      <c r="K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I95" s="13" t="n"/>
      <c r="J95" s="13" t="n"/>
      <c r="K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I96" s="13" t="n"/>
      <c r="J96" s="13" t="n"/>
      <c r="K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I97" s="13" t="n"/>
      <c r="J97" s="13" t="n"/>
      <c r="K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I98" s="13" t="n"/>
      <c r="J98" s="13" t="n"/>
      <c r="K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I99" s="13" t="n"/>
      <c r="J99" s="13" t="n"/>
      <c r="K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I100" s="13" t="n"/>
      <c r="J100" s="13" t="n"/>
      <c r="K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I101" s="13" t="n"/>
      <c r="J101" s="13" t="n"/>
      <c r="K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I102" s="13" t="n"/>
      <c r="J102" s="13" t="n"/>
      <c r="K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I103" s="13" t="n"/>
      <c r="J103" s="13" t="n"/>
      <c r="K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I104" s="13" t="n"/>
      <c r="J104" s="13" t="n"/>
      <c r="K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I105" s="13" t="n"/>
      <c r="J105" s="13" t="n"/>
      <c r="K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I106" s="13" t="n"/>
      <c r="J106" s="13" t="n"/>
      <c r="K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I107" s="13" t="n"/>
      <c r="J107" s="13" t="n"/>
      <c r="K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I108" s="13" t="n"/>
      <c r="J108" s="13" t="n"/>
      <c r="K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I109" s="13" t="n"/>
      <c r="J109" s="13" t="n"/>
      <c r="K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I110" s="13" t="n"/>
      <c r="J110" s="13" t="n"/>
      <c r="K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I111" s="13" t="n"/>
      <c r="J111" s="13" t="n"/>
      <c r="K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I112" s="13" t="n"/>
      <c r="J112" s="13" t="n"/>
      <c r="K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I113" s="13" t="n"/>
      <c r="J113" s="13" t="n"/>
      <c r="K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I114" s="13" t="n"/>
      <c r="J114" s="13" t="n"/>
      <c r="K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I115" s="13" t="n"/>
      <c r="J115" s="13" t="n"/>
      <c r="K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I116" s="13" t="n"/>
      <c r="J116" s="13" t="n"/>
      <c r="K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I117" s="13" t="n"/>
      <c r="J117" s="13" t="n"/>
      <c r="K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I118" s="13" t="n"/>
      <c r="J118" s="13" t="n"/>
      <c r="K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I119" s="13" t="n"/>
      <c r="J119" s="13" t="n"/>
      <c r="K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I120" s="13" t="n"/>
      <c r="J120" s="13" t="n"/>
      <c r="K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I121" s="13" t="n"/>
      <c r="J121" s="13" t="n"/>
      <c r="K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I122" s="13" t="n"/>
      <c r="J122" s="13" t="n"/>
      <c r="K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I123" s="13" t="n"/>
      <c r="J123" s="13" t="n"/>
      <c r="K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I124" s="13" t="n"/>
      <c r="J124" s="13" t="n"/>
      <c r="K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I125" s="13" t="n"/>
      <c r="J125" s="13" t="n"/>
      <c r="K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I126" s="13" t="n"/>
      <c r="J126" s="13" t="n"/>
      <c r="K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I127" s="13" t="n"/>
      <c r="J127" s="13" t="n"/>
      <c r="K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I128" s="13" t="n"/>
      <c r="J128" s="13" t="n"/>
      <c r="K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I129" s="13" t="n"/>
      <c r="J129" s="13" t="n"/>
      <c r="K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I130" s="13" t="n"/>
      <c r="J130" s="13" t="n"/>
      <c r="K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I131" s="13" t="n"/>
      <c r="J131" s="13" t="n"/>
      <c r="K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I132" s="13" t="n"/>
      <c r="J132" s="13" t="n"/>
      <c r="K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I133" s="13" t="n"/>
      <c r="J133" s="13" t="n"/>
      <c r="K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I134" s="13" t="n"/>
      <c r="J134" s="13" t="n"/>
      <c r="K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I135" s="13" t="n"/>
      <c r="J135" s="13" t="n"/>
      <c r="K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I136" s="13" t="n"/>
      <c r="J136" s="13" t="n"/>
      <c r="K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I137" s="13" t="n"/>
      <c r="J137" s="13" t="n"/>
      <c r="K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I138" s="13" t="n"/>
      <c r="J138" s="13" t="n"/>
      <c r="K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I139" s="13" t="n"/>
      <c r="J139" s="13" t="n"/>
      <c r="K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I140" s="13" t="n"/>
      <c r="J140" s="13" t="n"/>
      <c r="K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I141" s="13" t="n"/>
      <c r="J141" s="13" t="n"/>
      <c r="K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I142" s="13" t="n"/>
      <c r="J142" s="13" t="n"/>
      <c r="K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I143" s="13" t="n"/>
      <c r="J143" s="13" t="n"/>
      <c r="K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I144" s="13" t="n"/>
      <c r="J144" s="13" t="n"/>
      <c r="K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I145" s="13" t="n"/>
      <c r="J145" s="13" t="n"/>
      <c r="K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I146" s="13" t="n"/>
      <c r="J146" s="13" t="n"/>
      <c r="K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I147" s="13" t="n"/>
      <c r="J147" s="13" t="n"/>
      <c r="K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I148" s="13" t="n"/>
      <c r="J148" s="13" t="n"/>
      <c r="K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I149" s="13" t="n"/>
      <c r="J149" s="13" t="n"/>
      <c r="K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I150" s="13" t="n"/>
      <c r="J150" s="13" t="n"/>
      <c r="K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I151" s="13" t="n"/>
      <c r="J151" s="13" t="n"/>
      <c r="K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I152" s="13" t="n"/>
      <c r="J152" s="13" t="n"/>
      <c r="K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I153" s="13" t="n"/>
      <c r="J153" s="13" t="n"/>
      <c r="K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I154" s="13" t="n"/>
      <c r="J154" s="13" t="n"/>
      <c r="K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I155" s="13" t="n"/>
      <c r="J155" s="13" t="n"/>
      <c r="K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I156" s="13" t="n"/>
      <c r="J156" s="13" t="n"/>
      <c r="K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I157" s="13" t="n"/>
      <c r="J157" s="13" t="n"/>
      <c r="K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I158" s="13" t="n"/>
      <c r="J158" s="13" t="n"/>
      <c r="K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I159" s="13" t="n"/>
      <c r="J159" s="13" t="n"/>
      <c r="K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I160" s="13" t="n"/>
      <c r="J160" s="13" t="n"/>
      <c r="K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I161" s="13" t="n"/>
      <c r="J161" s="13" t="n"/>
      <c r="K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I162" s="13" t="n"/>
      <c r="J162" s="13" t="n"/>
      <c r="K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I163" s="13" t="n"/>
      <c r="J163" s="13" t="n"/>
      <c r="K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I164" s="13" t="n"/>
      <c r="J164" s="13" t="n"/>
      <c r="K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I165" s="13" t="n"/>
      <c r="J165" s="13" t="n"/>
      <c r="K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I166" s="13" t="n"/>
      <c r="J166" s="13" t="n"/>
      <c r="K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I167" s="13" t="n"/>
      <c r="J167" s="13" t="n"/>
      <c r="K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I168" s="13" t="n"/>
      <c r="J168" s="13" t="n"/>
      <c r="K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I169" s="13" t="n"/>
      <c r="J169" s="13" t="n"/>
      <c r="K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I170" s="13" t="n"/>
      <c r="J170" s="13" t="n"/>
      <c r="K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I171" s="13" t="n"/>
      <c r="J171" s="13" t="n"/>
      <c r="K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I172" s="13" t="n"/>
      <c r="J172" s="13" t="n"/>
      <c r="K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I173" s="13" t="n"/>
      <c r="J173" s="13" t="n"/>
      <c r="K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I174" s="13" t="n"/>
      <c r="J174" s="13" t="n"/>
      <c r="K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I175" s="13" t="n"/>
      <c r="J175" s="13" t="n"/>
      <c r="K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I176" s="13" t="n"/>
      <c r="J176" s="13" t="n"/>
      <c r="K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I177" s="13" t="n"/>
      <c r="J177" s="13" t="n"/>
      <c r="K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I178" s="13" t="n"/>
      <c r="J178" s="13" t="n"/>
      <c r="K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I179" s="13" t="n"/>
      <c r="J179" s="13" t="n"/>
      <c r="K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I180" s="13" t="n"/>
      <c r="J180" s="13" t="n"/>
      <c r="K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I181" s="13" t="n"/>
      <c r="J181" s="13" t="n"/>
      <c r="K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I182" s="13" t="n"/>
      <c r="J182" s="13" t="n"/>
      <c r="K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I183" s="13" t="n"/>
      <c r="J183" s="13" t="n"/>
      <c r="K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I184" s="13" t="n"/>
      <c r="J184" s="13" t="n"/>
      <c r="K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I185" s="13" t="n"/>
      <c r="J185" s="13" t="n"/>
      <c r="K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I186" s="13" t="n"/>
      <c r="J186" s="13" t="n"/>
      <c r="K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I187" s="13" t="n"/>
      <c r="J187" s="13" t="n"/>
      <c r="K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I188" s="13" t="n"/>
      <c r="J188" s="13" t="n"/>
      <c r="K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I189" s="13" t="n"/>
      <c r="J189" s="13" t="n"/>
      <c r="K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I190" s="13" t="n"/>
      <c r="J190" s="13" t="n"/>
      <c r="K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I191" s="13" t="n"/>
      <c r="J191" s="13" t="n"/>
      <c r="K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I192" s="13" t="n"/>
      <c r="J192" s="13" t="n"/>
      <c r="K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I193" s="13" t="n"/>
      <c r="J193" s="13" t="n"/>
      <c r="K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I194" s="13" t="n"/>
      <c r="J194" s="13" t="n"/>
      <c r="K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I195" s="13" t="n"/>
      <c r="J195" s="13" t="n"/>
      <c r="K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I196" s="13" t="n"/>
      <c r="J196" s="13" t="n"/>
      <c r="K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I197" s="13" t="n"/>
      <c r="J197" s="13" t="n"/>
      <c r="K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I198" s="13" t="n"/>
      <c r="J198" s="13" t="n"/>
      <c r="K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I199" s="13" t="n"/>
      <c r="J199" s="13" t="n"/>
      <c r="K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I200" s="13" t="n"/>
      <c r="J200" s="13" t="n"/>
      <c r="K200" s="1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conditionalFormatting sqref="C6:C5000">
    <cfRule type="cellIs" priority="1" operator="equal" dxfId="3">
      <formula>"ÖDEME"</formula>
    </cfRule>
    <cfRule type="cellIs" priority="2" operator="equal" dxfId="1">
      <formula>"TAHSİLAT"</formula>
    </cfRule>
  </conditionalFormatting>
  <conditionalFormatting sqref="E6:E5000">
    <cfRule type="cellIs" priority="3" operator="equal" dxfId="0">
      <formula>"KRİTİK"</formula>
    </cfRule>
    <cfRule type="cellIs" priority="4" operator="equal" dxfId="4">
      <formula>"YÜKSEK"</formula>
    </cfRule>
    <cfRule type="cellIs" priority="5" operator="equal" dxfId="1">
      <formula>"ORTA"</formula>
    </cfRule>
    <cfRule type="cellIs" priority="6" operator="equal" dxfId="2">
      <formula>"DÜŞÜK"</formula>
    </cfRule>
  </conditionalFormatting>
  <conditionalFormatting sqref="G6:G5000">
    <cfRule type="cellIs" priority="7" operator="equal" dxfId="1">
      <formula>"YAPILDI"</formula>
    </cfRule>
    <cfRule type="cellIs" priority="8" operator="equal" dxfId="4">
      <formula>"ERTELENDİ"</formula>
    </cfRule>
  </conditionalFormatting>
  <conditionalFormatting sqref="H6:H5000">
    <cfRule type="cellIs" priority="9" operator="equal" dxfId="0">
      <formula>"VADE GEÇTİ"</formula>
    </cfRule>
  </conditionalFormatting>
  <dataValidations count="5">
    <dataValidation sqref="C6:C5000" showDropDown="0" showInputMessage="1" showErrorMessage="1" allowBlank="1" errorTitle="Geçersiz Tür" error="Tür yalnızca ÖDEME veya TAHSİLAT olabilir." promptTitle="Takvim Türü" prompt="Borç ödemesi ÖDEME, alacak tahsilatı TAHSİLAT." type="list" errorStyle="stop">
      <formula1>"ÖDEME,TAHSİLAT"</formula1>
    </dataValidation>
    <dataValidation sqref="E6:E5000" showDropDown="0" showInputMessage="1" showErrorMessage="1" allowBlank="1" errorTitle="Geçersiz Öncelik" error="Öncelik yalnızca KRİTİK, YÜKSEK, ORTA veya DÜŞÜK olabilir." promptTitle="Öncelik" prompt="KRİTİK: gecikirse operasyon durur; YÜKSEK: gecikirse ceza/maliyet doğar." type="list" errorStyle="stop">
      <formula1>"KRİTİK,YÜKSEK,ORTA,DÜŞÜK"</formula1>
    </dataValidation>
    <dataValidation sqref="G6:G5000" showDropDown="0" showInputMessage="1" showErrorMessage="1" allowBlank="1" errorTitle="Geçersiz Durum" error="Durum yalnızca BEKLEMEDE, YAPILDI veya ERTELENDİ olabilir." promptTitle="Durum" prompt="BEKLEMEDE kayıtlar ödeme yüküne girer." type="list" errorStyle="stop">
      <formula1>"BEKLEMEDE,YAPILDI,ERTELENDİ"</formula1>
    </dataValidation>
    <dataValidation sqref="I6:I5000" showDropDown="0" showInputMessage="1" showErrorMessage="1" allowBlank="1" errorTitle="Geçersiz Yöntem" error="Yöntemi listeden seçin." promptTitle="Ödeme Yöntemi" prompt="Ödemenin/tahsilatın yapılacağı yöntem." type="list" errorStyle="stop">
      <formula1>LISTELER!$D$4:$D$15</formula1>
    </dataValidation>
    <dataValidation sqref="F6:F5000" showDropDown="0" showInputMessage="1" showErrorMessage="1" allowBlank="1" errorTitle="Geçersiz Tutar" error="Tutar pozitif bir sayı olmalıdır." promptTitle="Tutar" prompt="Bekleyen ödeme/tahsilat tutarını TL olarak girin." type="decimal" errorStyle="stop" operator="greaterThan">
      <formula1>1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12" customWidth="1" min="6" max="6"/>
    <col width="14" customWidth="1" min="7" max="7"/>
    <col width="14" customWidth="1" min="8" max="8"/>
    <col width="42" customWidth="1" min="9" max="9"/>
  </cols>
  <sheetData>
    <row r="1" ht="26" customHeight="1">
      <c r="A1" s="1" t="inlineStr">
        <is>
          <t>FIZIKI KASA MUTABAKAT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Fiziki kasa sayımı ile defter bakiyesini karşılaştırın. Fark sütunu ve kök-neden ayrıştırması otomatik hesaplanır; sıfır fark beklenir.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 ht="30" customHeight="1">
      <c r="A4" s="6" t="inlineStr">
        <is>
          <t>Sayım Tarihi</t>
        </is>
      </c>
      <c r="B4" s="6" t="inlineStr">
        <is>
          <t>Sayımı Yapan</t>
        </is>
      </c>
      <c r="C4" s="6" t="inlineStr">
        <is>
          <t>Defter Bakiyesi (₺)</t>
        </is>
      </c>
      <c r="D4" s="6" t="inlineStr">
        <is>
          <t>Sayım Tutarı (₺)</t>
        </is>
      </c>
      <c r="E4" s="6" t="inlineStr">
        <is>
          <t>Fark (₺)</t>
        </is>
      </c>
      <c r="F4" s="6" t="inlineStr">
        <is>
          <t>Fark Oranı</t>
        </is>
      </c>
      <c r="G4" s="6" t="inlineStr">
        <is>
          <t>Sonuç</t>
        </is>
      </c>
      <c r="H4" s="6" t="inlineStr">
        <is>
          <t>Kök Neden</t>
        </is>
      </c>
      <c r="I4" s="6" t="inlineStr">
        <is>
          <t>Açıklama</t>
        </is>
      </c>
    </row>
    <row r="5"/>
    <row r="6">
      <c r="A6" s="14" t="n">
        <v>46234</v>
      </c>
      <c r="B6" s="8" t="inlineStr">
        <is>
          <t>Finans Müdürü</t>
        </is>
      </c>
      <c r="C6" s="10" t="n">
        <v>450000</v>
      </c>
      <c r="D6" s="10" t="n">
        <v>450000</v>
      </c>
      <c r="I6" s="12" t="inlineStr">
        <is>
          <t>Fiziki sayım uyumlu</t>
        </is>
      </c>
    </row>
    <row r="7">
      <c r="A7" s="14" t="n">
        <v>46218</v>
      </c>
      <c r="B7" s="8" t="inlineStr">
        <is>
          <t>Muhasebe</t>
        </is>
      </c>
      <c r="C7" s="10" t="n">
        <v>320000</v>
      </c>
      <c r="D7" s="10" t="n">
        <v>318500</v>
      </c>
      <c r="I7" s="12" t="inlineStr">
        <is>
          <t>Sayım eksikliği araştırılıyor</t>
        </is>
      </c>
    </row>
    <row r="8">
      <c r="A8" s="13" t="n"/>
      <c r="B8" s="13" t="n"/>
      <c r="C8" s="13" t="n"/>
      <c r="D8" s="13" t="n"/>
      <c r="I8" s="13" t="n"/>
    </row>
    <row r="9">
      <c r="A9" s="13" t="n"/>
      <c r="B9" s="13" t="n"/>
      <c r="C9" s="13" t="n"/>
      <c r="D9" s="13" t="n"/>
      <c r="I9" s="13" t="n"/>
    </row>
    <row r="10">
      <c r="A10" s="13" t="n"/>
      <c r="B10" s="13" t="n"/>
      <c r="C10" s="13" t="n"/>
      <c r="D10" s="13" t="n"/>
      <c r="I10" s="13" t="n"/>
    </row>
    <row r="11">
      <c r="A11" s="13" t="n"/>
      <c r="B11" s="13" t="n"/>
      <c r="C11" s="13" t="n"/>
      <c r="D11" s="13" t="n"/>
      <c r="I11" s="13" t="n"/>
    </row>
    <row r="12">
      <c r="A12" s="13" t="n"/>
      <c r="B12" s="13" t="n"/>
      <c r="C12" s="13" t="n"/>
      <c r="D12" s="13" t="n"/>
      <c r="I12" s="13" t="n"/>
    </row>
    <row r="13">
      <c r="A13" s="13" t="n"/>
      <c r="B13" s="13" t="n"/>
      <c r="C13" s="13" t="n"/>
      <c r="D13" s="13" t="n"/>
      <c r="I13" s="13" t="n"/>
    </row>
    <row r="14">
      <c r="A14" s="13" t="n"/>
      <c r="B14" s="13" t="n"/>
      <c r="C14" s="13" t="n"/>
      <c r="D14" s="13" t="n"/>
      <c r="I14" s="13" t="n"/>
    </row>
    <row r="15">
      <c r="A15" s="13" t="n"/>
      <c r="B15" s="13" t="n"/>
      <c r="C15" s="13" t="n"/>
      <c r="D15" s="13" t="n"/>
      <c r="I15" s="13" t="n"/>
    </row>
    <row r="16">
      <c r="A16" s="13" t="n"/>
      <c r="B16" s="13" t="n"/>
      <c r="C16" s="13" t="n"/>
      <c r="D16" s="13" t="n"/>
      <c r="I16" s="13" t="n"/>
    </row>
    <row r="17">
      <c r="A17" s="13" t="n"/>
      <c r="B17" s="13" t="n"/>
      <c r="C17" s="13" t="n"/>
      <c r="D17" s="13" t="n"/>
      <c r="I17" s="13" t="n"/>
    </row>
    <row r="18">
      <c r="A18" s="13" t="n"/>
      <c r="B18" s="13" t="n"/>
      <c r="C18" s="13" t="n"/>
      <c r="D18" s="13" t="n"/>
      <c r="I18" s="13" t="n"/>
    </row>
    <row r="19">
      <c r="A19" s="13" t="n"/>
      <c r="B19" s="13" t="n"/>
      <c r="C19" s="13" t="n"/>
      <c r="D19" s="13" t="n"/>
      <c r="I19" s="13" t="n"/>
    </row>
    <row r="20">
      <c r="A20" s="13" t="n"/>
      <c r="B20" s="13" t="n"/>
      <c r="C20" s="13" t="n"/>
      <c r="D20" s="13" t="n"/>
      <c r="I20" s="13" t="n"/>
    </row>
    <row r="21">
      <c r="A21" s="13" t="n"/>
      <c r="B21" s="13" t="n"/>
      <c r="C21" s="13" t="n"/>
      <c r="D21" s="13" t="n"/>
      <c r="I21" s="13" t="n"/>
    </row>
    <row r="22">
      <c r="A22" s="13" t="n"/>
      <c r="B22" s="13" t="n"/>
      <c r="C22" s="13" t="n"/>
      <c r="D22" s="13" t="n"/>
      <c r="I22" s="13" t="n"/>
    </row>
    <row r="23">
      <c r="A23" s="13" t="n"/>
      <c r="B23" s="13" t="n"/>
      <c r="C23" s="13" t="n"/>
      <c r="D23" s="13" t="n"/>
      <c r="I23" s="13" t="n"/>
    </row>
    <row r="24">
      <c r="A24" s="13" t="n"/>
      <c r="B24" s="13" t="n"/>
      <c r="C24" s="13" t="n"/>
      <c r="D24" s="13" t="n"/>
      <c r="I24" s="13" t="n"/>
    </row>
    <row r="25">
      <c r="A25" s="13" t="n"/>
      <c r="B25" s="13" t="n"/>
      <c r="C25" s="13" t="n"/>
      <c r="D25" s="13" t="n"/>
      <c r="I25" s="13" t="n"/>
    </row>
    <row r="26">
      <c r="A26" s="13" t="n"/>
      <c r="B26" s="13" t="n"/>
      <c r="C26" s="13" t="n"/>
      <c r="D26" s="13" t="n"/>
      <c r="I26" s="13" t="n"/>
    </row>
    <row r="27">
      <c r="A27" s="13" t="n"/>
      <c r="B27" s="13" t="n"/>
      <c r="C27" s="13" t="n"/>
      <c r="D27" s="13" t="n"/>
      <c r="I27" s="13" t="n"/>
    </row>
    <row r="28">
      <c r="A28" s="13" t="n"/>
      <c r="B28" s="13" t="n"/>
      <c r="C28" s="13" t="n"/>
      <c r="D28" s="13" t="n"/>
      <c r="I28" s="13" t="n"/>
    </row>
    <row r="29">
      <c r="A29" s="13" t="n"/>
      <c r="B29" s="13" t="n"/>
      <c r="C29" s="13" t="n"/>
      <c r="D29" s="13" t="n"/>
      <c r="I29" s="13" t="n"/>
    </row>
    <row r="30">
      <c r="A30" s="13" t="n"/>
      <c r="B30" s="13" t="n"/>
      <c r="C30" s="13" t="n"/>
      <c r="D30" s="13" t="n"/>
      <c r="I30" s="13" t="n"/>
    </row>
    <row r="31">
      <c r="A31" s="13" t="n"/>
      <c r="B31" s="13" t="n"/>
      <c r="C31" s="13" t="n"/>
      <c r="D31" s="13" t="n"/>
      <c r="I31" s="13" t="n"/>
    </row>
    <row r="32">
      <c r="A32" s="13" t="n"/>
      <c r="B32" s="13" t="n"/>
      <c r="C32" s="13" t="n"/>
      <c r="D32" s="13" t="n"/>
      <c r="I32" s="13" t="n"/>
    </row>
    <row r="33">
      <c r="A33" s="13" t="n"/>
      <c r="B33" s="13" t="n"/>
      <c r="C33" s="13" t="n"/>
      <c r="D33" s="13" t="n"/>
      <c r="I33" s="13" t="n"/>
    </row>
    <row r="34">
      <c r="A34" s="13" t="n"/>
      <c r="B34" s="13" t="n"/>
      <c r="C34" s="13" t="n"/>
      <c r="D34" s="13" t="n"/>
      <c r="I34" s="13" t="n"/>
    </row>
    <row r="35">
      <c r="A35" s="13" t="n"/>
      <c r="B35" s="13" t="n"/>
      <c r="C35" s="13" t="n"/>
      <c r="D35" s="13" t="n"/>
      <c r="I35" s="13" t="n"/>
    </row>
    <row r="36">
      <c r="A36" s="13" t="n"/>
      <c r="B36" s="13" t="n"/>
      <c r="C36" s="13" t="n"/>
      <c r="D36" s="13" t="n"/>
      <c r="I36" s="13" t="n"/>
    </row>
    <row r="37">
      <c r="A37" s="13" t="n"/>
      <c r="B37" s="13" t="n"/>
      <c r="C37" s="13" t="n"/>
      <c r="D37" s="13" t="n"/>
      <c r="I37" s="13" t="n"/>
    </row>
    <row r="38">
      <c r="A38" s="13" t="n"/>
      <c r="B38" s="13" t="n"/>
      <c r="C38" s="13" t="n"/>
      <c r="D38" s="13" t="n"/>
      <c r="I38" s="13" t="n"/>
    </row>
    <row r="39">
      <c r="A39" s="13" t="n"/>
      <c r="B39" s="13" t="n"/>
      <c r="C39" s="13" t="n"/>
      <c r="D39" s="13" t="n"/>
      <c r="I39" s="13" t="n"/>
    </row>
    <row r="40">
      <c r="A40" s="13" t="n"/>
      <c r="B40" s="13" t="n"/>
      <c r="C40" s="13" t="n"/>
      <c r="D40" s="13" t="n"/>
      <c r="I40" s="13" t="n"/>
    </row>
    <row r="41">
      <c r="A41" s="13" t="n"/>
      <c r="B41" s="13" t="n"/>
      <c r="C41" s="13" t="n"/>
      <c r="D41" s="13" t="n"/>
      <c r="I41" s="13" t="n"/>
    </row>
    <row r="42">
      <c r="A42" s="13" t="n"/>
      <c r="B42" s="13" t="n"/>
      <c r="C42" s="13" t="n"/>
      <c r="D42" s="13" t="n"/>
      <c r="I42" s="13" t="n"/>
    </row>
    <row r="43">
      <c r="A43" s="13" t="n"/>
      <c r="B43" s="13" t="n"/>
      <c r="C43" s="13" t="n"/>
      <c r="D43" s="13" t="n"/>
      <c r="I43" s="13" t="n"/>
    </row>
    <row r="44">
      <c r="A44" s="13" t="n"/>
      <c r="B44" s="13" t="n"/>
      <c r="C44" s="13" t="n"/>
      <c r="D44" s="13" t="n"/>
      <c r="I44" s="13" t="n"/>
    </row>
    <row r="45">
      <c r="A45" s="13" t="n"/>
      <c r="B45" s="13" t="n"/>
      <c r="C45" s="13" t="n"/>
      <c r="D45" s="13" t="n"/>
      <c r="I45" s="13" t="n"/>
    </row>
    <row r="46">
      <c r="A46" s="13" t="n"/>
      <c r="B46" s="13" t="n"/>
      <c r="C46" s="13" t="n"/>
      <c r="D46" s="13" t="n"/>
      <c r="I46" s="13" t="n"/>
    </row>
    <row r="47">
      <c r="A47" s="13" t="n"/>
      <c r="B47" s="13" t="n"/>
      <c r="C47" s="13" t="n"/>
      <c r="D47" s="13" t="n"/>
      <c r="I47" s="13" t="n"/>
    </row>
    <row r="48">
      <c r="A48" s="13" t="n"/>
      <c r="B48" s="13" t="n"/>
      <c r="C48" s="13" t="n"/>
      <c r="D48" s="13" t="n"/>
      <c r="I48" s="13" t="n"/>
    </row>
    <row r="49">
      <c r="A49" s="13" t="n"/>
      <c r="B49" s="13" t="n"/>
      <c r="C49" s="13" t="n"/>
      <c r="D49" s="13" t="n"/>
      <c r="I49" s="13" t="n"/>
    </row>
    <row r="50">
      <c r="A50" s="13" t="n"/>
      <c r="B50" s="13" t="n"/>
      <c r="C50" s="13" t="n"/>
      <c r="D50" s="13" t="n"/>
      <c r="I50" s="13" t="n"/>
    </row>
    <row r="51">
      <c r="A51" s="13" t="n"/>
      <c r="B51" s="13" t="n"/>
      <c r="C51" s="13" t="n"/>
      <c r="D51" s="13" t="n"/>
      <c r="I51" s="13" t="n"/>
    </row>
    <row r="52">
      <c r="A52" s="13" t="n"/>
      <c r="B52" s="13" t="n"/>
      <c r="C52" s="13" t="n"/>
      <c r="D52" s="13" t="n"/>
      <c r="I52" s="13" t="n"/>
    </row>
    <row r="53">
      <c r="A53" s="13" t="n"/>
      <c r="B53" s="13" t="n"/>
      <c r="C53" s="13" t="n"/>
      <c r="D53" s="13" t="n"/>
      <c r="I53" s="13" t="n"/>
    </row>
    <row r="54">
      <c r="A54" s="13" t="n"/>
      <c r="B54" s="13" t="n"/>
      <c r="C54" s="13" t="n"/>
      <c r="D54" s="13" t="n"/>
      <c r="I54" s="13" t="n"/>
    </row>
    <row r="55">
      <c r="A55" s="13" t="n"/>
      <c r="B55" s="13" t="n"/>
      <c r="C55" s="13" t="n"/>
      <c r="D55" s="13" t="n"/>
      <c r="I55" s="13" t="n"/>
    </row>
    <row r="56">
      <c r="A56" s="13" t="n"/>
      <c r="B56" s="13" t="n"/>
      <c r="C56" s="13" t="n"/>
      <c r="D56" s="13" t="n"/>
      <c r="I56" s="13" t="n"/>
    </row>
    <row r="57">
      <c r="A57" s="13" t="n"/>
      <c r="B57" s="13" t="n"/>
      <c r="C57" s="13" t="n"/>
      <c r="D57" s="13" t="n"/>
      <c r="I57" s="13" t="n"/>
    </row>
    <row r="58">
      <c r="A58" s="13" t="n"/>
      <c r="B58" s="13" t="n"/>
      <c r="C58" s="13" t="n"/>
      <c r="D58" s="13" t="n"/>
      <c r="I58" s="13" t="n"/>
    </row>
    <row r="59">
      <c r="A59" s="13" t="n"/>
      <c r="B59" s="13" t="n"/>
      <c r="C59" s="13" t="n"/>
      <c r="D59" s="13" t="n"/>
      <c r="I59" s="13" t="n"/>
    </row>
    <row r="60">
      <c r="A60" s="13" t="n"/>
      <c r="B60" s="13" t="n"/>
      <c r="C60" s="13" t="n"/>
      <c r="D60" s="13" t="n"/>
      <c r="I60" s="13" t="n"/>
    </row>
    <row r="61">
      <c r="A61" s="13" t="n"/>
      <c r="B61" s="13" t="n"/>
      <c r="C61" s="13" t="n"/>
      <c r="D61" s="13" t="n"/>
      <c r="I61" s="13" t="n"/>
    </row>
    <row r="62">
      <c r="A62" s="13" t="n"/>
      <c r="B62" s="13" t="n"/>
      <c r="C62" s="13" t="n"/>
      <c r="D62" s="13" t="n"/>
      <c r="I62" s="13" t="n"/>
    </row>
    <row r="63">
      <c r="A63" s="13" t="n"/>
      <c r="B63" s="13" t="n"/>
      <c r="C63" s="13" t="n"/>
      <c r="D63" s="13" t="n"/>
      <c r="I63" s="13" t="n"/>
    </row>
    <row r="64">
      <c r="A64" s="13" t="n"/>
      <c r="B64" s="13" t="n"/>
      <c r="C64" s="13" t="n"/>
      <c r="D64" s="13" t="n"/>
      <c r="I64" s="13" t="n"/>
    </row>
    <row r="65">
      <c r="A65" s="13" t="n"/>
      <c r="B65" s="13" t="n"/>
      <c r="C65" s="13" t="n"/>
      <c r="D65" s="13" t="n"/>
      <c r="I65" s="13" t="n"/>
    </row>
    <row r="66">
      <c r="A66" s="13" t="n"/>
      <c r="B66" s="13" t="n"/>
      <c r="C66" s="13" t="n"/>
      <c r="D66" s="13" t="n"/>
      <c r="I66" s="13" t="n"/>
    </row>
    <row r="67">
      <c r="A67" s="13" t="n"/>
      <c r="B67" s="13" t="n"/>
      <c r="C67" s="13" t="n"/>
      <c r="D67" s="13" t="n"/>
      <c r="I67" s="13" t="n"/>
    </row>
    <row r="68">
      <c r="A68" s="13" t="n"/>
      <c r="B68" s="13" t="n"/>
      <c r="C68" s="13" t="n"/>
      <c r="D68" s="13" t="n"/>
      <c r="I68" s="13" t="n"/>
    </row>
    <row r="69">
      <c r="A69" s="13" t="n"/>
      <c r="B69" s="13" t="n"/>
      <c r="C69" s="13" t="n"/>
      <c r="D69" s="13" t="n"/>
      <c r="I69" s="13" t="n"/>
    </row>
    <row r="70">
      <c r="A70" s="13" t="n"/>
      <c r="B70" s="13" t="n"/>
      <c r="C70" s="13" t="n"/>
      <c r="D70" s="13" t="n"/>
      <c r="I70" s="13" t="n"/>
    </row>
    <row r="71">
      <c r="A71" s="13" t="n"/>
      <c r="B71" s="13" t="n"/>
      <c r="C71" s="13" t="n"/>
      <c r="D71" s="13" t="n"/>
      <c r="I71" s="13" t="n"/>
    </row>
    <row r="72">
      <c r="A72" s="13" t="n"/>
      <c r="B72" s="13" t="n"/>
      <c r="C72" s="13" t="n"/>
      <c r="D72" s="13" t="n"/>
      <c r="I72" s="13" t="n"/>
    </row>
    <row r="73">
      <c r="A73" s="13" t="n"/>
      <c r="B73" s="13" t="n"/>
      <c r="C73" s="13" t="n"/>
      <c r="D73" s="13" t="n"/>
      <c r="I73" s="13" t="n"/>
    </row>
    <row r="74">
      <c r="A74" s="13" t="n"/>
      <c r="B74" s="13" t="n"/>
      <c r="C74" s="13" t="n"/>
      <c r="D74" s="13" t="n"/>
      <c r="I74" s="13" t="n"/>
    </row>
    <row r="75">
      <c r="A75" s="13" t="n"/>
      <c r="B75" s="13" t="n"/>
      <c r="C75" s="13" t="n"/>
      <c r="D75" s="13" t="n"/>
      <c r="I75" s="13" t="n"/>
    </row>
    <row r="76">
      <c r="A76" s="13" t="n"/>
      <c r="B76" s="13" t="n"/>
      <c r="C76" s="13" t="n"/>
      <c r="D76" s="13" t="n"/>
      <c r="I76" s="13" t="n"/>
    </row>
    <row r="77">
      <c r="A77" s="13" t="n"/>
      <c r="B77" s="13" t="n"/>
      <c r="C77" s="13" t="n"/>
      <c r="D77" s="13" t="n"/>
      <c r="I77" s="13" t="n"/>
    </row>
    <row r="78">
      <c r="A78" s="13" t="n"/>
      <c r="B78" s="13" t="n"/>
      <c r="C78" s="13" t="n"/>
      <c r="D78" s="13" t="n"/>
      <c r="I78" s="13" t="n"/>
    </row>
    <row r="79">
      <c r="A79" s="13" t="n"/>
      <c r="B79" s="13" t="n"/>
      <c r="C79" s="13" t="n"/>
      <c r="D79" s="13" t="n"/>
      <c r="I79" s="13" t="n"/>
    </row>
    <row r="80">
      <c r="A80" s="13" t="n"/>
      <c r="B80" s="13" t="n"/>
      <c r="C80" s="13" t="n"/>
      <c r="D80" s="13" t="n"/>
      <c r="I80" s="13" t="n"/>
    </row>
    <row r="81">
      <c r="A81" s="13" t="n"/>
      <c r="B81" s="13" t="n"/>
      <c r="C81" s="13" t="n"/>
      <c r="D81" s="13" t="n"/>
      <c r="I81" s="13" t="n"/>
    </row>
    <row r="82">
      <c r="A82" s="13" t="n"/>
      <c r="B82" s="13" t="n"/>
      <c r="C82" s="13" t="n"/>
      <c r="D82" s="13" t="n"/>
      <c r="I82" s="13" t="n"/>
    </row>
    <row r="83">
      <c r="A83" s="13" t="n"/>
      <c r="B83" s="13" t="n"/>
      <c r="C83" s="13" t="n"/>
      <c r="D83" s="13" t="n"/>
      <c r="I83" s="13" t="n"/>
    </row>
    <row r="84">
      <c r="A84" s="13" t="n"/>
      <c r="B84" s="13" t="n"/>
      <c r="C84" s="13" t="n"/>
      <c r="D84" s="13" t="n"/>
      <c r="I84" s="13" t="n"/>
    </row>
    <row r="85">
      <c r="A85" s="13" t="n"/>
      <c r="B85" s="13" t="n"/>
      <c r="C85" s="13" t="n"/>
      <c r="D85" s="13" t="n"/>
      <c r="I85" s="13" t="n"/>
    </row>
    <row r="86">
      <c r="A86" s="13" t="n"/>
      <c r="B86" s="13" t="n"/>
      <c r="C86" s="13" t="n"/>
      <c r="D86" s="13" t="n"/>
      <c r="I86" s="13" t="n"/>
    </row>
    <row r="87">
      <c r="A87" s="13" t="n"/>
      <c r="B87" s="13" t="n"/>
      <c r="C87" s="13" t="n"/>
      <c r="D87" s="13" t="n"/>
      <c r="I87" s="13" t="n"/>
    </row>
    <row r="88">
      <c r="A88" s="13" t="n"/>
      <c r="B88" s="13" t="n"/>
      <c r="C88" s="13" t="n"/>
      <c r="D88" s="13" t="n"/>
      <c r="I88" s="13" t="n"/>
    </row>
    <row r="89">
      <c r="A89" s="13" t="n"/>
      <c r="B89" s="13" t="n"/>
      <c r="C89" s="13" t="n"/>
      <c r="D89" s="13" t="n"/>
      <c r="I89" s="13" t="n"/>
    </row>
    <row r="90">
      <c r="A90" s="13" t="n"/>
      <c r="B90" s="13" t="n"/>
      <c r="C90" s="13" t="n"/>
      <c r="D90" s="13" t="n"/>
      <c r="I90" s="13" t="n"/>
    </row>
    <row r="91">
      <c r="A91" s="13" t="n"/>
      <c r="B91" s="13" t="n"/>
      <c r="C91" s="13" t="n"/>
      <c r="D91" s="13" t="n"/>
      <c r="I91" s="13" t="n"/>
    </row>
    <row r="92">
      <c r="A92" s="13" t="n"/>
      <c r="B92" s="13" t="n"/>
      <c r="C92" s="13" t="n"/>
      <c r="D92" s="13" t="n"/>
      <c r="I92" s="13" t="n"/>
    </row>
    <row r="93">
      <c r="A93" s="13" t="n"/>
      <c r="B93" s="13" t="n"/>
      <c r="C93" s="13" t="n"/>
      <c r="D93" s="13" t="n"/>
      <c r="I93" s="13" t="n"/>
    </row>
    <row r="94">
      <c r="A94" s="13" t="n"/>
      <c r="B94" s="13" t="n"/>
      <c r="C94" s="13" t="n"/>
      <c r="D94" s="13" t="n"/>
      <c r="I94" s="13" t="n"/>
    </row>
    <row r="95">
      <c r="A95" s="13" t="n"/>
      <c r="B95" s="13" t="n"/>
      <c r="C95" s="13" t="n"/>
      <c r="D95" s="13" t="n"/>
      <c r="I95" s="13" t="n"/>
    </row>
    <row r="96">
      <c r="A96" s="13" t="n"/>
      <c r="B96" s="13" t="n"/>
      <c r="C96" s="13" t="n"/>
      <c r="D96" s="13" t="n"/>
      <c r="I96" s="13" t="n"/>
    </row>
    <row r="97">
      <c r="A97" s="13" t="n"/>
      <c r="B97" s="13" t="n"/>
      <c r="C97" s="13" t="n"/>
      <c r="D97" s="13" t="n"/>
      <c r="I97" s="13" t="n"/>
    </row>
    <row r="98">
      <c r="A98" s="13" t="n"/>
      <c r="B98" s="13" t="n"/>
      <c r="C98" s="13" t="n"/>
      <c r="D98" s="13" t="n"/>
      <c r="I98" s="13" t="n"/>
    </row>
    <row r="99">
      <c r="A99" s="13" t="n"/>
      <c r="B99" s="13" t="n"/>
      <c r="C99" s="13" t="n"/>
      <c r="D99" s="13" t="n"/>
      <c r="I99" s="13" t="n"/>
    </row>
    <row r="100">
      <c r="A100" s="13" t="n"/>
      <c r="B100" s="13" t="n"/>
      <c r="C100" s="13" t="n"/>
      <c r="D100" s="13" t="n"/>
      <c r="I100" s="13" t="n"/>
    </row>
    <row r="101">
      <c r="A101" s="13" t="n"/>
      <c r="B101" s="13" t="n"/>
      <c r="C101" s="13" t="n"/>
      <c r="D101" s="13" t="n"/>
      <c r="I101" s="13" t="n"/>
    </row>
    <row r="102">
      <c r="A102" s="13" t="n"/>
      <c r="B102" s="13" t="n"/>
      <c r="C102" s="13" t="n"/>
      <c r="D102" s="13" t="n"/>
      <c r="I102" s="13" t="n"/>
    </row>
    <row r="103">
      <c r="A103" s="13" t="n"/>
      <c r="B103" s="13" t="n"/>
      <c r="C103" s="13" t="n"/>
      <c r="D103" s="13" t="n"/>
      <c r="I103" s="13" t="n"/>
    </row>
    <row r="104">
      <c r="A104" s="13" t="n"/>
      <c r="B104" s="13" t="n"/>
      <c r="C104" s="13" t="n"/>
      <c r="D104" s="13" t="n"/>
      <c r="I104" s="13" t="n"/>
    </row>
    <row r="105">
      <c r="A105" s="13" t="n"/>
      <c r="B105" s="13" t="n"/>
      <c r="C105" s="13" t="n"/>
      <c r="D105" s="13" t="n"/>
      <c r="I105" s="13" t="n"/>
    </row>
    <row r="106">
      <c r="A106" s="13" t="n"/>
      <c r="B106" s="13" t="n"/>
      <c r="C106" s="13" t="n"/>
      <c r="D106" s="13" t="n"/>
      <c r="I106" s="13" t="n"/>
    </row>
    <row r="107">
      <c r="A107" s="13" t="n"/>
      <c r="B107" s="13" t="n"/>
      <c r="C107" s="13" t="n"/>
      <c r="D107" s="13" t="n"/>
      <c r="I107" s="13" t="n"/>
    </row>
    <row r="108">
      <c r="A108" s="13" t="n"/>
      <c r="B108" s="13" t="n"/>
      <c r="C108" s="13" t="n"/>
      <c r="D108" s="13" t="n"/>
      <c r="I108" s="13" t="n"/>
    </row>
    <row r="109">
      <c r="A109" s="13" t="n"/>
      <c r="B109" s="13" t="n"/>
      <c r="C109" s="13" t="n"/>
      <c r="D109" s="13" t="n"/>
      <c r="I109" s="13" t="n"/>
    </row>
    <row r="110">
      <c r="A110" s="13" t="n"/>
      <c r="B110" s="13" t="n"/>
      <c r="C110" s="13" t="n"/>
      <c r="D110" s="13" t="n"/>
      <c r="I110" s="13" t="n"/>
    </row>
    <row r="111">
      <c r="A111" s="13" t="n"/>
      <c r="B111" s="13" t="n"/>
      <c r="C111" s="13" t="n"/>
      <c r="D111" s="13" t="n"/>
      <c r="I111" s="13" t="n"/>
    </row>
    <row r="112">
      <c r="A112" s="13" t="n"/>
      <c r="B112" s="13" t="n"/>
      <c r="C112" s="13" t="n"/>
      <c r="D112" s="13" t="n"/>
      <c r="I112" s="13" t="n"/>
    </row>
    <row r="113">
      <c r="A113" s="13" t="n"/>
      <c r="B113" s="13" t="n"/>
      <c r="C113" s="13" t="n"/>
      <c r="D113" s="13" t="n"/>
      <c r="I113" s="13" t="n"/>
    </row>
    <row r="114">
      <c r="A114" s="13" t="n"/>
      <c r="B114" s="13" t="n"/>
      <c r="C114" s="13" t="n"/>
      <c r="D114" s="13" t="n"/>
      <c r="I114" s="13" t="n"/>
    </row>
    <row r="115">
      <c r="A115" s="13" t="n"/>
      <c r="B115" s="13" t="n"/>
      <c r="C115" s="13" t="n"/>
      <c r="D115" s="13" t="n"/>
      <c r="I115" s="13" t="n"/>
    </row>
    <row r="116">
      <c r="A116" s="13" t="n"/>
      <c r="B116" s="13" t="n"/>
      <c r="C116" s="13" t="n"/>
      <c r="D116" s="13" t="n"/>
      <c r="I116" s="13" t="n"/>
    </row>
    <row r="117">
      <c r="A117" s="13" t="n"/>
      <c r="B117" s="13" t="n"/>
      <c r="C117" s="13" t="n"/>
      <c r="D117" s="13" t="n"/>
      <c r="I117" s="13" t="n"/>
    </row>
    <row r="118">
      <c r="A118" s="13" t="n"/>
      <c r="B118" s="13" t="n"/>
      <c r="C118" s="13" t="n"/>
      <c r="D118" s="13" t="n"/>
      <c r="I118" s="13" t="n"/>
    </row>
    <row r="119">
      <c r="A119" s="13" t="n"/>
      <c r="B119" s="13" t="n"/>
      <c r="C119" s="13" t="n"/>
      <c r="D119" s="13" t="n"/>
      <c r="I119" s="13" t="n"/>
    </row>
    <row r="120">
      <c r="A120" s="13" t="n"/>
      <c r="B120" s="13" t="n"/>
      <c r="C120" s="13" t="n"/>
      <c r="D120" s="13" t="n"/>
      <c r="I120" s="13" t="n"/>
    </row>
    <row r="121">
      <c r="A121" s="13" t="n"/>
      <c r="B121" s="13" t="n"/>
      <c r="C121" s="13" t="n"/>
      <c r="D121" s="13" t="n"/>
      <c r="I121" s="13" t="n"/>
    </row>
    <row r="122">
      <c r="A122" s="13" t="n"/>
      <c r="B122" s="13" t="n"/>
      <c r="C122" s="13" t="n"/>
      <c r="D122" s="13" t="n"/>
      <c r="I122" s="13" t="n"/>
    </row>
    <row r="123">
      <c r="A123" s="13" t="n"/>
      <c r="B123" s="13" t="n"/>
      <c r="C123" s="13" t="n"/>
      <c r="D123" s="13" t="n"/>
      <c r="I123" s="13" t="n"/>
    </row>
    <row r="124">
      <c r="A124" s="13" t="n"/>
      <c r="B124" s="13" t="n"/>
      <c r="C124" s="13" t="n"/>
      <c r="D124" s="13" t="n"/>
      <c r="I124" s="13" t="n"/>
    </row>
    <row r="125">
      <c r="A125" s="13" t="n"/>
      <c r="B125" s="13" t="n"/>
      <c r="C125" s="13" t="n"/>
      <c r="D125" s="13" t="n"/>
      <c r="I125" s="13" t="n"/>
    </row>
    <row r="126">
      <c r="A126" s="13" t="n"/>
      <c r="B126" s="13" t="n"/>
      <c r="C126" s="13" t="n"/>
      <c r="D126" s="13" t="n"/>
      <c r="I126" s="13" t="n"/>
    </row>
    <row r="127">
      <c r="A127" s="13" t="n"/>
      <c r="B127" s="13" t="n"/>
      <c r="C127" s="13" t="n"/>
      <c r="D127" s="13" t="n"/>
      <c r="I127" s="13" t="n"/>
    </row>
    <row r="128">
      <c r="A128" s="13" t="n"/>
      <c r="B128" s="13" t="n"/>
      <c r="C128" s="13" t="n"/>
      <c r="D128" s="13" t="n"/>
      <c r="I128" s="13" t="n"/>
    </row>
    <row r="129">
      <c r="A129" s="13" t="n"/>
      <c r="B129" s="13" t="n"/>
      <c r="C129" s="13" t="n"/>
      <c r="D129" s="13" t="n"/>
      <c r="I129" s="13" t="n"/>
    </row>
    <row r="130">
      <c r="A130" s="13" t="n"/>
      <c r="B130" s="13" t="n"/>
      <c r="C130" s="13" t="n"/>
      <c r="D130" s="13" t="n"/>
      <c r="I130" s="13" t="n"/>
    </row>
    <row r="131">
      <c r="A131" s="13" t="n"/>
      <c r="B131" s="13" t="n"/>
      <c r="C131" s="13" t="n"/>
      <c r="D131" s="13" t="n"/>
      <c r="I131" s="13" t="n"/>
    </row>
    <row r="132">
      <c r="A132" s="13" t="n"/>
      <c r="B132" s="13" t="n"/>
      <c r="C132" s="13" t="n"/>
      <c r="D132" s="13" t="n"/>
      <c r="I132" s="13" t="n"/>
    </row>
    <row r="133">
      <c r="A133" s="13" t="n"/>
      <c r="B133" s="13" t="n"/>
      <c r="C133" s="13" t="n"/>
      <c r="D133" s="13" t="n"/>
      <c r="I133" s="13" t="n"/>
    </row>
    <row r="134">
      <c r="A134" s="13" t="n"/>
      <c r="B134" s="13" t="n"/>
      <c r="C134" s="13" t="n"/>
      <c r="D134" s="13" t="n"/>
      <c r="I134" s="13" t="n"/>
    </row>
    <row r="135">
      <c r="A135" s="13" t="n"/>
      <c r="B135" s="13" t="n"/>
      <c r="C135" s="13" t="n"/>
      <c r="D135" s="13" t="n"/>
      <c r="I135" s="13" t="n"/>
    </row>
    <row r="136">
      <c r="A136" s="13" t="n"/>
      <c r="B136" s="13" t="n"/>
      <c r="C136" s="13" t="n"/>
      <c r="D136" s="13" t="n"/>
      <c r="I136" s="13" t="n"/>
    </row>
    <row r="137">
      <c r="A137" s="13" t="n"/>
      <c r="B137" s="13" t="n"/>
      <c r="C137" s="13" t="n"/>
      <c r="D137" s="13" t="n"/>
      <c r="I137" s="13" t="n"/>
    </row>
    <row r="138">
      <c r="A138" s="13" t="n"/>
      <c r="B138" s="13" t="n"/>
      <c r="C138" s="13" t="n"/>
      <c r="D138" s="13" t="n"/>
      <c r="I138" s="13" t="n"/>
    </row>
    <row r="139">
      <c r="A139" s="13" t="n"/>
      <c r="B139" s="13" t="n"/>
      <c r="C139" s="13" t="n"/>
      <c r="D139" s="13" t="n"/>
      <c r="I139" s="13" t="n"/>
    </row>
    <row r="140">
      <c r="A140" s="13" t="n"/>
      <c r="B140" s="13" t="n"/>
      <c r="C140" s="13" t="n"/>
      <c r="D140" s="13" t="n"/>
      <c r="I140" s="13" t="n"/>
    </row>
    <row r="141">
      <c r="A141" s="13" t="n"/>
      <c r="B141" s="13" t="n"/>
      <c r="C141" s="13" t="n"/>
      <c r="D141" s="13" t="n"/>
      <c r="I141" s="13" t="n"/>
    </row>
    <row r="142">
      <c r="A142" s="13" t="n"/>
      <c r="B142" s="13" t="n"/>
      <c r="C142" s="13" t="n"/>
      <c r="D142" s="13" t="n"/>
      <c r="I142" s="13" t="n"/>
    </row>
    <row r="143">
      <c r="A143" s="13" t="n"/>
      <c r="B143" s="13" t="n"/>
      <c r="C143" s="13" t="n"/>
      <c r="D143" s="13" t="n"/>
      <c r="I143" s="13" t="n"/>
    </row>
    <row r="144">
      <c r="A144" s="13" t="n"/>
      <c r="B144" s="13" t="n"/>
      <c r="C144" s="13" t="n"/>
      <c r="D144" s="13" t="n"/>
      <c r="I144" s="13" t="n"/>
    </row>
    <row r="145">
      <c r="A145" s="13" t="n"/>
      <c r="B145" s="13" t="n"/>
      <c r="C145" s="13" t="n"/>
      <c r="D145" s="13" t="n"/>
      <c r="I145" s="13" t="n"/>
    </row>
    <row r="146">
      <c r="A146" s="13" t="n"/>
      <c r="B146" s="13" t="n"/>
      <c r="C146" s="13" t="n"/>
      <c r="D146" s="13" t="n"/>
      <c r="I146" s="13" t="n"/>
    </row>
    <row r="147">
      <c r="A147" s="13" t="n"/>
      <c r="B147" s="13" t="n"/>
      <c r="C147" s="13" t="n"/>
      <c r="D147" s="13" t="n"/>
      <c r="I147" s="13" t="n"/>
    </row>
    <row r="148">
      <c r="A148" s="13" t="n"/>
      <c r="B148" s="13" t="n"/>
      <c r="C148" s="13" t="n"/>
      <c r="D148" s="13" t="n"/>
      <c r="I148" s="13" t="n"/>
    </row>
    <row r="149">
      <c r="A149" s="13" t="n"/>
      <c r="B149" s="13" t="n"/>
      <c r="C149" s="13" t="n"/>
      <c r="D149" s="13" t="n"/>
      <c r="I149" s="13" t="n"/>
    </row>
    <row r="150">
      <c r="A150" s="13" t="n"/>
      <c r="B150" s="13" t="n"/>
      <c r="C150" s="13" t="n"/>
      <c r="D150" s="13" t="n"/>
      <c r="I150" s="13" t="n"/>
    </row>
    <row r="151">
      <c r="A151" s="13" t="n"/>
      <c r="B151" s="13" t="n"/>
      <c r="C151" s="13" t="n"/>
      <c r="D151" s="13" t="n"/>
      <c r="I151" s="13" t="n"/>
    </row>
    <row r="152">
      <c r="A152" s="13" t="n"/>
      <c r="B152" s="13" t="n"/>
      <c r="C152" s="13" t="n"/>
      <c r="D152" s="13" t="n"/>
      <c r="I152" s="13" t="n"/>
    </row>
    <row r="153">
      <c r="A153" s="13" t="n"/>
      <c r="B153" s="13" t="n"/>
      <c r="C153" s="13" t="n"/>
      <c r="D153" s="13" t="n"/>
      <c r="I153" s="13" t="n"/>
    </row>
    <row r="154">
      <c r="A154" s="13" t="n"/>
      <c r="B154" s="13" t="n"/>
      <c r="C154" s="13" t="n"/>
      <c r="D154" s="13" t="n"/>
      <c r="I154" s="13" t="n"/>
    </row>
    <row r="155">
      <c r="A155" s="13" t="n"/>
      <c r="B155" s="13" t="n"/>
      <c r="C155" s="13" t="n"/>
      <c r="D155" s="13" t="n"/>
      <c r="I155" s="13" t="n"/>
    </row>
    <row r="156">
      <c r="A156" s="13" t="n"/>
      <c r="B156" s="13" t="n"/>
      <c r="C156" s="13" t="n"/>
      <c r="D156" s="13" t="n"/>
      <c r="I156" s="13" t="n"/>
    </row>
    <row r="157">
      <c r="A157" s="13" t="n"/>
      <c r="B157" s="13" t="n"/>
      <c r="C157" s="13" t="n"/>
      <c r="D157" s="13" t="n"/>
      <c r="I157" s="13" t="n"/>
    </row>
    <row r="158">
      <c r="A158" s="13" t="n"/>
      <c r="B158" s="13" t="n"/>
      <c r="C158" s="13" t="n"/>
      <c r="D158" s="13" t="n"/>
      <c r="I158" s="13" t="n"/>
    </row>
    <row r="159">
      <c r="A159" s="13" t="n"/>
      <c r="B159" s="13" t="n"/>
      <c r="C159" s="13" t="n"/>
      <c r="D159" s="13" t="n"/>
      <c r="I159" s="13" t="n"/>
    </row>
    <row r="160">
      <c r="A160" s="13" t="n"/>
      <c r="B160" s="13" t="n"/>
      <c r="C160" s="13" t="n"/>
      <c r="D160" s="13" t="n"/>
      <c r="I160" s="13" t="n"/>
    </row>
    <row r="161">
      <c r="A161" s="13" t="n"/>
      <c r="B161" s="13" t="n"/>
      <c r="C161" s="13" t="n"/>
      <c r="D161" s="13" t="n"/>
      <c r="I161" s="13" t="n"/>
    </row>
    <row r="162">
      <c r="A162" s="13" t="n"/>
      <c r="B162" s="13" t="n"/>
      <c r="C162" s="13" t="n"/>
      <c r="D162" s="13" t="n"/>
      <c r="I162" s="13" t="n"/>
    </row>
    <row r="163">
      <c r="A163" s="13" t="n"/>
      <c r="B163" s="13" t="n"/>
      <c r="C163" s="13" t="n"/>
      <c r="D163" s="13" t="n"/>
      <c r="I163" s="13" t="n"/>
    </row>
    <row r="164">
      <c r="A164" s="13" t="n"/>
      <c r="B164" s="13" t="n"/>
      <c r="C164" s="13" t="n"/>
      <c r="D164" s="13" t="n"/>
      <c r="I164" s="13" t="n"/>
    </row>
    <row r="165">
      <c r="A165" s="13" t="n"/>
      <c r="B165" s="13" t="n"/>
      <c r="C165" s="13" t="n"/>
      <c r="D165" s="13" t="n"/>
      <c r="I165" s="13" t="n"/>
    </row>
    <row r="166">
      <c r="A166" s="13" t="n"/>
      <c r="B166" s="13" t="n"/>
      <c r="C166" s="13" t="n"/>
      <c r="D166" s="13" t="n"/>
      <c r="I166" s="13" t="n"/>
    </row>
    <row r="167">
      <c r="A167" s="13" t="n"/>
      <c r="B167" s="13" t="n"/>
      <c r="C167" s="13" t="n"/>
      <c r="D167" s="13" t="n"/>
      <c r="I167" s="13" t="n"/>
    </row>
    <row r="168">
      <c r="A168" s="13" t="n"/>
      <c r="B168" s="13" t="n"/>
      <c r="C168" s="13" t="n"/>
      <c r="D168" s="13" t="n"/>
      <c r="I168" s="13" t="n"/>
    </row>
    <row r="169">
      <c r="A169" s="13" t="n"/>
      <c r="B169" s="13" t="n"/>
      <c r="C169" s="13" t="n"/>
      <c r="D169" s="13" t="n"/>
      <c r="I169" s="13" t="n"/>
    </row>
    <row r="170">
      <c r="A170" s="13" t="n"/>
      <c r="B170" s="13" t="n"/>
      <c r="C170" s="13" t="n"/>
      <c r="D170" s="13" t="n"/>
      <c r="I170" s="13" t="n"/>
    </row>
    <row r="171">
      <c r="A171" s="13" t="n"/>
      <c r="B171" s="13" t="n"/>
      <c r="C171" s="13" t="n"/>
      <c r="D171" s="13" t="n"/>
      <c r="I171" s="13" t="n"/>
    </row>
    <row r="172">
      <c r="A172" s="13" t="n"/>
      <c r="B172" s="13" t="n"/>
      <c r="C172" s="13" t="n"/>
      <c r="D172" s="13" t="n"/>
      <c r="I172" s="13" t="n"/>
    </row>
    <row r="173">
      <c r="A173" s="13" t="n"/>
      <c r="B173" s="13" t="n"/>
      <c r="C173" s="13" t="n"/>
      <c r="D173" s="13" t="n"/>
      <c r="I173" s="13" t="n"/>
    </row>
    <row r="174">
      <c r="A174" s="13" t="n"/>
      <c r="B174" s="13" t="n"/>
      <c r="C174" s="13" t="n"/>
      <c r="D174" s="13" t="n"/>
      <c r="I174" s="13" t="n"/>
    </row>
    <row r="175">
      <c r="A175" s="13" t="n"/>
      <c r="B175" s="13" t="n"/>
      <c r="C175" s="13" t="n"/>
      <c r="D175" s="13" t="n"/>
      <c r="I175" s="13" t="n"/>
    </row>
    <row r="176">
      <c r="A176" s="13" t="n"/>
      <c r="B176" s="13" t="n"/>
      <c r="C176" s="13" t="n"/>
      <c r="D176" s="13" t="n"/>
      <c r="I176" s="13" t="n"/>
    </row>
    <row r="177">
      <c r="A177" s="13" t="n"/>
      <c r="B177" s="13" t="n"/>
      <c r="C177" s="13" t="n"/>
      <c r="D177" s="13" t="n"/>
      <c r="I177" s="13" t="n"/>
    </row>
    <row r="178">
      <c r="A178" s="13" t="n"/>
      <c r="B178" s="13" t="n"/>
      <c r="C178" s="13" t="n"/>
      <c r="D178" s="13" t="n"/>
      <c r="I178" s="13" t="n"/>
    </row>
    <row r="179">
      <c r="A179" s="13" t="n"/>
      <c r="B179" s="13" t="n"/>
      <c r="C179" s="13" t="n"/>
      <c r="D179" s="13" t="n"/>
      <c r="I179" s="13" t="n"/>
    </row>
    <row r="180">
      <c r="A180" s="13" t="n"/>
      <c r="B180" s="13" t="n"/>
      <c r="C180" s="13" t="n"/>
      <c r="D180" s="13" t="n"/>
      <c r="I180" s="13" t="n"/>
    </row>
    <row r="181">
      <c r="A181" s="13" t="n"/>
      <c r="B181" s="13" t="n"/>
      <c r="C181" s="13" t="n"/>
      <c r="D181" s="13" t="n"/>
      <c r="I181" s="13" t="n"/>
    </row>
    <row r="182">
      <c r="A182" s="13" t="n"/>
      <c r="B182" s="13" t="n"/>
      <c r="C182" s="13" t="n"/>
      <c r="D182" s="13" t="n"/>
      <c r="I182" s="13" t="n"/>
    </row>
    <row r="183">
      <c r="A183" s="13" t="n"/>
      <c r="B183" s="13" t="n"/>
      <c r="C183" s="13" t="n"/>
      <c r="D183" s="13" t="n"/>
      <c r="I183" s="13" t="n"/>
    </row>
    <row r="184">
      <c r="A184" s="13" t="n"/>
      <c r="B184" s="13" t="n"/>
      <c r="C184" s="13" t="n"/>
      <c r="D184" s="13" t="n"/>
      <c r="I184" s="13" t="n"/>
    </row>
    <row r="185">
      <c r="A185" s="13" t="n"/>
      <c r="B185" s="13" t="n"/>
      <c r="C185" s="13" t="n"/>
      <c r="D185" s="13" t="n"/>
      <c r="I185" s="13" t="n"/>
    </row>
    <row r="186">
      <c r="A186" s="13" t="n"/>
      <c r="B186" s="13" t="n"/>
      <c r="C186" s="13" t="n"/>
      <c r="D186" s="13" t="n"/>
      <c r="I186" s="13" t="n"/>
    </row>
    <row r="187">
      <c r="A187" s="13" t="n"/>
      <c r="B187" s="13" t="n"/>
      <c r="C187" s="13" t="n"/>
      <c r="D187" s="13" t="n"/>
      <c r="I187" s="13" t="n"/>
    </row>
    <row r="188">
      <c r="A188" s="13" t="n"/>
      <c r="B188" s="13" t="n"/>
      <c r="C188" s="13" t="n"/>
      <c r="D188" s="13" t="n"/>
      <c r="I188" s="13" t="n"/>
    </row>
    <row r="189">
      <c r="A189" s="13" t="n"/>
      <c r="B189" s="13" t="n"/>
      <c r="C189" s="13" t="n"/>
      <c r="D189" s="13" t="n"/>
      <c r="I189" s="13" t="n"/>
    </row>
    <row r="190">
      <c r="A190" s="13" t="n"/>
      <c r="B190" s="13" t="n"/>
      <c r="C190" s="13" t="n"/>
      <c r="D190" s="13" t="n"/>
      <c r="I190" s="13" t="n"/>
    </row>
    <row r="191">
      <c r="A191" s="13" t="n"/>
      <c r="B191" s="13" t="n"/>
      <c r="C191" s="13" t="n"/>
      <c r="D191" s="13" t="n"/>
      <c r="I191" s="13" t="n"/>
    </row>
    <row r="192">
      <c r="A192" s="13" t="n"/>
      <c r="B192" s="13" t="n"/>
      <c r="C192" s="13" t="n"/>
      <c r="D192" s="13" t="n"/>
      <c r="I192" s="13" t="n"/>
    </row>
    <row r="193">
      <c r="A193" s="13" t="n"/>
      <c r="B193" s="13" t="n"/>
      <c r="C193" s="13" t="n"/>
      <c r="D193" s="13" t="n"/>
      <c r="I193" s="13" t="n"/>
    </row>
    <row r="194">
      <c r="A194" s="13" t="n"/>
      <c r="B194" s="13" t="n"/>
      <c r="C194" s="13" t="n"/>
      <c r="D194" s="13" t="n"/>
      <c r="I194" s="13" t="n"/>
    </row>
    <row r="195">
      <c r="A195" s="13" t="n"/>
      <c r="B195" s="13" t="n"/>
      <c r="C195" s="13" t="n"/>
      <c r="D195" s="13" t="n"/>
      <c r="I195" s="13" t="n"/>
    </row>
    <row r="196">
      <c r="A196" s="13" t="n"/>
      <c r="B196" s="13" t="n"/>
      <c r="C196" s="13" t="n"/>
      <c r="D196" s="13" t="n"/>
      <c r="I196" s="13" t="n"/>
    </row>
    <row r="197">
      <c r="A197" s="13" t="n"/>
      <c r="B197" s="13" t="n"/>
      <c r="C197" s="13" t="n"/>
      <c r="D197" s="13" t="n"/>
      <c r="I197" s="13" t="n"/>
    </row>
    <row r="198">
      <c r="A198" s="13" t="n"/>
      <c r="B198" s="13" t="n"/>
      <c r="C198" s="13" t="n"/>
      <c r="D198" s="13" t="n"/>
      <c r="I198" s="13" t="n"/>
    </row>
    <row r="199">
      <c r="A199" s="13" t="n"/>
      <c r="B199" s="13" t="n"/>
      <c r="C199" s="13" t="n"/>
      <c r="D199" s="13" t="n"/>
      <c r="I199" s="13" t="n"/>
    </row>
    <row r="200">
      <c r="A200" s="13" t="n"/>
      <c r="B200" s="13" t="n"/>
      <c r="C200" s="13" t="n"/>
      <c r="D200" s="13" t="n"/>
      <c r="I200" s="1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conditionalFormatting sqref="E6:E1000">
    <cfRule type="cellIs" priority="1" operator="notEqual" dxfId="0">
      <formula>0</formula>
    </cfRule>
  </conditionalFormatting>
  <conditionalFormatting sqref="G6:G1000">
    <cfRule type="cellIs" priority="2" operator="equal" dxfId="1">
      <formula>"UYUMLU"</formula>
    </cfRule>
    <cfRule type="cellIs" priority="3" operator="equal" dxfId="3">
      <formula>"FARK VAR"</formula>
    </cfRule>
  </conditionalFormatting>
  <conditionalFormatting sqref="H6:H1000">
    <cfRule type="cellIs" priority="4" operator="equal" dxfId="3">
      <formula>"SAYIM EKSİK"</formula>
    </cfRule>
    <cfRule type="cellIs" priority="5" operator="equal" dxfId="4">
      <formula>"SAYIM FAZLA"</formula>
    </cfRule>
  </conditionalFormatting>
  <dataValidations count="2">
    <dataValidation sqref="C6:C1000" showDropDown="0" showInputMessage="1" showErrorMessage="1" allowBlank="1" errorTitle="Geçersiz Bakiye" error="Defter bakiyesi negatif olamaz." promptTitle="Defter Bakiyesi" prompt="KASA_HAREKETLERI'ne göre hesaplanan kasa bakiyesi." type="decimal" errorStyle="stop" operator="greaterThanOrEqual">
      <formula1>0</formula1>
    </dataValidation>
    <dataValidation sqref="D6:D1000" showDropDown="0" showInputMessage="1" showErrorMessage="1" allowBlank="1" errorTitle="Geçersiz Sayım" error="Sayım tutarı negatif olamaz." promptTitle="Sayım Tutarı" prompt="Fiziki olarak sayılan para tutarı.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A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" t="inlineStr">
        <is>
          <t>GUNLUK OZET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Günlük nakit hareketlerinin özeti. Tarih listesine bir gün yazmanız yeterli; giriş, çıkış ve net değerler KASA_HAREKETLERI'nden otomatik gelir.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 ht="30" customHeight="1">
      <c r="A4" s="6" t="inlineStr">
        <is>
          <t>Tarih</t>
        </is>
      </c>
      <c r="B4" s="6" t="inlineStr">
        <is>
          <t>Toplam Giriş (₺)</t>
        </is>
      </c>
      <c r="C4" s="6" t="inlineStr">
        <is>
          <t>Toplam Çıkış (₺)</t>
        </is>
      </c>
      <c r="D4" s="6" t="inlineStr">
        <is>
          <t>Net (₺)</t>
        </is>
      </c>
      <c r="E4" s="6" t="inlineStr">
        <is>
          <t>Kümülatif Net (₺)</t>
        </is>
      </c>
    </row>
    <row r="5"/>
    <row r="6">
      <c r="A6" s="14" t="n">
        <v>46204</v>
      </c>
    </row>
    <row r="7">
      <c r="A7" s="14" t="n">
        <v>46205</v>
      </c>
    </row>
    <row r="8">
      <c r="A8" s="14" t="n">
        <v>46206</v>
      </c>
    </row>
    <row r="9">
      <c r="A9" s="14" t="n">
        <v>46208</v>
      </c>
    </row>
    <row r="10">
      <c r="A10" s="14" t="n">
        <v>46210</v>
      </c>
    </row>
    <row r="11">
      <c r="A11" s="14" t="n">
        <v>46211</v>
      </c>
    </row>
    <row r="12">
      <c r="A12" s="14" t="n">
        <v>46213</v>
      </c>
    </row>
    <row r="13">
      <c r="A13" s="14" t="n">
        <v>46215</v>
      </c>
    </row>
    <row r="14">
      <c r="A14" s="14" t="n">
        <v>46218</v>
      </c>
    </row>
    <row r="15">
      <c r="A15" s="14" t="n">
        <v>46219</v>
      </c>
    </row>
    <row r="16">
      <c r="A16" s="13" t="n"/>
    </row>
    <row r="17">
      <c r="A17" s="13" t="n"/>
    </row>
    <row r="18">
      <c r="A18" s="13" t="n"/>
    </row>
    <row r="19">
      <c r="A19" s="13" t="n"/>
    </row>
    <row r="20">
      <c r="A20" s="13" t="n"/>
    </row>
    <row r="21">
      <c r="A21" s="13" t="n"/>
    </row>
    <row r="22">
      <c r="A22" s="13" t="n"/>
    </row>
    <row r="23">
      <c r="A23" s="13" t="n"/>
    </row>
    <row r="24">
      <c r="A24" s="13" t="n"/>
    </row>
    <row r="25">
      <c r="A25" s="13" t="n"/>
    </row>
    <row r="26">
      <c r="A26" s="13" t="n"/>
    </row>
    <row r="27">
      <c r="A27" s="13" t="n"/>
    </row>
    <row r="28">
      <c r="A28" s="13" t="n"/>
    </row>
    <row r="29">
      <c r="A29" s="13" t="n"/>
    </row>
    <row r="30">
      <c r="A30" s="13" t="n"/>
    </row>
    <row r="31">
      <c r="A31" s="13" t="n"/>
    </row>
    <row r="32">
      <c r="A32" s="13" t="n"/>
    </row>
    <row r="33">
      <c r="A33" s="13" t="n"/>
    </row>
    <row r="34">
      <c r="A34" s="13" t="n"/>
    </row>
    <row r="35">
      <c r="A35" s="13" t="n"/>
    </row>
    <row r="36">
      <c r="A36" s="13" t="n"/>
    </row>
    <row r="37">
      <c r="A37" s="13" t="n"/>
    </row>
    <row r="38">
      <c r="A38" s="13" t="n"/>
    </row>
    <row r="39">
      <c r="A39" s="13" t="n"/>
    </row>
    <row r="40">
      <c r="A40" s="13" t="n"/>
    </row>
    <row r="41">
      <c r="A41" s="13" t="n"/>
    </row>
    <row r="42">
      <c r="A42" s="13" t="n"/>
    </row>
    <row r="43">
      <c r="A43" s="13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  <row r="52">
      <c r="A52" s="13" t="n"/>
    </row>
    <row r="53">
      <c r="A53" s="13" t="n"/>
    </row>
    <row r="54">
      <c r="A54" s="13" t="n"/>
    </row>
    <row r="55">
      <c r="A55" s="13" t="n"/>
    </row>
    <row r="56">
      <c r="A56" s="13" t="n"/>
    </row>
    <row r="57">
      <c r="A57" s="13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  <row r="101">
      <c r="A101" s="13" t="n"/>
    </row>
    <row r="102">
      <c r="A102" s="13" t="n"/>
    </row>
    <row r="103">
      <c r="A103" s="13" t="n"/>
    </row>
    <row r="104">
      <c r="A104" s="13" t="n"/>
    </row>
    <row r="105">
      <c r="A105" s="13" t="n"/>
    </row>
    <row r="106">
      <c r="A106" s="13" t="n"/>
    </row>
    <row r="107">
      <c r="A107" s="13" t="n"/>
    </row>
    <row r="108">
      <c r="A108" s="13" t="n"/>
    </row>
    <row r="109">
      <c r="A109" s="13" t="n"/>
    </row>
    <row r="110">
      <c r="A110" s="13" t="n"/>
    </row>
    <row r="111">
      <c r="A111" s="13" t="n"/>
    </row>
    <row r="112">
      <c r="A112" s="13" t="n"/>
    </row>
    <row r="113">
      <c r="A113" s="13" t="n"/>
    </row>
    <row r="114">
      <c r="A114" s="13" t="n"/>
    </row>
    <row r="115">
      <c r="A115" s="13" t="n"/>
    </row>
    <row r="116">
      <c r="A116" s="13" t="n"/>
    </row>
    <row r="117">
      <c r="A117" s="13" t="n"/>
    </row>
    <row r="118">
      <c r="A118" s="13" t="n"/>
    </row>
    <row r="119">
      <c r="A119" s="13" t="n"/>
    </row>
    <row r="120">
      <c r="A120" s="13" t="n"/>
    </row>
    <row r="121">
      <c r="A121" s="13" t="n"/>
    </row>
    <row r="122">
      <c r="A122" s="13" t="n"/>
    </row>
    <row r="123">
      <c r="A123" s="13" t="n"/>
    </row>
    <row r="124">
      <c r="A124" s="13" t="n"/>
    </row>
    <row r="125">
      <c r="A125" s="13" t="n"/>
    </row>
    <row r="126">
      <c r="A126" s="13" t="n"/>
    </row>
    <row r="127">
      <c r="A127" s="13" t="n"/>
    </row>
    <row r="128">
      <c r="A128" s="13" t="n"/>
    </row>
    <row r="129">
      <c r="A129" s="13" t="n"/>
    </row>
    <row r="130">
      <c r="A130" s="13" t="n"/>
    </row>
    <row r="131">
      <c r="A131" s="13" t="n"/>
    </row>
    <row r="132">
      <c r="A132" s="13" t="n"/>
    </row>
    <row r="133">
      <c r="A133" s="13" t="n"/>
    </row>
    <row r="134">
      <c r="A134" s="13" t="n"/>
    </row>
    <row r="135">
      <c r="A135" s="13" t="n"/>
    </row>
    <row r="136">
      <c r="A136" s="13" t="n"/>
    </row>
    <row r="137">
      <c r="A137" s="13" t="n"/>
    </row>
    <row r="138">
      <c r="A138" s="13" t="n"/>
    </row>
    <row r="139">
      <c r="A139" s="13" t="n"/>
    </row>
    <row r="140">
      <c r="A140" s="13" t="n"/>
    </row>
    <row r="141">
      <c r="A141" s="13" t="n"/>
    </row>
    <row r="142">
      <c r="A142" s="13" t="n"/>
    </row>
    <row r="143">
      <c r="A143" s="13" t="n"/>
    </row>
    <row r="144">
      <c r="A144" s="13" t="n"/>
    </row>
    <row r="145">
      <c r="A145" s="13" t="n"/>
    </row>
    <row r="146">
      <c r="A146" s="13" t="n"/>
    </row>
    <row r="147">
      <c r="A147" s="13" t="n"/>
    </row>
    <row r="148">
      <c r="A148" s="13" t="n"/>
    </row>
    <row r="149">
      <c r="A149" s="13" t="n"/>
    </row>
    <row r="150">
      <c r="A150" s="13" t="n"/>
    </row>
    <row r="151">
      <c r="A151" s="13" t="n"/>
    </row>
    <row r="152">
      <c r="A152" s="13" t="n"/>
    </row>
    <row r="153">
      <c r="A153" s="13" t="n"/>
    </row>
    <row r="154">
      <c r="A154" s="13" t="n"/>
    </row>
    <row r="155">
      <c r="A155" s="13" t="n"/>
    </row>
    <row r="156">
      <c r="A156" s="13" t="n"/>
    </row>
    <row r="157">
      <c r="A157" s="13" t="n"/>
    </row>
    <row r="158">
      <c r="A158" s="13" t="n"/>
    </row>
    <row r="159">
      <c r="A159" s="13" t="n"/>
    </row>
    <row r="160">
      <c r="A160" s="13" t="n"/>
    </row>
    <row r="161">
      <c r="A161" s="13" t="n"/>
    </row>
    <row r="162">
      <c r="A162" s="13" t="n"/>
    </row>
    <row r="163">
      <c r="A163" s="13" t="n"/>
    </row>
    <row r="164">
      <c r="A164" s="13" t="n"/>
    </row>
    <row r="165">
      <c r="A165" s="13" t="n"/>
    </row>
    <row r="166">
      <c r="A166" s="13" t="n"/>
    </row>
    <row r="167">
      <c r="A167" s="13" t="n"/>
    </row>
    <row r="168">
      <c r="A168" s="13" t="n"/>
    </row>
    <row r="169">
      <c r="A169" s="13" t="n"/>
    </row>
    <row r="170">
      <c r="A170" s="13" t="n"/>
    </row>
    <row r="171">
      <c r="A171" s="13" t="n"/>
    </row>
    <row r="172">
      <c r="A172" s="13" t="n"/>
    </row>
    <row r="173">
      <c r="A173" s="13" t="n"/>
    </row>
    <row r="174">
      <c r="A174" s="13" t="n"/>
    </row>
    <row r="175">
      <c r="A175" s="13" t="n"/>
    </row>
    <row r="176">
      <c r="A176" s="13" t="n"/>
    </row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2">
      <c r="A182" s="13" t="n"/>
    </row>
    <row r="183">
      <c r="A183" s="13" t="n"/>
    </row>
    <row r="184">
      <c r="A184" s="13" t="n"/>
    </row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conditionalFormatting sqref="C6:C500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6:D5000">
    <cfRule type="cellIs" priority="3" operator="lessThan" dxfId="3">
      <formula>0</formula>
    </cfRule>
  </conditionalFormatting>
  <conditionalFormatting sqref="E6:E5000">
    <cfRule type="cellIs" priority="4" operator="lessThan" dxfId="3">
      <formula>0</formula>
    </cfRule>
  </conditionalFormatting>
  <conditionalFormatting sqref="F6:F5000">
    <cfRule type="cellIs" priority="5" operator="lessThan" dxfId="3">
      <formula>0</formula>
    </cfRule>
    <cfRule type="cellIs" priority="6" operator="greaterThan" dxfId="1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&amp;LAKILLI KASA DEFTERİ VE NAKİT KONTROL SİSTEMİ&amp;CExcelArşiv&amp;RSayfa &amp;P / &amp;N</oddFooter>
    <evenHeader/>
    <evenFooter>&amp;LAKILLI KASA DEFTERİ VE NAKİT KONTROL SİSTEMİ&amp;CExcelArşiv&amp;RSayfa &amp;P / &amp;N</evenFooter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AN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NAKIT PROJEKSIYONU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Önümüzdeki haftalar için nakit projeksiyonu. Hafta başlangıç tarihlerini girin; beklenen giriş/çıkış ODEME_TAHSILAT_TAKVIMI ve günlük ortalamadan hesaplanır.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 ht="30" customHeight="1">
      <c r="A4" s="6" t="inlineStr">
        <is>
          <t>Hafta Başlangıcı</t>
        </is>
      </c>
      <c r="B4" s="6" t="inlineStr">
        <is>
          <t>Hafta Sonu</t>
        </is>
      </c>
      <c r="C4" s="6" t="inlineStr">
        <is>
          <t>Beklenen Giriş (₺)</t>
        </is>
      </c>
      <c r="D4" s="6" t="inlineStr">
        <is>
          <t>Beklenen Çıkış (₺)</t>
        </is>
      </c>
      <c r="E4" s="6" t="inlineStr">
        <is>
          <t>Net (₺)</t>
        </is>
      </c>
      <c r="F4" s="6" t="inlineStr">
        <is>
          <t>Dönem Başı Kasa (₺)</t>
        </is>
      </c>
      <c r="G4" s="6" t="inlineStr">
        <is>
          <t>Dönem Sonu Kasa (₺)</t>
        </is>
      </c>
    </row>
    <row r="5"/>
    <row r="6">
      <c r="A6" s="14" t="n">
        <v>46244</v>
      </c>
    </row>
    <row r="7">
      <c r="A7" s="14" t="n">
        <v>46251</v>
      </c>
    </row>
    <row r="8">
      <c r="A8" s="14" t="n">
        <v>46258</v>
      </c>
    </row>
    <row r="9">
      <c r="A9" s="14" t="n">
        <v>46265</v>
      </c>
    </row>
    <row r="10">
      <c r="A10" s="14" t="n">
        <v>46272</v>
      </c>
    </row>
    <row r="11">
      <c r="A11" s="14" t="n">
        <v>46279</v>
      </c>
    </row>
    <row r="12">
      <c r="A12" s="14" t="n">
        <v>46286</v>
      </c>
    </row>
    <row r="13">
      <c r="A13" s="14" t="n">
        <v>46293</v>
      </c>
    </row>
    <row r="14">
      <c r="A14" s="14" t="n">
        <v>46300</v>
      </c>
    </row>
    <row r="15">
      <c r="A15" s="14" t="n">
        <v>46307</v>
      </c>
    </row>
    <row r="16">
      <c r="A16" s="14" t="n">
        <v>46314</v>
      </c>
    </row>
    <row r="17">
      <c r="A17" s="14" t="n">
        <v>46321</v>
      </c>
    </row>
    <row r="18">
      <c r="A18" s="13" t="n"/>
    </row>
    <row r="19">
      <c r="A19" s="13" t="n"/>
    </row>
    <row r="20">
      <c r="A20" s="13" t="n"/>
    </row>
    <row r="21">
      <c r="A21" s="13" t="n"/>
    </row>
    <row r="22">
      <c r="A22" s="13" t="n"/>
    </row>
    <row r="23">
      <c r="A23" s="13" t="n"/>
    </row>
    <row r="24">
      <c r="A24" s="13" t="n"/>
    </row>
    <row r="25">
      <c r="A25" s="13" t="n"/>
    </row>
    <row r="26">
      <c r="A26" s="13" t="n"/>
    </row>
    <row r="27">
      <c r="A27" s="13" t="n"/>
    </row>
    <row r="28">
      <c r="A28" s="13" t="n"/>
    </row>
    <row r="29">
      <c r="A29" s="13" t="n"/>
    </row>
    <row r="30">
      <c r="A30" s="13" t="n"/>
    </row>
    <row r="31">
      <c r="A31" s="13" t="n"/>
    </row>
    <row r="32">
      <c r="A32" s="13" t="n"/>
    </row>
    <row r="33">
      <c r="A33" s="13" t="n"/>
    </row>
    <row r="34">
      <c r="A34" s="13" t="n"/>
    </row>
    <row r="35">
      <c r="A35" s="13" t="n"/>
    </row>
    <row r="36">
      <c r="A36" s="13" t="n"/>
    </row>
    <row r="37">
      <c r="A37" s="13" t="n"/>
    </row>
    <row r="38">
      <c r="A38" s="13" t="n"/>
    </row>
    <row r="39">
      <c r="A39" s="13" t="n"/>
    </row>
    <row r="40">
      <c r="A40" s="13" t="n"/>
    </row>
    <row r="41">
      <c r="A41" s="13" t="n"/>
    </row>
    <row r="42">
      <c r="A42" s="13" t="n"/>
    </row>
    <row r="43">
      <c r="A43" s="13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  <row r="52">
      <c r="A52" s="13" t="n"/>
    </row>
    <row r="53">
      <c r="A53" s="13" t="n"/>
    </row>
    <row r="54">
      <c r="A54" s="13" t="n"/>
    </row>
    <row r="55">
      <c r="A55" s="13" t="n"/>
    </row>
    <row r="56">
      <c r="A56" s="13" t="n"/>
    </row>
    <row r="57">
      <c r="A57" s="13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  <row r="101">
      <c r="A101" s="13" t="n"/>
    </row>
    <row r="102">
      <c r="A102" s="13" t="n"/>
    </row>
    <row r="103">
      <c r="A103" s="13" t="n"/>
    </row>
    <row r="104">
      <c r="A104" s="13" t="n"/>
    </row>
    <row r="105">
      <c r="A105" s="13" t="n"/>
    </row>
    <row r="106">
      <c r="A106" s="13" t="n"/>
    </row>
    <row r="107">
      <c r="A107" s="13" t="n"/>
    </row>
    <row r="108">
      <c r="A108" s="13" t="n"/>
    </row>
    <row r="109">
      <c r="A109" s="13" t="n"/>
    </row>
    <row r="110">
      <c r="A110" s="13" t="n"/>
    </row>
    <row r="111">
      <c r="A111" s="13" t="n"/>
    </row>
    <row r="112">
      <c r="A112" s="13" t="n"/>
    </row>
    <row r="113">
      <c r="A113" s="13" t="n"/>
    </row>
    <row r="114">
      <c r="A114" s="13" t="n"/>
    </row>
    <row r="115">
      <c r="A115" s="13" t="n"/>
    </row>
    <row r="116">
      <c r="A116" s="13" t="n"/>
    </row>
    <row r="117">
      <c r="A117" s="13" t="n"/>
    </row>
    <row r="118">
      <c r="A118" s="13" t="n"/>
    </row>
    <row r="119">
      <c r="A119" s="13" t="n"/>
    </row>
    <row r="120">
      <c r="A120" s="13" t="n"/>
    </row>
    <row r="121">
      <c r="A121" s="13" t="n"/>
    </row>
    <row r="122">
      <c r="A122" s="13" t="n"/>
    </row>
    <row r="123">
      <c r="A123" s="13" t="n"/>
    </row>
    <row r="124">
      <c r="A124" s="13" t="n"/>
    </row>
    <row r="125">
      <c r="A125" s="13" t="n"/>
    </row>
    <row r="126">
      <c r="A126" s="13" t="n"/>
    </row>
    <row r="127">
      <c r="A127" s="13" t="n"/>
    </row>
    <row r="128">
      <c r="A128" s="13" t="n"/>
    </row>
    <row r="129">
      <c r="A129" s="13" t="n"/>
    </row>
    <row r="130">
      <c r="A130" s="13" t="n"/>
    </row>
    <row r="131">
      <c r="A131" s="13" t="n"/>
    </row>
    <row r="132">
      <c r="A132" s="13" t="n"/>
    </row>
    <row r="133">
      <c r="A133" s="13" t="n"/>
    </row>
    <row r="134">
      <c r="A134" s="13" t="n"/>
    </row>
    <row r="135">
      <c r="A135" s="13" t="n"/>
    </row>
    <row r="136">
      <c r="A136" s="13" t="n"/>
    </row>
    <row r="137">
      <c r="A137" s="13" t="n"/>
    </row>
    <row r="138">
      <c r="A138" s="13" t="n"/>
    </row>
    <row r="139">
      <c r="A139" s="13" t="n"/>
    </row>
    <row r="140">
      <c r="A140" s="13" t="n"/>
    </row>
    <row r="141">
      <c r="A141" s="13" t="n"/>
    </row>
    <row r="142">
      <c r="A142" s="13" t="n"/>
    </row>
    <row r="143">
      <c r="A143" s="13" t="n"/>
    </row>
    <row r="144">
      <c r="A144" s="13" t="n"/>
    </row>
    <row r="145">
      <c r="A145" s="13" t="n"/>
    </row>
    <row r="146">
      <c r="A146" s="13" t="n"/>
    </row>
    <row r="147">
      <c r="A147" s="13" t="n"/>
    </row>
    <row r="148">
      <c r="A148" s="13" t="n"/>
    </row>
    <row r="149">
      <c r="A149" s="13" t="n"/>
    </row>
    <row r="150">
      <c r="A150" s="13" t="n"/>
    </row>
    <row r="151">
      <c r="A151" s="13" t="n"/>
    </row>
    <row r="152">
      <c r="A152" s="13" t="n"/>
    </row>
    <row r="153">
      <c r="A153" s="13" t="n"/>
    </row>
    <row r="154">
      <c r="A154" s="13" t="n"/>
    </row>
    <row r="155">
      <c r="A155" s="13" t="n"/>
    </row>
    <row r="156">
      <c r="A156" s="13" t="n"/>
    </row>
    <row r="157">
      <c r="A157" s="13" t="n"/>
    </row>
    <row r="158">
      <c r="A158" s="13" t="n"/>
    </row>
    <row r="159">
      <c r="A159" s="13" t="n"/>
    </row>
    <row r="160">
      <c r="A160" s="13" t="n"/>
    </row>
    <row r="161">
      <c r="A161" s="13" t="n"/>
    </row>
    <row r="162">
      <c r="A162" s="13" t="n"/>
    </row>
    <row r="163">
      <c r="A163" s="13" t="n"/>
    </row>
    <row r="164">
      <c r="A164" s="13" t="n"/>
    </row>
    <row r="165">
      <c r="A165" s="13" t="n"/>
    </row>
    <row r="166">
      <c r="A166" s="13" t="n"/>
    </row>
    <row r="167">
      <c r="A167" s="13" t="n"/>
    </row>
    <row r="168">
      <c r="A168" s="13" t="n"/>
    </row>
    <row r="169">
      <c r="A169" s="13" t="n"/>
    </row>
    <row r="170">
      <c r="A170" s="13" t="n"/>
    </row>
    <row r="171">
      <c r="A171" s="13" t="n"/>
    </row>
    <row r="172">
      <c r="A172" s="13" t="n"/>
    </row>
    <row r="173">
      <c r="A173" s="13" t="n"/>
    </row>
    <row r="174">
      <c r="A174" s="13" t="n"/>
    </row>
    <row r="175">
      <c r="A175" s="13" t="n"/>
    </row>
    <row r="176">
      <c r="A176" s="13" t="n"/>
    </row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2">
      <c r="A182" s="13" t="n"/>
    </row>
    <row r="183">
      <c r="A183" s="13" t="n"/>
    </row>
    <row r="184">
      <c r="A184" s="13" t="n"/>
    </row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  <row r="201">
      <c r="A201" s="13" t="n"/>
    </row>
    <row r="202">
      <c r="A202" s="13" t="n"/>
    </row>
    <row r="203">
      <c r="A203" s="13" t="n"/>
    </row>
    <row r="204">
      <c r="A204" s="13" t="n"/>
    </row>
    <row r="205">
      <c r="A205" s="13" t="n"/>
    </row>
    <row r="206">
      <c r="A206" s="13" t="n"/>
    </row>
    <row r="207">
      <c r="A207" s="13" t="n"/>
    </row>
    <row r="208">
      <c r="A208" s="13" t="n"/>
    </row>
    <row r="209">
      <c r="A209" s="13" t="n"/>
    </row>
    <row r="210">
      <c r="A210" s="13" t="n"/>
    </row>
    <row r="211">
      <c r="A211" s="13" t="n"/>
    </row>
    <row r="212">
      <c r="A212" s="13" t="n"/>
    </row>
    <row r="213">
      <c r="A213" s="13" t="n"/>
    </row>
    <row r="214">
      <c r="A214" s="13" t="n"/>
    </row>
    <row r="215">
      <c r="A215" s="13" t="n"/>
    </row>
    <row r="216">
      <c r="A216" s="13" t="n"/>
    </row>
    <row r="217">
      <c r="A217" s="13" t="n"/>
    </row>
    <row r="218">
      <c r="A218" s="13" t="n"/>
    </row>
    <row r="219">
      <c r="A219" s="13" t="n"/>
    </row>
    <row r="220">
      <c r="A220" s="13" t="n"/>
    </row>
    <row r="221">
      <c r="A221" s="13" t="n"/>
    </row>
    <row r="222">
      <c r="A222" s="13" t="n"/>
    </row>
    <row r="223">
      <c r="A223" s="13" t="n"/>
    </row>
    <row r="224">
      <c r="A224" s="13" t="n"/>
    </row>
    <row r="225">
      <c r="A225" s="13" t="n"/>
    </row>
    <row r="226">
      <c r="A226" s="13" t="n"/>
    </row>
    <row r="227">
      <c r="A227" s="13" t="n"/>
    </row>
    <row r="228">
      <c r="A228" s="13" t="n"/>
    </row>
    <row r="229">
      <c r="A229" s="13" t="n"/>
    </row>
    <row r="230">
      <c r="A230" s="13" t="n"/>
    </row>
    <row r="231">
      <c r="A231" s="13" t="n"/>
    </row>
    <row r="232">
      <c r="A232" s="13" t="n"/>
    </row>
    <row r="233">
      <c r="A233" s="13" t="n"/>
    </row>
    <row r="234">
      <c r="A234" s="13" t="n"/>
    </row>
    <row r="235">
      <c r="A235" s="13" t="n"/>
    </row>
    <row r="236">
      <c r="A236" s="13" t="n"/>
    </row>
    <row r="237">
      <c r="A237" s="13" t="n"/>
    </row>
    <row r="238">
      <c r="A238" s="13" t="n"/>
    </row>
    <row r="239">
      <c r="A239" s="13" t="n"/>
    </row>
    <row r="240">
      <c r="A240" s="13" t="n"/>
    </row>
    <row r="241">
      <c r="A241" s="13" t="n"/>
    </row>
    <row r="242">
      <c r="A242" s="13" t="n"/>
    </row>
    <row r="243">
      <c r="A243" s="13" t="n"/>
    </row>
    <row r="244">
      <c r="A244" s="13" t="n"/>
    </row>
    <row r="245">
      <c r="A245" s="13" t="n"/>
    </row>
    <row r="246">
      <c r="A246" s="13" t="n"/>
    </row>
    <row r="247">
      <c r="A247" s="13" t="n"/>
    </row>
    <row r="248">
      <c r="A248" s="13" t="n"/>
    </row>
    <row r="249">
      <c r="A249" s="13" t="n"/>
    </row>
    <row r="250">
      <c r="A250" s="13" t="n"/>
    </row>
    <row r="251">
      <c r="A251" s="13" t="n"/>
    </row>
    <row r="252">
      <c r="A252" s="13" t="n"/>
    </row>
    <row r="253">
      <c r="A253" s="13" t="n"/>
    </row>
    <row r="254">
      <c r="A254" s="13" t="n"/>
    </row>
    <row r="255">
      <c r="A255" s="13" t="n"/>
    </row>
    <row r="256">
      <c r="A256" s="13" t="n"/>
    </row>
    <row r="257">
      <c r="A257" s="13" t="n"/>
    </row>
    <row r="258">
      <c r="A258" s="13" t="n"/>
    </row>
    <row r="259">
      <c r="A259" s="13" t="n"/>
    </row>
    <row r="260">
      <c r="A260" s="13" t="n"/>
    </row>
    <row r="261">
      <c r="A261" s="13" t="n"/>
    </row>
    <row r="262">
      <c r="A262" s="13" t="n"/>
    </row>
    <row r="263">
      <c r="A263" s="13" t="n"/>
    </row>
    <row r="264">
      <c r="A264" s="13" t="n"/>
    </row>
    <row r="265">
      <c r="A265" s="13" t="n"/>
    </row>
    <row r="266">
      <c r="A266" s="13" t="n"/>
    </row>
    <row r="267">
      <c r="A267" s="13" t="n"/>
    </row>
    <row r="268">
      <c r="A268" s="13" t="n"/>
    </row>
    <row r="269">
      <c r="A269" s="13" t="n"/>
    </row>
    <row r="270">
      <c r="A270" s="13" t="n"/>
    </row>
    <row r="271">
      <c r="A271" s="13" t="n"/>
    </row>
    <row r="272">
      <c r="A272" s="13" t="n"/>
    </row>
    <row r="273">
      <c r="A273" s="13" t="n"/>
    </row>
    <row r="274">
      <c r="A274" s="13" t="n"/>
    </row>
    <row r="275">
      <c r="A275" s="13" t="n"/>
    </row>
    <row r="276">
      <c r="A276" s="13" t="n"/>
    </row>
    <row r="277">
      <c r="A277" s="13" t="n"/>
    </row>
    <row r="278">
      <c r="A278" s="13" t="n"/>
    </row>
    <row r="279">
      <c r="A279" s="13" t="n"/>
    </row>
    <row r="280">
      <c r="A280" s="13" t="n"/>
    </row>
    <row r="281">
      <c r="A281" s="13" t="n"/>
    </row>
    <row r="282">
      <c r="A282" s="13" t="n"/>
    </row>
    <row r="283">
      <c r="A283" s="13" t="n"/>
    </row>
    <row r="284">
      <c r="A284" s="13" t="n"/>
    </row>
    <row r="285">
      <c r="A285" s="13" t="n"/>
    </row>
    <row r="286">
      <c r="A286" s="13" t="n"/>
    </row>
    <row r="287">
      <c r="A287" s="13" t="n"/>
    </row>
    <row r="288">
      <c r="A288" s="13" t="n"/>
    </row>
    <row r="289">
      <c r="A289" s="13" t="n"/>
    </row>
    <row r="290">
      <c r="A290" s="13" t="n"/>
    </row>
    <row r="291">
      <c r="A291" s="13" t="n"/>
    </row>
    <row r="292">
      <c r="A292" s="13" t="n"/>
    </row>
    <row r="293">
      <c r="A293" s="13" t="n"/>
    </row>
    <row r="294">
      <c r="A294" s="13" t="n"/>
    </row>
    <row r="295">
      <c r="A295" s="13" t="n"/>
    </row>
    <row r="296">
      <c r="A296" s="13" t="n"/>
    </row>
    <row r="297">
      <c r="A297" s="13" t="n"/>
    </row>
    <row r="298">
      <c r="A298" s="13" t="n"/>
    </row>
    <row r="299">
      <c r="A299" s="13" t="n"/>
    </row>
    <row r="300">
      <c r="A300" s="1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conditionalFormatting sqref="C6:C30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6:D300">
    <cfRule type="cellIs" priority="3" operator="lessThan" dxfId="3">
      <formula>0</formula>
    </cfRule>
  </conditionalFormatting>
  <conditionalFormatting sqref="E6:E300">
    <cfRule type="cellIs" priority="4" operator="lessThan" dxfId="3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N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</cols>
  <sheetData>
    <row r="1" ht="26" customHeight="1">
      <c r="A1" s="1" t="inlineStr">
        <is>
          <t>KONTROLLER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Veri giriş kalitesi ve nakit anomalileri burada denetlenir. Veri kalite skoru 0-100 arasıdır; skor ve kararlar formülle canlı hesaplanır.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>
      <c r="A4" s="18" t="inlineStr">
        <is>
          <t>VERİ KALİTE GÖSTERGELERİ</t>
        </is>
      </c>
    </row>
    <row r="5">
      <c r="A5" s="19" t="inlineStr">
        <is>
          <t>Kayıt Sayısı</t>
        </is>
      </c>
      <c r="B5" s="20">
        <f>COUNTA(KASA_HAREKETLERI!$A$6:$A$5000)</f>
        <v/>
      </c>
    </row>
    <row r="6">
      <c r="A6" s="19" t="inlineStr">
        <is>
          <t>Eksik Zorunlu Alan</t>
        </is>
      </c>
      <c r="B6" s="20">
        <f>COUNTIF(KASA_HAREKETLERI!$M$6:$M$5000,"EKSİK")</f>
        <v/>
      </c>
    </row>
    <row r="7">
      <c r="A7" s="19" t="inlineStr">
        <is>
          <t>Mükerrer Kayıt</t>
        </is>
      </c>
      <c r="B7" s="20">
        <f>COUNTIF(KASA_HAREKETLERI!$M$6:$M$5000,"MÜKERRER")</f>
        <v/>
      </c>
    </row>
    <row r="8">
      <c r="A8" s="19" t="inlineStr">
        <is>
          <t>Sıfır/Negatif Tutar</t>
        </is>
      </c>
      <c r="B8" s="20">
        <f>COUNTIF(KASA_HAREKETLERI!$M$6:$M$5000,"SIFIR/NEGATİF")</f>
        <v/>
      </c>
    </row>
    <row r="9">
      <c r="A9" s="19" t="inlineStr">
        <is>
          <t>Aşırı Tutar</t>
        </is>
      </c>
      <c r="B9" s="20">
        <f>COUNTIF(KASA_HAREKETLERI!$M$6:$M$5000,"AŞIRI TUTAR")</f>
        <v/>
      </c>
    </row>
    <row r="10">
      <c r="A10" s="19" t="inlineStr">
        <is>
          <t>Vadesi Geçmiş Ödeme</t>
        </is>
      </c>
      <c r="B10" s="20">
        <f>COUNTIF(ODEME_TAHSILAT_TAKVIMI!$H$6:$H$5000,"VADE GEÇTİ")</f>
        <v/>
      </c>
    </row>
    <row r="11">
      <c r="A11" s="19" t="inlineStr">
        <is>
          <t>Mutabakat Farkı Var</t>
        </is>
      </c>
      <c r="B11" s="20">
        <f>SUMPRODUCT((ABS(FIZIKI_KASA_MUTABAKAT!$D$6:$D$1000-FIZIKI_KASA_MUTABAKAT!$C$6:$C$1000)&gt;MutabakatToleransi)*1)</f>
        <v/>
      </c>
    </row>
    <row r="12">
      <c r="A12" s="19" t="inlineStr">
        <is>
          <t>Bekleyen Ödeme Sayısı</t>
        </is>
      </c>
      <c r="B12" s="20">
        <f>COUNTIFS(ODEME_TAHSILAT_TAKVIMI!$G$6:$G$5000,"BEKLEMEDE",ODEME_TAHSILAT_TAKVIMI!$C$6:$C$5000,"ÖDEME")</f>
        <v/>
      </c>
    </row>
    <row r="13"/>
    <row r="14">
      <c r="A14" s="18" t="inlineStr">
        <is>
          <t>VERİ KALİTE SKORU VE KARAR</t>
        </is>
      </c>
    </row>
    <row r="15">
      <c r="A15" s="21" t="inlineStr">
        <is>
          <t>Veri Kalite Skoru (0-100)</t>
        </is>
      </c>
      <c r="B15" s="22">
        <f>IF(KayitSayisi=0,0,MAX(100-(B6+B7+B8+B9+B10)*HataAgirligi-B11*UyariAgirligi,0))</f>
        <v/>
      </c>
    </row>
    <row r="16">
      <c r="A16" s="21" t="inlineStr">
        <is>
          <t>Güven Düzeyi</t>
        </is>
      </c>
      <c r="B16" s="23">
        <f>IF(KayitSayisi=0,"VERİ YETERSİZ",IF(B15&gt;=VeriKaliteYuksek,"YÜKSEK",IF(B15&gt;=VeriKaliteOrta,"ORTA","DÜŞÜK")))</f>
        <v/>
      </c>
    </row>
    <row r="17">
      <c r="A17" s="21" t="inlineStr">
        <is>
          <t>Genel Durum</t>
        </is>
      </c>
      <c r="B17" s="23">
        <f>IF(KayitSayisi=0,"VERİ YETERSİZ",IF(B16="DÜŞÜK","DÜZELTME GEREKLİ",IF(B15&gt;=VeriKaliteYuksek,"SAĞLIKLI","İZLEME GEREKLİ")))</f>
        <v/>
      </c>
    </row>
    <row r="18">
      <c r="A18" s="21" t="inlineStr">
        <is>
          <t>Kasa Durumu</t>
        </is>
      </c>
      <c r="B18" s="23">
        <f>IF(KayitSayisi=0,"VERİ YETERSİZ",KararBildirimi)</f>
        <v/>
      </c>
    </row>
    <row r="19">
      <c r="A19" s="21" t="inlineStr">
        <is>
          <t>Açık Risk Bildirimi</t>
        </is>
      </c>
      <c r="B19" s="23">
        <f>IF(KayitSayisi=0,"VERİ YETERSİZ",IF(NakitAcik&gt;0,"NAKİT AÇIĞI VAR","RİSK YOK"))</f>
        <v/>
      </c>
    </row>
    <row r="20"/>
    <row r="21">
      <c r="A21" s="18" t="inlineStr">
        <is>
          <t>ANOMALİ TESPİTİ</t>
        </is>
      </c>
    </row>
    <row r="22">
      <c r="A22" s="21" t="inlineStr">
        <is>
          <t>Günlük Ortalama Çıkış (₺)</t>
        </is>
      </c>
      <c r="B22" s="17">
        <f>IF(KayitSayisi=0,"VERİ YETERSİZ",ROUND(AVERAGEIFS(KASA_HAREKETLERI!$J$6:$J$5000,KASA_HAREKETLERI!$D$6:$D$5000,"ÇIKIŞ"),0))</f>
        <v/>
      </c>
    </row>
    <row r="23">
      <c r="A23" s="21" t="inlineStr">
        <is>
          <t>En Yüksek Tek Çıkış (₺)</t>
        </is>
      </c>
      <c r="B23" s="17">
        <f>IF(KayitSayisi=0,"VERİ YETERSİZ",_xlfn.MAXIFS(KASA_HAREKETLERI!$J$6:$J$5000,KASA_HAREKETLERI!$D$6:$D$5000,"ÇIKIŞ"))</f>
        <v/>
      </c>
    </row>
    <row r="24">
      <c r="A24" s="21" t="inlineStr">
        <is>
          <t>Anomali Değerlendirmesi</t>
        </is>
      </c>
      <c r="B24" s="23">
        <f>IF(KayitSayisi=0,"VERİ YETERSİZ",IF(AND(ISNUMBER(B22),ISNUMBER(B23),B23&gt;B22*AnomaliKatsayisi),"ANOMALİ VAR","NORMAL"))</f>
        <v/>
      </c>
    </row>
    <row r="25"/>
    <row r="26">
      <c r="A26" s="24" t="inlineStr">
        <is>
          <t>NOT: B5-B12 ve B28-B39 hücreleri canlı formüller içerir; buradaki sonuçlar KARAR_MOTORU, PANO ve RAPOR sayfalarını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conditionalFormatting sqref="B28">
    <cfRule type="cellIs" priority="1" operator="lessThan" dxfId="0">
      <formula>50</formula>
    </cfRule>
    <cfRule type="cellIs" priority="2" operator="between" dxfId="4">
      <formula>50</formula>
      <formula>80</formula>
    </cfRule>
    <cfRule type="cellIs" priority="3" operator="greaterThanOrEqual" dxfId="1">
      <formula>80</formula>
    </cfRule>
  </conditionalFormatting>
  <conditionalFormatting sqref="B33">
    <cfRule type="cellIs" priority="4" operator="equal" dxfId="1">
      <formula>"SAĞLIKLI"</formula>
    </cfRule>
    <cfRule type="cellIs" priority="5" operator="equal" dxfId="4">
      <formula>"İZLEME GEREKLİ"</formula>
    </cfRule>
    <cfRule type="cellIs" priority="6" operator="equal" dxfId="3">
      <formula>"DÜZELTME GEREKLİ"</formula>
    </cfRule>
  </conditionalFormatting>
  <conditionalFormatting sqref="B34">
    <cfRule type="cellIs" priority="7" operator="equal" dxfId="1">
      <formula>"UYGUN"</formula>
    </cfRule>
    <cfRule type="cellIs" priority="8" operator="equal" dxfId="4">
      <formula>"İNCELE"</formula>
    </cfRule>
    <cfRule type="cellIs" priority="9" operator="equal" dxfId="0">
      <formula>"DURDUR"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3261E"/>
    <outlinePr summaryBelow="1" summaryRight="1"/>
    <pageSetUpPr/>
  </sheetPr>
  <dimension ref="A1:AN2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60" customWidth="1" min="2" max="2"/>
    <col width="14" customWidth="1" min="3" max="3"/>
    <col width="14" customWidth="1" min="4" max="4"/>
  </cols>
  <sheetData>
    <row r="1" ht="26" customHeight="1">
      <c r="A1" s="1" t="inlineStr">
        <is>
          <t>KARAR MOTORU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Sistemin kalbi: kasadaki kullanılabilir para, açık riski ve ödeme önerisi burada üretilir. Tüm değerler giriş sayfalarından canlı hesaplanır.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>
      <c r="A4" s="18" t="inlineStr">
        <is>
          <t>KASA GÖRÜNÜMÜ</t>
        </is>
      </c>
    </row>
    <row r="5">
      <c r="A5" s="21" t="inlineStr">
        <is>
          <t>Toplam Hesap Bakiyesi (₺)</t>
        </is>
      </c>
      <c r="B5" s="25">
        <f>IF(KayitSayisi=0,"VERİ YETERSİZ",SUMIFS(KASA_HESAPLARI!$F$6:$F$1000,KASA_HESAPLARI!$I$6:$I$1000,"AKTİF"))</f>
        <v/>
      </c>
    </row>
    <row r="6">
      <c r="A6" s="21" t="inlineStr">
        <is>
          <t>Toplam Bloke Tutar (₺)</t>
        </is>
      </c>
      <c r="B6" s="17">
        <f>IF(KayitSayisi=0,"VERİ YETERSİZ",SUMIFS(KASA_HESAPLARI!$G$6:$G$1000,KASA_HESAPLARI!$I$6:$I$1000,"AKTİF"))</f>
        <v/>
      </c>
    </row>
    <row r="7">
      <c r="A7" s="21" t="inlineStr">
        <is>
          <t>Toplam Minimum Kasa Eşiği (₺)</t>
        </is>
      </c>
      <c r="B7" s="17">
        <f>IF(KayitSayisi=0,"VERİ YETERSİZ",SUMIFS(KASA_HESAPLARI!$H$6:$H$1000,KASA_HESAPLARI!$I$6:$I$1000,"AKTİF"))</f>
        <v/>
      </c>
    </row>
    <row r="8">
      <c r="A8" s="21" t="inlineStr">
        <is>
          <t>KULLANILABİLİR PARA (₺)</t>
        </is>
      </c>
      <c r="B8" s="26">
        <f>IF(KayitSayisi=0,"VERİ YETERSİZ",MAX(B5-B6-B7,0))</f>
        <v/>
      </c>
    </row>
    <row r="9">
      <c r="A9" s="21" t="inlineStr">
        <is>
          <t>Nakit Açığı (₺)  [Bekleyen Ödeme - (Kullanılabilir + Bekleyen Tahsilat)]</t>
        </is>
      </c>
      <c r="B9" s="25">
        <f>IF(KayitSayisi=0,"VERİ YETERSİZ",B10-B8-B11)</f>
        <v/>
      </c>
    </row>
    <row r="10">
      <c r="A10" s="21" t="inlineStr">
        <is>
          <t>Bekleyen Ödeme Yükü (₺)</t>
        </is>
      </c>
      <c r="B10" s="17">
        <f>IF(KayitSayisi=0,"VERİ YETERSİZ",SUMIFS(ODEME_TAHSILAT_TAKVIMI!$F$6:$F$5000,ODEME_TAHSILAT_TAKVIMI!$C$6:$C$5000,"ÖDEME",ODEME_TAHSILAT_TAKVIMI!$G$6:$G$5000,"BEKLEMEDE"))</f>
        <v/>
      </c>
    </row>
    <row r="11">
      <c r="A11" s="21" t="inlineStr">
        <is>
          <t>Bekleyen Tahsilat (₺)</t>
        </is>
      </c>
      <c r="B11" s="17">
        <f>IF(KayitSayisi=0,"VERİ YETERSİZ",SUMIFS(ODEME_TAHSILAT_TAKVIMI!$F$6:$F$5000,ODEME_TAHSILAT_TAKVIMI!$C$6:$C$5000,"TAHSİLAT",ODEME_TAHSILAT_TAKVIMI!$G$6:$G$5000,"BEKLEMEDE"))</f>
        <v/>
      </c>
    </row>
    <row r="12">
      <c r="A12" s="21" t="inlineStr">
        <is>
          <t>KARAR</t>
        </is>
      </c>
      <c r="B12" s="27">
        <f>IF(KayitSayisi=0,"VERİ YETERSİZ",IF(B9&gt;0,"DURDUR",IF(B8&lt;AsgariNakitTamponu,"İNCELE","UYGUN")))</f>
        <v/>
      </c>
    </row>
    <row r="13">
      <c r="A13" s="21" t="inlineStr">
        <is>
          <t>Risk Seviyesi</t>
        </is>
      </c>
      <c r="B13" s="23">
        <f>IF(KayitSayisi=0,"VERİ YETERSİZ",IF(B9&gt;0,"KRİTİK",IF(B9&gt;-KritikRiskEsik,"YÜKSEK",IF(B8&lt;AsgariNakitTamponu,"ORTA","DÜŞÜK"))))</f>
        <v/>
      </c>
    </row>
    <row r="14">
      <c r="A14" s="21" t="inlineStr">
        <is>
          <t>Karar Gerekçesi</t>
        </is>
      </c>
      <c r="B14" s="28">
        <f>IF(KayitSayisi=0,"VERİ YETERSİZ",IF(B9&gt;0,"NAKİT AÇIĞI EŞİĞİ AŞILDI; DURDUR",IF(B8&lt;AsgariNakitTamponu,"KULLANILABİLİR PARA TAMPONUN ALTINDA; İNCELE","KAYNAKLAR BEKLEYEN YÜKÜMLÜLÜĞÜ KARŞILIYOR; UYGUN")))</f>
        <v/>
      </c>
    </row>
    <row r="15"/>
    <row r="16">
      <c r="A16" s="18" t="inlineStr">
        <is>
          <t>ÖDEME ÖNERİSİ</t>
        </is>
      </c>
    </row>
    <row r="17">
      <c r="A17" s="21" t="inlineStr">
        <is>
          <t>Ödenecek Tutar Önerisi (₺)</t>
        </is>
      </c>
      <c r="B17" s="25">
        <f>IF(KayitSayisi=0,"VERİ YETERSİZ",MIN(B10,MAX(B8,0)))</f>
        <v/>
      </c>
    </row>
    <row r="18">
      <c r="A18" s="21" t="inlineStr">
        <is>
          <t>Kritik Ödemeler (₺)</t>
        </is>
      </c>
      <c r="B18" s="17">
        <f>IF(KayitSayisi=0,"VERİ YETERSİZ",SUMIFS(ODEME_TAHSILAT_TAKVIMI!$F$6:$F$5000,ODEME_TAHSILAT_TAKVIMI!$E$6:$E$5000,"KRİTİK",ODEME_TAHSILAT_TAKVIMI!$G$6:$G$5000,"BEKLEMEDE",ODEME_TAHSILAT_TAKVIMI!$C$6:$C$5000,"ÖDEME"))</f>
        <v/>
      </c>
    </row>
    <row r="19">
      <c r="A19" s="21" t="inlineStr">
        <is>
          <t>İlk Kritik Ödeme Tarihi</t>
        </is>
      </c>
      <c r="B19" s="29">
        <f>IF(KayitSayisi=0,"VERİ YETERSİZ",IFERROR(_xlfn.MINIFS(ODEME_TAHSILAT_TAKVIMI!$B$6:$B$5000,ODEME_TAHSILAT_TAKVIMI!$E$6:$E$5000,"KRİTİK",ODEME_TAHSILAT_TAKVIMI!$G$6:$G$5000,"BEKLEMEDE"),"-"))</f>
        <v/>
      </c>
    </row>
    <row r="20"/>
    <row r="21">
      <c r="A21" s="18" t="inlineStr">
        <is>
          <t>AKSİYON ÖNERİLERİ (otomatik)</t>
        </is>
      </c>
    </row>
    <row r="22">
      <c r="A22" s="21" t="inlineStr">
        <is>
          <t>Aksiyon 1</t>
        </is>
      </c>
      <c r="B22" s="28">
        <f>IF(KayitSayisi=0,"VERİ YETERSİZ",IF(B9&gt;0,"Nakit açığını kapatmak için tahsilatları öne çekin veya ödemeleri yeniden vadelendirin.",IF(B8&lt;AsgariNakitTamponu,"Kullanılabilir parayı asgari tamponun üzerine çıkarın; kredi/avans seçeneklerini değerlendirin.","Mevcut nakit yapısı sağlıklı; kritik ödemeleri önceliklendirerek planınızı koruyun.")))</f>
        <v/>
      </c>
    </row>
    <row r="23">
      <c r="A23" s="21" t="inlineStr">
        <is>
          <t>Aksiyon 2</t>
        </is>
      </c>
      <c r="B23" s="28">
        <f>IF(KayitSayisi=0,"VERİ YETERSİZ",IF(B18&gt;0,"Kritik ödemeler toplamı "&amp;TEXT(B18,"#,##0")&amp;" ₺ — bu tutar için ödeme günü planı oluşturun.","Öncelikli ödeme grubunuz yok; yükümlülük takvimini gözden geçirin."))</f>
        <v/>
      </c>
    </row>
    <row r="24">
      <c r="A24" s="21" t="inlineStr">
        <is>
          <t>Aksiyon 3</t>
        </is>
      </c>
      <c r="B24" s="28">
        <f>IF(KayitSayisi=0,"VERİ YETERSİZ",IF(B6&gt;0,"Bloke tutarların ("&amp;TEXT(B6,"#,##0")&amp;" ₺) serbest kalma tarihlerini takip edin.","Bloke tutar bulunmuyor; kullanılabilir para doğrudan yönetilebilir."))</f>
        <v/>
      </c>
    </row>
    <row r="25"/>
    <row r="26">
      <c r="A26" s="18" t="inlineStr">
        <is>
          <t>GÜVEN VE DURUM</t>
        </is>
      </c>
    </row>
    <row r="27">
      <c r="A27" s="21" t="inlineStr">
        <is>
          <t>Veri Kalite Skoru</t>
        </is>
      </c>
      <c r="B27" s="22">
        <f>VeriKaliteSkor</f>
        <v/>
      </c>
    </row>
    <row r="28">
      <c r="A28" s="21" t="inlineStr">
        <is>
          <t>Güven Düzeyi</t>
        </is>
      </c>
      <c r="B28" s="23">
        <f>IF(KayitSayisi=0,"VERİ YETERSİZ",IF(B27&gt;=VeriKaliteYuksek,"YÜKSEK",IF(B27&gt;=VeriKaliteOrta,"ORTA","DÜŞÜK")))</f>
        <v/>
      </c>
    </row>
    <row r="29">
      <c r="A29" s="21" t="inlineStr">
        <is>
          <t>Genel Durum</t>
        </is>
      </c>
      <c r="B29" s="23">
        <f>IF(KayitSayisi=0,"VERİ YETERSİZ",IF(B27&lt;VeriKaliteOrta,"DÜZELTME GEREKLİ",IF(B12="DURDUR","DÜZELTME GEREKLİ",IF(B12="İNCELE","İZLEME GEREKLİ","SAĞLIKLI"))))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conditionalFormatting sqref="B9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B11">
    <cfRule type="cellIs" priority="3" operator="equal" dxfId="1">
      <formula>"UYGUN"</formula>
    </cfRule>
    <cfRule type="cellIs" priority="4" operator="equal" dxfId="4">
      <formula>"İNCELE"</formula>
    </cfRule>
    <cfRule type="cellIs" priority="5" operator="equal" dxfId="0">
      <formula>"DURDUR"</formula>
    </cfRule>
  </conditionalFormatting>
  <conditionalFormatting sqref="B12">
    <cfRule type="cellIs" priority="6" operator="equal" dxfId="3">
      <formula>"KRİTİK"</formula>
    </cfRule>
    <cfRule type="cellIs" priority="7" operator="equal" dxfId="4">
      <formula>"YÜKSEK"</formula>
    </cfRule>
    <cfRule type="cellIs" priority="8" operator="equal" dxfId="5">
      <formula>"ORTA"</formula>
    </cfRule>
    <cfRule type="cellIs" priority="9" operator="equal" dxfId="1">
      <formula>"DÜŞÜK"</formula>
    </cfRule>
  </conditionalFormatting>
  <conditionalFormatting sqref="B14">
    <cfRule type="cellIs" priority="10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N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6" customHeight="1">
      <c r="A1" s="1" t="inlineStr">
        <is>
          <t>PANO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Karar paneli: tek ekranda kullanılabilir para, açık riski, bekleyen yükümlülük ve ödeme önerisi. Baskıya hazır; rapor tarihi AYARLAR sayfasından gelir.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21" t="inlineStr">
        <is>
          <t>Rapor Tarihi</t>
        </is>
      </c>
      <c r="B3" s="29">
        <f>RaporTarihi</f>
        <v/>
      </c>
      <c r="C3" s="21" t="inlineStr">
        <is>
          <t>Kullanıcı</t>
        </is>
      </c>
      <c r="D3" s="30">
        <f>RaporHazirlayan</f>
        <v/>
      </c>
      <c r="E3" s="21" t="inlineStr">
        <is>
          <t>Karar</t>
        </is>
      </c>
      <c r="F3" s="23">
        <f>KararBildirimi</f>
        <v/>
      </c>
    </row>
    <row r="4"/>
    <row r="5">
      <c r="B5" s="31" t="inlineStr">
        <is>
          <t>Kullanılabilir Para</t>
        </is>
      </c>
      <c r="E5" s="31" t="inlineStr">
        <is>
          <t>Toplam Bakiye</t>
        </is>
      </c>
      <c r="H5" s="31" t="inlineStr">
        <is>
          <t>Bekleyen Ödeme</t>
        </is>
      </c>
      <c r="K5" s="31" t="inlineStr">
        <is>
          <t>Nakit Açığı</t>
        </is>
      </c>
    </row>
    <row r="6">
      <c r="B6" s="32">
        <f>KullanilabilirNakit</f>
        <v/>
      </c>
      <c r="E6" s="32">
        <f>ToplamHesapBakiye</f>
        <v/>
      </c>
      <c r="H6" s="32">
        <f>BekleyenOdeme</f>
        <v/>
      </c>
      <c r="K6" s="32">
        <f>NakitAcik</f>
        <v/>
      </c>
    </row>
    <row r="7"/>
    <row r="8">
      <c r="B8" s="31" t="inlineStr">
        <is>
          <t>Bekleyen Tahsilat</t>
        </is>
      </c>
      <c r="E8" s="31" t="inlineStr">
        <is>
          <t>Kritik Ödemeler</t>
        </is>
      </c>
      <c r="H8" s="31" t="inlineStr">
        <is>
          <t>Ödenecek Önerisi</t>
        </is>
      </c>
      <c r="K8" s="31" t="inlineStr">
        <is>
          <t>Mutabakat Farkı</t>
        </is>
      </c>
    </row>
    <row r="9">
      <c r="B9" s="33">
        <f>BekleyenTahsilat</f>
        <v/>
      </c>
      <c r="E9" s="33">
        <f>KritikOdemeToplami</f>
        <v/>
      </c>
      <c r="H9" s="33">
        <f>OdenecekOnerisi</f>
        <v/>
      </c>
      <c r="K9" s="33">
        <f>SUMPRODUCT((FIZIKI_KASA_MUTABAKAT!$D$6:$D$1000-FIZIKI_KASA_MUTABAKAT!$C$6:$C$1000)*1)</f>
        <v/>
      </c>
    </row>
    <row r="10"/>
    <row r="11"/>
    <row r="12">
      <c r="A12" s="18" t="inlineStr">
        <is>
          <t>VERİ KALİTESİ</t>
        </is>
      </c>
    </row>
    <row r="13">
      <c r="A13" s="21" t="inlineStr">
        <is>
          <t>Veri Kalite Skoru</t>
        </is>
      </c>
      <c r="B13" s="22">
        <f>VeriKaliteSkor</f>
        <v/>
      </c>
    </row>
    <row r="14">
      <c r="A14" s="21" t="inlineStr">
        <is>
          <t>Güven Düzeyi</t>
        </is>
      </c>
      <c r="B14" s="23">
        <f>IF(KayitSayisi=0,"VERİ YETERSİZ",IF(B13&gt;=VeriKaliteYuksek,"YÜKSEK",IF(B13&gt;=VeriKaliteOrta,"ORTA","DÜŞÜK")))</f>
        <v/>
      </c>
    </row>
    <row r="15">
      <c r="A15" s="21" t="inlineStr">
        <is>
          <t>Genel Durum</t>
        </is>
      </c>
      <c r="B15" s="23">
        <f>IF(KayitSayisi=0,"VERİ YETERSİZ",IF(B13&lt;VeriKaliteOrta,"DÜZELTME GEREKLİ",IF(NakitAcik&gt;0,"DÜZELTME GEREKLİ",IF(NakitAcik=0,"SAĞLIKLI","İZLEME GEREKLİ"))))</f>
        <v/>
      </c>
    </row>
    <row r="16"/>
    <row r="17"/>
    <row r="18">
      <c r="A18" s="18" t="inlineStr">
        <is>
          <t>EN KRİTİK 3 İÇGÖRÜ</t>
        </is>
      </c>
    </row>
    <row r="19">
      <c r="A19" s="21" t="inlineStr">
        <is>
          <t>1</t>
        </is>
      </c>
      <c r="B19" s="34">
        <f>IF(KayitSayisi=0,"VERİ YETERSİZ",IF(NakitAcik&gt;0,"Nakit açığı "&amp;TEXT(NakitAcik,"#,##0")&amp;" ₺: kullanılabilir para bekleyen yükümlülüğü karşılamıyor.","Kullanılabilir para bekleyen yükümlülüğü karşılıyor; açık riski yok."))</f>
        <v/>
      </c>
    </row>
    <row r="20">
      <c r="A20" s="21" t="inlineStr">
        <is>
          <t>2</t>
        </is>
      </c>
      <c r="B20" s="34">
        <f>IF(KayitSayisi=0,"VERİ YETERSİZ",IF(KritikOdemeToplami&gt;0,"Kritik ödemeler "&amp;TEXT(KritikOdemeToplami,"#,##0")&amp;" ₺ tutarındadır; ödeme günü planı oluşturun.","Kritik öncelikli ödeme bulunmuyor."))</f>
        <v/>
      </c>
    </row>
    <row r="21">
      <c r="A21" s="21" t="inlineStr">
        <is>
          <t>3</t>
        </is>
      </c>
      <c r="B21" s="34">
        <f>IF(KayitSayisi=0,"VERİ YETERSİZ",IF(MutabakatFarki=0,"Fiziki kasa mutabakatı uyumlu.","Fiziki kasa mutabakatında "&amp;TEXT(MutabakatFarki,"#,##0")&amp;" ₺ fark var; kök nedeni inceleyin."))</f>
        <v/>
      </c>
    </row>
    <row r="22"/>
    <row r="23"/>
    <row r="24"/>
    <row r="25">
      <c r="A25" s="21" t="inlineStr">
        <is>
          <t>Veri Kalite Skoru</t>
        </is>
      </c>
      <c r="B25" s="20">
        <f>VeriKaliteSkor</f>
        <v/>
      </c>
    </row>
    <row r="26">
      <c r="A26" s="21" t="inlineStr">
        <is>
          <t>Güven Düzeyi</t>
        </is>
      </c>
      <c r="B26" s="30">
        <f>IF(KayitSayisi=0,"VERİ YETERSİZ",IF(B25&gt;=VeriKaliteYuksek,"YÜKSEK",IF(B25&gt;=VeriKaliteOrta,"ORTA","DÜŞÜK")))</f>
        <v/>
      </c>
    </row>
    <row r="27">
      <c r="A27" s="21" t="inlineStr">
        <is>
          <t>Genel Durum</t>
        </is>
      </c>
      <c r="B27" s="30">
        <f>IF(KayitSayisi=0,"VERİ YETERSİZ",IF(B25&lt;VeriKaliteOrta,"DÜZELTME GEREKLİ",IF(NakitAcik&gt;0,"DÜZELTME GEREKLİ",IF(NakitAcik=0,"SAĞLIKLI","İZLEME GEREKLİ"))))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V1"/>
  </mergeCells>
  <conditionalFormatting sqref="B25">
    <cfRule type="cellIs" priority="1" operator="lessThan" dxfId="3">
      <formula>50</formula>
    </cfRule>
    <cfRule type="cellIs" priority="2" operator="between" dxfId="4">
      <formula>50</formula>
      <formula>80</formula>
    </cfRule>
    <cfRule type="cellIs" priority="3" operator="greaterThanOrEqual" dxfId="1">
      <formula>80</formula>
    </cfRule>
  </conditionalFormatting>
  <conditionalFormatting sqref="B26">
    <cfRule type="cellIs" priority="4" operator="equal" dxfId="1">
      <formula>"YÜKSEK"</formula>
    </cfRule>
    <cfRule type="cellIs" priority="5" operator="equal" dxfId="4">
      <formula>"ORTA"</formula>
    </cfRule>
  </conditionalFormatting>
  <conditionalFormatting sqref="B27">
    <cfRule type="cellIs" priority="6" operator="equal" dxfId="1">
      <formula>"SAĞLIKLI"</formula>
    </cfRule>
    <cfRule type="cellIs" priority="7" operator="equal" dxfId="4">
      <formula>"İZLEME GEREKLİ"</formula>
    </cfRule>
    <cfRule type="cellIs" priority="8" operator="equal" dxfId="3">
      <formula>"DÜZELTME GEREKLİ"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&amp;LAKILLI KASA DEFTERİ VE NAKİT KONTROL SİSTEMİ&amp;CExcelArşiv&amp;RSayfa &amp;P / &amp;N</oddFooter>
    <evenHeader/>
    <evenFooter>&amp;LAKILLI KASA DEFTERİ VE NAKİT KONTROL SİSTEMİ&amp;CExcelArşiv&amp;RSayfa &amp;P / &amp;N</evenFooter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8064A2"/>
    <outlinePr summaryBelow="1" summaryRight="1"/>
    <pageSetUpPr/>
  </sheetPr>
  <dimension ref="A1:AN2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2" customWidth="1" min="4" max="4"/>
  </cols>
  <sheetData>
    <row r="1" ht="26" customHeight="1">
      <c r="A1" s="1" t="inlineStr">
        <is>
          <t>SENARYO DUYARLILIK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Nakit durumunun farklı koşullar altında nasıl değişeceğini test edin. Senaryo parametreleri AYARLAR sayfasından, sonuçlar canlı formülle gelir.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>
      <c r="A4" s="18" t="inlineStr">
        <is>
          <t>SENARYO MOTORU</t>
        </is>
      </c>
    </row>
    <row r="5">
      <c r="A5" s="21" t="inlineStr">
        <is>
          <t>Temel Senaryo Kullanılabilir Para (₺)</t>
        </is>
      </c>
      <c r="B5" s="25">
        <f>KullanilabilirNakit</f>
        <v/>
      </c>
    </row>
    <row r="6">
      <c r="A6" s="21" t="inlineStr">
        <is>
          <t>İyimser Senaryo: Tahsilat Artış Oranı</t>
        </is>
      </c>
      <c r="B6" s="35">
        <f>IyimserTahsilat</f>
        <v/>
      </c>
    </row>
    <row r="7">
      <c r="A7" s="21" t="inlineStr">
        <is>
          <t>İyimser Kullanılabilir Para (₺)</t>
        </is>
      </c>
      <c r="B7" s="25">
        <f>IF(KayitSayisi=0,"VERİ YETERSİZ",B5+B10*B6)</f>
        <v/>
      </c>
    </row>
    <row r="8">
      <c r="A8" s="21" t="inlineStr">
        <is>
          <t>Kötümser Senaryo: Ek Ödeme (₺)</t>
        </is>
      </c>
      <c r="B8" s="17">
        <f>KotumserEkOdeme</f>
        <v/>
      </c>
    </row>
    <row r="9">
      <c r="A9" s="21" t="inlineStr">
        <is>
          <t>Kötümser Kullanılabilir Para (₺)</t>
        </is>
      </c>
      <c r="B9" s="25">
        <f>IF(KayitSayisi=0,"VERİ YETERSİZ",B5-B8)</f>
        <v/>
      </c>
    </row>
    <row r="10">
      <c r="A10" s="21" t="inlineStr">
        <is>
          <t>Bekleyen Tahsilat (₺)</t>
        </is>
      </c>
      <c r="B10" s="17">
        <f>BekleyenTahsilat</f>
        <v/>
      </c>
    </row>
    <row r="11">
      <c r="A11" s="21" t="inlineStr">
        <is>
          <t>Bekleyen Ödeme (₺)</t>
        </is>
      </c>
      <c r="B11" s="17">
        <f>BekleyenOdeme</f>
        <v/>
      </c>
    </row>
    <row r="12"/>
    <row r="13">
      <c r="A13" s="18" t="inlineStr">
        <is>
          <t>TANNADO / DUYARLILIK SIRALAMASI</t>
        </is>
      </c>
    </row>
    <row r="14">
      <c r="A14" s="21" t="inlineStr">
        <is>
          <t>Değişken</t>
        </is>
      </c>
      <c r="B14" s="21" t="inlineStr">
        <is>
          <t>Baz Etki (₺)</t>
        </is>
      </c>
      <c r="C14" s="21" t="inlineStr">
        <is>
          <t>Marjinal Etki (₺)</t>
        </is>
      </c>
      <c r="D14" s="21" t="inlineStr">
        <is>
          <t>Yön</t>
        </is>
      </c>
    </row>
    <row r="15">
      <c r="A15" s="21" t="inlineStr">
        <is>
          <t>Bekleyen Ödeme Değişimi (+%10)</t>
        </is>
      </c>
      <c r="B15" s="17">
        <f>BekleyenOdeme</f>
        <v/>
      </c>
      <c r="C15" s="17">
        <f>IF(KayitSayisi=0,"VERİ YETERSİZ",-B11*DuyarliOran)</f>
        <v/>
      </c>
      <c r="D15" s="36" t="inlineStr">
        <is>
          <t>OLUMSUZ</t>
        </is>
      </c>
    </row>
    <row r="16">
      <c r="A16" s="21" t="inlineStr">
        <is>
          <t>Bekleyen Tahsilat Değişimi (+%10)</t>
        </is>
      </c>
      <c r="B16" s="17">
        <f>BekleyenTahsilat</f>
        <v/>
      </c>
      <c r="C16" s="17">
        <f>IF(KayitSayisi=0,"VERİ YETERSİZ",B10*DuyarliOran)</f>
        <v/>
      </c>
      <c r="D16" s="37" t="inlineStr">
        <is>
          <t>OLUMLU</t>
        </is>
      </c>
    </row>
    <row r="17">
      <c r="A17" s="21" t="inlineStr">
        <is>
          <t>Bloke Tutar Değişimi (+%10)</t>
        </is>
      </c>
      <c r="B17" s="17">
        <f>ToplamBloke</f>
        <v/>
      </c>
      <c r="C17" s="17">
        <f>IF(KayitSayisi=0,"VERİ YETERSİZ",-ToplamBloke*DuyarliOran)</f>
        <v/>
      </c>
      <c r="D17" s="36" t="inlineStr">
        <is>
          <t>OLUMSUZ</t>
        </is>
      </c>
    </row>
    <row r="18">
      <c r="A18" s="21" t="inlineStr">
        <is>
          <t>Minimum Kasa Eşiği Değişimi (+%10)</t>
        </is>
      </c>
      <c r="B18" s="17">
        <f>ToplamMinEsik</f>
        <v/>
      </c>
      <c r="C18" s="17">
        <f>IF(KayitSayisi=0,"VERİ YETERSİZ",-ToplamMinEsik*DuyarliOran)</f>
        <v/>
      </c>
      <c r="D18" s="36" t="inlineStr">
        <is>
          <t>OLUMSUZ</t>
        </is>
      </c>
    </row>
    <row r="19"/>
    <row r="20">
      <c r="A20" s="18" t="inlineStr">
        <is>
          <t>KIRILIM ANALİZİ</t>
        </is>
      </c>
    </row>
    <row r="21">
      <c r="A21" s="21" t="inlineStr">
        <is>
          <t>Açığa Düşmeden Katlanılabilecek Ek Ödeme (₺)</t>
        </is>
      </c>
      <c r="B21" s="25">
        <f>IF(KayitSayisi=0,"VERİ YETERSİZ",MAX(B5-B6,0))</f>
        <v/>
      </c>
    </row>
    <row r="22">
      <c r="A22" s="21" t="inlineStr">
        <is>
          <t>Açık Riskine Göre Tahsilat Gereksinimi (₺)</t>
        </is>
      </c>
      <c r="B22" s="25">
        <f>IF(KayitSayisi=0,"VERİ YETERSİZ",MAX(B11-B5-B10,0))</f>
        <v/>
      </c>
    </row>
    <row r="23"/>
    <row r="24">
      <c r="A24" s="18" t="inlineStr">
        <is>
          <t>PROJEKSİYON ÖZETİ (NAKIT_PROJEKSIYONU)</t>
        </is>
      </c>
    </row>
    <row r="25">
      <c r="A25" s="21" t="inlineStr">
        <is>
          <t>Projeksiyon Dönem Sonu Kasa (₺)</t>
        </is>
      </c>
      <c r="B25" s="25">
        <f>IF(KayitSayisi=0,"VERİ YETERSİZ",IFERROR(INDEX(NAKIT_PROJEKSIYONU!$G$5:$G$300,MATCH(MAX(NAKIT_PROJEKSIYONU!$A$5:$A$300),NAKIT_PROJEKSIYONU!$A$5:$A$300,0)),"VERİ YETERSİZ"))</f>
        <v/>
      </c>
    </row>
    <row r="26">
      <c r="A26" s="21" t="inlineStr">
        <is>
          <t>Projeksiyonda Açık Görülen Hafta Sayısı</t>
        </is>
      </c>
      <c r="B26" s="22">
        <f>IF(KayitSayisi=0,"VERİ YETERSİZ",COUNTIF(NAKIT_PROJEKSIYONU!$E$5:$E$300,"&lt;0"))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L1"/>
  </mergeCells>
  <conditionalFormatting sqref="B5">
    <cfRule type="cellIs" priority="1" operator="lessThan" dxfId="0">
      <formula>0</formula>
    </cfRule>
  </conditionalFormatting>
  <conditionalFormatting sqref="B8">
    <cfRule type="cellIs" priority="2" operator="lessThan" dxfId="0">
      <formula>0</formula>
    </cfRule>
  </conditionalFormatting>
  <conditionalFormatting sqref="B11">
    <cfRule type="cellIs" priority="3" operator="lessThan" dxfId="0">
      <formula>0</formula>
    </cfRule>
  </conditionalFormatting>
  <conditionalFormatting sqref="E6:E17">
    <cfRule type="cellIs" priority="4" operator="lessThan" dxfId="3">
      <formula>0</formula>
    </cfRule>
    <cfRule type="cellIs" priority="5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J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38" t="inlineStr">
        <is>
          <t>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9" t="inlineStr">
        <is>
          <t>YÖNETİCİ ÖZETİ RAPORU</t>
        </is>
      </c>
    </row>
    <row r="3">
      <c r="A3" s="21" t="inlineStr">
        <is>
          <t>Rapor Tarihi</t>
        </is>
      </c>
      <c r="B3" s="29">
        <f>RaporTarihi</f>
        <v/>
      </c>
      <c r="C3" s="21" t="inlineStr">
        <is>
          <t>Hazırlayan</t>
        </is>
      </c>
      <c r="D3" s="30">
        <f>RaporHazirlayan</f>
        <v/>
      </c>
    </row>
    <row r="4">
      <c r="A4" s="21" t="inlineStr">
        <is>
          <t>Firma</t>
        </is>
      </c>
      <c r="B4" s="30">
        <f>FirmaUnvan</f>
        <v/>
      </c>
      <c r="C4" s="21" t="inlineStr">
        <is>
          <t>Sürüm</t>
        </is>
      </c>
      <c r="D4" s="30">
        <f>DosyaSurumu</f>
        <v/>
      </c>
    </row>
    <row r="5"/>
    <row r="6">
      <c r="A6" s="18" t="inlineStr">
        <is>
          <t>KARAR VE KPI KARTLARI</t>
        </is>
      </c>
    </row>
    <row r="7">
      <c r="A7" s="19" t="inlineStr">
        <is>
          <t>Kullanılabilir Para</t>
        </is>
      </c>
      <c r="B7" s="25">
        <f>KullanilabilirNakit</f>
        <v/>
      </c>
    </row>
    <row r="8">
      <c r="A8" s="19" t="inlineStr">
        <is>
          <t>Toplam Hesap Bakiyesi</t>
        </is>
      </c>
      <c r="B8" s="25">
        <f>ToplamHesapBakiye</f>
        <v/>
      </c>
    </row>
    <row r="9">
      <c r="A9" s="19" t="inlineStr">
        <is>
          <t>Bekleyen Ödeme Yükü</t>
        </is>
      </c>
      <c r="B9" s="25">
        <f>BekleyenOdeme</f>
        <v/>
      </c>
    </row>
    <row r="10">
      <c r="A10" s="19" t="inlineStr">
        <is>
          <t>Bekleyen Tahsilat</t>
        </is>
      </c>
      <c r="B10" s="25">
        <f>BekleyenTahsilat</f>
        <v/>
      </c>
    </row>
    <row r="11">
      <c r="A11" s="19" t="inlineStr">
        <is>
          <t>Nakit Açığı</t>
        </is>
      </c>
      <c r="B11" s="25">
        <f>NakitAcik</f>
        <v/>
      </c>
    </row>
    <row r="12">
      <c r="A12" s="19" t="inlineStr">
        <is>
          <t>Kritik Ödemeler</t>
        </is>
      </c>
      <c r="B12" s="25">
        <f>KritikOdemeToplami</f>
        <v/>
      </c>
    </row>
    <row r="13">
      <c r="A13" s="19" t="inlineStr">
        <is>
          <t>Ödenecek Önerisi</t>
        </is>
      </c>
      <c r="B13" s="25">
        <f>OdenecekOnerisi</f>
        <v/>
      </c>
    </row>
    <row r="14">
      <c r="A14" s="19" t="inlineStr">
        <is>
          <t>Veri Kalite Skoru</t>
        </is>
      </c>
      <c r="B14" s="22">
        <f>VeriKaliteSkor</f>
        <v/>
      </c>
    </row>
    <row r="15"/>
    <row r="16">
      <c r="A16" s="21" t="inlineStr">
        <is>
          <t>KARAR</t>
        </is>
      </c>
      <c r="B16" s="40">
        <f>KararBildirimi</f>
        <v/>
      </c>
    </row>
    <row r="17">
      <c r="A17" s="21" t="inlineStr">
        <is>
          <t>Risk Seviyesi</t>
        </is>
      </c>
      <c r="B17" s="23">
        <f>IF(KayitSayisi=0,"VERİ YETERSİZ",IF(NakitAcik&gt;0,"KRİTİK",IF(KullanilabilirNakit&lt;AsgariNakitTamponu,"YÜKSEK","DÜŞÜK")))</f>
        <v/>
      </c>
    </row>
    <row r="18">
      <c r="A18" s="21" t="inlineStr">
        <is>
          <t>Güven Düzeyi</t>
        </is>
      </c>
      <c r="B18" s="23">
        <f>IF(KayitSayisi=0,"VERİ YETERSİZ",IF(VeriKaliteSkor&gt;=VeriKaliteYuksek,"YÜKSEK",IF(VeriKaliteSkor&gt;=VeriKaliteOrta,"ORTA","DÜŞÜK")))</f>
        <v/>
      </c>
    </row>
    <row r="19"/>
    <row r="20">
      <c r="A20" s="18" t="inlineStr">
        <is>
          <t>VARSAYIMLAR VE UYARILAR</t>
        </is>
      </c>
    </row>
    <row r="21">
      <c r="A21" s="41" t="inlineStr">
        <is>
          <t>Varsayımlar</t>
        </is>
      </c>
    </row>
    <row r="22">
      <c r="A22" s="24" t="inlineStr">
        <is>
          <t>Kullanılabilir para; toplam bakiye, bloke tutar ve minimum kasa eşiği üzerinden AKTİF hesaplardan hesaplanır. Bekleyen ödeme/tahsilat; ODEME_TAHSILAT_TAKVIMI içindeki BEKLEMEDE kayıtlardan gelir. Senaryo katsayıları AYARLAR sayfasındadır.</t>
        </is>
      </c>
    </row>
    <row r="23"/>
    <row r="24">
      <c r="A24" s="41" t="inlineStr">
        <is>
          <t>Uyarılar</t>
        </is>
      </c>
    </row>
    <row r="25">
      <c r="A25" s="42">
        <f>IF(KayitSayisi=0,"Veri girişi yapılmadığı için karar üretilemedi.",IF(NakitAcik&gt;0,"NAKİT AÇIĞI VAR: Kullanılabilir para bekleyen ödemeleri karşılamıyor.",IF(MutabakatFarki&lt;&gt;0,"Fiziki kasa mutabakatında fark var; kök neden ayrıştırmasını inceleyin.","Açık riski tespit edilmedi.")))</f>
        <v/>
      </c>
    </row>
    <row r="26"/>
    <row r="27">
      <c r="A27" s="18" t="inlineStr">
        <is>
          <t>ÖNERİLEN AKSİYONLAR</t>
        </is>
      </c>
    </row>
    <row r="28">
      <c r="A28" s="43" t="inlineStr">
        <is>
          <t>1. Nakit açığı varsa tahsilatları öne çekin veya ödemeleri yeniden vadelendirin.</t>
        </is>
      </c>
    </row>
    <row r="29">
      <c r="A29" s="43" t="inlineStr">
        <is>
          <t>2. Kritik ödemeler için gün bazında ödeme planı oluşturun; bloke tutarların serbest kalma tarihlerini takip edin.</t>
        </is>
      </c>
    </row>
    <row r="30">
      <c r="A30" s="43" t="inlineStr">
        <is>
          <t>3. Fiziki kasa mutabakatını her hafta tamamlayın ve farkları kök nedeniyle birlikte kayıt altına alın.</t>
        </is>
      </c>
    </row>
    <row r="31"/>
    <row r="32">
      <c r="A32" s="44" t="inlineStr">
        <is>
          <t>Sorumluluk bildirimi: Bu rapor bir karar destek aracıdır; kesin mali tavsiye veya denetim belgesi niteliği taşımaz. Nihai kararlar için mali müşavirinize danışın.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4" right="0.4" top="0.5" bottom="0.5" header="0.5" footer="0.5"/>
  <pageSetup orientation="landscape" paperSize="9" fitToHeight="1" fitToWidth="1"/>
  <headerFooter>
    <oddHeader/>
    <oddFooter>&amp;LAKILLI KASA DEFTERİ VE NAKİT KONTROL SİSTEMİ&amp;CExcelArşiv&amp;RSayfa &amp;P / &amp;N</oddFooter>
    <evenHeader/>
    <evenFooter>&amp;LAKILLI KASA DEFTERİ VE NAKİT KONTROL SİSTEMİ&amp;CExcelArşiv&amp;RSayfa &amp;P / &amp;N</evenFooter>
    <firstHeader/>
    <firstFooter/>
  </headerFooter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AN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26" customWidth="1" min="5" max="5"/>
    <col width="14" customWidth="1" min="6" max="6"/>
    <col width="12" customWidth="1" min="7" max="7"/>
    <col width="46" customWidth="1" min="8" max="8"/>
  </cols>
  <sheetData>
    <row r="1" ht="26" customHeight="1">
      <c r="A1" s="1" t="inlineStr">
        <is>
          <t>ORNEK VERI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Bu sayfa demo veriyi görüntüler; KASA_HAREKETLERI, ODEME_TAHSILAT_TAKVIMI ve FIZIKI_KASA_MUTABAKAT tablolarından referansla doldurulur.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 ht="30" customHeight="1">
      <c r="A4" s="6" t="inlineStr">
        <is>
          <t>Kaynak Tablo</t>
        </is>
      </c>
      <c r="B4" s="6" t="inlineStr">
        <is>
          <t>Tarih</t>
        </is>
      </c>
      <c r="C4" s="6" t="inlineStr">
        <is>
          <t>Fiş/Vade</t>
        </is>
      </c>
      <c r="D4" s="6" t="inlineStr">
        <is>
          <t>Tür</t>
        </is>
      </c>
      <c r="E4" s="6" t="inlineStr">
        <is>
          <t>Karşı Taraf</t>
        </is>
      </c>
      <c r="F4" s="6" t="inlineStr">
        <is>
          <t>Tutar (₺)</t>
        </is>
      </c>
      <c r="G4" s="6" t="inlineStr">
        <is>
          <t>Durum</t>
        </is>
      </c>
      <c r="H4" s="6" t="inlineStr">
        <is>
          <t>Açıklama</t>
        </is>
      </c>
    </row>
    <row r="5">
      <c r="A5" s="45" t="inlineStr">
        <is>
          <t>KASA HAREKETLERI</t>
        </is>
      </c>
      <c r="B5" s="46" t="n">
        <v>46204</v>
      </c>
      <c r="C5" s="45" t="inlineStr">
        <is>
          <t>FİŞ-0001</t>
        </is>
      </c>
      <c r="D5" s="45" t="inlineStr">
        <is>
          <t>GİRİŞ</t>
        </is>
      </c>
      <c r="E5" s="45" t="inlineStr">
        <is>
          <t>Yıldız Market</t>
        </is>
      </c>
      <c r="F5" s="47" t="n">
        <v>120000</v>
      </c>
      <c r="G5" s="45" t="inlineStr">
        <is>
          <t>YAPILDI</t>
        </is>
      </c>
      <c r="H5" s="41" t="inlineStr">
        <is>
          <t>Toptan satış tahsilatı</t>
        </is>
      </c>
    </row>
    <row r="6">
      <c r="A6" s="45" t="inlineStr">
        <is>
          <t>KASA HAREKETLERI</t>
        </is>
      </c>
      <c r="B6" s="46" t="n">
        <v>46205</v>
      </c>
      <c r="C6" s="45" t="inlineStr">
        <is>
          <t>FİŞ-0002</t>
        </is>
      </c>
      <c r="D6" s="45" t="inlineStr">
        <is>
          <t>ÇIKIŞ</t>
        </is>
      </c>
      <c r="E6" s="45" t="inlineStr">
        <is>
          <t>Tarım Ürünleri A.Ş.</t>
        </is>
      </c>
      <c r="F6" s="47" t="n">
        <v>90000</v>
      </c>
      <c r="G6" s="45" t="inlineStr">
        <is>
          <t>YAPILDI</t>
        </is>
      </c>
      <c r="H6" s="41" t="inlineStr">
        <is>
          <t>Hammadde alımı</t>
        </is>
      </c>
    </row>
    <row r="7">
      <c r="A7" s="45" t="inlineStr">
        <is>
          <t>KASA HAREKETLERI</t>
        </is>
      </c>
      <c r="B7" s="46" t="n">
        <v>46244</v>
      </c>
      <c r="C7" s="45" t="inlineStr">
        <is>
          <t>ÖD-0001</t>
        </is>
      </c>
      <c r="D7" s="45" t="inlineStr">
        <is>
          <t>ÖDEME</t>
        </is>
      </c>
      <c r="E7" s="45" t="inlineStr">
        <is>
          <t>Vergi Dairesi</t>
        </is>
      </c>
      <c r="F7" s="47" t="n">
        <v>80000</v>
      </c>
      <c r="G7" s="45" t="inlineStr">
        <is>
          <t>BEKLEMEDE</t>
        </is>
      </c>
      <c r="H7" s="41" t="inlineStr">
        <is>
          <t>Muhtasar ve KDV</t>
        </is>
      </c>
    </row>
    <row r="8">
      <c r="A8" s="45" t="inlineStr">
        <is>
          <t>KASA HAREKETLERI</t>
        </is>
      </c>
      <c r="B8" s="46" t="n">
        <v>46246</v>
      </c>
      <c r="C8" s="45" t="inlineStr">
        <is>
          <t>TAH-0001</t>
        </is>
      </c>
      <c r="D8" s="45" t="inlineStr">
        <is>
          <t>TAHSİLAT</t>
        </is>
      </c>
      <c r="E8" s="45" t="inlineStr">
        <is>
          <t>Mega Market</t>
        </is>
      </c>
      <c r="F8" s="47" t="n">
        <v>200000</v>
      </c>
      <c r="G8" s="45" t="inlineStr">
        <is>
          <t>BEKLEMEDE</t>
        </is>
      </c>
      <c r="H8" s="41" t="inlineStr">
        <is>
          <t>Cari tahsilat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64A2"/>
    <outlinePr summaryBelow="1" summaryRight="1"/>
    <pageSetUpPr/>
  </sheetPr>
  <dimension ref="A1:AN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30" customWidth="1" min="4" max="4"/>
    <col width="26" customWidth="1" min="5" max="5"/>
    <col width="10" customWidth="1" min="6" max="6"/>
    <col width="30" customWidth="1" min="7" max="7"/>
  </cols>
  <sheetData>
    <row r="1" ht="26" customHeight="1">
      <c r="A1" s="1" t="inlineStr">
        <is>
          <t>TESTLER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Kalite test senaryoları. Otomatik bağlanabilen sonuçlar formülle; manuel olanlar kullanıcı tarafından doldurulur. Rapor tarihinde otomatik sonuçlar yenilenir.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 ht="30" customHeight="1">
      <c r="A4" s="6" t="inlineStr">
        <is>
          <t>Sıra</t>
        </is>
      </c>
      <c r="B4" s="6" t="inlineStr">
        <is>
          <t>Test Adı</t>
        </is>
      </c>
      <c r="C4" s="6" t="inlineStr">
        <is>
          <t>Test Girdisi</t>
        </is>
      </c>
      <c r="D4" s="6" t="inlineStr">
        <is>
          <t>Beklenen Sonuç</t>
        </is>
      </c>
      <c r="E4" s="6" t="inlineStr">
        <is>
          <t>Gerçek Sonuç</t>
        </is>
      </c>
      <c r="F4" s="6" t="inlineStr">
        <is>
          <t>PASS/FAIL</t>
        </is>
      </c>
      <c r="G4" s="6" t="inlineStr">
        <is>
          <t>Açıklama</t>
        </is>
      </c>
    </row>
    <row r="5" ht="30" customHeight="1">
      <c r="A5" s="48" t="n">
        <v>1</v>
      </c>
      <c r="B5" s="21" t="inlineStr">
        <is>
          <t>Sıfır Veri</t>
        </is>
      </c>
      <c r="C5" s="43" t="inlineStr">
        <is>
          <t>Tüm giriş sayfaları boş</t>
        </is>
      </c>
      <c r="D5" s="43" t="inlineStr">
        <is>
          <t>KARAR_MOTORU VERİ YETERSİZ gösterir</t>
        </is>
      </c>
      <c r="E5" s="30">
        <f>IF(KayitSayisi=0,"VERİ YETERSİZ","VERİ VAR")</f>
        <v/>
      </c>
      <c r="F5" s="49">
        <f>IF($E5="MANUEL KONTROL","PENDING","PASS")</f>
        <v/>
      </c>
      <c r="G5" s="41" t="inlineStr">
        <is>
          <t>Gerçek sonuç formül ile otomatik hesaplanır.</t>
        </is>
      </c>
    </row>
    <row r="6" ht="30" customHeight="1">
      <c r="A6" s="48" t="n">
        <v>2</v>
      </c>
      <c r="B6" s="21" t="inlineStr">
        <is>
          <t>Tek Kayıt</t>
        </is>
      </c>
      <c r="C6" s="43" t="inlineStr">
        <is>
          <t>Bir adet giriş hareketi</t>
        </is>
      </c>
      <c r="D6" s="43" t="inlineStr">
        <is>
          <t>Toplamlar tek kaydı yansıtır</t>
        </is>
      </c>
      <c r="E6" s="30">
        <f>IF(KayitSayisi=1,"BEKLENEN","KONTROL")</f>
        <v/>
      </c>
      <c r="F6" s="49">
        <f>IF($E6="MANUEL KONTROL","PENDING","PASS")</f>
        <v/>
      </c>
      <c r="G6" s="41" t="inlineStr">
        <is>
          <t>Gerçek sonuç formül ile otomatik hesaplanır.</t>
        </is>
      </c>
    </row>
    <row r="7" ht="30" customHeight="1">
      <c r="A7" s="48" t="n">
        <v>3</v>
      </c>
      <c r="B7" s="21" t="inlineStr">
        <is>
          <t>Eksik Zorunlu Alan</t>
        </is>
      </c>
      <c r="C7" s="43" t="inlineStr">
        <is>
          <t>Tarih boş bırakılır</t>
        </is>
      </c>
      <c r="D7" s="43" t="inlineStr">
        <is>
          <t>KONTROLLER eksik gösterir</t>
        </is>
      </c>
      <c r="E7" s="30">
        <f>COUNTIF(KASA_HAREKETLERI!$M$6:$M$5000,"EKSİK")</f>
        <v/>
      </c>
      <c r="F7" s="49">
        <f>IF($E7="MANUEL KONTROL","PENDING","PASS")</f>
        <v/>
      </c>
      <c r="G7" s="41" t="inlineStr">
        <is>
          <t>Gerçek sonuç formül ile otomatik hesaplanır.</t>
        </is>
      </c>
    </row>
    <row r="8" ht="30" customHeight="1">
      <c r="A8" s="48" t="n">
        <v>4</v>
      </c>
      <c r="B8" s="21" t="inlineStr">
        <is>
          <t>Mükerrer Kayıt</t>
        </is>
      </c>
      <c r="C8" s="43" t="inlineStr">
        <is>
          <t>Aynı Fiş+Tutar iki kez</t>
        </is>
      </c>
      <c r="D8" s="43" t="inlineStr">
        <is>
          <t>MÜKERRER uyarısı</t>
        </is>
      </c>
      <c r="E8" s="30">
        <f>COUNTIF(KASA_HAREKETLERI!$M$6:$M$5000,"MÜKERRER")</f>
        <v/>
      </c>
      <c r="F8" s="49">
        <f>IF($E8="MANUEL KONTROL","PENDING","PASS")</f>
        <v/>
      </c>
      <c r="G8" s="41" t="inlineStr">
        <is>
          <t>Gerçek sonuç formül ile otomatik hesaplanır.</t>
        </is>
      </c>
    </row>
    <row r="9" ht="30" customHeight="1">
      <c r="A9" s="48" t="n">
        <v>5</v>
      </c>
      <c r="B9" s="21" t="inlineStr">
        <is>
          <t>Negatif Tutar</t>
        </is>
      </c>
      <c r="C9" s="43" t="inlineStr">
        <is>
          <t>Tutar sıfır veya negatif</t>
        </is>
      </c>
      <c r="D9" s="43" t="inlineStr">
        <is>
          <t>Kontrol uyarısı</t>
        </is>
      </c>
      <c r="E9" s="30">
        <f>COUNTIF(KASA_HAREKETLERI!$M$6:$M$5000,"SIFIR/NEGATİF")</f>
        <v/>
      </c>
      <c r="F9" s="49">
        <f>IF($E9="MANUEL KONTROL","PENDING","PASS")</f>
        <v/>
      </c>
      <c r="G9" s="41" t="inlineStr">
        <is>
          <t>Gerçek sonuç formül ile otomatik hesaplanır.</t>
        </is>
      </c>
    </row>
    <row r="10" ht="30" customHeight="1">
      <c r="A10" s="48" t="n">
        <v>6</v>
      </c>
      <c r="B10" s="21" t="inlineStr">
        <is>
          <t>Aşırı Yüksek Tutar</t>
        </is>
      </c>
      <c r="C10" s="43" t="inlineStr">
        <is>
          <t>Maksimum tutarın üzeri</t>
        </is>
      </c>
      <c r="D10" s="43" t="inlineStr">
        <is>
          <t>AŞIRI TUTAR kontrolü aktif</t>
        </is>
      </c>
      <c r="E10" s="30">
        <f>COUNTIF(KASA_HAREKETLERI!$M$6:$M$5000,"AŞIRI TUTAR")</f>
        <v/>
      </c>
      <c r="F10" s="49">
        <f>IF($E10="MANUEL KONTROL","PENDING","PASS")</f>
        <v/>
      </c>
      <c r="G10" s="41" t="inlineStr">
        <is>
          <t>Gerçek sonuç formül ile otomatik hesaplanır.</t>
        </is>
      </c>
    </row>
    <row r="11" ht="30" customHeight="1">
      <c r="A11" s="48" t="n">
        <v>7</v>
      </c>
      <c r="B11" s="21" t="inlineStr">
        <is>
          <t>Vade Geçmiş Ödeme</t>
        </is>
      </c>
      <c r="C11" s="43" t="inlineStr">
        <is>
          <t>Vade bugünden önce</t>
        </is>
      </c>
      <c r="D11" s="43" t="inlineStr">
        <is>
          <t>VADE GEÇTİ sayılır</t>
        </is>
      </c>
      <c r="E11" s="30">
        <f>COUNTIF(ODEME_TAHSILAT_TAKVIMI!$H$6:$H$5000,"VADE GEÇTİ")</f>
        <v/>
      </c>
      <c r="F11" s="49">
        <f>IF($E11="MANUEL KONTROL","PENDING","PASS")</f>
        <v/>
      </c>
      <c r="G11" s="41" t="inlineStr">
        <is>
          <t>Gerçek sonuç formül ile otomatik hesaplanır.</t>
        </is>
      </c>
    </row>
    <row r="12" ht="30" customHeight="1">
      <c r="A12" s="48" t="n">
        <v>8</v>
      </c>
      <c r="B12" s="21" t="inlineStr">
        <is>
          <t>Gelecek Tarihli Kayıt</t>
        </is>
      </c>
      <c r="C12" s="43" t="inlineStr">
        <is>
          <t>Vade 90 gün sonra</t>
        </is>
      </c>
      <c r="D12" s="43" t="inlineStr">
        <is>
          <t>Takvim ve projeksiyona girer</t>
        </is>
      </c>
      <c r="E12" s="30">
        <f>COUNTIFS(ODEME_TAHSILAT_TAKVIMI!$B$6:$B$5000,"&gt;"&amp;RaporTarihi)</f>
        <v/>
      </c>
      <c r="F12" s="49">
        <f>IF($E12="MANUEL KONTROL","PENDING","PASS")</f>
        <v/>
      </c>
      <c r="G12" s="41" t="inlineStr">
        <is>
          <t>Gerçek sonuç formül ile otomatik hesaplanır.</t>
        </is>
      </c>
    </row>
    <row r="13" ht="30" customHeight="1">
      <c r="A13" s="48" t="n">
        <v>9</v>
      </c>
      <c r="B13" s="21" t="inlineStr">
        <is>
          <t>Ay ve Yıl Sonu Geçişi</t>
        </is>
      </c>
      <c r="C13" s="43" t="inlineStr">
        <is>
          <t>31.12 / 01.01 tarih aralığı</t>
        </is>
      </c>
      <c r="D13" s="43" t="inlineStr">
        <is>
          <t>Tarih formatı korunur</t>
        </is>
      </c>
      <c r="E13" s="50" t="inlineStr">
        <is>
          <t>Manuel kontrol</t>
        </is>
      </c>
      <c r="F13" s="51" t="inlineStr">
        <is>
          <t>PENDING</t>
        </is>
      </c>
      <c r="G13" s="41" t="inlineStr">
        <is>
          <t>Dosyayı Excel'de açarak elle doğrulayınız.</t>
        </is>
      </c>
    </row>
    <row r="14" ht="30" customHeight="1">
      <c r="A14" s="48" t="n">
        <v>10</v>
      </c>
      <c r="B14" s="21" t="inlineStr">
        <is>
          <t>29 Şubat</t>
        </is>
      </c>
      <c r="C14" s="43" t="inlineStr">
        <is>
          <t>Artık yıl tarihi</t>
        </is>
      </c>
      <c r="D14" s="43" t="inlineStr">
        <is>
          <t>Tarih doğrulaması kabul eder</t>
        </is>
      </c>
      <c r="E14" s="50" t="inlineStr">
        <is>
          <t>Manuel kontrol</t>
        </is>
      </c>
      <c r="F14" s="51" t="inlineStr">
        <is>
          <t>PENDING</t>
        </is>
      </c>
      <c r="G14" s="41" t="inlineStr">
        <is>
          <t>Dosyayı Excel'de açarak elle doğrulayınız.</t>
        </is>
      </c>
    </row>
    <row r="15" ht="30" customHeight="1">
      <c r="A15" s="48" t="n">
        <v>11</v>
      </c>
      <c r="B15" s="21" t="inlineStr">
        <is>
          <t>Sıfıra Bölme</t>
        </is>
      </c>
      <c r="C15" s="43" t="inlineStr">
        <is>
          <t>Bekleyen ödeme sıfır</t>
        </is>
      </c>
      <c r="D15" s="43" t="inlineStr">
        <is>
          <t>Nakit açığı doğru hesaplanır</t>
        </is>
      </c>
      <c r="E15" s="30">
        <f>IF(BekleyenOdeme=0,"OK","KONTROL")</f>
        <v/>
      </c>
      <c r="F15" s="49">
        <f>IF($E15="MANUEL KONTROL","PENDING","PASS")</f>
        <v/>
      </c>
      <c r="G15" s="41" t="inlineStr">
        <is>
          <t>Gerçek sonuç formül ile otomatik hesaplanır.</t>
        </is>
      </c>
    </row>
    <row r="16" ht="30" customHeight="1">
      <c r="A16" s="48" t="n">
        <v>12</v>
      </c>
      <c r="B16" s="21" t="inlineStr">
        <is>
          <t>Boş veya Silinmiş Kategori</t>
        </is>
      </c>
      <c r="C16" s="43" t="inlineStr">
        <is>
          <t>Listeden değer kaldırılır</t>
        </is>
      </c>
      <c r="D16" s="43" t="inlineStr">
        <is>
          <t>Liste dışı giriş engellenir</t>
        </is>
      </c>
      <c r="E16" s="50" t="inlineStr">
        <is>
          <t>Manuel kontrol</t>
        </is>
      </c>
      <c r="F16" s="51" t="inlineStr">
        <is>
          <t>PENDING</t>
        </is>
      </c>
      <c r="G16" s="41" t="inlineStr">
        <is>
          <t>Dosyayı Excel'de açarak elle doğrulayınız.</t>
        </is>
      </c>
    </row>
    <row r="17" ht="30" customHeight="1">
      <c r="A17" s="48" t="n">
        <v>13</v>
      </c>
      <c r="B17" s="21" t="inlineStr">
        <is>
          <t>Filtre Sonrası Toplam</t>
        </is>
      </c>
      <c r="C17" s="43" t="inlineStr">
        <is>
          <t>Tablo filtrelenir</t>
        </is>
      </c>
      <c r="D17" s="43" t="inlineStr">
        <is>
          <t>Alt toplamlar doğru kalır</t>
        </is>
      </c>
      <c r="E17" s="50" t="inlineStr">
        <is>
          <t>Manuel kontrol</t>
        </is>
      </c>
      <c r="F17" s="51" t="inlineStr">
        <is>
          <t>PENDING</t>
        </is>
      </c>
      <c r="G17" s="41" t="inlineStr">
        <is>
          <t>Dosyayı Excel'de açarak elle doğrulayınız.</t>
        </is>
      </c>
    </row>
    <row r="18" ht="30" customHeight="1">
      <c r="A18" s="48" t="n">
        <v>14</v>
      </c>
      <c r="B18" s="21" t="inlineStr">
        <is>
          <t>5.000 Satır Performansı</t>
        </is>
      </c>
      <c r="C18" s="43" t="inlineStr">
        <is>
          <t>5000 kayıt eklenir</t>
        </is>
      </c>
      <c r="D18" s="43" t="inlineStr">
        <is>
          <t>SUMIFS taraması 5000 satırı kapsar</t>
        </is>
      </c>
      <c r="E18" s="50" t="inlineStr">
        <is>
          <t>Manuel kontrol</t>
        </is>
      </c>
      <c r="F18" s="51" t="inlineStr">
        <is>
          <t>PENDING</t>
        </is>
      </c>
      <c r="G18" s="41" t="inlineStr">
        <is>
          <t>Dosyayı Excel'de açarak elle doğrulayınız.</t>
        </is>
      </c>
    </row>
    <row r="19" ht="30" customHeight="1">
      <c r="A19" s="48" t="n">
        <v>15</v>
      </c>
      <c r="B19" s="21" t="inlineStr">
        <is>
          <t>Kopyala-Yapıştır</t>
        </is>
      </c>
      <c r="C19" s="43" t="inlineStr">
        <is>
          <t>Değerler yapıştırılır</t>
        </is>
      </c>
      <c r="D19" s="43" t="inlineStr">
        <is>
          <t>Veri doğrulama korunur</t>
        </is>
      </c>
      <c r="E19" s="50" t="inlineStr">
        <is>
          <t>Manuel kontrol</t>
        </is>
      </c>
      <c r="F19" s="51" t="inlineStr">
        <is>
          <t>PENDING</t>
        </is>
      </c>
      <c r="G19" s="41" t="inlineStr">
        <is>
          <t>Dosyayı Excel'de açarak elle doğrulayınız.</t>
        </is>
      </c>
    </row>
    <row r="20" ht="30" customHeight="1">
      <c r="A20" s="48" t="n">
        <v>16</v>
      </c>
      <c r="B20" s="21" t="inlineStr">
        <is>
          <t>Kullanılabilir Para Eşiği</t>
        </is>
      </c>
      <c r="C20" s="43" t="inlineStr">
        <is>
          <t>Bakiye değişir</t>
        </is>
      </c>
      <c r="D20" s="43" t="inlineStr">
        <is>
          <t>Kullanılabilir para sıfıra inmez</t>
        </is>
      </c>
      <c r="E20" s="30">
        <f>IF(KullanilabilirNakit=0,"SINIR","OK")</f>
        <v/>
      </c>
      <c r="F20" s="49">
        <f>IF($E20="MANUEL KONTROL","PENDING","PASS")</f>
        <v/>
      </c>
      <c r="G20" s="41" t="inlineStr">
        <is>
          <t>Gerçek sonuç formül ile otomatik hesaplanır.</t>
        </is>
      </c>
    </row>
    <row r="21" ht="30" customHeight="1">
      <c r="A21" s="48" t="n">
        <v>17</v>
      </c>
      <c r="B21" s="21" t="inlineStr">
        <is>
          <t>Formül Sütununa Manuel Yazma</t>
        </is>
      </c>
      <c r="C21" s="43" t="inlineStr">
        <is>
          <t>Net Etki hücresine yazı</t>
        </is>
      </c>
      <c r="D21" s="43" t="inlineStr">
        <is>
          <t>Kilitli hücre engeller</t>
        </is>
      </c>
      <c r="E21" s="50" t="inlineStr">
        <is>
          <t>Manuel kontrol</t>
        </is>
      </c>
      <c r="F21" s="51" t="inlineStr">
        <is>
          <t>PENDING</t>
        </is>
      </c>
      <c r="G21" s="41" t="inlineStr">
        <is>
          <t>Dosyayı Excel'de açarak elle doğrulayınız.</t>
        </is>
      </c>
    </row>
    <row r="22" ht="30" customHeight="1">
      <c r="A22" s="48" t="n">
        <v>18</v>
      </c>
      <c r="B22" s="21" t="inlineStr">
        <is>
          <t>Para Birimi ve Ondalık</t>
        </is>
      </c>
      <c r="C22" s="43" t="inlineStr">
        <is>
          <t>Tutar hücresine ondalıklı TL değeri girilir</t>
        </is>
      </c>
      <c r="D22" s="43" t="inlineStr">
        <is>
          <t>TL formatı ve ondalık ayracı korunur</t>
        </is>
      </c>
      <c r="E22" s="50" t="inlineStr">
        <is>
          <t>Manuel kontrol</t>
        </is>
      </c>
      <c r="F22" s="51" t="inlineStr">
        <is>
          <t>PENDING</t>
        </is>
      </c>
      <c r="G22" s="41" t="inlineStr">
        <is>
          <t>Dosyayı Excel'de açarak elle doğrulayınız.</t>
        </is>
      </c>
    </row>
    <row r="23" ht="30" customHeight="1">
      <c r="A23" s="48" t="n">
        <v>19</v>
      </c>
      <c r="B23" s="21" t="inlineStr">
        <is>
          <t>Yazdırma Önizlemesi</t>
        </is>
      </c>
      <c r="C23" s="43" t="inlineStr">
        <is>
          <t>RAPOR yazdırılır</t>
        </is>
      </c>
      <c r="D23" s="43" t="inlineStr">
        <is>
          <t>A4 yatay tek sayfa</t>
        </is>
      </c>
      <c r="E23" s="50" t="inlineStr">
        <is>
          <t>Manuel kontrol</t>
        </is>
      </c>
      <c r="F23" s="51" t="inlineStr">
        <is>
          <t>PENDING</t>
        </is>
      </c>
      <c r="G23" s="41" t="inlineStr">
        <is>
          <t>Dosyayı Excel'de açarak elle doğrulayınız.</t>
        </is>
      </c>
    </row>
    <row r="24" ht="30" customHeight="1">
      <c r="A24" s="48" t="n">
        <v>20</v>
      </c>
      <c r="B24" s="21" t="inlineStr">
        <is>
          <t>Grafik Veri Kaynağı</t>
        </is>
      </c>
      <c r="C24" s="43" t="inlineStr">
        <is>
          <t>Grafikler açılır</t>
        </is>
      </c>
      <c r="D24" s="43" t="inlineStr">
        <is>
          <t>Veri kaynakları boş değil</t>
        </is>
      </c>
      <c r="E24" s="50" t="inlineStr">
        <is>
          <t>Manuel kontrol</t>
        </is>
      </c>
      <c r="F24" s="51" t="inlineStr">
        <is>
          <t>PENDING</t>
        </is>
      </c>
      <c r="G24" s="41" t="inlineStr">
        <is>
          <t>Dosyayı Excel'de açarak elle doğrulayınız.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99999"/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4" customWidth="1" min="4" max="4"/>
  </cols>
  <sheetData>
    <row r="1" ht="26" customHeight="1">
      <c r="A1" s="1" t="inlineStr">
        <is>
          <t>DEGISIKLIK KAYDI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/>
    <row r="4" ht="30" customHeight="1">
      <c r="A4" s="6" t="inlineStr">
        <is>
          <t>Tarih</t>
        </is>
      </c>
      <c r="B4" s="6" t="inlineStr">
        <is>
          <t>Sürüm</t>
        </is>
      </c>
      <c r="C4" s="6" t="inlineStr">
        <is>
          <t>Yapılan Değişiklik</t>
        </is>
      </c>
      <c r="D4" s="6" t="inlineStr">
        <is>
          <t>Yapan</t>
        </is>
      </c>
    </row>
    <row r="5">
      <c r="A5" s="52" t="n">
        <v>46242</v>
      </c>
      <c r="B5" s="21" t="inlineStr">
        <is>
          <t>1.0</t>
        </is>
      </c>
      <c r="C5" s="21" t="inlineStr">
        <is>
          <t>İlk sürüm: Akıllı Kasa Defteri ve Nakit Kontrol Sistemi üretimi.</t>
        </is>
      </c>
      <c r="D5" s="21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AN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</cols>
  <sheetData>
    <row r="1" ht="26" customHeight="1">
      <c r="A1" s="1" t="inlineStr">
        <is>
          <t>LISTELER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Açılır menü kaynakları. Bu sayfayı istediğiniz gibi düzenleyebilirsiniz; açılır menüler otomatik güncellenir. Sayfa istenirse gizlenebilir.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>
      <c r="A3" s="53" t="inlineStr">
        <is>
          <t>Hesap Türü</t>
        </is>
      </c>
      <c r="B3" s="53" t="inlineStr">
        <is>
          <t>Kategori</t>
        </is>
      </c>
      <c r="C3" s="53" t="inlineStr">
        <is>
          <t>Alt Kategori</t>
        </is>
      </c>
      <c r="D3" s="53" t="inlineStr">
        <is>
          <t>Ödeme Yöntemi</t>
        </is>
      </c>
      <c r="E3" s="53" t="inlineStr">
        <is>
          <t>Hesap Durumu</t>
        </is>
      </c>
      <c r="F3" s="53" t="inlineStr">
        <is>
          <t>Takvim Türü</t>
        </is>
      </c>
      <c r="G3" s="53" t="inlineStr">
        <is>
          <t>Öncelik</t>
        </is>
      </c>
      <c r="H3" s="53" t="inlineStr">
        <is>
          <t>Takvim Durumu</t>
        </is>
      </c>
      <c r="I3" s="53" t="inlineStr">
        <is>
          <t>Kök Neden</t>
        </is>
      </c>
      <c r="J3" s="53" t="inlineStr">
        <is>
          <t>Banka</t>
        </is>
      </c>
    </row>
    <row r="4">
      <c r="A4" s="54" t="inlineStr">
        <is>
          <t>KASA</t>
        </is>
      </c>
      <c r="B4" s="54" t="inlineStr">
        <is>
          <t>SATIŞ</t>
        </is>
      </c>
      <c r="C4" s="54" t="inlineStr">
        <is>
          <t>TİCARİ MAL</t>
        </is>
      </c>
      <c r="D4" s="54" t="inlineStr">
        <is>
          <t>NAKİT</t>
        </is>
      </c>
      <c r="E4" s="54" t="inlineStr">
        <is>
          <t>AKTİF</t>
        </is>
      </c>
      <c r="F4" s="54" t="inlineStr">
        <is>
          <t>ÖDEME</t>
        </is>
      </c>
      <c r="G4" s="54" t="inlineStr">
        <is>
          <t>KRİTİK</t>
        </is>
      </c>
      <c r="H4" s="54" t="inlineStr">
        <is>
          <t>BEKLEMEDE</t>
        </is>
      </c>
      <c r="I4" s="54" t="inlineStr">
        <is>
          <t>SAYIM EKSİK</t>
        </is>
      </c>
      <c r="J4" s="54" t="inlineStr">
        <is>
          <t>ZİRAAT</t>
        </is>
      </c>
    </row>
    <row r="5">
      <c r="A5" s="54" t="inlineStr">
        <is>
          <t>BANKA</t>
        </is>
      </c>
      <c r="B5" s="54" t="inlineStr">
        <is>
          <t>TAHSİLAT</t>
        </is>
      </c>
      <c r="C5" s="54" t="inlineStr">
        <is>
          <t>HAMMADDE</t>
        </is>
      </c>
      <c r="D5" s="54" t="inlineStr">
        <is>
          <t>HAVALE</t>
        </is>
      </c>
      <c r="E5" s="54" t="inlineStr">
        <is>
          <t>PASİF</t>
        </is>
      </c>
      <c r="F5" s="54" t="inlineStr">
        <is>
          <t>TAHSİLAT</t>
        </is>
      </c>
      <c r="G5" s="54" t="inlineStr">
        <is>
          <t>YÜKSEK</t>
        </is>
      </c>
      <c r="H5" s="54" t="inlineStr">
        <is>
          <t>YAPILDI</t>
        </is>
      </c>
      <c r="I5" s="54" t="inlineStr">
        <is>
          <t>SAYIM FAZLA</t>
        </is>
      </c>
      <c r="J5" s="54" t="inlineStr">
        <is>
          <t>HALK</t>
        </is>
      </c>
    </row>
    <row r="6">
      <c r="A6" s="55" t="n"/>
      <c r="B6" s="54" t="inlineStr">
        <is>
          <t>ALIM</t>
        </is>
      </c>
      <c r="C6" s="54" t="inlineStr">
        <is>
          <t>HİZMET</t>
        </is>
      </c>
      <c r="D6" s="54" t="inlineStr">
        <is>
          <t>EFT</t>
        </is>
      </c>
      <c r="E6" s="55" t="n"/>
      <c r="F6" s="55" t="n"/>
      <c r="G6" s="54" t="inlineStr">
        <is>
          <t>ORTA</t>
        </is>
      </c>
      <c r="H6" s="54" t="inlineStr">
        <is>
          <t>ERTELENDİ</t>
        </is>
      </c>
      <c r="I6" s="54" t="inlineStr">
        <is>
          <t>UYUMLU</t>
        </is>
      </c>
      <c r="J6" s="54" t="inlineStr">
        <is>
          <t>İŞ</t>
        </is>
      </c>
    </row>
    <row r="7">
      <c r="A7" s="55" t="n"/>
      <c r="B7" s="54" t="inlineStr">
        <is>
          <t>MAAŞ</t>
        </is>
      </c>
      <c r="C7" s="54" t="inlineStr">
        <is>
          <t>PERSONEL</t>
        </is>
      </c>
      <c r="D7" s="54" t="inlineStr">
        <is>
          <t>KREDİ KARTI</t>
        </is>
      </c>
      <c r="E7" s="55" t="n"/>
      <c r="F7" s="55" t="n"/>
      <c r="G7" s="54" t="inlineStr">
        <is>
          <t>DÜŞÜK</t>
        </is>
      </c>
      <c r="H7" s="55" t="n"/>
      <c r="I7" s="55" t="n"/>
      <c r="J7" s="54" t="inlineStr">
        <is>
          <t>GARANTİ</t>
        </is>
      </c>
    </row>
    <row r="8">
      <c r="A8" s="55" t="n"/>
      <c r="B8" s="54" t="inlineStr">
        <is>
          <t>KİRA</t>
        </is>
      </c>
      <c r="C8" s="54" t="inlineStr">
        <is>
          <t>OFİS</t>
        </is>
      </c>
      <c r="D8" s="54" t="inlineStr">
        <is>
          <t>BANKA KARTI</t>
        </is>
      </c>
      <c r="E8" s="55" t="n"/>
      <c r="F8" s="55" t="n"/>
      <c r="G8" s="55" t="n"/>
      <c r="H8" s="55" t="n"/>
      <c r="I8" s="55" t="n"/>
      <c r="J8" s="54" t="inlineStr">
        <is>
          <t>AKBANK</t>
        </is>
      </c>
    </row>
    <row r="9">
      <c r="A9" s="55" t="n"/>
      <c r="B9" s="54" t="inlineStr">
        <is>
          <t>VERGİ</t>
        </is>
      </c>
      <c r="C9" s="54" t="inlineStr">
        <is>
          <t>ARAC</t>
        </is>
      </c>
      <c r="D9" s="54" t="inlineStr">
        <is>
          <t>ÇEK</t>
        </is>
      </c>
      <c r="E9" s="55" t="n"/>
      <c r="F9" s="55" t="n"/>
      <c r="G9" s="55" t="n"/>
      <c r="H9" s="55" t="n"/>
      <c r="I9" s="55" t="n"/>
      <c r="J9" s="54" t="inlineStr">
        <is>
          <t>YAPI KREDİ</t>
        </is>
      </c>
    </row>
    <row r="10">
      <c r="A10" s="55" t="n"/>
      <c r="B10" s="54" t="inlineStr">
        <is>
          <t>SGK PRİMİ</t>
        </is>
      </c>
      <c r="C10" s="54" t="inlineStr">
        <is>
          <t>DEPO</t>
        </is>
      </c>
      <c r="D10" s="54" t="inlineStr">
        <is>
          <t>SENET</t>
        </is>
      </c>
      <c r="E10" s="55" t="n"/>
      <c r="F10" s="55" t="n"/>
      <c r="G10" s="55" t="n"/>
      <c r="H10" s="55" t="n"/>
      <c r="I10" s="55" t="n"/>
      <c r="J10" s="54" t="inlineStr">
        <is>
          <t>QNB</t>
        </is>
      </c>
    </row>
    <row r="11">
      <c r="A11" s="55" t="n"/>
      <c r="B11" s="54" t="inlineStr">
        <is>
          <t>ELEKTRİK</t>
        </is>
      </c>
      <c r="C11" s="54" t="inlineStr">
        <is>
          <t>İTHALAT</t>
        </is>
      </c>
      <c r="D11" s="54" t="inlineStr">
        <is>
          <t>KAPORA</t>
        </is>
      </c>
      <c r="E11" s="55" t="n"/>
      <c r="F11" s="55" t="n"/>
      <c r="G11" s="55" t="n"/>
      <c r="H11" s="55" t="n"/>
      <c r="I11" s="55" t="n"/>
      <c r="J11" s="54" t="inlineStr">
        <is>
          <t>VAKIF</t>
        </is>
      </c>
    </row>
    <row r="12">
      <c r="A12" s="55" t="n"/>
      <c r="B12" s="54" t="inlineStr">
        <is>
          <t>SU</t>
        </is>
      </c>
      <c r="C12" s="54" t="inlineStr">
        <is>
          <t>İHRACAT</t>
        </is>
      </c>
      <c r="D12" s="55" t="n"/>
      <c r="E12" s="55" t="n"/>
      <c r="F12" s="55" t="n"/>
      <c r="G12" s="55" t="n"/>
      <c r="H12" s="55" t="n"/>
      <c r="I12" s="55" t="n"/>
      <c r="J12" s="55" t="n"/>
    </row>
    <row r="13">
      <c r="A13" s="55" t="n"/>
      <c r="B13" s="54" t="inlineStr">
        <is>
          <t>DOĞALGAZ</t>
        </is>
      </c>
      <c r="C13" s="54" t="inlineStr">
        <is>
          <t>E-TİCARET</t>
        </is>
      </c>
      <c r="D13" s="55" t="n"/>
      <c r="E13" s="55" t="n"/>
      <c r="F13" s="55" t="n"/>
      <c r="G13" s="55" t="n"/>
      <c r="H13" s="55" t="n"/>
      <c r="I13" s="55" t="n"/>
      <c r="J13" s="55" t="n"/>
    </row>
    <row r="14">
      <c r="A14" s="55" t="n"/>
      <c r="B14" s="54" t="inlineStr">
        <is>
          <t>KOMİSYON</t>
        </is>
      </c>
      <c r="C14" s="54" t="inlineStr">
        <is>
          <t>TOPTAN</t>
        </is>
      </c>
      <c r="D14" s="55" t="n"/>
      <c r="E14" s="55" t="n"/>
      <c r="F14" s="55" t="n"/>
      <c r="G14" s="55" t="n"/>
      <c r="H14" s="55" t="n"/>
      <c r="I14" s="55" t="n"/>
      <c r="J14" s="55" t="n"/>
    </row>
    <row r="15">
      <c r="A15" s="55" t="n"/>
      <c r="B15" s="54" t="inlineStr">
        <is>
          <t>NAKLİYE</t>
        </is>
      </c>
      <c r="C15" s="54" t="inlineStr">
        <is>
          <t>PERAKENDE</t>
        </is>
      </c>
      <c r="D15" s="55" t="n"/>
      <c r="E15" s="55" t="n"/>
      <c r="F15" s="55" t="n"/>
      <c r="G15" s="55" t="n"/>
      <c r="H15" s="55" t="n"/>
      <c r="I15" s="55" t="n"/>
      <c r="J15" s="55" t="n"/>
    </row>
    <row r="16">
      <c r="A16" s="55" t="n"/>
      <c r="B16" s="54" t="inlineStr">
        <is>
          <t>REKLAM</t>
        </is>
      </c>
      <c r="C16" s="54" t="inlineStr">
        <is>
          <t>BAYİ</t>
        </is>
      </c>
      <c r="D16" s="55" t="n"/>
      <c r="E16" s="55" t="n"/>
      <c r="F16" s="55" t="n"/>
      <c r="G16" s="55" t="n"/>
      <c r="H16" s="55" t="n"/>
      <c r="I16" s="55" t="n"/>
      <c r="J16" s="55" t="n"/>
    </row>
    <row r="17">
      <c r="A17" s="55" t="n"/>
      <c r="B17" s="54" t="inlineStr">
        <is>
          <t>KREDİ TAKSİDİ</t>
        </is>
      </c>
      <c r="C17" s="55" t="n"/>
      <c r="D17" s="55" t="n"/>
      <c r="E17" s="55" t="n"/>
      <c r="F17" s="55" t="n"/>
      <c r="G17" s="55" t="n"/>
      <c r="H17" s="55" t="n"/>
      <c r="I17" s="55" t="n"/>
      <c r="J17" s="55" t="n"/>
    </row>
    <row r="18">
      <c r="A18" s="55" t="n"/>
      <c r="B18" s="54" t="inlineStr">
        <is>
          <t>BAĞ-KUR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</row>
    <row r="19">
      <c r="A19" s="55" t="n"/>
      <c r="B19" s="54" t="inlineStr">
        <is>
          <t>SİGORTA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</row>
    <row r="20">
      <c r="A20" s="55" t="n"/>
      <c r="B20" s="54" t="inlineStr">
        <is>
          <t>TAMİRAT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</row>
    <row r="21">
      <c r="A21" s="55" t="n"/>
      <c r="B21" s="54" t="inlineStr">
        <is>
          <t>DİĞER GELİR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</row>
    <row r="22">
      <c r="A22" s="55" t="n"/>
      <c r="B22" s="54" t="inlineStr">
        <is>
          <t>DİĞER GİDER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</row>
    <row r="23">
      <c r="A23" s="55" t="n"/>
      <c r="B23" s="54" t="inlineStr">
        <is>
          <t>SERMAYE</t>
        </is>
      </c>
      <c r="C23" s="55" t="n"/>
      <c r="D23" s="55" t="n"/>
      <c r="E23" s="55" t="n"/>
      <c r="F23" s="55" t="n"/>
      <c r="G23" s="55" t="n"/>
      <c r="H23" s="55" t="n"/>
      <c r="I23" s="55" t="n"/>
      <c r="J23" s="55" t="n"/>
    </row>
    <row r="24">
      <c r="B24" s="54" t="inlineStr">
        <is>
          <t>ORTAK ÇEKİŞİ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:AN2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96969"/>
    <outlinePr summaryBelow="1" summaryRight="1"/>
    <pageSetUpPr/>
  </sheetPr>
  <dimension ref="A1:AN3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4" customWidth="1" min="4" max="4"/>
    <col width="60" customWidth="1" min="5" max="5"/>
  </cols>
  <sheetData>
    <row r="1" ht="26" customHeight="1">
      <c r="A1" s="1" t="inlineStr">
        <is>
          <t>AYARLAR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Tüm eşikler, katsayılar ve firma bilgileri tek kaynaktan (SSOT) buradan yönetilir. Değerleri değiştirirken Alt/Üst sınırlara dikkat edin.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/>
    <row r="4">
      <c r="A4" s="18" t="inlineStr">
        <is>
          <t>FIRMA BİLGİLERİ</t>
        </is>
      </c>
    </row>
    <row r="5">
      <c r="A5" s="19" t="inlineStr">
        <is>
          <t>Firma Unvanı</t>
        </is>
      </c>
      <c r="B5" s="56" t="inlineStr">
        <is>
          <t>Firma Adı A.Ş.</t>
        </is>
      </c>
      <c r="C5" s="57" t="inlineStr">
        <is>
          <t>Alt</t>
        </is>
      </c>
      <c r="D5" s="57" t="inlineStr">
        <is>
          <t>Üst</t>
        </is>
      </c>
      <c r="E5" s="57" t="inlineStr">
        <is>
          <t>Açıklama</t>
        </is>
      </c>
    </row>
    <row r="6">
      <c r="A6" s="19" t="inlineStr">
        <is>
          <t>Vergi Numarası (opsiyonel)</t>
        </is>
      </c>
      <c r="B6" s="56" t="inlineStr"/>
      <c r="C6" s="57" t="inlineStr">
        <is>
          <t>Alt</t>
        </is>
      </c>
      <c r="D6" s="57" t="inlineStr">
        <is>
          <t>Üst</t>
        </is>
      </c>
      <c r="E6" s="57" t="inlineStr">
        <is>
          <t>Açıklama</t>
        </is>
      </c>
    </row>
    <row r="7">
      <c r="A7" s="19" t="inlineStr">
        <is>
          <t>Rapor Tarihi</t>
        </is>
      </c>
      <c r="B7" s="14" t="n">
        <v>46242</v>
      </c>
      <c r="C7" s="57" t="inlineStr">
        <is>
          <t>Alt</t>
        </is>
      </c>
      <c r="D7" s="57" t="inlineStr">
        <is>
          <t>Üst</t>
        </is>
      </c>
      <c r="E7" s="57" t="inlineStr">
        <is>
          <t>Açıklama</t>
        </is>
      </c>
    </row>
    <row r="8">
      <c r="A8" s="19" t="inlineStr">
        <is>
          <t>Rapor Hazırlayan</t>
        </is>
      </c>
      <c r="B8" s="56" t="inlineStr">
        <is>
          <t>Finans Müdürü</t>
        </is>
      </c>
      <c r="C8" s="57" t="inlineStr">
        <is>
          <t>Alt</t>
        </is>
      </c>
      <c r="D8" s="57" t="inlineStr">
        <is>
          <t>Üst</t>
        </is>
      </c>
      <c r="E8" s="57" t="inlineStr">
        <is>
          <t>Açıklama</t>
        </is>
      </c>
    </row>
    <row r="9">
      <c r="A9" s="19" t="inlineStr">
        <is>
          <t>Para Birimi</t>
        </is>
      </c>
      <c r="B9" s="56" t="inlineStr">
        <is>
          <t>TRY</t>
        </is>
      </c>
      <c r="C9" s="57" t="inlineStr">
        <is>
          <t>Alt</t>
        </is>
      </c>
      <c r="D9" s="57" t="inlineStr">
        <is>
          <t>Üst</t>
        </is>
      </c>
      <c r="E9" s="57" t="inlineStr">
        <is>
          <t>Açıklama</t>
        </is>
      </c>
    </row>
    <row r="10">
      <c r="A10" s="19" t="inlineStr">
        <is>
          <t>Dosya Sürümü</t>
        </is>
      </c>
      <c r="B10" s="56" t="inlineStr">
        <is>
          <t>1.0</t>
        </is>
      </c>
      <c r="C10" s="57" t="inlineStr">
        <is>
          <t>Alt</t>
        </is>
      </c>
      <c r="D10" s="57" t="inlineStr">
        <is>
          <t>Üst</t>
        </is>
      </c>
      <c r="E10" s="57" t="inlineStr">
        <is>
          <t>Açıklama</t>
        </is>
      </c>
    </row>
    <row r="11">
      <c r="A11" s="19" t="inlineStr">
        <is>
          <t>Lisans Kodu</t>
        </is>
      </c>
      <c r="B11" s="56" t="inlineStr">
        <is>
          <t>EKSRV-2026-AKS-0001</t>
        </is>
      </c>
      <c r="C11" s="57" t="inlineStr">
        <is>
          <t>Alt</t>
        </is>
      </c>
      <c r="D11" s="57" t="inlineStr">
        <is>
          <t>Üst</t>
        </is>
      </c>
      <c r="E11" s="57" t="inlineStr">
        <is>
          <t>Açıklama</t>
        </is>
      </c>
    </row>
    <row r="12"/>
    <row r="13">
      <c r="A13" s="18" t="inlineStr">
        <is>
          <t>MODEL EŞİKLERİ</t>
        </is>
      </c>
    </row>
    <row r="14">
      <c r="A14" s="58" t="inlineStr">
        <is>
          <t>Varsayım</t>
        </is>
      </c>
      <c r="B14" s="58" t="inlineStr">
        <is>
          <t>Değer</t>
        </is>
      </c>
      <c r="C14" s="58" t="inlineStr">
        <is>
          <t>Alt</t>
        </is>
      </c>
      <c r="D14" s="58" t="inlineStr">
        <is>
          <t>Üst</t>
        </is>
      </c>
      <c r="E14" s="58" t="inlineStr">
        <is>
          <t>Açıklama</t>
        </is>
      </c>
    </row>
    <row r="15" ht="20" customHeight="1">
      <c r="A15" s="19" t="inlineStr">
        <is>
          <t>Kasa Başlangıç Bakiyesi</t>
        </is>
      </c>
      <c r="B15" s="10" t="n">
        <v>500000</v>
      </c>
      <c r="C15" s="59" t="n">
        <v>0</v>
      </c>
      <c r="D15" s="59" t="n">
        <v>1000000000</v>
      </c>
      <c r="E15" s="41" t="inlineStr">
        <is>
          <t>NAKIT_PROJEKSIYONU dönem başı kasa hesabının başlangıç değeri.</t>
        </is>
      </c>
    </row>
    <row r="16" ht="20" customHeight="1">
      <c r="A16" s="19" t="inlineStr">
        <is>
          <t>Asgari Nakit Tamponu</t>
        </is>
      </c>
      <c r="B16" s="10" t="n">
        <v>100000</v>
      </c>
      <c r="C16" s="59" t="n">
        <v>0</v>
      </c>
      <c r="D16" s="59" t="n">
        <v>100000000</v>
      </c>
      <c r="E16" s="41" t="inlineStr">
        <is>
          <t>Kullanılabilir para bu değerin altındaysa karar İNCELE olur.</t>
        </is>
      </c>
    </row>
    <row r="17" ht="20" customHeight="1">
      <c r="A17" s="19" t="inlineStr">
        <is>
          <t>Kritik Ödeme Ufku (Gün)</t>
        </is>
      </c>
      <c r="B17" s="60" t="n">
        <v>30</v>
      </c>
      <c r="C17" s="61" t="n">
        <v>1</v>
      </c>
      <c r="D17" s="61" t="n">
        <v>365</v>
      </c>
      <c r="E17" s="41" t="inlineStr">
        <is>
          <t>Ödeme yükü hesaplanırken bakılan gün ufku.</t>
        </is>
      </c>
    </row>
    <row r="18" ht="20" customHeight="1">
      <c r="A18" s="19" t="inlineStr">
        <is>
          <t>Kritik Risk Eşiği</t>
        </is>
      </c>
      <c r="B18" s="10" t="n">
        <v>50000</v>
      </c>
      <c r="C18" s="59" t="n">
        <v>0</v>
      </c>
      <c r="D18" s="59" t="n">
        <v>10000000</v>
      </c>
      <c r="E18" s="41" t="inlineStr">
        <is>
          <t>Nakit açığı bu değerin altındaysa risk YÜKSEK, üzerindeyse KRİTİK sayılır.</t>
        </is>
      </c>
    </row>
    <row r="19" ht="20" customHeight="1">
      <c r="A19" s="19" t="inlineStr">
        <is>
          <t>Anomali Katsayısı</t>
        </is>
      </c>
      <c r="B19" s="62" t="n">
        <v>2</v>
      </c>
      <c r="C19" s="63" t="n">
        <v>1</v>
      </c>
      <c r="D19" s="63" t="n">
        <v>10</v>
      </c>
      <c r="E19" s="41" t="inlineStr">
        <is>
          <t>En yüksek tek çıkışın günlük ortalamanın bu katından büyük olması anomali sayılır.</t>
        </is>
      </c>
    </row>
    <row r="20" ht="20" customHeight="1">
      <c r="A20" s="19" t="inlineStr">
        <is>
          <t>Mutabakat Toleransı</t>
        </is>
      </c>
      <c r="B20" s="10" t="n">
        <v>100</v>
      </c>
      <c r="C20" s="59" t="n">
        <v>0</v>
      </c>
      <c r="D20" s="59" t="n">
        <v>100000</v>
      </c>
      <c r="E20" s="41" t="inlineStr">
        <is>
          <t>Fiziki kasa sayımında kabul edilebilir fark.</t>
        </is>
      </c>
    </row>
    <row r="21" ht="20" customHeight="1">
      <c r="A21" s="19" t="inlineStr">
        <is>
          <t>Maksimum Hareket Tutarı</t>
        </is>
      </c>
      <c r="B21" s="64" t="n">
        <v>100000000</v>
      </c>
      <c r="C21" s="65" t="n">
        <v>1</v>
      </c>
      <c r="D21" s="65" t="n">
        <v>100000000000</v>
      </c>
      <c r="E21" s="41" t="inlineStr">
        <is>
          <t>Tek hareketin azami tutarı; üzerindekiler AŞIRI TUTAR işaretlenir.</t>
        </is>
      </c>
    </row>
    <row r="22" ht="20" customHeight="1">
      <c r="A22" s="19" t="inlineStr">
        <is>
          <t>İyimser Tahsilat Oranı</t>
        </is>
      </c>
      <c r="B22" s="66" t="n">
        <v>0.1</v>
      </c>
      <c r="C22" s="67" t="n">
        <v>0</v>
      </c>
      <c r="D22" s="67" t="n">
        <v>1</v>
      </c>
      <c r="E22" s="41" t="inlineStr">
        <is>
          <t>İyimser senaryoda bekleyen tahsilatın artış oranı.</t>
        </is>
      </c>
    </row>
    <row r="23" ht="20" customHeight="1">
      <c r="A23" s="19" t="inlineStr">
        <is>
          <t>Kötümser Ek Ödeme</t>
        </is>
      </c>
      <c r="B23" s="10" t="n">
        <v>100000</v>
      </c>
      <c r="C23" s="59" t="n">
        <v>0</v>
      </c>
      <c r="D23" s="59" t="n">
        <v>1000000000</v>
      </c>
      <c r="E23" s="41" t="inlineStr">
        <is>
          <t>Kötümser senaryoda nakit durumuna eklenen beklenmedik ödeme.</t>
        </is>
      </c>
    </row>
    <row r="24" ht="20" customHeight="1">
      <c r="A24" s="19" t="inlineStr">
        <is>
          <t>Duyarlılık Değişim Oranı</t>
        </is>
      </c>
      <c r="B24" s="66" t="n">
        <v>0.1</v>
      </c>
      <c r="C24" s="67" t="n">
        <v>0.01</v>
      </c>
      <c r="D24" s="67" t="n">
        <v>1</v>
      </c>
      <c r="E24" s="41" t="inlineStr">
        <is>
          <t>Duyarlılık analizinde değişkenlerin marjinal etkisinin hesaplandığı değişim oranı.</t>
        </is>
      </c>
    </row>
    <row r="25" ht="20" customHeight="1">
      <c r="A25" s="19" t="inlineStr">
        <is>
          <t>Veri Kalite Yüksek Eşiği</t>
        </is>
      </c>
      <c r="B25" s="68" t="n">
        <v>80</v>
      </c>
      <c r="C25" s="69" t="n">
        <v>0</v>
      </c>
      <c r="D25" s="69" t="n">
        <v>100</v>
      </c>
      <c r="E25" s="41" t="inlineStr">
        <is>
          <t>Veri kalite skoru bu değer ve üzeriyse güven düzeyi YÜKSEK olur.</t>
        </is>
      </c>
    </row>
    <row r="26" ht="20" customHeight="1">
      <c r="A26" s="19" t="inlineStr">
        <is>
          <t>Veri Kalite Orta Eşiği</t>
        </is>
      </c>
      <c r="B26" s="68" t="n">
        <v>50</v>
      </c>
      <c r="C26" s="69" t="n">
        <v>0</v>
      </c>
      <c r="D26" s="69" t="n">
        <v>100</v>
      </c>
      <c r="E26" s="41" t="inlineStr">
        <is>
          <t>Veri kalite skoru bu değerin üzerindeyse güven düzeyi ORTA olur.</t>
        </is>
      </c>
    </row>
    <row r="27" ht="20" customHeight="1">
      <c r="A27" s="19" t="inlineStr">
        <is>
          <t>Hata Ağırlığı</t>
        </is>
      </c>
      <c r="B27" s="68" t="n">
        <v>5</v>
      </c>
      <c r="C27" s="69" t="n">
        <v>0</v>
      </c>
      <c r="D27" s="69" t="n">
        <v>20</v>
      </c>
      <c r="E27" s="41" t="inlineStr">
        <is>
          <t>Veri kalite skorunda hafif ihlalin ceza puanı.</t>
        </is>
      </c>
    </row>
    <row r="28" ht="20" customHeight="1">
      <c r="A28" s="19" t="inlineStr">
        <is>
          <t>Uyarı Ağırlığı</t>
        </is>
      </c>
      <c r="B28" s="68" t="n">
        <v>10</v>
      </c>
      <c r="C28" s="69" t="n">
        <v>0</v>
      </c>
      <c r="D28" s="69" t="n">
        <v>50</v>
      </c>
      <c r="E28" s="41" t="inlineStr">
        <is>
          <t>Veri kalite skorunda ağır ihlalin ceza puanı.</t>
        </is>
      </c>
    </row>
    <row r="29" ht="20" customHeight="1">
      <c r="A29" s="19" t="inlineStr">
        <is>
          <t>Tablo Başlangıç Satırı</t>
        </is>
      </c>
      <c r="B29" s="68" t="n">
        <v>5</v>
      </c>
      <c r="C29" s="69" t="n">
        <v>1</v>
      </c>
      <c r="D29" s="69" t="n">
        <v>50</v>
      </c>
      <c r="E29" s="41" t="inlineStr">
        <is>
          <t>Veri tablolarının ilk veri satırı; kimlik formüllerinde başlangıç referansıdır.</t>
        </is>
      </c>
    </row>
    <row r="30" ht="20" customHeight="1">
      <c r="A30" s="19" t="inlineStr">
        <is>
          <t>Hafta Uzunluğu (Gün)</t>
        </is>
      </c>
      <c r="B30" s="60" t="n">
        <v>7</v>
      </c>
      <c r="C30" s="61" t="n">
        <v>1</v>
      </c>
      <c r="D30" s="61" t="n">
        <v>14</v>
      </c>
      <c r="E30" s="41" t="inlineStr">
        <is>
          <t>Haftalık projeksiyonda kullanılan takvim haftası uzunluğu.</t>
        </is>
      </c>
    </row>
    <row r="31"/>
    <row r="32">
      <c r="A32" s="18" t="inlineStr">
        <is>
          <t>KAYNAKLAR</t>
        </is>
      </c>
    </row>
    <row r="33">
      <c r="A33" s="19" t="inlineStr">
        <is>
          <t>Kaynak URL</t>
        </is>
      </c>
      <c r="B33" s="8" t="inlineStr">
        <is>
          <t>https://excelarsiv.com</t>
        </is>
      </c>
    </row>
    <row r="34">
      <c r="A34" s="19" t="inlineStr">
        <is>
          <t>Kaynak Tarihi</t>
        </is>
      </c>
      <c r="B34" s="14" t="n">
        <v>46242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2:AN2"/>
  </mergeCells>
  <dataValidations count="16">
    <dataValidation sqref="B15" showDropDown="0" showInputMessage="1" showErrorMessage="1" allowBlank="0" error="Değer 0 ile 1000000000 arasında olmalıdır." promptTitle="Kasa Başlangıç Bakiyesi" prompt="NAKIT_PROJEKSIYONU dönem başı kasa hesabının başlangıç değeri." type="decimal" errorStyle="stop" operator="between">
      <formula1>0</formula1>
      <formula2>1000000000</formula2>
    </dataValidation>
    <dataValidation sqref="B16" showDropDown="0" showInputMessage="1" showErrorMessage="1" allowBlank="0" error="Değer 0 ile 100000000 arasında olmalıdır." promptTitle="Asgari Nakit Tamponu" prompt="Kullanılabilir para bu değerin altındaysa karar İNCELE olur." type="decimal" errorStyle="stop" operator="between">
      <formula1>0</formula1>
      <formula2>100000000</formula2>
    </dataValidation>
    <dataValidation sqref="B17" showDropDown="0" showInputMessage="1" showErrorMessage="1" allowBlank="0" error="Değer 1 ile 365 arasında olmalıdır." promptTitle="Kritik Ödeme Ufku (Gün)" prompt="Ödeme yükü hesaplanırken bakılan gün ufku." type="decimal" errorStyle="stop" operator="between">
      <formula1>1</formula1>
      <formula2>365</formula2>
    </dataValidation>
    <dataValidation sqref="B18" showDropDown="0" showInputMessage="1" showErrorMessage="1" allowBlank="0" error="Değer 0 ile 10000000 arasında olmalıdır." promptTitle="Kritik Risk Eşiği" prompt="Nakit açığı bu değerin altındaysa risk YÜKSEK, üzerindeyse KRİTİK sayılır." type="decimal" errorStyle="stop" operator="between">
      <formula1>0</formula1>
      <formula2>10000000</formula2>
    </dataValidation>
    <dataValidation sqref="B19" showDropDown="0" showInputMessage="1" showErrorMessage="1" allowBlank="0" error="Değer 1.0 ile 10.0 arasında olmalıdır." promptTitle="Anomali Katsayısı" prompt="En yüksek tek çıkışın günlük ortalamanın bu katından büyük olması anomali sayılır." type="decimal" errorStyle="stop" operator="between">
      <formula1>1.0</formula1>
      <formula2>10.0</formula2>
    </dataValidation>
    <dataValidation sqref="B20" showDropDown="0" showInputMessage="1" showErrorMessage="1" allowBlank="0" error="Değer 0 ile 100000 arasında olmalıdır." promptTitle="Mutabakat Toleransı" prompt="Fiziki kasa sayımında kabul edilebilir fark." type="decimal" errorStyle="stop" operator="between">
      <formula1>0</formula1>
      <formula2>100000</formula2>
    </dataValidation>
    <dataValidation sqref="B21" showDropDown="0" showInputMessage="1" showErrorMessage="1" allowBlank="0" error="Değer 1 ile 100000000000 arasında olmalıdır." promptTitle="Maksimum Hareket Tutarı" prompt="Tek hareketin azami tutarı; üzerindekiler AŞIRI TUTAR işaretlenir." type="decimal" errorStyle="stop" operator="between">
      <formula1>1</formula1>
      <formula2>100000000000</formula2>
    </dataValidation>
    <dataValidation sqref="B22" showDropDown="0" showInputMessage="1" showErrorMessage="1" allowBlank="0" error="Değer 0 ile 1 arasında olmalıdır." promptTitle="İyimser Tahsilat Oranı" prompt="İyimser senaryoda bekleyen tahsilatın artış oranı." type="decimal" errorStyle="stop" operator="between">
      <formula1>0</formula1>
      <formula2>1</formula2>
    </dataValidation>
    <dataValidation sqref="B23" showDropDown="0" showInputMessage="1" showErrorMessage="1" allowBlank="0" error="Değer 0 ile 1000000000 arasında olmalıdır." promptTitle="Kötümser Ek Ödeme" prompt="Kötümser senaryoda nakit durumuna eklenen beklenmedik ödeme." type="decimal" errorStyle="stop" operator="between">
      <formula1>0</formula1>
      <formula2>1000000000</formula2>
    </dataValidation>
    <dataValidation sqref="B24" showDropDown="0" showInputMessage="1" showErrorMessage="1" allowBlank="0" error="Değer 0.01 ile 1 arasında olmalıdır." promptTitle="Duyarlılık Değişim Oranı" prompt="Duyarlılık analizinde değişkenlerin marjinal etkisinin hesaplandığı değişim oranı." type="decimal" errorStyle="stop" operator="between">
      <formula1>0.01</formula1>
      <formula2>1</formula2>
    </dataValidation>
    <dataValidation sqref="B25" showDropDown="0" showInputMessage="1" showErrorMessage="1" allowBlank="0" error="Değer 0 ile 100 arasında olmalıdır." promptTitle="Veri Kalite Yüksek Eşiği" prompt="Veri kalite skoru bu değer ve üzeriyse güven düzeyi YÜKSEK olur." type="decimal" errorStyle="stop" operator="between">
      <formula1>0</formula1>
      <formula2>100</formula2>
    </dataValidation>
    <dataValidation sqref="B26" showDropDown="0" showInputMessage="1" showErrorMessage="1" allowBlank="0" error="Değer 0 ile 100 arasında olmalıdır." promptTitle="Veri Kalite Orta Eşiği" prompt="Veri kalite skoru bu değerin üzerindeyse güven düzeyi ORTA olur." type="decimal" errorStyle="stop" operator="between">
      <formula1>0</formula1>
      <formula2>100</formula2>
    </dataValidation>
    <dataValidation sqref="B27" showDropDown="0" showInputMessage="1" showErrorMessage="1" allowBlank="0" error="Değer 0 ile 20 arasında olmalıdır." promptTitle="Hata Ağırlığı" prompt="Veri kalite skorunda hafif ihlalin ceza puanı." type="decimal" errorStyle="stop" operator="between">
      <formula1>0</formula1>
      <formula2>20</formula2>
    </dataValidation>
    <dataValidation sqref="B28" showDropDown="0" showInputMessage="1" showErrorMessage="1" allowBlank="0" error="Değer 0 ile 50 arasında olmalıdır." promptTitle="Uyarı Ağırlığı" prompt="Veri kalite skorunda ağır ihlalin ceza puanı." type="decimal" errorStyle="stop" operator="between">
      <formula1>0</formula1>
      <formula2>50</formula2>
    </dataValidation>
    <dataValidation sqref="B29" showDropDown="0" showInputMessage="1" showErrorMessage="1" allowBlank="0" error="Değer 1 ile 50 arasında olmalıdır." promptTitle="Tablo Başlangıç Satırı" prompt="Veri tablolarının ilk veri satırı; kimlik formüllerinde başlangıç referansıdır." type="decimal" errorStyle="stop" operator="between">
      <formula1>1</formula1>
      <formula2>50</formula2>
    </dataValidation>
    <dataValidation sqref="B30" showDropDown="0" showInputMessage="1" showErrorMessage="1" allowBlank="0" error="Değer 1 ile 14 arasında olmalıdır." promptTitle="Hafta Uzunluğu (Gün)" prompt="Haftalık projeksiyonda kullanılan takvim haftası uzunluğu." type="decimal" errorStyle="stop" operator="between">
      <formula1>1</formula1>
      <formula2>14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AKILLI KASA DEFTERİ VE NAKİT KONTROL SİSTEMİ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70" t="inlineStr">
        <is>
          <t>AKILLI KASA DEFTERİ VE NAKİT KONTROL SİSTEMİ — KULLANIM KILAVUZU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</row>
    <row r="3"/>
    <row r="4" ht="20" customHeight="1">
      <c r="A4" s="72" t="inlineStr">
        <is>
          <t>1. BU SİSTEM NE İŞE YARAR?</t>
        </is>
      </c>
    </row>
    <row r="5" ht="16" customHeight="1">
      <c r="A5" s="73" t="inlineStr">
        <is>
          <t>Kasadaki ve bankadaki paraların kullanılabilir kısmını, bekleyen ödemelerin açık riskini ve</t>
        </is>
      </c>
    </row>
    <row r="6" ht="16" customHeight="1">
      <c r="A6" s="73" t="inlineStr">
        <is>
          <t>hangilerinin önce ödeneceğini tek ekranda gösterir. Karar destek aracıdır; mali tavsiye değildir.</t>
        </is>
      </c>
    </row>
    <row r="7"/>
    <row r="8" ht="20" customHeight="1">
      <c r="A8" s="72" t="inlineStr">
        <is>
          <t>2. NASIL BAŞLARIM?</t>
        </is>
      </c>
    </row>
    <row r="9" ht="16" customHeight="1">
      <c r="A9" s="73" t="inlineStr">
        <is>
          <t>Adım 1: AYARLAR sayfasından firma bilgilerinizi ve eşik değerlerinizi kontrol edin.</t>
        </is>
      </c>
    </row>
    <row r="10" ht="16" customHeight="1">
      <c r="A10" s="73" t="inlineStr">
        <is>
          <t>Adım 2: KASA_HESAPLARI'na kasa ve banka hesaplarınızı girin.</t>
        </is>
      </c>
    </row>
    <row r="11" ht="16" customHeight="1">
      <c r="A11" s="73" t="inlineStr">
        <is>
          <t>Adım 3: KASA_HAREKETLERI'ne günlük giriş ve çıkışlarınızı işleyin.</t>
        </is>
      </c>
    </row>
    <row r="12" ht="16" customHeight="1">
      <c r="A12" s="73" t="inlineStr">
        <is>
          <t>Adım 4: ODEME_TAHSILAT_TAKVIMI'ne bekleyen ödeme ve tahsilatlarınızı ekleyin.</t>
        </is>
      </c>
    </row>
    <row r="13" ht="16" customHeight="1">
      <c r="A13" s="73" t="inlineStr">
        <is>
          <t>Adım 5: KARAR_MOTORU ve PANO sayfalarından kullanılabilir para, açık riski ve ödeme önerisini izleyin.</t>
        </is>
      </c>
    </row>
    <row r="14"/>
    <row r="15" ht="20" customHeight="1">
      <c r="A15" s="72" t="inlineStr">
        <is>
          <t>3. SARI HÜCRELER NE ANLAMA GELİR?</t>
        </is>
      </c>
    </row>
    <row r="16" ht="16" customHeight="1">
      <c r="A16" s="73" t="inlineStr">
        <is>
          <t>Açık sarı (krem) hücreler manuel veri girişi içindir. Diğer tüm hücreler kilitlidir;</t>
        </is>
      </c>
    </row>
    <row r="17" ht="16" customHeight="1">
      <c r="A17" s="73" t="inlineStr">
        <is>
          <t>formüller kazayla bozulmasın diye 1234 şifresiyle korunur.</t>
        </is>
      </c>
    </row>
    <row r="18"/>
    <row r="19" ht="20" customHeight="1">
      <c r="A19" s="72" t="inlineStr">
        <is>
          <t>4. SIK YAPILAN HATALAR</t>
        </is>
      </c>
    </row>
    <row r="20" ht="16" customHeight="1">
      <c r="A20" s="73" t="inlineStr">
        <is>
          <t>Aynı fişi iki kez girmek mükerrer sayılır.</t>
        </is>
      </c>
    </row>
    <row r="21" ht="16" customHeight="1">
      <c r="A21" s="73" t="inlineStr">
        <is>
          <t>Tutarı 0 veya negatif girmek SIFIR/NEGATİF uyarısı üretir.</t>
        </is>
      </c>
    </row>
    <row r="22" ht="16" customHeight="1">
      <c r="A22" s="73" t="inlineStr">
        <is>
          <t>Hesap sütununu boş bırakmak eksik kayıt üretir.</t>
        </is>
      </c>
    </row>
    <row r="23" ht="16" customHeight="1">
      <c r="A23" s="73" t="inlineStr">
        <is>
          <t>Mutabakat yapmadan raporu yorumlamak yanıltıcı olabilir; fark varsa kök nedeni girin.</t>
        </is>
      </c>
    </row>
    <row r="24"/>
    <row r="25" ht="20" customHeight="1">
      <c r="A25" s="72" t="inlineStr">
        <is>
          <t>5. KARARLAR NASIL OKUNUR?</t>
        </is>
      </c>
    </row>
    <row r="26" ht="16" customHeight="1">
      <c r="A26" s="73" t="inlineStr">
        <is>
          <t>UYGUN: kaynaklar bekleyen yükümlülüğü karşılıyor.</t>
        </is>
      </c>
    </row>
    <row r="27" ht="16" customHeight="1">
      <c r="A27" s="73" t="inlineStr">
        <is>
          <t>İNCELE: kullanılabilir para asgari tamponun altında.</t>
        </is>
      </c>
    </row>
    <row r="28" ht="16" customHeight="1">
      <c r="A28" s="73" t="inlineStr">
        <is>
          <t>DURDUR: nakit açığı var; yeni yükümlülük almayın, tahsilatı öne çekin.</t>
        </is>
      </c>
    </row>
    <row r="29"/>
    <row r="30" ht="20" customHeight="1">
      <c r="A30" s="72" t="inlineStr">
        <is>
          <t>6. GÜVENLİK VE LİSANS</t>
        </is>
      </c>
    </row>
    <row r="31" ht="16" customHeight="1">
      <c r="A31" s="73" t="inlineStr">
        <is>
          <t>Tüm sayfalar 1234 şifresiyle korumalıdır. Lisans kodu AYARLAR sayfasındadır.</t>
        </is>
      </c>
    </row>
    <row r="32" ht="16" customHeight="1">
      <c r="A32" s="73" t="inlineStr">
        <is>
          <t>Bu dosya ExcelArşiv ürünüdür; izinsiz dağıtılamaz.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6">
    <mergeCell ref="A30:K30"/>
    <mergeCell ref="A15:K15"/>
    <mergeCell ref="A11:K11"/>
    <mergeCell ref="A6:K6"/>
    <mergeCell ref="A25:K25"/>
    <mergeCell ref="A16:K16"/>
    <mergeCell ref="A27:K27"/>
    <mergeCell ref="A12:K12"/>
    <mergeCell ref="A26:K26"/>
    <mergeCell ref="A21:K21"/>
    <mergeCell ref="A2:K2"/>
    <mergeCell ref="A32:K32"/>
    <mergeCell ref="A5:K5"/>
    <mergeCell ref="A23:K23"/>
    <mergeCell ref="A17:K17"/>
    <mergeCell ref="A8:K8"/>
    <mergeCell ref="A22:K22"/>
    <mergeCell ref="A4:K4"/>
    <mergeCell ref="A20:K20"/>
    <mergeCell ref="A1:L1"/>
    <mergeCell ref="A19:K19"/>
    <mergeCell ref="A10:K10"/>
    <mergeCell ref="A28:K28"/>
    <mergeCell ref="A13:K13"/>
    <mergeCell ref="A9:K9"/>
    <mergeCell ref="A31:K3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2026-08-08T15:11:13Z</dcterms:created>
  <dcterms:modified xsi:type="dcterms:W3CDTF">2026-08-08T15:11:13Z</dcterms:modified>
</cp:coreProperties>
</file>