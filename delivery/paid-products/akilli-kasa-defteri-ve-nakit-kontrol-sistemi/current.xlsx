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xl/drawings/vmlDrawing4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drawing2.xml" ContentType="application/vnd.openxmlformats-officedocument.drawing+xml"/>
  <Override PartName="/xl/drawings/vmlDrawing9.vml" ContentType="application/vnd.openxmlformats-officedocument.vmlDrawing"/>
  <Override PartName="/xl/drawings/vmlDrawing8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19.xml" ContentType="application/vnd.openxmlformats-officedocument.spreadsheetml.comments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KASA_HESAPLARI" sheetId="3" state="visible" r:id="rId5"/>
    <sheet name="KASA_HAREKETLERI" sheetId="4" state="visible" r:id="rId6"/>
    <sheet name="ODEME_TAHSILAT_TAKVIMI" sheetId="5" state="visible" r:id="rId7"/>
    <sheet name="FIZIKI_KASA_MUTABAKAT" sheetId="6" state="visible" r:id="rId8"/>
    <sheet name="GUNLUK_OZET" sheetId="7" state="visible" r:id="rId9"/>
    <sheet name="NAKIT_PROJEKSIYONU" sheetId="8" state="visible" r:id="rId10"/>
    <sheet name="MOTOR" sheetId="9" state="visible" r:id="rId11"/>
    <sheet name="KONTROLLER" sheetId="10" state="visible" r:id="rId12"/>
    <sheet name="KARAR_MOTORU" sheetId="11" state="visible" r:id="rId13"/>
    <sheet name="PANO" sheetId="12" state="visible" r:id="rId14"/>
    <sheet name="SENARYO_DUYARLILIK" sheetId="13" state="visible" r:id="rId15"/>
    <sheet name="RAPOR" sheetId="14" state="visible" r:id="rId16"/>
    <sheet name="ORNEK_VERI" sheetId="15" state="visible" r:id="rId17"/>
    <sheet name="TESTLER" sheetId="16" state="visible" r:id="rId18"/>
    <sheet name="DEGISIKLIK_KAYDI" sheetId="17" state="visible" r:id="rId19"/>
    <sheet name="LISTELER" sheetId="18" state="visible" r:id="rId20"/>
    <sheet name="AYARLAR" sheetId="19" state="visible" r:id="rId21"/>
    <sheet name="KILAVUZ" sheetId="20" state="visible" r:id="rId22"/>
  </sheets>
  <definedNames>
    <definedName function="false" hidden="false" localSheetId="6" name="_xlnm.Print_Area" vbProcedure="false">GUNLUK_OZET!$A$1:$H$120</definedName>
    <definedName function="false" hidden="false" localSheetId="11" name="_xlnm.Print_Area" vbProcedure="false">PANO!$A$1:$X$120</definedName>
    <definedName function="false" hidden="false" localSheetId="13" name="_xlnm.Print_Area" vbProcedure="false">RAPOR!$A$1:$J$33</definedName>
    <definedName function="false" hidden="false" name="AnomaliKatsayisi" vbProcedure="false">AYARLAR!$B$19</definedName>
    <definedName function="false" hidden="false" name="AsgariNakitTamponu" vbProcedure="false">AYARLAR!$B$16</definedName>
    <definedName function="false" hidden="false" name="BaslangicSatir" vbProcedure="false">AYARLAR!$B$29</definedName>
    <definedName function="false" hidden="false" name="BekleyenOdeme" vbProcedure="false">KARAR_MOTORU!$B$10</definedName>
    <definedName function="false" hidden="false" name="BekleyenTahsilat" vbProcedure="false">KARAR_MOTORU!$B$11</definedName>
    <definedName function="false" hidden="false" name="DosyaSurumu" vbProcedure="false">AYARLAR!$B$10</definedName>
    <definedName function="false" hidden="false" name="DuyarliOran" vbProcedure="false">AYARLAR!$B$24</definedName>
    <definedName function="false" hidden="false" name="FirmaUnvan" vbProcedure="false">AYARLAR!$B$5</definedName>
    <definedName function="false" hidden="false" name="HaftaUzunluk" vbProcedure="false">AYARLAR!$B$30</definedName>
    <definedName function="false" hidden="false" name="HataAgirligi" vbProcedure="false">AYARLAR!$B$27</definedName>
    <definedName function="false" hidden="false" name="IlkKritikOdemeTarihi" vbProcedure="false">KARAR_MOTORU!$B$19</definedName>
    <definedName function="false" hidden="false" name="IyimserTahsilat" vbProcedure="false">AYARLAR!$B$22</definedName>
    <definedName function="false" hidden="false" name="KararBildirimi" vbProcedure="false">KARAR_MOTORU!$B$12</definedName>
    <definedName function="false" hidden="false" name="KasaBaslangicBakiye" vbProcedure="false">AYARLAR!$B$15</definedName>
    <definedName function="false" hidden="false" name="KayitSayisi" vbProcedure="false">KONTROLLER!$B$5</definedName>
    <definedName function="false" hidden="false" name="KotumserEkOdeme" vbProcedure="false">AYARLAR!$B$23</definedName>
    <definedName function="false" hidden="false" name="KritikOdemeToplami" vbProcedure="false">KARAR_MOTORU!$B$18</definedName>
    <definedName function="false" hidden="false" name="KritikRiskEsik" vbProcedure="false">AYARLAR!$B$18</definedName>
    <definedName function="false" hidden="false" name="KritikUfukGun" vbProcedure="false">AYARLAR!$B$17</definedName>
    <definedName function="false" hidden="false" name="KullanilabilirNakit" vbProcedure="false">KARAR_MOTORU!$B$8</definedName>
    <definedName function="false" hidden="false" name="MaksimumHareketTutari" vbProcedure="false">AYARLAR!$B$21</definedName>
    <definedName function="false" hidden="false" name="modulI1KasaTahmini" vbProcedure="false">MOTOR!$B$41</definedName>
    <definedName function="false" hidden="false" name="modulI1KasaTahminiYorum" vbProcedure="false">MOTOR!$C$57</definedName>
    <definedName function="false" hidden="false" name="modulI2KasaP90" vbProcedure="false">MOTOR!$B$42</definedName>
    <definedName function="false" hidden="false" name="modulI2KasaP90Yorum" vbProcedure="false">MOTOR!$C$58</definedName>
    <definedName function="false" hidden="false" name="modulI7AcikKopru" vbProcedure="false">MOTOR!$B$43</definedName>
    <definedName function="false" hidden="false" name="modulI7AcikKopruYorum" vbProcedure="false">MOTOR!$C$59</definedName>
    <definedName function="false" hidden="false" name="modulO1AnomaliOran" vbProcedure="false">MOTOR!$B$36</definedName>
    <definedName function="false" hidden="false" name="modulO1AnomaliOranYorum" vbProcedure="false">MOTOR!$C$52</definedName>
    <definedName function="false" hidden="false" name="modulO2TornadoZirve" vbProcedure="false">MOTOR!$B$37</definedName>
    <definedName function="false" hidden="false" name="modulO2TornadoZirveYorum" vbProcedure="false">MOTOR!$C$53</definedName>
    <definedName function="false" hidden="false" name="modulO3SenaryoFark" vbProcedure="false">MOTOR!$B$38</definedName>
    <definedName function="false" hidden="false" name="modulO3SenaryoFarkYorum" vbProcedure="false">MOTOR!$C$54</definedName>
    <definedName function="false" hidden="false" name="modulO6HesapHhi" vbProcedure="false">MOTOR!$B$39</definedName>
    <definedName function="false" hidden="false" name="modulO6HesapHhiYorum" vbProcedure="false">MOTOR!$C$55</definedName>
    <definedName function="false" hidden="false" name="modulO8KaliteSkor" vbProcedure="false">MOTOR!$B$40</definedName>
    <definedName function="false" hidden="false" name="modulO8KaliteSkorYorum" vbProcedure="false">MOTOR!$C$56</definedName>
    <definedName function="false" hidden="false" name="modulT1VadeGecmis" vbProcedure="false">MOTOR!$B$30</definedName>
    <definedName function="false" hidden="false" name="modulT1VadeGecmisYorum" vbProcedure="false">MOTOR!$C$46</definedName>
    <definedName function="false" hidden="false" name="modulT2NetEgim" vbProcedure="false">MOTOR!$B$31</definedName>
    <definedName function="false" hidden="false" name="modulT2NetEgimYorum" vbProcedure="false">MOTOR!$C$47</definedName>
    <definedName function="false" hidden="false" name="modulT3ParetoPay" vbProcedure="false">MOTOR!$B$32</definedName>
    <definedName function="false" hidden="false" name="modulT3ParetoPayYorum" vbProcedure="false">MOTOR!$C$48</definedName>
    <definedName function="false" hidden="false" name="modulT4NetFark" vbProcedure="false">MOTOR!$B$33</definedName>
    <definedName function="false" hidden="false" name="modulT4NetFarkYorum" vbProcedure="false">MOTOR!$C$49</definedName>
    <definedName function="false" hidden="false" name="modulT5MutabakatFark" vbProcedure="false">MOTOR!$B$34</definedName>
    <definedName function="false" hidden="false" name="modulT5MutabakatFarkYorum" vbProcedure="false">MOTOR!$C$50</definedName>
    <definedName function="false" hidden="false" name="modulT6KapsamaOran" vbProcedure="false">MOTOR!$B$35</definedName>
    <definedName function="false" hidden="false" name="modulT6KapsamaOranYorum" vbProcedure="false">MOTOR!$C$51</definedName>
    <definedName function="false" hidden="false" name="MutabakatFarkSayisi" vbProcedure="false">KONTROLLER!$B$11</definedName>
    <definedName function="false" hidden="false" name="MutabakatFarki" vbProcedure="false">PANO!$K$9</definedName>
    <definedName function="false" hidden="false" name="MutabakatToleransi" vbProcedure="false">AYARLAR!$B$20</definedName>
    <definedName function="false" hidden="false" name="NakitAcik" vbProcedure="false">KARAR_MOTORU!$B$9</definedName>
    <definedName function="false" hidden="false" name="OdenecekOnerisi" vbProcedure="false">KARAR_MOTORU!$B$17</definedName>
    <definedName function="false" hidden="false" name="RaporHazirlayan" vbProcedure="false">AYARLAR!$B$8</definedName>
    <definedName function="false" hidden="false" name="RaporTarihi" vbProcedure="false">AYARLAR!$B$7</definedName>
    <definedName function="false" hidden="false" name="SenaryoBazNakit" vbProcedure="false">SENARYO_DUYARLILIK!$B$5</definedName>
    <definedName function="false" hidden="false" name="SenaryoIyimserNakit" vbProcedure="false">SENARYO_DUYARLILIK!$B$7</definedName>
    <definedName function="false" hidden="false" name="SenaryoKotumserNakit" vbProcedure="false">SENARYO_DUYARLILIK!$B$9</definedName>
    <definedName function="false" hidden="false" name="TahsilatArtisOrani" vbProcedure="false">SENARYO_DUYARLILIK!$B$6</definedName>
    <definedName function="false" hidden="false" name="ToplamBloke" vbProcedure="false">KARAR_MOTORU!$B$6</definedName>
    <definedName function="false" hidden="false" name="ToplamHesapBakiye" vbProcedure="false">KARAR_MOTORU!$B$5</definedName>
    <definedName function="false" hidden="false" name="ToplamMinEsik" vbProcedure="false">KARAR_MOTORU!$B$7</definedName>
    <definedName function="false" hidden="false" name="UyariAgirligi" vbProcedure="false">AYARLAR!$B$28</definedName>
    <definedName function="false" hidden="false" name="VeriKaliteOrta" vbProcedure="false">AYARLAR!$B$26</definedName>
    <definedName function="false" hidden="false" name="VeriKaliteSkor" vbProcedure="false">KONTROLLER!$B$15</definedName>
    <definedName function="false" hidden="false" name="VeriKaliteYuksek" vbProcedure="false">AYARLAR!$B$25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K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J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K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J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  <comment ref="K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113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127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24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Hesap Sayısı (AKTİF) | Neden önemli: Karar motoru girdisi | Doğru giriş: Formül | Örnek: - | Yanlışsa: - | Not: AKTİF durumdaki hesap kartı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Toplam Bakiye (₺) | Neden önemli: Karar motoru girdisi | Doğru giriş: Formül | Örnek: - | Yanlışsa: - | Not: AKTİF hesapların bakiyeleri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Bloke (₺) | Neden önemli: Karar motoru girdisi | Doğru giriş: Formül | Örnek: - | Yanlışsa: - | Not: AKTİF hesapların bloke tutarları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Min Eşik (₺) | Neden önemli: Karar motoru girdisi | Doğru giriş: Formül | Örnek: - | Yanlışsa: - | Not: AKTİF hesapların asgari kasa eşikleri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Hareket Sayısı | Neden önemli: Karar motoru girdisi | Doğru giriş: Formül | Örnek: - | Yanlışsa: - | Not: Kasa hareketlerinde dolu satır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Giriş (₺) | Neden önemli: Karar motoru girdisi | Doğru giriş: Formül | Örnek: - | Yanlışsa: - | Not: Tüm giriş hareketlerinin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Toplam Çıkış (₺) | Neden önemli: Karar motoru girdisi | Doğru giriş: Formül | Örnek: - | Yanlışsa: - | Not: Tüm çıkış hareketlerinin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Bekleyen Ödeme (₺) | Neden önemli: Karar motoru girdisi | Doğru giriş: Formül | Örnek: - | Yanlışsa: - | Not: BEKLEMEDE durumdaki ödemeler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Bekleyen Tahsilat (₺) | Neden önemli: Karar motoru girdisi | Doğru giriş: Formül | Örnek: - | Yanlışsa: - | Not: BEKLEMEDE durumdaki tahsilatlar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Kullanılabilir Para (₺) | Neden önemli: Karar motoru girdisi | Doğru giriş: Formül | Örnek: - | Yanlışsa: - | Not: Bakiye - bloke - min eşik; negatifse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Nakit Açığı (₺) | Neden önemli: Karar motoru girdisi | Doğru giriş: Formül | Örnek: - | Yanlışsa: - | Not: Bekleyen ödeme - (kullanılabilir + bekleyen tahsilat).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Fiziki Mutabakat Farkı (₺) | Neden önemli: Karar motoru girdisi | Doğru giriş: Formül | Örnek: - | Yanlışsa: - | Not: Defter bakiyesi ile sayım tutarı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Kritik Ödeme (₺) | Neden önemli: Karar motoru girdisi | Doğru giriş: Formül | Örnek: - | Yanlışsa: - | Not: KRİTİK öncelikli bekleyen ödemeler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Vadesi Geçen Ödeme Sayısı | Neden önemli: Karar motoru girdisi | Doğru giriş: Formül | Örnek: - | Yanlışsa: - | Not: Vadesi bugünden önce olan kayıt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Veri Kalite Skoru | Neden önemli: Karar motoru girdisi | Doğru giriş: Formül | Örnek: - | Yanlışsa: - | Not: KONTROLLER'daki kalite göstergelerinden türeyen skor.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Güven Düzeyi | Neden önemli: Karar motoru girdisi | Doğru giriş: Formül | Örnek: - | Yanlışsa: - | Not: Kalite skorundan türeyen güven etiketi.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Ödeme Önerisi (₺) | Neden önemli: Karar motoru girdisi | Doğru giriş: Formül | Örnek: - | Yanlışsa: - | Not: Bekleyen ödeme ile kullanılabilir paranın küçüğü.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T1: Vadesi Geçen Ödeme Sayısı | Neden önemli: Analitik derinlik katmanı | Doğru giriş: Formül | Örnek: - | Yanlışsa: - | Not: Vade yaşlandırması: vadesi geçmiş kayıt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T2: Net Nakit Eğimi | Neden önemli: Analitik derinlik katmanı | Doğru giriş: Formül | Örnek: - | Yanlışsa: - | Not: Günlük net nakit akışının gün bazında eğimi.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T3: Çıkış Pareto Payı | Neden önemli: Analitik derinlik katmanı | Doğru giriş: Formül | Örnek: - | Yanlışsa: - | Not: En büyük kategori çıkışının toplam çıkışa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T4: Günlük Net Fark | Neden önemli: Analitik derinlik katmanı | Doğru giriş: Formül | Örnek: - | Yanlışsa: - | Not: Günlük net nakit akışının ortalaması.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T5: Mutabakat Farkı | Neden önemli: Analitik derinlik katmanı | Doğru giriş: Formül | Örnek: - | Yanlışsa: - | Not: Defter ile sayım farkı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T6: Kapsama Oranı | Neden önemli: Analitik derinlik katmanı | Doğru giriş: Formül | Örnek: - | Yanlışsa: - | Not: Kullanılabilir + bekleyen tahsilatın bekleyen ödemeyi karşılama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O1: Anomali Oranı | Neden önemli: Analitik derinlik katmanı | Doğru giriş: Formül | Örnek: - | Yanlışsa: - | Not: Toplam çıkışın toplam girişe oranı (nakit akış dengesi).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O2: Tornado Zirve Etki | Neden önemli: Analitik derinlik katmanı | Doğru giriş: Formül | Örnek: - | Yanlışsa: - | Not: Kötümser senaryonun baz duruma göre nakit etkisi.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O3: Senaryo Baz Fark | Neden önemli: Analitik derinlik katmanı | Doğru giriş: Formül | Örnek: - | Yanlışsa: - | Not: İyimser ile kötümser senaryo arası nakit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O6: Hesap HHI | Neden önemli: Analitik derinlik katmanı | Doğru giriş: Formül | Örnek: - | Yanlışsa: - | Not: Hesap bakiyelerinin yoğunlaşma endeksi.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O8: Veri Kalite Skoru | Neden önemli: Analitik derinlik katmanı | Doğru giriş: Formül | Örnek: - | Yanlışsa: - | Not: KONTROLLER kalite göstergelerinden türeyen skor.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Modül I1: Kasa Tahmini | Neden önemli: Analitik derinlik katmanı | Doğru giriş: Formül | Örnek: - | Yanlışsa: - | Not: Son projeksiyon döneminde beklenen dönem sonu kasa.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Modül I2: Kasa P90 | Neden önemli: Analitik derinlik katmanı | Doğru giriş: Formül | Örnek: - | Yanlışsa: - | Not: Dönem sonu kasa projeksiyonlarının P90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Modül I7: Nakit Açığı Köprüsü | Neden önemli: Analitik derinlik katmanı | Doğru giriş: Formül | Örnek: - | Yanlışsa: - | Not: Bekleyen ödemenin karşılanamayan kısmı (köprüleme).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T1 Vade Yaşlandırma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T2 Net Nakit Eğimi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T3 Çıkış Pareto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T4 Günlük Net Fark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T5 Mutabakat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T6 Kapsama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O1 Anomali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O2 Tornado Zirve Etki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O3 Senaryo Baz Fark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O6 Hesap HHI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O8 Veri Kalite Skoru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I1 Kasa Tahmini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I2 Kasa P90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I7 Açık Köprüsü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24</xdr:colOff>
                <xdr:row>6</xdr:row>
                <xdr:rowOff>12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24</xdr:colOff>
                <xdr:row>6</xdr:row>
                <xdr:rowOff>12</xdr:rowOff>
              </xdr:to>
            </anchor>
          </commentPr>
        </mc:Choice>
        <mc:Fallback/>
      </mc:AlternateContent>
    </comment>
  </commentList>
</comments>
</file>

<file path=xl/comments1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6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6</xdr:row>
                <xdr:rowOff>12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6</xdr:row>
                <xdr:rowOff>12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6</xdr:row>
                <xdr:rowOff>12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6</xdr:row>
                <xdr:rowOff>12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6</xdr:row>
                <xdr:rowOff>12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6</xdr:row>
                <xdr:rowOff>12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NAKIT_PROJEKSIYONU dönem başı kasa hesabının başlangıç değeri. | Neden önemli: Formüller buradan beslenir | Doğru giriş: 0 ile 1000000000 arası | Örnek: 500000 | Yanlışsa: Hesaplamalar bozulur | Kaynak: Kullanıcı beyanı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Kullanılabilir para bu değerin altındaysa karar İNCELE olur. | Neden önemli: Formüller buradan beslenir | Doğru giriş: 0 ile 100000000 arası | Örnek: 100000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Ödeme yükü hesaplanırken bakılan gün ufku. | Neden önemli: Formüller buradan beslenir | Doğru giriş: 1 ile 365 arası | Örnek: 30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Nakit açığı bu değerin altındaysa risk YÜKSEK, üzerindeyse KRİTİK sayılır. | Neden önemli: Formüller buradan beslenir | Doğru giriş: 0 ile 10000000 arası | Örnek: 50000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En yüksek tek çıkışın günlük ortalamanın bu katından büyük olması anomali sayılır. | Neden önemli: Formüller buradan beslenir | Doğru giriş: 1.0 ile 10.0 arası | Örnek: 2.0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Fiziki kasa sayımında kabul edilebilir fark. | Neden önemli: Formüller buradan beslenir | Doğru giriş: 0 ile 100000 arası | Örnek: 100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Tek hareketin azami tutarı; üzerindekiler AŞIRI TUTAR işaretlenir. | Neden önemli: Formüller buradan beslenir | Doğru giriş: 1 ile 100000000000 arası | Örnek: 100000000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İyimser senaryoda bekleyen tahsilatın artış oranı. | Neden önemli: Formüller buradan beslenir | Doğru giriş: 0 ile 1 arası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Kötümser senaryoda nakit durumuna eklenen beklenmedik ödeme. | Neden önemli: Formüller buradan beslenir | Doğru giriş: 0 ile 1000000000 arası | Örnek: 100000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Duyarlılık analizinde değişkenlerin marjinal etkisinin hesaplandığı değişim oranı. | Neden önemli: Formüller buradan beslenir | Doğru giriş: 0.01 ile 1 arası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Veri kalite skoru bu değer ve üzeriyse güven düzeyi YÜKSEK olur. | Neden önemli: Formüller buradan beslenir | Doğru giriş: 0 ile 100 arası | Örnek: 80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Veri kalite skoru bu değerin üzerindeyse güven düzeyi ORTA olur. | Neden önemli: Formüller buradan beslenir | Doğru giriş: 0 ile 100 arası | Örnek: 50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Veri kalite skorunda hafif ihlalin ceza puanı. | Neden önemli: Formüller buradan beslenir | Doğru giriş: 0 ile 20 arası | Örnek: 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Veri kalite skorunda ağır ihlalin ceza puanı. | Neden önemli: Formüller buradan beslenir | Doğru giriş: 0 ile 50 arası | Örnek: 10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Veri tablolarının ilk veri satırı; kimlik formüllerinde başlangıç referansıdır. | Neden önemli: Formüller buradan beslenir | Doğru giriş: 1 ile 50 arası | Örnek: 5 | Yanlışsa: Hesaplamalar bozulur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Haftalık projeksiyonda kullanılan takvim haftası uzunluğu. | Neden önemli: Formüller buradan beslenir | Doğru giriş: 1 ile 14 arası | Örnek: 7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8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<sst xmlns="http://schemas.openxmlformats.org/spreadsheetml/2006/main" count="850" uniqueCount="546">
  <si>
    <t xml:space="preserve">AKILLI KASA DEFTERİ VE NAKİT KONTROL SİSTEMİ</t>
  </si>
  <si>
    <t xml:space="preserve">Kasadaki paranızın tamamını mı sanıyorsunuz? Bloke, eşik ve bekleyen ödemeleri ayırdıktan sonra gerçek kullanılabilir nakitinizi ve açık riskinizi görün.</t>
  </si>
  <si>
    <t xml:space="preserve">Hesap kartları, kasa hareketleri, ödeme/tahsilat takvimi ve fiziki mutabakat tek sistemde toplanır. Kullanılabilir para, nakit açığı, ödeme önerisi ve senaryo etkileri canlı formüllerle üretilir; karar motoru ödeme planına net yön verir.</t>
  </si>
  <si>
    <t xml:space="preserve">1. KASA_HESAPLARI ve KASA_HAREKETLERI sayfalarına hesaplarınızı ve hareketlerinizi girin.</t>
  </si>
  <si>
    <t xml:space="preserve">2. ODEME_TAHSILAT_TAKVIMI ile ödeme planınızı, FIZIKI_KASA_MUTABAKAT ile sayımınızı girin.</t>
  </si>
  <si>
    <t xml:space="preserve">3. PANO'da kullanılabilir para, nakit açığı ve ödeme önerisini okuyun; RAPOR ile yönetici özeti alın.</t>
  </si>
  <si>
    <t xml:space="preserve">Bu dosya bir karar destek aracıdır; bağımsız denetim veya mali danışmanlık yerine geçmez. Verileriniz yalnızca bu dosyada kalır, cihazınızdan çıkmaz. Kasa ve banka bakiyeleri banka kayıtlarıyla mutabakat edilerek doğrulanmalıdır.</t>
  </si>
  <si>
    <t xml:space="preserve">ExcelArşiv</t>
  </si>
  <si>
    <t xml:space="preserve">Rev 1.0 | 2026-08-10 | Lisans: Tek kullanıcı | Çevrimdışı çalışır</t>
  </si>
  <si>
    <t xml:space="preserve">Nasıl kullanılır?</t>
  </si>
  <si>
    <t xml:space="preserve">1. AYARLAR sayfasından kasa başlangıç bakiyesi, asgari nakit tamponu ve eşikleri kontrol edin.</t>
  </si>
  <si>
    <t xml:space="preserve">2. KASA_HESAPLARI'na hesap kartlarını (kasa/banka), bakiyelerini ve bloke tutarlarını girin.</t>
  </si>
  <si>
    <t xml:space="preserve">3. KASA_HAREKETLERI'ne giriş/çıkış hareketlerini tarih, tür ve tutarla işleyin; hesaplanan sütunlar otomatik dolar.</t>
  </si>
  <si>
    <t xml:space="preserve">4. ODEME_TAHSILAT_TAKVIMI'ne bekleyen ödeme ve tahsilatları, FIZIKI_KASA_MUTABAKAT'a sayımı girin.</t>
  </si>
  <si>
    <t xml:space="preserve">5. PANO'da kullanılabilir para, nakit açığı, kritik ödemeler ve ödeme önerisini okuyun.</t>
  </si>
  <si>
    <t xml:space="preserve">6. KARAR_MOTORU ve SENARYO_DUYARLILIK iyimser/kötümser koşullarda nakit etkisini gösterir.</t>
  </si>
  <si>
    <t xml:space="preserve">7. RAPOR sayfası yöneticiye sunulabilir özet çıktısı üretir; yazdırmaya hazırdır.</t>
  </si>
  <si>
    <t xml:space="preserve">Sık yapılan hatalar</t>
  </si>
  <si>
    <t xml:space="preserve">Bakiyeyi hesap kartında güncellemeyi unutmak — kullanılabilir para hatalı hesaplanır.</t>
  </si>
  <si>
    <t xml:space="preserve">Bloke tutar ve minimum eşiği boş bırakmak — kullanılabilir para olduğundan yüksek görünür.</t>
  </si>
  <si>
    <t xml:space="preserve">Ödeme takviminde durumu BEKLEMEDE bırakmamak — bekleyen ödeme yüküne dahil edilmez.</t>
  </si>
  <si>
    <t xml:space="preserve">Fiziki mutabakatı tamamlamamak — mutabakat farkı uyarısı görünür, karar etkilenir.</t>
  </si>
  <si>
    <t xml:space="preserve">Kilitli (beyaz/yeşil) hücrelere yazmak — yalnızca sarı hücreler giriş içindir.</t>
  </si>
  <si>
    <t xml:space="preserve">Tüm eşik ve katsayılar AYARLAR sayfasından beslenir; formüle gömülü sayı kullanılmaz.</t>
  </si>
  <si>
    <t xml:space="preserve">KASA HESAPLARI — AKILLI KASA DEFTERİ VE NAKİT KONTROL SİSTEMİ</t>
  </si>
  <si>
    <t xml:space="preserve">Kasa ve banka hesaplarını burada tanımlayın. Bakiye, Bloke Tutar ve Minimum Kasa Eşiği sütunları günlük kullanılabilir para hesabını besler.</t>
  </si>
  <si>
    <t xml:space="preserve">Sarı hücreler elle doldurulur; Kullanılabilir sütunu otomatik hesaplanır.</t>
  </si>
  <si>
    <t xml:space="preserve">Hesap Kodu</t>
  </si>
  <si>
    <t xml:space="preserve">Hesap Adı</t>
  </si>
  <si>
    <t xml:space="preserve">Tür</t>
  </si>
  <si>
    <t xml:space="preserve">Banka</t>
  </si>
  <si>
    <t xml:space="preserve">IBAN</t>
  </si>
  <si>
    <t xml:space="preserve">Bakiye (₺)</t>
  </si>
  <si>
    <t xml:space="preserve">Bloke Tutar (₺)</t>
  </si>
  <si>
    <t xml:space="preserve">Minimum Kasa Eşiği (₺)</t>
  </si>
  <si>
    <t xml:space="preserve">Durum</t>
  </si>
  <si>
    <t xml:space="preserve">Kullanılabilir (₺)</t>
  </si>
  <si>
    <t xml:space="preserve">Açıklama</t>
  </si>
  <si>
    <t xml:space="preserve">KS-001</t>
  </si>
  <si>
    <t xml:space="preserve">Ana Kasa</t>
  </si>
  <si>
    <t xml:space="preserve">KASA</t>
  </si>
  <si>
    <t xml:space="preserve">AKTİF</t>
  </si>
  <si>
    <t xml:space="preserve">Günlük operasyon kasası</t>
  </si>
  <si>
    <t xml:space="preserve">BK-001</t>
  </si>
  <si>
    <t xml:space="preserve">İş Bankası Cari</t>
  </si>
  <si>
    <t xml:space="preserve">BANKA</t>
  </si>
  <si>
    <t xml:space="preserve">İŞ</t>
  </si>
  <si>
    <t xml:space="preserve">TR33 0006 4000 0011 1234 5678 90</t>
  </si>
  <si>
    <t xml:space="preserve">Tedarikçi ödemeleri</t>
  </si>
  <si>
    <t xml:space="preserve">BK-002</t>
  </si>
  <si>
    <t xml:space="preserve">Ziraat Vadesiz</t>
  </si>
  <si>
    <t xml:space="preserve">ZİRAAT</t>
  </si>
  <si>
    <t xml:space="preserve">TR12 0001 0000 0000 4321 0987 65</t>
  </si>
  <si>
    <t xml:space="preserve">Vergi ve SGK ödemeleri</t>
  </si>
  <si>
    <t xml:space="preserve">BK-003</t>
  </si>
  <si>
    <t xml:space="preserve">Garanti Kredi Hesabı</t>
  </si>
  <si>
    <t xml:space="preserve">GARANTİ</t>
  </si>
  <si>
    <t xml:space="preserve">TR45 0006 2000 0000 9988 7766 55</t>
  </si>
  <si>
    <t xml:space="preserve">PASİF</t>
  </si>
  <si>
    <t xml:space="preserve">Kredi kullandırımı pasif</t>
  </si>
  <si>
    <t xml:space="preserve">KASA HAREKETLERI — AKILLI KASA DEFTERİ VE NAKİT KONTROL SİSTEMİ</t>
  </si>
  <si>
    <t xml:space="preserve">Tüm kasa ve banka hareketleri burada toplanır. İşlem Türü GİRİŞ veya ÇIKIŞ; kategori LISTELER'den, hesap KASA_HESAPLARI'ndan gelir. Net Etki ve Kontrol sütunları otomatiktir.</t>
  </si>
  <si>
    <t xml:space="preserve">Tarih</t>
  </si>
  <si>
    <t xml:space="preserve">Fiş Numarası</t>
  </si>
  <si>
    <t xml:space="preserve">Hesap</t>
  </si>
  <si>
    <t xml:space="preserve">İşlem Türü</t>
  </si>
  <si>
    <t xml:space="preserve">Kategori</t>
  </si>
  <si>
    <t xml:space="preserve">Alt Kategori</t>
  </si>
  <si>
    <t xml:space="preserve">Karşı Taraf</t>
  </si>
  <si>
    <t xml:space="preserve">Ödeme Yöntemi</t>
  </si>
  <si>
    <t xml:space="preserve">Belge Numarası</t>
  </si>
  <si>
    <t xml:space="preserve">Tutar (₺)</t>
  </si>
  <si>
    <t xml:space="preserve">Net Etki (₺)</t>
  </si>
  <si>
    <t xml:space="preserve">Kontrol</t>
  </si>
  <si>
    <t xml:space="preserve">Kayıt ID</t>
  </si>
  <si>
    <t xml:space="preserve">FİŞ-0001</t>
  </si>
  <si>
    <t xml:space="preserve">GİRİŞ</t>
  </si>
  <si>
    <t xml:space="preserve">SATIŞ</t>
  </si>
  <si>
    <t xml:space="preserve">TİCARİ MAL</t>
  </si>
  <si>
    <t xml:space="preserve">Yıldız Market</t>
  </si>
  <si>
    <t xml:space="preserve">NAKİT</t>
  </si>
  <si>
    <t xml:space="preserve">SAT-001</t>
  </si>
  <si>
    <t xml:space="preserve">Toptan satış tahsilatı</t>
  </si>
  <si>
    <t xml:space="preserve">FİŞ-0002</t>
  </si>
  <si>
    <t xml:space="preserve">ÇIKIŞ</t>
  </si>
  <si>
    <t xml:space="preserve">ALIM</t>
  </si>
  <si>
    <t xml:space="preserve">HAMMADDE</t>
  </si>
  <si>
    <t xml:space="preserve">Tarım Ürünleri A.Ş.</t>
  </si>
  <si>
    <t xml:space="preserve">HAVALE</t>
  </si>
  <si>
    <t xml:space="preserve">AL-001</t>
  </si>
  <si>
    <t xml:space="preserve">Hammadde alımı</t>
  </si>
  <si>
    <t xml:space="preserve">FİŞ-0003</t>
  </si>
  <si>
    <t xml:space="preserve">TAHSİLAT</t>
  </si>
  <si>
    <t xml:space="preserve">Mega Market</t>
  </si>
  <si>
    <t xml:space="preserve">TAH-001</t>
  </si>
  <si>
    <t xml:space="preserve">Cari hesap tahsilatı</t>
  </si>
  <si>
    <t xml:space="preserve">FİŞ-0004</t>
  </si>
  <si>
    <t xml:space="preserve">MAAŞ</t>
  </si>
  <si>
    <t xml:space="preserve">PERSONEL</t>
  </si>
  <si>
    <t xml:space="preserve">Personel</t>
  </si>
  <si>
    <t xml:space="preserve">EFT</t>
  </si>
  <si>
    <t xml:space="preserve">PER-001</t>
  </si>
  <si>
    <t xml:space="preserve">Temmuz maaş ödemesi</t>
  </si>
  <si>
    <t xml:space="preserve">FİŞ-0005</t>
  </si>
  <si>
    <t xml:space="preserve">VERGİ</t>
  </si>
  <si>
    <t xml:space="preserve">OFİS</t>
  </si>
  <si>
    <t xml:space="preserve">Vergi Dairesi</t>
  </si>
  <si>
    <t xml:space="preserve">VGN-001</t>
  </si>
  <si>
    <t xml:space="preserve">Geçici vergi</t>
  </si>
  <si>
    <t xml:space="preserve">FİŞ-0006</t>
  </si>
  <si>
    <t xml:space="preserve">PERAKENDE</t>
  </si>
  <si>
    <t xml:space="preserve">Müşteriler</t>
  </si>
  <si>
    <t xml:space="preserve">SAT-002</t>
  </si>
  <si>
    <t xml:space="preserve">Perakende satış</t>
  </si>
  <si>
    <t xml:space="preserve">FİŞ-0007</t>
  </si>
  <si>
    <t xml:space="preserve">KİRA</t>
  </si>
  <si>
    <t xml:space="preserve">Depo Sahibi</t>
  </si>
  <si>
    <t xml:space="preserve">KIR-001</t>
  </si>
  <si>
    <t xml:space="preserve">Depo ve ofis kirası</t>
  </si>
  <si>
    <t xml:space="preserve">FİŞ-0008</t>
  </si>
  <si>
    <t xml:space="preserve">SGK PRİMİ</t>
  </si>
  <si>
    <t xml:space="preserve">SGK</t>
  </si>
  <si>
    <t xml:space="preserve">SGK-001</t>
  </si>
  <si>
    <t xml:space="preserve">SGK primi ödemesi</t>
  </si>
  <si>
    <t xml:space="preserve">FİŞ-0009</t>
  </si>
  <si>
    <t xml:space="preserve">KREDİ TAKSİDİ</t>
  </si>
  <si>
    <t xml:space="preserve">Garanti Bankası</t>
  </si>
  <si>
    <t xml:space="preserve">KRD-001</t>
  </si>
  <si>
    <t xml:space="preserve">Kredi taksiti</t>
  </si>
  <si>
    <t xml:space="preserve">FİŞ-0010</t>
  </si>
  <si>
    <t xml:space="preserve">HİZMET</t>
  </si>
  <si>
    <t xml:space="preserve">Orion Lojistik</t>
  </si>
  <si>
    <t xml:space="preserve">ÇEK</t>
  </si>
  <si>
    <t xml:space="preserve">TAH-002</t>
  </si>
  <si>
    <t xml:space="preserve">Hizmet tahsilatı</t>
  </si>
  <si>
    <t xml:space="preserve">ODEME TAHSILAT TAKVIMI — AKILLI KASA DEFTERİ VE NAKİT KONTROL SİSTEMİ</t>
  </si>
  <si>
    <t xml:space="preserve">Vadesi gelen veya gelecek tüm ödemeler ve tahsilatlar burada takip edilir. Öncelik ve Durum, karar motorunu ve ödeme önerisini besler.</t>
  </si>
  <si>
    <t xml:space="preserve">Vade</t>
  </si>
  <si>
    <t xml:space="preserve">Öncelik</t>
  </si>
  <si>
    <t xml:space="preserve">Vade Kontrolü</t>
  </si>
  <si>
    <t xml:space="preserve">Kaynak Hesap</t>
  </si>
  <si>
    <t xml:space="preserve">Bekleyen Ödeme (₺)</t>
  </si>
  <si>
    <t xml:space="preserve">KRİTİK</t>
  </si>
  <si>
    <t xml:space="preserve">ÖDEME</t>
  </si>
  <si>
    <t xml:space="preserve">BEKLEMEDE</t>
  </si>
  <si>
    <t xml:space="preserve">Muhtasar ve KDV</t>
  </si>
  <si>
    <t xml:space="preserve">YÜKSEK</t>
  </si>
  <si>
    <t xml:space="preserve">Cari tahsilat</t>
  </si>
  <si>
    <t xml:space="preserve">ORTA</t>
  </si>
  <si>
    <t xml:space="preserve">Hammadde ödemesi</t>
  </si>
  <si>
    <t xml:space="preserve">DÜŞÜK</t>
  </si>
  <si>
    <t xml:space="preserve">Ağustos maaşları</t>
  </si>
  <si>
    <t xml:space="preserve">Vadeli tahsilat</t>
  </si>
  <si>
    <t xml:space="preserve">SGK primi</t>
  </si>
  <si>
    <t xml:space="preserve">Kira</t>
  </si>
  <si>
    <t xml:space="preserve">FIZIKI KASA MUTABAKAT — AKILLI KASA DEFTERİ VE NAKİT KONTROL SİSTEMİ</t>
  </si>
  <si>
    <t xml:space="preserve">Fiziki kasa sayımı ile defter bakiyesini karşılaştırın. Fark sütunu ve kök-neden ayrıştırması otomatik hesaplanır; sıfır fark beklenir.</t>
  </si>
  <si>
    <t xml:space="preserve">Sayım Tarihi</t>
  </si>
  <si>
    <t xml:space="preserve">Sayımı Yapan</t>
  </si>
  <si>
    <t xml:space="preserve">Defter Bakiyesi (₺)</t>
  </si>
  <si>
    <t xml:space="preserve">Sayım Tutarı (₺)</t>
  </si>
  <si>
    <t xml:space="preserve">Fark (₺)</t>
  </si>
  <si>
    <t xml:space="preserve">Fark Oranı</t>
  </si>
  <si>
    <t xml:space="preserve">Sonuç</t>
  </si>
  <si>
    <t xml:space="preserve">Kök Neden</t>
  </si>
  <si>
    <t xml:space="preserve">Finans Müdürü</t>
  </si>
  <si>
    <t xml:space="preserve">Fiziki sayım uyumlu</t>
  </si>
  <si>
    <t xml:space="preserve">Muhasebe</t>
  </si>
  <si>
    <t xml:space="preserve">Sayım eksikliği araştırılıyor</t>
  </si>
  <si>
    <t xml:space="preserve">GUNLUK OZET — AKILLI KASA DEFTERİ VE NAKİT KONTROL SİSTEMİ</t>
  </si>
  <si>
    <t xml:space="preserve">Günlük nakit hareketlerinin özeti. Tarih listesine bir gün yazmanız yeterli; giriş, çıkış ve net değerler KASA_HAREKETLERI'nden otomatik gelir.</t>
  </si>
  <si>
    <t xml:space="preserve">Toplam Giriş (₺)</t>
  </si>
  <si>
    <t xml:space="preserve">Toplam Çıkış (₺)</t>
  </si>
  <si>
    <t xml:space="preserve">Net (₺)</t>
  </si>
  <si>
    <t xml:space="preserve">Kümülatif Net (₺)</t>
  </si>
  <si>
    <t xml:space="preserve">NAKIT PROJEKSIYONU — AKILLI KASA DEFTERİ VE NAKİT KONTROL SİSTEMİ</t>
  </si>
  <si>
    <t xml:space="preserve">Önümüzdeki haftalar için nakit projeksiyonu. Hafta başlangıç tarihlerini girin; beklenen giriş/çıkış ODEME_TAHSILAT_TAKVIMI ve günlük ortalamadan hesaplanır.</t>
  </si>
  <si>
    <t xml:space="preserve">Hafta Başlangıcı</t>
  </si>
  <si>
    <t xml:space="preserve">Hafta Sonu</t>
  </si>
  <si>
    <t xml:space="preserve">Beklenen Giriş (₺)</t>
  </si>
  <si>
    <t xml:space="preserve">Beklenen Çıkış (₺)</t>
  </si>
  <si>
    <t xml:space="preserve">Dönem Başı Kasa (₺)</t>
  </si>
  <si>
    <t xml:space="preserve">Dönem Sonu Kasa (₺)</t>
  </si>
  <si>
    <t xml:space="preserve">MOTOR — AKILLI KASA DEFTERİ VE NAKİT KONTROL SİSTEMİ</t>
  </si>
  <si>
    <t xml:space="preserve">Hesaplama motoru: tüm ara hesaplar ve analitik modüller ad tanımlı hücrelerden beslenir. Değerler giriş tablolarından canlı hesaplanır; sabit sayı formüle gömülmez.</t>
  </si>
  <si>
    <t xml:space="preserve">TEMEL ARA HESAPLAR</t>
  </si>
  <si>
    <t xml:space="preserve">Hesap Sayısı (AKTİF)</t>
  </si>
  <si>
    <t xml:space="preserve">Toplam Bakiye (₺)</t>
  </si>
  <si>
    <t xml:space="preserve">Toplam Bloke (₺)</t>
  </si>
  <si>
    <t xml:space="preserve">Toplam Min Eşik (₺)</t>
  </si>
  <si>
    <t xml:space="preserve">Hareket Sayısı</t>
  </si>
  <si>
    <t xml:space="preserve">Bekleyen Tahsilat (₺)</t>
  </si>
  <si>
    <t xml:space="preserve">Kullanılabilir Para (₺)</t>
  </si>
  <si>
    <t xml:space="preserve">Nakit Açığı (₺)</t>
  </si>
  <si>
    <t xml:space="preserve">Fiziki Mutabakat Farkı (₺)</t>
  </si>
  <si>
    <t xml:space="preserve">Kritik Ödeme (₺)</t>
  </si>
  <si>
    <t xml:space="preserve">Vadesi Geçen Ödeme Sayısı</t>
  </si>
  <si>
    <t xml:space="preserve">Veri Kalite Skoru</t>
  </si>
  <si>
    <t xml:space="preserve">Güven Düzeyi</t>
  </si>
  <si>
    <t xml:space="preserve">Ödeme Önerisi (₺)</t>
  </si>
  <si>
    <t xml:space="preserve">Eksik Zorunlu Alan</t>
  </si>
  <si>
    <t xml:space="preserve">Mükerrer Kayıt</t>
  </si>
  <si>
    <t xml:space="preserve">Sıfır/Negatif Tutar</t>
  </si>
  <si>
    <t xml:space="preserve">Aşırı Tutar</t>
  </si>
  <si>
    <t xml:space="preserve">Vadesi Geçmiş Ödeme</t>
  </si>
  <si>
    <t xml:space="preserve">Mutabakat Farkı Var</t>
  </si>
  <si>
    <t xml:space="preserve">ANALİTİK MODÜL HESAPLARI</t>
  </si>
  <si>
    <t xml:space="preserve">Modül T1: Vadesi Geçen Ödeme Sayısı</t>
  </si>
  <si>
    <t xml:space="preserve">Modül T2: Net Nakit Eğimi</t>
  </si>
  <si>
    <t xml:space="preserve">Modül T3: Çıkış Pareto Payı</t>
  </si>
  <si>
    <t xml:space="preserve">Modül T4: Günlük Net Fark</t>
  </si>
  <si>
    <t xml:space="preserve">Modül T5: Mutabakat Farkı</t>
  </si>
  <si>
    <t xml:space="preserve">Modül T6: Kapsama Oranı</t>
  </si>
  <si>
    <t xml:space="preserve">Modül O1: Anomali Oranı</t>
  </si>
  <si>
    <t xml:space="preserve">Modül O2: Tornado Zirve Etki</t>
  </si>
  <si>
    <t xml:space="preserve">Modül O3: Senaryo Baz Fark</t>
  </si>
  <si>
    <t xml:space="preserve">Modül O6: Hesap HHI</t>
  </si>
  <si>
    <t xml:space="preserve">Modül O8: Veri Kalite Skoru</t>
  </si>
  <si>
    <t xml:space="preserve">Modül I1: Kasa Tahmini</t>
  </si>
  <si>
    <t xml:space="preserve">Modül I2: Kasa P90</t>
  </si>
  <si>
    <t xml:space="preserve">Modül I7: Nakit Açığı Köprüsü</t>
  </si>
  <si>
    <t xml:space="preserve">MODÜL MAKİNE YORUMLARI</t>
  </si>
  <si>
    <t xml:space="preserve">T1 Vade Yaşlandırma</t>
  </si>
  <si>
    <t xml:space="preserve">T2 Net Nakit Eğimi</t>
  </si>
  <si>
    <t xml:space="preserve">T3 Çıkış Pareto Payı</t>
  </si>
  <si>
    <t xml:space="preserve">T4 Günlük Net Fark</t>
  </si>
  <si>
    <t xml:space="preserve">T5 Mutabakat Farkı</t>
  </si>
  <si>
    <t xml:space="preserve">T6 Kapsama Oranı</t>
  </si>
  <si>
    <t xml:space="preserve">O1 Anomali Oranı</t>
  </si>
  <si>
    <t xml:space="preserve">O2 Tornado Zirve Etki</t>
  </si>
  <si>
    <t xml:space="preserve">O3 Senaryo Baz Fark</t>
  </si>
  <si>
    <t xml:space="preserve">O6 Hesap HHI</t>
  </si>
  <si>
    <t xml:space="preserve">O8 Veri Kalite Skoru</t>
  </si>
  <si>
    <t xml:space="preserve">I1 Kasa Tahmini</t>
  </si>
  <si>
    <t xml:space="preserve">I2 Kasa P90</t>
  </si>
  <si>
    <t xml:space="preserve">I7 Açık Köprüsü</t>
  </si>
  <si>
    <t xml:space="preserve">Tüm hesaplar AYARLAR parametrelerinden beslenir; veri yokken 0 ve VERİ YETERSİZ güvenli dönüş yapar.</t>
  </si>
  <si>
    <t xml:space="preserve">KONTROLLER — AKILLI KASA DEFTERİ VE NAKİT KONTROL SİSTEMİ</t>
  </si>
  <si>
    <t xml:space="preserve">Veri giriş kalitesi ve nakit anomalileri burada denetlenir. Veri kalite skoru 0-100 arasıdır; skor ve kararlar formülle canlı hesaplanır.</t>
  </si>
  <si>
    <t xml:space="preserve">VERİ KALİTE GÖSTERGELERİ</t>
  </si>
  <si>
    <t xml:space="preserve">Kayıt Sayısı</t>
  </si>
  <si>
    <t xml:space="preserve">Bekleyen Ödeme Sayısı</t>
  </si>
  <si>
    <t xml:space="preserve">VERİ KALİTE SKORU VE KARAR</t>
  </si>
  <si>
    <t xml:space="preserve">Veri Kalite Skoru (0-100)</t>
  </si>
  <si>
    <t xml:space="preserve">Genel Durum</t>
  </si>
  <si>
    <t xml:space="preserve">Kasa Durumu</t>
  </si>
  <si>
    <t xml:space="preserve">Açık Risk Bildirimi</t>
  </si>
  <si>
    <t xml:space="preserve">ANOMALİ TESPİTİ</t>
  </si>
  <si>
    <t xml:space="preserve">Günlük Ortalama Çıkış (₺)</t>
  </si>
  <si>
    <t xml:space="preserve">En Yüksek Tek Çıkış (₺)</t>
  </si>
  <si>
    <t xml:space="preserve">Anomali Değerlendirmesi</t>
  </si>
  <si>
    <t xml:space="preserve">NOT: B5-B12 ve B28-B39 hücreleri canlı formüller içerir; buradaki sonuçlar KARAR_MOTORU, PANO ve RAPOR sayfalarını besler.</t>
  </si>
  <si>
    <t xml:space="preserve">KARAR MOTORU — AKILLI KASA DEFTERİ VE NAKİT KONTROL SİSTEMİ</t>
  </si>
  <si>
    <t xml:space="preserve">Sistemin kalbi: kasadaki kullanılabilir para, açık riski ve ödeme önerisi burada üretilir. Tüm değerler giriş sayfalarından canlı hesaplanır.</t>
  </si>
  <si>
    <t xml:space="preserve">KASA GÖRÜNÜMÜ</t>
  </si>
  <si>
    <t xml:space="preserve">Toplam Hesap Bakiyesi (₺)</t>
  </si>
  <si>
    <t xml:space="preserve">Toplam Bloke Tutar (₺)</t>
  </si>
  <si>
    <t xml:space="preserve">Toplam Minimum Kasa Eşiği (₺)</t>
  </si>
  <si>
    <t xml:space="preserve">KULLANILABİLİR PARA (₺)</t>
  </si>
  <si>
    <t xml:space="preserve">Nakit Açığı (₺)  [Bekleyen Ödeme - (Kullanılabilir + Bekleyen Tahsilat)]</t>
  </si>
  <si>
    <t xml:space="preserve">Bekleyen Ödeme Yükü (₺)</t>
  </si>
  <si>
    <t xml:space="preserve">KARAR</t>
  </si>
  <si>
    <t xml:space="preserve">Risk Seviyesi</t>
  </si>
  <si>
    <t xml:space="preserve">Karar Gerekçesi</t>
  </si>
  <si>
    <t xml:space="preserve">ÖDEME ÖNERİSİ</t>
  </si>
  <si>
    <t xml:space="preserve">Ödenecek Tutar Önerisi (₺)</t>
  </si>
  <si>
    <t xml:space="preserve">Kritik Ödemeler (₺)</t>
  </si>
  <si>
    <t xml:space="preserve">İlk Kritik Ödeme Tarihi</t>
  </si>
  <si>
    <t xml:space="preserve">AKSİYON ÖNERİLERİ (otomatik)</t>
  </si>
  <si>
    <t xml:space="preserve">Aksiyon 1</t>
  </si>
  <si>
    <t xml:space="preserve">Aksiyon 2</t>
  </si>
  <si>
    <t xml:space="preserve">Aksiyon 3</t>
  </si>
  <si>
    <t xml:space="preserve">GÜVEN VE DURUM</t>
  </si>
  <si>
    <t xml:space="preserve">PANO — AKILLI KASA DEFTERİ VE NAKİT KONTROL SİSTEMİ</t>
  </si>
  <si>
    <t xml:space="preserve">Karar paneli: tek ekranda kullanılabilir para, açık riski, bekleyen yükümlülük ve ödeme önerisi. Baskıya hazır; rapor tarihi AYARLAR sayfasından gelir.</t>
  </si>
  <si>
    <t xml:space="preserve">Rapor Tarihi</t>
  </si>
  <si>
    <t xml:space="preserve">Kullanıcı</t>
  </si>
  <si>
    <t xml:space="preserve">Karar</t>
  </si>
  <si>
    <t xml:space="preserve">Kullanılabilir Para</t>
  </si>
  <si>
    <t xml:space="preserve">Toplam Bakiye</t>
  </si>
  <si>
    <t xml:space="preserve">Bekleyen Ödeme</t>
  </si>
  <si>
    <t xml:space="preserve">Nakit Açığı</t>
  </si>
  <si>
    <t xml:space="preserve">Bekleyen Tahsilat</t>
  </si>
  <si>
    <t xml:space="preserve">Kritik Ödemeler</t>
  </si>
  <si>
    <t xml:space="preserve">Ödenecek Önerisi</t>
  </si>
  <si>
    <t xml:space="preserve">Mutabakat Farkı</t>
  </si>
  <si>
    <t xml:space="preserve">VERİ KALİTESİ</t>
  </si>
  <si>
    <t xml:space="preserve">EN KRİTİK 3 İÇGÖRÜ</t>
  </si>
  <si>
    <t xml:space="preserve">1</t>
  </si>
  <si>
    <t xml:space="preserve">2</t>
  </si>
  <si>
    <t xml:space="preserve">3</t>
  </si>
  <si>
    <t xml:space="preserve">SENARYO DUYARLILIK — AKILLI KASA DEFTERİ VE NAKİT KONTROL SİSTEMİ</t>
  </si>
  <si>
    <t xml:space="preserve">Nakit durumunun farklı koşullar altında nasıl değişeceğini test edin. Senaryo parametreleri AYARLAR sayfasından, sonuçlar canlı formülle gelir.</t>
  </si>
  <si>
    <t xml:space="preserve">SENARYO MOTORU</t>
  </si>
  <si>
    <t xml:space="preserve">Temel Senaryo Kullanılabilir Para (₺)</t>
  </si>
  <si>
    <t xml:space="preserve">İyimser Senaryo: Tahsilat Artış Oranı</t>
  </si>
  <si>
    <t xml:space="preserve">İyimser Kullanılabilir Para (₺)</t>
  </si>
  <si>
    <t xml:space="preserve">Kötümser Senaryo: Ek Ödeme (₺)</t>
  </si>
  <si>
    <t xml:space="preserve">Kötümser Kullanılabilir Para (₺)</t>
  </si>
  <si>
    <t xml:space="preserve">TANNADO / DUYARLILIK SIRALAMASI</t>
  </si>
  <si>
    <t xml:space="preserve">Değişken</t>
  </si>
  <si>
    <t xml:space="preserve">Baz Etki (₺)</t>
  </si>
  <si>
    <t xml:space="preserve">Marjinal Etki (₺)</t>
  </si>
  <si>
    <t xml:space="preserve">Yön</t>
  </si>
  <si>
    <t xml:space="preserve">Bekleyen Ödeme Değişimi (+%10)</t>
  </si>
  <si>
    <t xml:space="preserve">OLUMSUZ</t>
  </si>
  <si>
    <t xml:space="preserve">Bekleyen Tahsilat Değişimi (+%10)</t>
  </si>
  <si>
    <t xml:space="preserve">OLUMLU</t>
  </si>
  <si>
    <t xml:space="preserve">Bloke Tutar Değişimi (+%10)</t>
  </si>
  <si>
    <t xml:space="preserve">Minimum Kasa Eşiği Değişimi (+%10)</t>
  </si>
  <si>
    <t xml:space="preserve">KIRILIM ANALİZİ</t>
  </si>
  <si>
    <t xml:space="preserve">Açığa Düşmeden Katlanılabilecek Ek Ödeme (₺)</t>
  </si>
  <si>
    <t xml:space="preserve">Açık Riskine Göre Tahsilat Gereksinimi (₺)</t>
  </si>
  <si>
    <t xml:space="preserve">PROJEKSİYON ÖZETİ (NAKIT_PROJEKSIYONU)</t>
  </si>
  <si>
    <t xml:space="preserve">Projeksiyon Dönem Sonu Kasa (₺)</t>
  </si>
  <si>
    <t xml:space="preserve">Projeksiyonda Açık Görülen Hafta Sayısı</t>
  </si>
  <si>
    <t xml:space="preserve">YÖNETİCİ ÖZETİ RAPORU</t>
  </si>
  <si>
    <t xml:space="preserve">Hazırlayan</t>
  </si>
  <si>
    <t xml:space="preserve">Firma</t>
  </si>
  <si>
    <t xml:space="preserve">Sürüm</t>
  </si>
  <si>
    <t xml:space="preserve">KARAR VE KPI KARTLARI</t>
  </si>
  <si>
    <t xml:space="preserve">Toplam Hesap Bakiyesi</t>
  </si>
  <si>
    <t xml:space="preserve">Bekleyen Ödeme Yükü</t>
  </si>
  <si>
    <t xml:space="preserve">VARSAYIMLAR VE UYARILAR</t>
  </si>
  <si>
    <t xml:space="preserve">Varsayımlar</t>
  </si>
  <si>
    <t xml:space="preserve">Kullanılabilir para; toplam bakiye, bloke tutar ve minimum kasa eşiği üzerinden AKTİF hesaplardan hesaplanır. Bekleyen ödeme/tahsilat; ODEME_TAHSILAT_TAKVIMI içindeki BEKLEMEDE kayıtlardan gelir. Senaryo katsayıları AYARLAR sayfasındadır.</t>
  </si>
  <si>
    <t xml:space="preserve">Uyarılar</t>
  </si>
  <si>
    <t xml:space="preserve">ÖNERİLEN AKSİYONLAR</t>
  </si>
  <si>
    <t xml:space="preserve">1. Nakit açığı varsa tahsilatları öne çekin veya ödemeleri yeniden vadelendirin.</t>
  </si>
  <si>
    <t xml:space="preserve">2. Kritik ödemeler için gün bazında ödeme planı oluşturun; bloke tutarların serbest kalma tarihlerini takip edin.</t>
  </si>
  <si>
    <t xml:space="preserve">3. Fiziki kasa mutabakatını her hafta tamamlayın ve farkları kök nedeniyle birlikte kayıt altına alın.</t>
  </si>
  <si>
    <t xml:space="preserve">Sorumluluk bildirimi: Bu rapor bir karar destek aracıdır; kesin mali tavsiye veya denetim belgesi niteliği taşımaz. Nihai kararlar için mali müşavirinize danışın.</t>
  </si>
  <si>
    <t xml:space="preserve">ORNEK VERI — AKILLI KASA DEFTERİ VE NAKİT KONTROL SİSTEMİ</t>
  </si>
  <si>
    <t xml:space="preserve">Bu sayfa demo veriyi görüntüler; KASA_HAREKETLERI, ODEME_TAHSILAT_TAKVIMI ve FIZIKI_KASA_MUTABAKAT tablolarından referansla doldurulur.</t>
  </si>
  <si>
    <t xml:space="preserve">Kaynak Tablo</t>
  </si>
  <si>
    <t xml:space="preserve">Fiş/Vade</t>
  </si>
  <si>
    <t xml:space="preserve">KASA HAREKETLERI</t>
  </si>
  <si>
    <t xml:space="preserve">YAPILDI</t>
  </si>
  <si>
    <t xml:space="preserve">ÖD-0001</t>
  </si>
  <si>
    <t xml:space="preserve">TAH-0001</t>
  </si>
  <si>
    <t xml:space="preserve">TESTLER — AKILLI KASA DEFTERİ VE NAKİT KONTROL SİSTEMİ</t>
  </si>
  <si>
    <t xml:space="preserve">Kalite test senaryoları. Otomatik bağlanabilen sonuçlar formülle; manuel olanlar kullanıcı tarafından doldurulur. Rapor tarihinde otomatik sonuçlar yenilenir.</t>
  </si>
  <si>
    <t xml:space="preserve">Sıra</t>
  </si>
  <si>
    <t xml:space="preserve">Test Adı</t>
  </si>
  <si>
    <t xml:space="preserve">Test Girdisi</t>
  </si>
  <si>
    <t xml:space="preserve">Beklenen Sonuç</t>
  </si>
  <si>
    <t xml:space="preserve">Gerçek Sonuç</t>
  </si>
  <si>
    <t xml:space="preserve">PASS/FAIL</t>
  </si>
  <si>
    <t xml:space="preserve">Sıfır Veri</t>
  </si>
  <si>
    <t xml:space="preserve">Tüm giriş sayfaları boş</t>
  </si>
  <si>
    <t xml:space="preserve">KARAR_MOTORU VERİ YETERSİZ gösterir</t>
  </si>
  <si>
    <t xml:space="preserve">Gerçek sonuç formül ile otomatik hesaplanır.</t>
  </si>
  <si>
    <t xml:space="preserve">Tek Kayıt</t>
  </si>
  <si>
    <t xml:space="preserve">Bir adet giriş hareketi</t>
  </si>
  <si>
    <t xml:space="preserve">Toplamlar tek kaydı yansıtır</t>
  </si>
  <si>
    <t xml:space="preserve">Tarih boş bırakılır</t>
  </si>
  <si>
    <t xml:space="preserve">KONTROLLER eksik gösterir</t>
  </si>
  <si>
    <t xml:space="preserve">Aynı Fiş+Tutar iki kez</t>
  </si>
  <si>
    <t xml:space="preserve">MÜKERRER uyarısı</t>
  </si>
  <si>
    <t xml:space="preserve">Negatif Tutar</t>
  </si>
  <si>
    <t xml:space="preserve">Tutar sıfır veya negatif</t>
  </si>
  <si>
    <t xml:space="preserve">Kontrol uyarısı</t>
  </si>
  <si>
    <t xml:space="preserve">Aşırı Yüksek Tutar</t>
  </si>
  <si>
    <t xml:space="preserve">Maksimum tutarın üzeri</t>
  </si>
  <si>
    <t xml:space="preserve">AŞIRI TUTAR kontrolü aktif</t>
  </si>
  <si>
    <t xml:space="preserve">Vade Geçmiş Ödeme</t>
  </si>
  <si>
    <t xml:space="preserve">Vade bugünden önce</t>
  </si>
  <si>
    <t xml:space="preserve">VADE GEÇTİ sayılır</t>
  </si>
  <si>
    <t xml:space="preserve">Gelecek Tarihli Kayıt</t>
  </si>
  <si>
    <t xml:space="preserve">Vade 90 gün sonra</t>
  </si>
  <si>
    <t xml:space="preserve">Takvim ve projeksiyona girer</t>
  </si>
  <si>
    <t xml:space="preserve">Ay ve Yıl Sonu Geçişi</t>
  </si>
  <si>
    <t xml:space="preserve">31.12 / 01.01 tarih aralığı</t>
  </si>
  <si>
    <t xml:space="preserve">Tarih formatı korunur</t>
  </si>
  <si>
    <t xml:space="preserve">Manuel kontrol</t>
  </si>
  <si>
    <t xml:space="preserve">PENDING</t>
  </si>
  <si>
    <t xml:space="preserve">Dosyayı Excel'de açarak elle doğrulayınız.</t>
  </si>
  <si>
    <t xml:space="preserve">29 Şubat</t>
  </si>
  <si>
    <t xml:space="preserve">Artık yıl tarihi</t>
  </si>
  <si>
    <t xml:space="preserve">Tarih doğrulaması kabul eder</t>
  </si>
  <si>
    <t xml:space="preserve">Sıfıra Bölme</t>
  </si>
  <si>
    <t xml:space="preserve">Bekleyen ödeme sıfır</t>
  </si>
  <si>
    <t xml:space="preserve">Nakit açığı doğru hesaplanır</t>
  </si>
  <si>
    <t xml:space="preserve">Boş veya Silinmiş Kategori</t>
  </si>
  <si>
    <t xml:space="preserve">Listeden değer kaldırılır</t>
  </si>
  <si>
    <t xml:space="preserve">Liste dışı giriş engellenir</t>
  </si>
  <si>
    <t xml:space="preserve">Filtre Sonrası Toplam</t>
  </si>
  <si>
    <t xml:space="preserve">Tablo filtrelenir</t>
  </si>
  <si>
    <t xml:space="preserve">Alt toplamlar doğru kalır</t>
  </si>
  <si>
    <t xml:space="preserve">5.000 Satır Performansı</t>
  </si>
  <si>
    <t xml:space="preserve">5000 kayıt eklenir</t>
  </si>
  <si>
    <t xml:space="preserve">SUMIFS taraması 5000 satırı kapsar</t>
  </si>
  <si>
    <t xml:space="preserve">Kopyala-Yapıştır</t>
  </si>
  <si>
    <t xml:space="preserve">Değerler yapıştırılır</t>
  </si>
  <si>
    <t xml:space="preserve">Veri doğrulama korunur</t>
  </si>
  <si>
    <t xml:space="preserve">Kullanılabilir Para Eşiği</t>
  </si>
  <si>
    <t xml:space="preserve">Bakiye değişir</t>
  </si>
  <si>
    <t xml:space="preserve">Kullanılabilir para sıfıra inmez</t>
  </si>
  <si>
    <t xml:space="preserve">Formül Sütununa Manuel Yazma</t>
  </si>
  <si>
    <t xml:space="preserve">Net Etki hücresine yazı</t>
  </si>
  <si>
    <t xml:space="preserve">Kilitli hücre engeller</t>
  </si>
  <si>
    <t xml:space="preserve">Para Birimi ve Ondalık</t>
  </si>
  <si>
    <t xml:space="preserve">Tutar hücresine ondalıklı TL değeri girilir</t>
  </si>
  <si>
    <t xml:space="preserve">TL formatı ve ondalık ayracı korunur</t>
  </si>
  <si>
    <t xml:space="preserve">Yazdırma Önizlemesi</t>
  </si>
  <si>
    <t xml:space="preserve">RAPOR yazdırılır</t>
  </si>
  <si>
    <t xml:space="preserve">A4 yatay tek sayfa</t>
  </si>
  <si>
    <t xml:space="preserve">Grafik Veri Kaynağı</t>
  </si>
  <si>
    <t xml:space="preserve">Grafikler açılır</t>
  </si>
  <si>
    <t xml:space="preserve">Veri kaynakları boş değil</t>
  </si>
  <si>
    <t xml:space="preserve">DEGISIKLIK KAYDI — AKILLI KASA DEFTERİ VE NAKİT KONTROL SİSTEMİ</t>
  </si>
  <si>
    <t xml:space="preserve">Yapılan Değişiklik</t>
  </si>
  <si>
    <t xml:space="preserve">Yapan</t>
  </si>
  <si>
    <t xml:space="preserve">1.0</t>
  </si>
  <si>
    <t xml:space="preserve">İlk sürüm: Akıllı Kasa Defteri ve Nakit Kontrol Sistemi üretimi.</t>
  </si>
  <si>
    <t xml:space="preserve">LISTELER — AKILLI KASA DEFTERİ VE NAKİT KONTROL SİSTEMİ</t>
  </si>
  <si>
    <t xml:space="preserve">Açılır menü kaynakları. Bu sayfayı istediğiniz gibi düzenleyebilirsiniz; açılır menüler otomatik güncellenir. Sayfa istenirse gizlenebilir.</t>
  </si>
  <si>
    <t xml:space="preserve">Hesap Türü</t>
  </si>
  <si>
    <t xml:space="preserve">Hesap Durumu</t>
  </si>
  <si>
    <t xml:space="preserve">Takvim Türü</t>
  </si>
  <si>
    <t xml:space="preserve">Takvim Durumu</t>
  </si>
  <si>
    <t xml:space="preserve">SAYIM EKSİK</t>
  </si>
  <si>
    <t xml:space="preserve">SAYIM FAZLA</t>
  </si>
  <si>
    <t xml:space="preserve">HALK</t>
  </si>
  <si>
    <t xml:space="preserve">ERTELENDİ</t>
  </si>
  <si>
    <t xml:space="preserve">UYUMLU</t>
  </si>
  <si>
    <t xml:space="preserve">KREDİ KARTI</t>
  </si>
  <si>
    <t xml:space="preserve">BANKA KARTI</t>
  </si>
  <si>
    <t xml:space="preserve">AKBANK</t>
  </si>
  <si>
    <t xml:space="preserve">ARAC</t>
  </si>
  <si>
    <t xml:space="preserve">YAPI KREDİ</t>
  </si>
  <si>
    <t xml:space="preserve">DEPO</t>
  </si>
  <si>
    <t xml:space="preserve">SENET</t>
  </si>
  <si>
    <t xml:space="preserve">QNB</t>
  </si>
  <si>
    <t xml:space="preserve">ELEKTRİK</t>
  </si>
  <si>
    <t xml:space="preserve">İTHALAT</t>
  </si>
  <si>
    <t xml:space="preserve">KAPORA</t>
  </si>
  <si>
    <t xml:space="preserve">VAKIF</t>
  </si>
  <si>
    <t xml:space="preserve">SU</t>
  </si>
  <si>
    <t xml:space="preserve">İHRACAT</t>
  </si>
  <si>
    <t xml:space="preserve">DOĞALGAZ</t>
  </si>
  <si>
    <t xml:space="preserve">E-TİCARET</t>
  </si>
  <si>
    <t xml:space="preserve">KOMİSYON</t>
  </si>
  <si>
    <t xml:space="preserve">TOPTAN</t>
  </si>
  <si>
    <t xml:space="preserve">NAKLİYE</t>
  </si>
  <si>
    <t xml:space="preserve">REKLAM</t>
  </si>
  <si>
    <t xml:space="preserve">BAYİ</t>
  </si>
  <si>
    <t xml:space="preserve">BAĞ-KUR</t>
  </si>
  <si>
    <t xml:space="preserve">SİGORTA</t>
  </si>
  <si>
    <t xml:space="preserve">TAMİRAT</t>
  </si>
  <si>
    <t xml:space="preserve">DİĞER GELİR</t>
  </si>
  <si>
    <t xml:space="preserve">DİĞER GİDER</t>
  </si>
  <si>
    <t xml:space="preserve">SERMAYE</t>
  </si>
  <si>
    <t xml:space="preserve">ORTAK ÇEKİŞİ</t>
  </si>
  <si>
    <t xml:space="preserve">AYARLAR — AKILLI KASA DEFTERİ VE NAKİT KONTROL SİSTEMİ</t>
  </si>
  <si>
    <t xml:space="preserve">Tüm eşikler, katsayılar ve firma bilgileri tek kaynaktan (SSOT) buradan yönetilir. Değerleri değiştirirken Alt/Üst sınırlara dikkat edin.</t>
  </si>
  <si>
    <t xml:space="preserve">FIRMA BİLGİLERİ</t>
  </si>
  <si>
    <t xml:space="preserve">Firma Unvanı</t>
  </si>
  <si>
    <t xml:space="preserve">Firma Adı A.Ş.</t>
  </si>
  <si>
    <t xml:space="preserve">Alt</t>
  </si>
  <si>
    <t xml:space="preserve">Üst</t>
  </si>
  <si>
    <t xml:space="preserve">Vergi Numarası (opsiyonel)</t>
  </si>
  <si>
    <t xml:space="preserve">Rapor Hazırlayan</t>
  </si>
  <si>
    <t xml:space="preserve">Para Birimi</t>
  </si>
  <si>
    <t xml:space="preserve">TRY</t>
  </si>
  <si>
    <t xml:space="preserve">Dosya Sürümü</t>
  </si>
  <si>
    <t xml:space="preserve">Lisans Kodu</t>
  </si>
  <si>
    <t xml:space="preserve">EKSRV-2026-AKS-0001</t>
  </si>
  <si>
    <t xml:space="preserve">MODEL EŞİKLERİ</t>
  </si>
  <si>
    <t xml:space="preserve">anahtar</t>
  </si>
  <si>
    <t xml:space="preserve">deger</t>
  </si>
  <si>
    <t xml:space="preserve">alt</t>
  </si>
  <si>
    <t xml:space="preserve">ust</t>
  </si>
  <si>
    <t xml:space="preserve">birim</t>
  </si>
  <si>
    <t xml:space="preserve">aciklama</t>
  </si>
  <si>
    <t xml:space="preserve">kaynak</t>
  </si>
  <si>
    <t xml:space="preserve">yururluk_tarihi</t>
  </si>
  <si>
    <t xml:space="preserve">dogrulama_tarihi</t>
  </si>
  <si>
    <t xml:space="preserve">Kasa Başlangıç Bakiyesi</t>
  </si>
  <si>
    <t xml:space="preserve">₺</t>
  </si>
  <si>
    <t xml:space="preserve">NAKIT_PROJEKSIYONU dönem başı kasa hesabının başlangıç değeri.</t>
  </si>
  <si>
    <t xml:space="preserve">Kullanıcı beyanı</t>
  </si>
  <si>
    <t xml:space="preserve">10.08.2026</t>
  </si>
  <si>
    <t xml:space="preserve">Asgari Nakit Tamponu</t>
  </si>
  <si>
    <t xml:space="preserve">Kullanılabilir para bu değerin altındaysa karar İNCELE olur.</t>
  </si>
  <si>
    <t xml:space="preserve">Varsayım</t>
  </si>
  <si>
    <t xml:space="preserve">Kritik Ödeme Ufku (Gün)</t>
  </si>
  <si>
    <t xml:space="preserve">gün</t>
  </si>
  <si>
    <t xml:space="preserve">Ödeme yükü hesaplanırken bakılan gün ufku.</t>
  </si>
  <si>
    <t xml:space="preserve">Kritik Risk Eşiği</t>
  </si>
  <si>
    <t xml:space="preserve">Nakit açığı bu değerin altındaysa risk YÜKSEK, üzerindeyse KRİTİK sayılır.</t>
  </si>
  <si>
    <t xml:space="preserve">Anomali Katsayısı</t>
  </si>
  <si>
    <t xml:space="preserve">katsayı</t>
  </si>
  <si>
    <t xml:space="preserve">En yüksek tek çıkışın günlük ortalamanın bu katından büyük olması anomali sayılır.</t>
  </si>
  <si>
    <t xml:space="preserve">Mutabakat Toleransı</t>
  </si>
  <si>
    <t xml:space="preserve">Fiziki kasa sayımında kabul edilebilir fark.</t>
  </si>
  <si>
    <t xml:space="preserve">Maksimum Hareket Tutarı</t>
  </si>
  <si>
    <t xml:space="preserve">Tek hareketin azami tutarı; üzerindekiler AŞIRI TUTAR işaretlenir.</t>
  </si>
  <si>
    <t xml:space="preserve">İyimser Tahsilat Oranı</t>
  </si>
  <si>
    <t xml:space="preserve">oran</t>
  </si>
  <si>
    <t xml:space="preserve">İyimser senaryoda bekleyen tahsilatın artış oranı.</t>
  </si>
  <si>
    <t xml:space="preserve">Kötümser Ek Ödeme</t>
  </si>
  <si>
    <t xml:space="preserve">Kötümser senaryoda nakit durumuna eklenen beklenmedik ödeme.</t>
  </si>
  <si>
    <t xml:space="preserve">Duyarlılık Değişim Oranı</t>
  </si>
  <si>
    <t xml:space="preserve">Duyarlılık analizinde değişkenlerin marjinal etkisinin hesaplandığı değişim oranı.</t>
  </si>
  <si>
    <t xml:space="preserve">Veri Kalite Yüksek Eşiği</t>
  </si>
  <si>
    <t xml:space="preserve">puan</t>
  </si>
  <si>
    <t xml:space="preserve">Veri kalite skoru bu değer ve üzeriyse güven düzeyi YÜKSEK olur.</t>
  </si>
  <si>
    <t xml:space="preserve">Veri Kalite Orta Eşiği</t>
  </si>
  <si>
    <t xml:space="preserve">Veri kalite skoru bu değerin üzerindeyse güven düzeyi ORTA olur.</t>
  </si>
  <si>
    <t xml:space="preserve">Hata Ağırlığı</t>
  </si>
  <si>
    <t xml:space="preserve">Veri kalite skorunda hafif ihlalin ceza puanı.</t>
  </si>
  <si>
    <t xml:space="preserve">Uyarı Ağırlığı</t>
  </si>
  <si>
    <t xml:space="preserve">Veri kalite skorunda ağır ihlalin ceza puanı.</t>
  </si>
  <si>
    <t xml:space="preserve">Tablo Başlangıç Satırı</t>
  </si>
  <si>
    <t xml:space="preserve">adet</t>
  </si>
  <si>
    <t xml:space="preserve">Veri tablolarının ilk veri satırı; kimlik formüllerinde başlangıç referansıdır.</t>
  </si>
  <si>
    <t xml:space="preserve">Tasarım</t>
  </si>
  <si>
    <t xml:space="preserve">Hafta Uzunluğu (Gün)</t>
  </si>
  <si>
    <t xml:space="preserve">Haftalık projeksiyonda kullanılan takvim haftası uzunluğu.</t>
  </si>
  <si>
    <t xml:space="preserve">KILAVUZ — AKILLI KASA DEFTERİ VE NAKİT KONTROL SİSTEMİ</t>
  </si>
  <si>
    <t xml:space="preserve">AKILLI KASA DEFTERİ VE NAKİT KONTROL SİSTEMİ — KULLANIM KILAVUZU</t>
  </si>
  <si>
    <t xml:space="preserve">1. BU SİSTEM NE İŞE YARAR?</t>
  </si>
  <si>
    <t xml:space="preserve">Kasadaki ve bankadaki paraların kullanılabilir kısmını, bekleyen ödemelerin açık riskini ve</t>
  </si>
  <si>
    <t xml:space="preserve">hangilerinin önce ödeneceğini tek ekranda gösterir. Karar destek aracıdır; mali tavsiye değildir.</t>
  </si>
  <si>
    <t xml:space="preserve">2. NASIL BAŞLARIM?</t>
  </si>
  <si>
    <t xml:space="preserve">Adım 1: AYARLAR sayfasından firma bilgilerinizi ve eşik değerlerinizi kontrol edin.</t>
  </si>
  <si>
    <t xml:space="preserve">Adım 2: KASA_HESAPLARI'na kasa ve banka hesaplarınızı girin.</t>
  </si>
  <si>
    <t xml:space="preserve">Adım 3: KASA_HAREKETLERI'ne günlük giriş ve çıkışlarınızı işleyin.</t>
  </si>
  <si>
    <t xml:space="preserve">Adım 4: ODEME_TAHSILAT_TAKVIMI'ne bekleyen ödeme ve tahsilatlarınızı ekleyin.</t>
  </si>
  <si>
    <t xml:space="preserve">Adım 5: KARAR_MOTORU ve PANO sayfalarından kullanılabilir para, açık riski ve ödeme önerisini izleyin.</t>
  </si>
  <si>
    <t xml:space="preserve">3. SARI HÜCRELER NE ANLAMA GELİR?</t>
  </si>
  <si>
    <t xml:space="preserve">Açık sarı (krem) hücreler manuel veri girişi içindir. Diğer tüm hücreler kilitlidir;</t>
  </si>
  <si>
    <t xml:space="preserve">formüller kazayla bozulmasın diye 1234 şifresiyle korunur.</t>
  </si>
  <si>
    <t xml:space="preserve">4. SIK YAPILAN HATALAR</t>
  </si>
  <si>
    <t xml:space="preserve">Aynı fişi iki kez girmek mükerrer sayılır.</t>
  </si>
  <si>
    <t xml:space="preserve">Tutarı 0 veya negatif girmek SIFIR/NEGATİF uyarısı üretir.</t>
  </si>
  <si>
    <t xml:space="preserve">Hesap sütununu boş bırakmak eksik kayıt üretir.</t>
  </si>
  <si>
    <t xml:space="preserve">Mutabakat yapmadan raporu yorumlamak yanıltıcı olabilir; fark varsa kök nedeni girin.</t>
  </si>
  <si>
    <t xml:space="preserve">5. KARARLAR NASIL OKUNUR?</t>
  </si>
  <si>
    <t xml:space="preserve">UYGUN: kaynaklar bekleyen yükümlülüğü karşılıyor.</t>
  </si>
  <si>
    <t xml:space="preserve">İNCELE: kullanılabilir para asgari tamponun altında.</t>
  </si>
  <si>
    <t xml:space="preserve">DURDUR: nakit açığı var; yeni yükümlülük almayın, tahsilatı öne çekin.</t>
  </si>
  <si>
    <t xml:space="preserve">6. GÜVENLİK VE LİSANS</t>
  </si>
  <si>
    <t xml:space="preserve">Tüm sayfalar 1234 şifresiyle korumalıdır. Lisans kodu AYARLAR sayfasındadır.</t>
  </si>
  <si>
    <t xml:space="preserve">Bu dosya ExcelArşiv ürünüdür; izinsiz dağıtılamaz.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</si>
</sst>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₺ &quot;#,##0;[RED]&quot;(₺ &quot;#,##0\);\-"/>
    <numFmt numFmtId="166" formatCode="dd/mm/yyyy"/>
    <numFmt numFmtId="167" formatCode="#,##0"/>
    <numFmt numFmtId="168" formatCode="@"/>
    <numFmt numFmtId="169" formatCode="0.0%;[RED]\(0.0%\);\-"/>
    <numFmt numFmtId="170" formatCode="0&quot; gün&quot;"/>
    <numFmt numFmtId="171" formatCode="0.0"/>
    <numFmt numFmtId="172" formatCode="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C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B1F3A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C00000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color rgb="FF1F4E79"/>
      <name val="Segoe UI"/>
      <family val="0"/>
      <charset val="1"/>
    </font>
    <font>
      <sz val="10"/>
      <color rgb="FF006100"/>
      <name val="Segoe UI"/>
      <family val="0"/>
      <charset val="1"/>
    </font>
    <font>
      <sz val="9"/>
      <color rgb="FF000000"/>
      <name val="Segoe UI"/>
      <family val="0"/>
      <charset val="1"/>
    </font>
    <font>
      <sz val="10"/>
      <name val="Arial"/>
      <family val="2"/>
    </font>
    <font>
      <b val="true"/>
      <sz val="9"/>
      <color rgb="FF000000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i val="true"/>
      <sz val="9"/>
      <color rgb="FF000000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3"/>
      <color rgb="FF006100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sz val="10"/>
      <color rgb="FF1F7A4D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i val="true"/>
      <sz val="9"/>
      <color rgb="FF006100"/>
      <name val="Segoe UI"/>
      <family val="0"/>
      <charset val="1"/>
    </font>
    <font>
      <i val="true"/>
      <sz val="8"/>
      <color rgb="FF000000"/>
      <name val="Segoe UI"/>
      <family val="0"/>
      <charset val="1"/>
    </font>
    <font>
      <i val="true"/>
      <sz val="10"/>
      <color rgb="FF000000"/>
      <name val="Segoe UI"/>
      <family val="0"/>
      <charset val="1"/>
    </font>
    <font>
      <b val="true"/>
      <sz val="15"/>
      <color rgb="FFFFFFFF"/>
      <name val="Segoe UI"/>
      <family val="0"/>
      <charset val="1"/>
    </font>
    <font>
      <b val="true"/>
      <sz val="11"/>
      <color rgb="FFFFFFFF"/>
      <name val="Segoe UI"/>
      <family val="0"/>
      <charset val="1"/>
    </font>
    <font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1EB"/>
      </patternFill>
    </fill>
    <fill>
      <patternFill patternType="solid">
        <fgColor rgb="001F4E79"/>
        <bgColor rgb="FF32547C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2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6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70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71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72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1F4E7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B87B17"/>
      <rgbColor rgb="FF89A44E"/>
      <rgbColor rgb="FFD9E1EB"/>
      <rgbColor rgb="FFFBD8C7"/>
      <rgbColor rgb="FFD2908F"/>
      <rgbColor rgb="FF90B6D3"/>
      <rgbColor rgb="FFB41E18"/>
      <rgbColor rgb="FF006100"/>
      <rgbColor rgb="FF426C9F"/>
      <rgbColor rgb="FF687E39"/>
      <rgbColor rgb="FF6C5489"/>
      <rgbColor rgb="FF1F7A4D"/>
      <rgbColor rgb="FFC2C5DC"/>
      <rgbColor rgb="FF897F97"/>
      <rgbColor rgb="FF7F9CCA"/>
      <rgbColor rgb="FF943C39"/>
      <rgbColor rgb="FFFFF2CC"/>
      <rgbColor rgb="FFDCEAF6"/>
      <rgbColor rgb="FF5C4874"/>
      <rgbColor rgb="FFF6974F"/>
      <rgbColor rgb="FF39618F"/>
      <rgbColor rgb="FFD5D7DE"/>
      <rgbColor rgb="FF7A9446"/>
      <rgbColor rgb="FFEAD3D2"/>
      <rgbColor rgb="FFB3CD8C"/>
      <rgbColor rgb="FFB8D7E3"/>
      <rgbColor rgb="FFBD4F4C"/>
      <rgbColor rgb="FFA2632C"/>
      <rgbColor rgb="FF2F7182"/>
      <rgbColor rgb="FFFDE7E9"/>
      <rgbColor rgb="FF4199B0"/>
      <rgbColor rgb="FFF2F2F2"/>
      <rgbColor rgb="FFE0E8D1"/>
      <rgbColor rgb="FFF9F9F9"/>
      <rgbColor rgb="FF9BCADA"/>
      <rgbColor rgb="FFDFB4B3"/>
      <rgbColor rgb="FFB7ACC8"/>
      <rgbColor rgb="FFFAC6A9"/>
      <rgbColor rgb="FF4D7CB5"/>
      <rgbColor rgb="FF53ACC7"/>
      <rgbColor rgb="FF98B659"/>
      <rgbColor rgb="FFF9B085"/>
      <rgbColor rgb="FFE6893E"/>
      <rgbColor rgb="FFCA753D"/>
      <rgbColor rgb="FF7C619D"/>
      <rgbColor rgb="FFA191B8"/>
      <rgbColor rgb="FF0B1F3A"/>
      <rgbColor rgb="FF388499"/>
      <rgbColor rgb="FF32547C"/>
      <rgbColor rgb="FF595959"/>
      <rgbColor rgb="FF7F3331"/>
      <rgbColor rgb="FFA84643"/>
      <rgbColor rgb="FF1F4E79"/>
      <rgbColor rgb="FF4138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Bekleyen Ödemelerin Öncelik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ODEME_TAHSILAT_TAKVIMI!N4</c:f>
              <c:strCache>
                <c:ptCount val="1"/>
                <c:pt idx="0">
                  <c:v>Bekleyen Ödeme (₺)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</c:dLbls>
          <c:cat>
            <c:strRef>
              <c:f>ODEME_TAHSILAT_TAKVIMI!$M$5:$M$8</c:f>
              <c:strCache>
                <c:ptCount val="4"/>
                <c:pt idx="0">
                  <c:v>KRİTİK</c:v>
                </c:pt>
                <c:pt idx="1">
                  <c:v>YÜKSEK</c:v>
                </c:pt>
                <c:pt idx="2">
                  <c:v>ORTA</c:v>
                </c:pt>
                <c:pt idx="3">
                  <c:v>DÜŞÜK</c:v>
                </c:pt>
              </c:strCache>
            </c:strRef>
          </c:cat>
          <c:val>
            <c:numRef>
              <c:f>ODEME_TAHSILAT_TAKVIMI!$N$5:$N$8</c:f>
              <c:numCache>
                <c:formatCode>"₺ "#,##0;[RED]"(₺ "#,##0\);\-</c:formatCode>
                <c:ptCount val="4"/>
                <c:pt idx="0">
                  <c:v>260000</c:v>
                </c:pt>
                <c:pt idx="1">
                  <c:v>202000</c:v>
                </c:pt>
                <c:pt idx="2">
                  <c:v>75000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1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Haftalık Beklenen Giriş ve Çıkış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NAKIT_PROJEKSIYONU!C4</c:f>
              <c:strCache>
                <c:ptCount val="1"/>
                <c:pt idx="0">
                  <c:v>Beklenen Giriş (₺)</c:v>
                </c:pt>
              </c:strCache>
            </c:strRef>
          </c:tx>
          <c:spPr>
            <a:solidFill>
              <a:srgbClr val="4672A8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NAKIT_PROJEKSIYONU!$A$5:$A$804</c:f>
              <c:strCache>
                <c:ptCount val="800"/>
                <c:pt idx="0">
                  <c:v>10.08.2026</c:v>
                </c:pt>
                <c:pt idx="1">
                  <c:v>17.08.2026</c:v>
                </c:pt>
                <c:pt idx="2">
                  <c:v>24.08.2026</c:v>
                </c:pt>
                <c:pt idx="3">
                  <c:v>31.08.2026</c:v>
                </c:pt>
                <c:pt idx="4">
                  <c:v>07.09.2026</c:v>
                </c:pt>
                <c:pt idx="5">
                  <c:v>14.09.2026</c:v>
                </c:pt>
                <c:pt idx="6">
                  <c:v>21.09.2026</c:v>
                </c:pt>
                <c:pt idx="7">
                  <c:v>28.09.2026</c:v>
                </c:pt>
                <c:pt idx="8">
                  <c:v>05.10.2026</c:v>
                </c:pt>
                <c:pt idx="9">
                  <c:v>12.10.2026</c:v>
                </c:pt>
                <c:pt idx="10">
                  <c:v>19.10.2026</c:v>
                </c:pt>
                <c:pt idx="11">
                  <c:v>26.10.2026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</c:strCache>
            </c:strRef>
          </c:cat>
          <c:val>
            <c:numRef>
              <c:f>NAKIT_PROJEKSIYONU!$C$5:$C$804</c:f>
              <c:numCache>
                <c:formatCode>"₺ "#,##0;[RED]"(₺ "#,##0\);\-</c:formatCode>
                <c:ptCount val="800"/>
                <c:pt idx="0">
                  <c:v>200000</c:v>
                </c:pt>
                <c:pt idx="1">
                  <c:v>0</c:v>
                </c:pt>
                <c:pt idx="2">
                  <c:v>150000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NAKIT_PROJEKSIYONU!D4</c:f>
              <c:strCache>
                <c:ptCount val="1"/>
                <c:pt idx="0">
                  <c:v>Beklenen Çıkış (₺)</c:v>
                </c:pt>
              </c:strCache>
            </c:strRef>
          </c:tx>
          <c:spPr>
            <a:solidFill>
              <a:srgbClr val="93A9CE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NAKIT_PROJEKSIYONU!$A$5:$A$804</c:f>
              <c:strCache>
                <c:ptCount val="800"/>
                <c:pt idx="0">
                  <c:v>10.08.2026</c:v>
                </c:pt>
                <c:pt idx="1">
                  <c:v>17.08.2026</c:v>
                </c:pt>
                <c:pt idx="2">
                  <c:v>24.08.2026</c:v>
                </c:pt>
                <c:pt idx="3">
                  <c:v>31.08.2026</c:v>
                </c:pt>
                <c:pt idx="4">
                  <c:v>07.09.2026</c:v>
                </c:pt>
                <c:pt idx="5">
                  <c:v>14.09.2026</c:v>
                </c:pt>
                <c:pt idx="6">
                  <c:v>21.09.2026</c:v>
                </c:pt>
                <c:pt idx="7">
                  <c:v>28.09.2026</c:v>
                </c:pt>
                <c:pt idx="8">
                  <c:v>05.10.2026</c:v>
                </c:pt>
                <c:pt idx="9">
                  <c:v>12.10.2026</c:v>
                </c:pt>
                <c:pt idx="10">
                  <c:v>19.10.2026</c:v>
                </c:pt>
                <c:pt idx="11">
                  <c:v>26.10.2026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</c:strCache>
            </c:strRef>
          </c:cat>
          <c:val>
            <c:numRef>
              <c:f>NAKIT_PROJEKSIYONU!$D$5:$D$804</c:f>
              <c:numCache>
                <c:formatCode>"₺ "#,##0;[RED]"(₺ "#,##0\);\-</c:formatCode>
                <c:ptCount val="800"/>
                <c:pt idx="0">
                  <c:v>230000</c:v>
                </c:pt>
                <c:pt idx="1">
                  <c:v>180000</c:v>
                </c:pt>
                <c:pt idx="2">
                  <c:v>0</c:v>
                </c:pt>
                <c:pt idx="3">
                  <c:v>127000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4290549"/>
        <c:axId val="32763643"/>
      </c:barChart>
      <c:catAx>
        <c:axId val="4290549"/>
        <c:scaling>
          <c:orientation val="minMax"/>
        </c:scaling>
        <c:delete val="0"/>
        <c:axPos val="b"/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763643"/>
        <c:crosses val="autoZero"/>
        <c:auto val="1"/>
        <c:lblAlgn val="ctr"/>
        <c:lblOffset val="100"/>
        <c:noMultiLvlLbl val="0"/>
      </c:catAx>
      <c:valAx>
        <c:axId val="327636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Tutar (₺)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905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Haftalık Net ve Dönem Sonu Kasa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NAKIT_PROJEKSIYONU!E4</c:f>
              <c:strCache>
                <c:ptCount val="1"/>
                <c:pt idx="0">
                  <c:v>Net (₺)</c:v>
                </c:pt>
              </c:strCache>
            </c:strRef>
          </c:tx>
          <c:spPr>
            <a:solidFill>
              <a:srgbClr val="9D3E3B"/>
            </a:solidFill>
            <a:ln w="12600">
              <a:solidFill>
                <a:srgbClr val="9D3E3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NAKIT_PROJEKSIYONU!$A$5:$A$804</c:f>
              <c:strCache>
                <c:ptCount val="800"/>
                <c:pt idx="0">
                  <c:v>10.08.2026</c:v>
                </c:pt>
                <c:pt idx="1">
                  <c:v>17.08.2026</c:v>
                </c:pt>
                <c:pt idx="2">
                  <c:v>24.08.2026</c:v>
                </c:pt>
                <c:pt idx="3">
                  <c:v>31.08.2026</c:v>
                </c:pt>
                <c:pt idx="4">
                  <c:v>07.09.2026</c:v>
                </c:pt>
                <c:pt idx="5">
                  <c:v>14.09.2026</c:v>
                </c:pt>
                <c:pt idx="6">
                  <c:v>21.09.2026</c:v>
                </c:pt>
                <c:pt idx="7">
                  <c:v>28.09.2026</c:v>
                </c:pt>
                <c:pt idx="8">
                  <c:v>05.10.2026</c:v>
                </c:pt>
                <c:pt idx="9">
                  <c:v>12.10.2026</c:v>
                </c:pt>
                <c:pt idx="10">
                  <c:v>19.10.2026</c:v>
                </c:pt>
                <c:pt idx="11">
                  <c:v>26.10.2026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</c:strCache>
            </c:strRef>
          </c:cat>
          <c:val>
            <c:numRef>
              <c:f>NAKIT_PROJEKSIYONU!$E$5:$E$804</c:f>
              <c:numCache>
                <c:formatCode>"₺ "#,##0;[RED]"(₺ "#,##0\);\-</c:formatCode>
                <c:ptCount val="800"/>
                <c:pt idx="0">
                  <c:v>-30000</c:v>
                </c:pt>
                <c:pt idx="1">
                  <c:v>-180000</c:v>
                </c:pt>
                <c:pt idx="2">
                  <c:v>150000</c:v>
                </c:pt>
                <c:pt idx="3">
                  <c:v>-127000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NAKIT_PROJEKSIYONU!F4</c:f>
              <c:strCache>
                <c:ptCount val="1"/>
                <c:pt idx="0">
                  <c:v>Dönem Başı Kasa (₺)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NAKIT_PROJEKSIYONU!$A$5:$A$804</c:f>
              <c:strCache>
                <c:ptCount val="800"/>
                <c:pt idx="0">
                  <c:v>10.08.2026</c:v>
                </c:pt>
                <c:pt idx="1">
                  <c:v>17.08.2026</c:v>
                </c:pt>
                <c:pt idx="2">
                  <c:v>24.08.2026</c:v>
                </c:pt>
                <c:pt idx="3">
                  <c:v>31.08.2026</c:v>
                </c:pt>
                <c:pt idx="4">
                  <c:v>07.09.2026</c:v>
                </c:pt>
                <c:pt idx="5">
                  <c:v>14.09.2026</c:v>
                </c:pt>
                <c:pt idx="6">
                  <c:v>21.09.2026</c:v>
                </c:pt>
                <c:pt idx="7">
                  <c:v>28.09.2026</c:v>
                </c:pt>
                <c:pt idx="8">
                  <c:v>05.10.2026</c:v>
                </c:pt>
                <c:pt idx="9">
                  <c:v>12.10.2026</c:v>
                </c:pt>
                <c:pt idx="10">
                  <c:v>19.10.2026</c:v>
                </c:pt>
                <c:pt idx="11">
                  <c:v>26.10.2026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</c:strCache>
            </c:strRef>
          </c:cat>
          <c:val>
            <c:numRef>
              <c:f>NAKIT_PROJEKSIYONU!$F$5:$F$804</c:f>
              <c:numCache>
                <c:formatCode>"₺ "#,##0;[RED]"(₺ "#,##0\);\-</c:formatCode>
                <c:ptCount val="800"/>
                <c:pt idx="0">
                  <c:v>500000</c:v>
                </c:pt>
                <c:pt idx="1">
                  <c:v>470000</c:v>
                </c:pt>
                <c:pt idx="2">
                  <c:v>290000</c:v>
                </c:pt>
                <c:pt idx="3">
                  <c:v>440000</c:v>
                </c:pt>
                <c:pt idx="4">
                  <c:v>313000</c:v>
                </c:pt>
                <c:pt idx="5">
                  <c:v>313000</c:v>
                </c:pt>
                <c:pt idx="6">
                  <c:v>313000</c:v>
                </c:pt>
                <c:pt idx="7">
                  <c:v>313000</c:v>
                </c:pt>
                <c:pt idx="8">
                  <c:v>313000</c:v>
                </c:pt>
                <c:pt idx="9">
                  <c:v>313000</c:v>
                </c:pt>
                <c:pt idx="10">
                  <c:v>313000</c:v>
                </c:pt>
                <c:pt idx="11">
                  <c:v>313000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NAKIT_PROJEKSIYONU!G4</c:f>
              <c:strCache>
                <c:ptCount val="1"/>
                <c:pt idx="0">
                  <c:v>Dönem Sonu Kasa (₺)</c:v>
                </c:pt>
              </c:strCache>
            </c:strRef>
          </c:tx>
          <c:spPr>
            <a:solidFill>
              <a:srgbClr val="D4A5A4"/>
            </a:solidFill>
            <a:ln w="12600">
              <a:solidFill>
                <a:srgbClr val="D4A5A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NAKIT_PROJEKSIYONU!$A$5:$A$804</c:f>
              <c:strCache>
                <c:ptCount val="800"/>
                <c:pt idx="0">
                  <c:v>10.08.2026</c:v>
                </c:pt>
                <c:pt idx="1">
                  <c:v>17.08.2026</c:v>
                </c:pt>
                <c:pt idx="2">
                  <c:v>24.08.2026</c:v>
                </c:pt>
                <c:pt idx="3">
                  <c:v>31.08.2026</c:v>
                </c:pt>
                <c:pt idx="4">
                  <c:v>07.09.2026</c:v>
                </c:pt>
                <c:pt idx="5">
                  <c:v>14.09.2026</c:v>
                </c:pt>
                <c:pt idx="6">
                  <c:v>21.09.2026</c:v>
                </c:pt>
                <c:pt idx="7">
                  <c:v>28.09.2026</c:v>
                </c:pt>
                <c:pt idx="8">
                  <c:v>05.10.2026</c:v>
                </c:pt>
                <c:pt idx="9">
                  <c:v>12.10.2026</c:v>
                </c:pt>
                <c:pt idx="10">
                  <c:v>19.10.2026</c:v>
                </c:pt>
                <c:pt idx="11">
                  <c:v>26.10.2026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</c:strCache>
            </c:strRef>
          </c:cat>
          <c:val>
            <c:numRef>
              <c:f>NAKIT_PROJEKSIYONU!$G$5:$G$804</c:f>
              <c:numCache>
                <c:formatCode>"₺ "#,##0;[RED]"(₺ "#,##0\);\-</c:formatCode>
                <c:ptCount val="800"/>
                <c:pt idx="0">
                  <c:v>470000</c:v>
                </c:pt>
                <c:pt idx="1">
                  <c:v>290000</c:v>
                </c:pt>
                <c:pt idx="2">
                  <c:v>440000</c:v>
                </c:pt>
                <c:pt idx="3">
                  <c:v>313000</c:v>
                </c:pt>
                <c:pt idx="4">
                  <c:v>313000</c:v>
                </c:pt>
                <c:pt idx="5">
                  <c:v>313000</c:v>
                </c:pt>
                <c:pt idx="6">
                  <c:v>313000</c:v>
                </c:pt>
                <c:pt idx="7">
                  <c:v>313000</c:v>
                </c:pt>
                <c:pt idx="8">
                  <c:v>313000</c:v>
                </c:pt>
                <c:pt idx="9">
                  <c:v>313000</c:v>
                </c:pt>
                <c:pt idx="10">
                  <c:v>313000</c:v>
                </c:pt>
                <c:pt idx="11">
                  <c:v>313000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044486"/>
        <c:axId val="2849228"/>
      </c:lineChart>
      <c:catAx>
        <c:axId val="17044486"/>
        <c:scaling>
          <c:orientation val="minMax"/>
        </c:scaling>
        <c:delete val="0"/>
        <c:axPos val="b"/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49228"/>
        <c:crosses val="autoZero"/>
        <c:auto val="1"/>
        <c:lblAlgn val="ctr"/>
        <c:lblOffset val="100"/>
        <c:noMultiLvlLbl val="0"/>
      </c:catAx>
      <c:valAx>
        <c:axId val="28492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0444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Günlük Nakit Girişi ve Çıkışı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GUNLUK_OZET!B4</c:f>
              <c:strCache>
                <c:ptCount val="1"/>
                <c:pt idx="0">
                  <c:v>Toplam Giriş (₺)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GUNLUK_OZET!$A$5:$A$120</c:f>
              <c:strCache>
                <c:ptCount val="116"/>
                <c:pt idx="0">
                  <c:v>01.07.2026</c:v>
                </c:pt>
                <c:pt idx="1">
                  <c:v>02.07.2026</c:v>
                </c:pt>
                <c:pt idx="2">
                  <c:v>03.07.2026</c:v>
                </c:pt>
                <c:pt idx="3">
                  <c:v>05.07.2026</c:v>
                </c:pt>
                <c:pt idx="4">
                  <c:v>07.07.2026</c:v>
                </c:pt>
                <c:pt idx="5">
                  <c:v>08.07.2026</c:v>
                </c:pt>
                <c:pt idx="6">
                  <c:v>10.07.2026</c:v>
                </c:pt>
                <c:pt idx="7">
                  <c:v>12.07.2026</c:v>
                </c:pt>
                <c:pt idx="8">
                  <c:v>15.07.2026</c:v>
                </c:pt>
                <c:pt idx="9">
                  <c:v>16.07.2026</c:v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</c:strCache>
            </c:strRef>
          </c:cat>
          <c:val>
            <c:numRef>
              <c:f>GUNLUK_OZET!$B$5:$B$120</c:f>
              <c:numCache>
                <c:formatCode>"₺ "#,##0;[RED]"(₺ "#,##0\);\-</c:formatCode>
                <c:ptCount val="116"/>
                <c:pt idx="0">
                  <c:v>120000</c:v>
                </c:pt>
                <c:pt idx="1">
                  <c:v>0</c:v>
                </c:pt>
                <c:pt idx="2">
                  <c:v>85000</c:v>
                </c:pt>
                <c:pt idx="3">
                  <c:v>0</c:v>
                </c:pt>
                <c:pt idx="4">
                  <c:v>0</c:v>
                </c:pt>
                <c:pt idx="5">
                  <c:v>45000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95000</c:v>
                </c:pt>
              </c:numCache>
            </c:numRef>
          </c:val>
        </c:ser>
        <c:ser>
          <c:idx val="1"/>
          <c:order val="1"/>
          <c:tx>
            <c:strRef>
              <c:f>GUNLUK_OZET!C4</c:f>
              <c:strCache>
                <c:ptCount val="1"/>
                <c:pt idx="0">
                  <c:v>Toplam Çıkış (₺)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GUNLUK_OZET!$A$5:$A$120</c:f>
              <c:strCache>
                <c:ptCount val="116"/>
                <c:pt idx="0">
                  <c:v>01.07.2026</c:v>
                </c:pt>
                <c:pt idx="1">
                  <c:v>02.07.2026</c:v>
                </c:pt>
                <c:pt idx="2">
                  <c:v>03.07.2026</c:v>
                </c:pt>
                <c:pt idx="3">
                  <c:v>05.07.2026</c:v>
                </c:pt>
                <c:pt idx="4">
                  <c:v>07.07.2026</c:v>
                </c:pt>
                <c:pt idx="5">
                  <c:v>08.07.2026</c:v>
                </c:pt>
                <c:pt idx="6">
                  <c:v>10.07.2026</c:v>
                </c:pt>
                <c:pt idx="7">
                  <c:v>12.07.2026</c:v>
                </c:pt>
                <c:pt idx="8">
                  <c:v>15.07.2026</c:v>
                </c:pt>
                <c:pt idx="9">
                  <c:v>16.07.2026</c:v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</c:strCache>
            </c:strRef>
          </c:cat>
          <c:val>
            <c:numRef>
              <c:f>GUNLUK_OZET!$C$5:$C$120</c:f>
              <c:numCache>
                <c:formatCode>"₺ "#,##0;[RED]"(₺ "#,##0\);\-</c:formatCode>
                <c:ptCount val="116"/>
                <c:pt idx="0">
                  <c:v>0</c:v>
                </c:pt>
                <c:pt idx="1">
                  <c:v>90000</c:v>
                </c:pt>
                <c:pt idx="2">
                  <c:v>0</c:v>
                </c:pt>
                <c:pt idx="3">
                  <c:v>180000</c:v>
                </c:pt>
                <c:pt idx="4">
                  <c:v>60000</c:v>
                </c:pt>
                <c:pt idx="5">
                  <c:v>0</c:v>
                </c:pt>
                <c:pt idx="6">
                  <c:v>75000</c:v>
                </c:pt>
                <c:pt idx="7">
                  <c:v>52000</c:v>
                </c:pt>
                <c:pt idx="8">
                  <c:v>120000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89680027"/>
        <c:axId val="2928265"/>
      </c:barChart>
      <c:catAx>
        <c:axId val="896800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28265"/>
        <c:crosses val="autoZero"/>
        <c:auto val="1"/>
        <c:lblAlgn val="ctr"/>
        <c:lblOffset val="100"/>
        <c:noMultiLvlLbl val="0"/>
      </c:catAx>
      <c:valAx>
        <c:axId val="29282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Tutar (₺)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6800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Kümülatif Net Nakit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GUNLUK_OZET!E4</c:f>
              <c:strCache>
                <c:ptCount val="1"/>
                <c:pt idx="0">
                  <c:v>Kümülatif Net (₺)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GUNLUK_OZET!$A$5:$A$120</c:f>
              <c:strCache>
                <c:ptCount val="116"/>
                <c:pt idx="0">
                  <c:v>01.07.2026</c:v>
                </c:pt>
                <c:pt idx="1">
                  <c:v>02.07.2026</c:v>
                </c:pt>
                <c:pt idx="2">
                  <c:v>03.07.2026</c:v>
                </c:pt>
                <c:pt idx="3">
                  <c:v>05.07.2026</c:v>
                </c:pt>
                <c:pt idx="4">
                  <c:v>07.07.2026</c:v>
                </c:pt>
                <c:pt idx="5">
                  <c:v>08.07.2026</c:v>
                </c:pt>
                <c:pt idx="6">
                  <c:v>10.07.2026</c:v>
                </c:pt>
                <c:pt idx="7">
                  <c:v>12.07.2026</c:v>
                </c:pt>
                <c:pt idx="8">
                  <c:v>15.07.2026</c:v>
                </c:pt>
                <c:pt idx="9">
                  <c:v>16.07.2026</c:v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</c:strCache>
            </c:strRef>
          </c:cat>
          <c:val>
            <c:numRef>
              <c:f>GUNLUK_OZET!$E$5:$E$120</c:f>
              <c:numCache>
                <c:formatCode>"₺ "#,##0;[RED]"(₺ "#,##0\);\-</c:formatCode>
                <c:ptCount val="116"/>
                <c:pt idx="0">
                  <c:v>120000</c:v>
                </c:pt>
                <c:pt idx="1">
                  <c:v>30000</c:v>
                </c:pt>
                <c:pt idx="2">
                  <c:v>115000</c:v>
                </c:pt>
                <c:pt idx="3">
                  <c:v>-65000</c:v>
                </c:pt>
                <c:pt idx="4">
                  <c:v>-125000</c:v>
                </c:pt>
                <c:pt idx="5">
                  <c:v>-80000</c:v>
                </c:pt>
                <c:pt idx="6">
                  <c:v>-155000</c:v>
                </c:pt>
                <c:pt idx="7">
                  <c:v>-207000</c:v>
                </c:pt>
                <c:pt idx="8">
                  <c:v>-327000</c:v>
                </c:pt>
                <c:pt idx="9">
                  <c:v>-232000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941459"/>
        <c:axId val="55216680"/>
      </c:lineChart>
      <c:catAx>
        <c:axId val="1941459"/>
        <c:scaling>
          <c:orientation val="minMax"/>
        </c:scaling>
        <c:delete val="0"/>
        <c:axPos val="b"/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216680"/>
        <c:crosses val="autoZero"/>
        <c:auto val="1"/>
        <c:lblAlgn val="ctr"/>
        <c:lblOffset val="100"/>
        <c:noMultiLvlLbl val="0"/>
      </c:catAx>
      <c:valAx>
        <c:axId val="55216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414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1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Günlük Giriş / Çıkış / Net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GUNLUK_OZET!D4</c:f>
              <c:strCache>
                <c:ptCount val="1"/>
                <c:pt idx="0">
                  <c:v>Net (₺)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GUNLUK_OZET!$A$5:$A$120</c:f>
              <c:strCache>
                <c:ptCount val="116"/>
                <c:pt idx="0">
                  <c:v>01.07.2026</c:v>
                </c:pt>
                <c:pt idx="1">
                  <c:v>02.07.2026</c:v>
                </c:pt>
                <c:pt idx="2">
                  <c:v>03.07.2026</c:v>
                </c:pt>
                <c:pt idx="3">
                  <c:v>05.07.2026</c:v>
                </c:pt>
                <c:pt idx="4">
                  <c:v>07.07.2026</c:v>
                </c:pt>
                <c:pt idx="5">
                  <c:v>08.07.2026</c:v>
                </c:pt>
                <c:pt idx="6">
                  <c:v>10.07.2026</c:v>
                </c:pt>
                <c:pt idx="7">
                  <c:v>12.07.2026</c:v>
                </c:pt>
                <c:pt idx="8">
                  <c:v>15.07.2026</c:v>
                </c:pt>
                <c:pt idx="9">
                  <c:v>16.07.2026</c:v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</c:strCache>
            </c:strRef>
          </c:cat>
          <c:val>
            <c:numRef>
              <c:f>GUNLUK_OZET!$D$5:$D$120</c:f>
              <c:numCache>
                <c:formatCode>"₺ "#,##0;[RED]"(₺ "#,##0\);\-</c:formatCode>
                <c:ptCount val="116"/>
                <c:pt idx="0">
                  <c:v>120000</c:v>
                </c:pt>
                <c:pt idx="1">
                  <c:v>-90000</c:v>
                </c:pt>
                <c:pt idx="2">
                  <c:v>85000</c:v>
                </c:pt>
                <c:pt idx="3">
                  <c:v>-180000</c:v>
                </c:pt>
                <c:pt idx="4">
                  <c:v>-60000</c:v>
                </c:pt>
                <c:pt idx="5">
                  <c:v>45000</c:v>
                </c:pt>
                <c:pt idx="6">
                  <c:v>-75000</c:v>
                </c:pt>
                <c:pt idx="7">
                  <c:v>-52000</c:v>
                </c:pt>
                <c:pt idx="8">
                  <c:v>-120000</c:v>
                </c:pt>
                <c:pt idx="9">
                  <c:v>95000</c:v>
                </c:pt>
              </c:numCache>
            </c:numRef>
          </c:val>
        </c:ser>
        <c:gapWidth val="150"/>
        <c:overlap val="0"/>
        <c:axId val="41348230"/>
        <c:axId val="38852404"/>
      </c:barChart>
      <c:catAx>
        <c:axId val="41348230"/>
        <c:scaling>
          <c:orientation val="minMax"/>
        </c:scaling>
        <c:delete val="0"/>
        <c:axPos val="b"/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852404"/>
        <c:crosses val="autoZero"/>
        <c:auto val="1"/>
        <c:lblAlgn val="ctr"/>
        <c:lblOffset val="100"/>
        <c:noMultiLvlLbl val="0"/>
      </c:catAx>
      <c:valAx>
        <c:axId val="388524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3482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 Dönem Sonu Kasa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NAKIT_PROJEKSIYONU!G4</c:f>
              <c:strCache>
                <c:ptCount val="1"/>
                <c:pt idx="0">
                  <c:v>Dönem Sonu Kasa (₺)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NAKIT_PROJEKSIYONU!$A$5:$A$804</c:f>
              <c:strCache>
                <c:ptCount val="800"/>
                <c:pt idx="0">
                  <c:v>10.08.2026</c:v>
                </c:pt>
                <c:pt idx="1">
                  <c:v>17.08.2026</c:v>
                </c:pt>
                <c:pt idx="2">
                  <c:v>24.08.2026</c:v>
                </c:pt>
                <c:pt idx="3">
                  <c:v>31.08.2026</c:v>
                </c:pt>
                <c:pt idx="4">
                  <c:v>07.09.2026</c:v>
                </c:pt>
                <c:pt idx="5">
                  <c:v>14.09.2026</c:v>
                </c:pt>
                <c:pt idx="6">
                  <c:v>21.09.2026</c:v>
                </c:pt>
                <c:pt idx="7">
                  <c:v>28.09.2026</c:v>
                </c:pt>
                <c:pt idx="8">
                  <c:v>05.10.2026</c:v>
                </c:pt>
                <c:pt idx="9">
                  <c:v>12.10.2026</c:v>
                </c:pt>
                <c:pt idx="10">
                  <c:v>19.10.2026</c:v>
                </c:pt>
                <c:pt idx="11">
                  <c:v>26.10.2026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</c:strCache>
            </c:strRef>
          </c:cat>
          <c:val>
            <c:numRef>
              <c:f>NAKIT_PROJEKSIYONU!$G$5:$G$804</c:f>
              <c:numCache>
                <c:formatCode>"₺ "#,##0;[RED]"(₺ "#,##0\);\-</c:formatCode>
                <c:ptCount val="800"/>
                <c:pt idx="0">
                  <c:v>470000</c:v>
                </c:pt>
                <c:pt idx="1">
                  <c:v>290000</c:v>
                </c:pt>
                <c:pt idx="2">
                  <c:v>440000</c:v>
                </c:pt>
                <c:pt idx="3">
                  <c:v>313000</c:v>
                </c:pt>
                <c:pt idx="4">
                  <c:v>313000</c:v>
                </c:pt>
                <c:pt idx="5">
                  <c:v>313000</c:v>
                </c:pt>
                <c:pt idx="6">
                  <c:v>313000</c:v>
                </c:pt>
                <c:pt idx="7">
                  <c:v>313000</c:v>
                </c:pt>
                <c:pt idx="8">
                  <c:v>313000</c:v>
                </c:pt>
                <c:pt idx="9">
                  <c:v>313000</c:v>
                </c:pt>
                <c:pt idx="10">
                  <c:v>313000</c:v>
                </c:pt>
                <c:pt idx="11">
                  <c:v>313000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186318"/>
        <c:axId val="74940688"/>
      </c:lineChart>
      <c:catAx>
        <c:axId val="70186318"/>
        <c:scaling>
          <c:orientation val="minMax"/>
        </c:scaling>
        <c:delete val="0"/>
        <c:axPos val="b"/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940688"/>
        <c:crosses val="autoZero"/>
        <c:auto val="1"/>
        <c:lblAlgn val="ctr"/>
        <c:lblOffset val="100"/>
        <c:noMultiLvlLbl val="0"/>
      </c:catAx>
      <c:valAx>
        <c:axId val="749406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18631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Hesap Bakiyeleri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KASA_HESAPLARI!F5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2F4D7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73302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5D703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4C3C6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2D677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945A2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304E7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75302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5E723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4E3C6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0"/>
            <c:spPr>
              <a:solidFill>
                <a:srgbClr val="2D687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1"/>
            <c:spPr>
              <a:solidFill>
                <a:srgbClr val="965B2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2"/>
            <c:spPr>
              <a:solidFill>
                <a:srgbClr val="304F7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3"/>
            <c:spPr>
              <a:solidFill>
                <a:srgbClr val="76312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4"/>
            <c:spPr>
              <a:solidFill>
                <a:srgbClr val="5F733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5"/>
            <c:spPr>
              <a:solidFill>
                <a:srgbClr val="4F3D6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6"/>
            <c:spPr>
              <a:solidFill>
                <a:srgbClr val="2E6A7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7"/>
            <c:spPr>
              <a:solidFill>
                <a:srgbClr val="985C2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8"/>
            <c:spPr>
              <a:solidFill>
                <a:srgbClr val="31507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9"/>
            <c:spPr>
              <a:solidFill>
                <a:srgbClr val="78323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0"/>
            <c:spPr>
              <a:solidFill>
                <a:srgbClr val="61753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1"/>
            <c:spPr>
              <a:solidFill>
                <a:srgbClr val="503E6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2"/>
            <c:spPr>
              <a:solidFill>
                <a:srgbClr val="2F6B7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3"/>
            <c:spPr>
              <a:solidFill>
                <a:srgbClr val="9A5E2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4"/>
            <c:spPr>
              <a:solidFill>
                <a:srgbClr val="32517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5"/>
            <c:spPr>
              <a:solidFill>
                <a:srgbClr val="79323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6"/>
            <c:spPr>
              <a:solidFill>
                <a:srgbClr val="62763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7"/>
            <c:spPr>
              <a:solidFill>
                <a:srgbClr val="513F6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8"/>
            <c:spPr>
              <a:solidFill>
                <a:srgbClr val="2F6D7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9"/>
            <c:spPr>
              <a:solidFill>
                <a:srgbClr val="9C5F2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0"/>
            <c:spPr>
              <a:solidFill>
                <a:srgbClr val="32527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1"/>
            <c:spPr>
              <a:solidFill>
                <a:srgbClr val="7B333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2"/>
            <c:spPr>
              <a:solidFill>
                <a:srgbClr val="63783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3"/>
            <c:spPr>
              <a:solidFill>
                <a:srgbClr val="52406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4"/>
            <c:spPr>
              <a:solidFill>
                <a:srgbClr val="306E7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5"/>
            <c:spPr>
              <a:solidFill>
                <a:srgbClr val="9E602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6"/>
            <c:spPr>
              <a:solidFill>
                <a:srgbClr val="33537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7"/>
            <c:spPr>
              <a:solidFill>
                <a:srgbClr val="7C343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8"/>
            <c:spPr>
              <a:solidFill>
                <a:srgbClr val="64793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9"/>
            <c:spPr>
              <a:solidFill>
                <a:srgbClr val="53416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0"/>
            <c:spPr>
              <a:solidFill>
                <a:srgbClr val="306F8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1"/>
            <c:spPr>
              <a:solidFill>
                <a:srgbClr val="A0612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2"/>
            <c:spPr>
              <a:solidFill>
                <a:srgbClr val="34547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3"/>
            <c:spPr>
              <a:solidFill>
                <a:srgbClr val="7E343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4"/>
            <c:spPr>
              <a:solidFill>
                <a:srgbClr val="667B3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5"/>
            <c:spPr>
              <a:solidFill>
                <a:srgbClr val="54416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6"/>
            <c:spPr>
              <a:solidFill>
                <a:srgbClr val="31718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7"/>
            <c:spPr>
              <a:solidFill>
                <a:srgbClr val="A2622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8"/>
            <c:spPr>
              <a:solidFill>
                <a:srgbClr val="34557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9"/>
            <c:spPr>
              <a:solidFill>
                <a:srgbClr val="7F353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0"/>
            <c:spPr>
              <a:solidFill>
                <a:srgbClr val="677C3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1"/>
            <c:spPr>
              <a:solidFill>
                <a:srgbClr val="55426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2"/>
            <c:spPr>
              <a:solidFill>
                <a:srgbClr val="31728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3"/>
            <c:spPr>
              <a:solidFill>
                <a:srgbClr val="A4632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4"/>
            <c:spPr>
              <a:solidFill>
                <a:srgbClr val="35567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5"/>
            <c:spPr>
              <a:solidFill>
                <a:srgbClr val="81353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6"/>
            <c:spPr>
              <a:solidFill>
                <a:srgbClr val="687E3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7"/>
            <c:spPr>
              <a:solidFill>
                <a:srgbClr val="56436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8"/>
            <c:spPr>
              <a:solidFill>
                <a:srgbClr val="32738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9"/>
            <c:spPr>
              <a:solidFill>
                <a:srgbClr val="A6652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0"/>
            <c:spPr>
              <a:solidFill>
                <a:srgbClr val="35578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1"/>
            <c:spPr>
              <a:solidFill>
                <a:srgbClr val="82363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2"/>
            <c:spPr>
              <a:solidFill>
                <a:srgbClr val="697F3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3"/>
            <c:spPr>
              <a:solidFill>
                <a:srgbClr val="57446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4"/>
            <c:spPr>
              <a:solidFill>
                <a:srgbClr val="33758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5"/>
            <c:spPr>
              <a:solidFill>
                <a:srgbClr val="A8662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6"/>
            <c:spPr>
              <a:solidFill>
                <a:srgbClr val="36588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7"/>
            <c:spPr>
              <a:solidFill>
                <a:srgbClr val="84373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8"/>
            <c:spPr>
              <a:solidFill>
                <a:srgbClr val="6A803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9"/>
            <c:spPr>
              <a:solidFill>
                <a:srgbClr val="58446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0"/>
            <c:spPr>
              <a:solidFill>
                <a:srgbClr val="33768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1"/>
            <c:spPr>
              <a:solidFill>
                <a:srgbClr val="AA673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2"/>
            <c:spPr>
              <a:solidFill>
                <a:srgbClr val="36598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3"/>
            <c:spPr>
              <a:solidFill>
                <a:srgbClr val="85373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4"/>
            <c:spPr>
              <a:solidFill>
                <a:srgbClr val="6B823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5"/>
            <c:spPr>
              <a:solidFill>
                <a:srgbClr val="59457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6"/>
            <c:spPr>
              <a:solidFill>
                <a:srgbClr val="34778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7"/>
            <c:spPr>
              <a:solidFill>
                <a:srgbClr val="AB683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8"/>
            <c:spPr>
              <a:solidFill>
                <a:srgbClr val="375A8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9"/>
            <c:spPr>
              <a:solidFill>
                <a:srgbClr val="87383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80"/>
            <c:spPr>
              <a:solidFill>
                <a:srgbClr val="6D833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81"/>
            <c:spPr>
              <a:solidFill>
                <a:srgbClr val="5A467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82"/>
            <c:spPr>
              <a:solidFill>
                <a:srgbClr val="34788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83"/>
            <c:spPr>
              <a:solidFill>
                <a:srgbClr val="AD693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84"/>
            <c:spPr>
              <a:solidFill>
                <a:srgbClr val="385B8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85"/>
            <c:spPr>
              <a:solidFill>
                <a:srgbClr val="88383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86"/>
            <c:spPr>
              <a:solidFill>
                <a:srgbClr val="6E843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87"/>
            <c:spPr>
              <a:solidFill>
                <a:srgbClr val="5A477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88"/>
            <c:spPr>
              <a:solidFill>
                <a:srgbClr val="357A8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89"/>
            <c:spPr>
              <a:solidFill>
                <a:srgbClr val="AF6A3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90"/>
            <c:spPr>
              <a:solidFill>
                <a:srgbClr val="385C8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91"/>
            <c:spPr>
              <a:solidFill>
                <a:srgbClr val="89393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92"/>
            <c:spPr>
              <a:solidFill>
                <a:srgbClr val="6F863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93"/>
            <c:spPr>
              <a:solidFill>
                <a:srgbClr val="5B477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94"/>
            <c:spPr>
              <a:solidFill>
                <a:srgbClr val="357B8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95"/>
            <c:spPr>
              <a:solidFill>
                <a:srgbClr val="B16B3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96"/>
            <c:spPr>
              <a:solidFill>
                <a:srgbClr val="395D8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97"/>
            <c:spPr>
              <a:solidFill>
                <a:srgbClr val="8B393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98"/>
            <c:spPr>
              <a:solidFill>
                <a:srgbClr val="70874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99"/>
            <c:spPr>
              <a:solidFill>
                <a:srgbClr val="5C487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00"/>
            <c:spPr>
              <a:solidFill>
                <a:srgbClr val="367C8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01"/>
            <c:spPr>
              <a:solidFill>
                <a:srgbClr val="B26C3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02"/>
            <c:spPr>
              <a:solidFill>
                <a:srgbClr val="395E8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03"/>
            <c:spPr>
              <a:solidFill>
                <a:srgbClr val="8C3A3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04"/>
            <c:spPr>
              <a:solidFill>
                <a:srgbClr val="71884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05"/>
            <c:spPr>
              <a:solidFill>
                <a:srgbClr val="5D497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06"/>
            <c:spPr>
              <a:solidFill>
                <a:srgbClr val="367D9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07"/>
            <c:spPr>
              <a:solidFill>
                <a:srgbClr val="B46D3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08"/>
            <c:spPr>
              <a:solidFill>
                <a:srgbClr val="3A5F8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09"/>
            <c:spPr>
              <a:solidFill>
                <a:srgbClr val="8D3B3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10"/>
            <c:spPr>
              <a:solidFill>
                <a:srgbClr val="72894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11"/>
            <c:spPr>
              <a:solidFill>
                <a:srgbClr val="5E497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12"/>
            <c:spPr>
              <a:solidFill>
                <a:srgbClr val="377E9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13"/>
            <c:spPr>
              <a:solidFill>
                <a:srgbClr val="B66E3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14"/>
            <c:spPr>
              <a:solidFill>
                <a:srgbClr val="3A608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15"/>
            <c:spPr>
              <a:solidFill>
                <a:srgbClr val="8E3B3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16"/>
            <c:spPr>
              <a:solidFill>
                <a:srgbClr val="738B4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17"/>
            <c:spPr>
              <a:solidFill>
                <a:srgbClr val="5F4A7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18"/>
            <c:spPr>
              <a:solidFill>
                <a:srgbClr val="37809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19"/>
            <c:spPr>
              <a:solidFill>
                <a:srgbClr val="B76F3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20"/>
            <c:spPr>
              <a:solidFill>
                <a:srgbClr val="3B608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21"/>
            <c:spPr>
              <a:solidFill>
                <a:srgbClr val="903C3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22"/>
            <c:spPr>
              <a:solidFill>
                <a:srgbClr val="748C4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23"/>
            <c:spPr>
              <a:solidFill>
                <a:srgbClr val="604B7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24"/>
            <c:spPr>
              <a:solidFill>
                <a:srgbClr val="38819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25"/>
            <c:spPr>
              <a:solidFill>
                <a:srgbClr val="B9703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26"/>
            <c:spPr>
              <a:solidFill>
                <a:srgbClr val="3B618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27"/>
            <c:spPr>
              <a:solidFill>
                <a:srgbClr val="913C3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28"/>
            <c:spPr>
              <a:solidFill>
                <a:srgbClr val="758D4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29"/>
            <c:spPr>
              <a:solidFill>
                <a:srgbClr val="604B7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30"/>
            <c:spPr>
              <a:solidFill>
                <a:srgbClr val="38829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31"/>
            <c:spPr>
              <a:solidFill>
                <a:srgbClr val="BB713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32"/>
            <c:spPr>
              <a:solidFill>
                <a:srgbClr val="3C629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33"/>
            <c:spPr>
              <a:solidFill>
                <a:srgbClr val="923D3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34"/>
            <c:spPr>
              <a:solidFill>
                <a:srgbClr val="768E4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35"/>
            <c:spPr>
              <a:solidFill>
                <a:srgbClr val="614C7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36"/>
            <c:spPr>
              <a:solidFill>
                <a:srgbClr val="39839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37"/>
            <c:spPr>
              <a:solidFill>
                <a:srgbClr val="BC723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38"/>
            <c:spPr>
              <a:solidFill>
                <a:srgbClr val="3C639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39"/>
            <c:spPr>
              <a:solidFill>
                <a:srgbClr val="933D3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40"/>
            <c:spPr>
              <a:solidFill>
                <a:srgbClr val="77904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41"/>
            <c:spPr>
              <a:solidFill>
                <a:srgbClr val="624D7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42"/>
            <c:spPr>
              <a:solidFill>
                <a:srgbClr val="39849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43"/>
            <c:spPr>
              <a:solidFill>
                <a:srgbClr val="BE733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44"/>
            <c:spPr>
              <a:solidFill>
                <a:srgbClr val="3D649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45"/>
            <c:spPr>
              <a:solidFill>
                <a:srgbClr val="953E3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46"/>
            <c:spPr>
              <a:solidFill>
                <a:srgbClr val="78914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47"/>
            <c:spPr>
              <a:solidFill>
                <a:srgbClr val="634D7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48"/>
            <c:spPr>
              <a:solidFill>
                <a:srgbClr val="3A859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49"/>
            <c:spPr>
              <a:solidFill>
                <a:srgbClr val="BF743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50"/>
            <c:spPr>
              <a:solidFill>
                <a:srgbClr val="3D659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51"/>
            <c:spPr>
              <a:solidFill>
                <a:srgbClr val="963E3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52"/>
            <c:spPr>
              <a:solidFill>
                <a:srgbClr val="79924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53"/>
            <c:spPr>
              <a:solidFill>
                <a:srgbClr val="644E7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54"/>
            <c:spPr>
              <a:solidFill>
                <a:srgbClr val="3A869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55"/>
            <c:spPr>
              <a:solidFill>
                <a:srgbClr val="C1753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56"/>
            <c:spPr>
              <a:solidFill>
                <a:srgbClr val="3E659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57"/>
            <c:spPr>
              <a:solidFill>
                <a:srgbClr val="973F3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58"/>
            <c:spPr>
              <a:solidFill>
                <a:srgbClr val="7A934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59"/>
            <c:spPr>
              <a:solidFill>
                <a:srgbClr val="654E7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60"/>
            <c:spPr>
              <a:solidFill>
                <a:srgbClr val="3B879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61"/>
            <c:spPr>
              <a:solidFill>
                <a:srgbClr val="C2763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62"/>
            <c:spPr>
              <a:solidFill>
                <a:srgbClr val="3E669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63"/>
            <c:spPr>
              <a:solidFill>
                <a:srgbClr val="983F3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64"/>
            <c:spPr>
              <a:solidFill>
                <a:srgbClr val="7B944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65"/>
            <c:spPr>
              <a:solidFill>
                <a:srgbClr val="654F8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66"/>
            <c:spPr>
              <a:solidFill>
                <a:srgbClr val="3B889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67"/>
            <c:spPr>
              <a:solidFill>
                <a:srgbClr val="C4773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68"/>
            <c:spPr>
              <a:solidFill>
                <a:srgbClr val="3F679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69"/>
            <c:spPr>
              <a:solidFill>
                <a:srgbClr val="99403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70"/>
            <c:spPr>
              <a:solidFill>
                <a:srgbClr val="7C954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71"/>
            <c:spPr>
              <a:solidFill>
                <a:srgbClr val="66508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72"/>
            <c:spPr>
              <a:solidFill>
                <a:srgbClr val="3C899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73"/>
            <c:spPr>
              <a:solidFill>
                <a:srgbClr val="C5783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74"/>
            <c:spPr>
              <a:solidFill>
                <a:srgbClr val="3F689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75"/>
            <c:spPr>
              <a:solidFill>
                <a:srgbClr val="9A403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76"/>
            <c:spPr>
              <a:solidFill>
                <a:srgbClr val="7D964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77"/>
            <c:spPr>
              <a:solidFill>
                <a:srgbClr val="67508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78"/>
            <c:spPr>
              <a:solidFill>
                <a:srgbClr val="3C8A9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79"/>
            <c:spPr>
              <a:solidFill>
                <a:srgbClr val="C7793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80"/>
            <c:spPr>
              <a:solidFill>
                <a:srgbClr val="40689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81"/>
            <c:spPr>
              <a:solidFill>
                <a:srgbClr val="9C413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82"/>
            <c:spPr>
              <a:solidFill>
                <a:srgbClr val="7E984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83"/>
            <c:spPr>
              <a:solidFill>
                <a:srgbClr val="68518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84"/>
            <c:spPr>
              <a:solidFill>
                <a:srgbClr val="3C8BA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85"/>
            <c:spPr>
              <a:solidFill>
                <a:srgbClr val="C8793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86"/>
            <c:spPr>
              <a:solidFill>
                <a:srgbClr val="40699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87"/>
            <c:spPr>
              <a:solidFill>
                <a:srgbClr val="9D413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88"/>
            <c:spPr>
              <a:solidFill>
                <a:srgbClr val="7E994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89"/>
            <c:spPr>
              <a:solidFill>
                <a:srgbClr val="68518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90"/>
            <c:spPr>
              <a:solidFill>
                <a:srgbClr val="3D8CA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91"/>
            <c:spPr>
              <a:solidFill>
                <a:srgbClr val="CA7A3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92"/>
            <c:spPr>
              <a:solidFill>
                <a:srgbClr val="416A9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93"/>
            <c:spPr>
              <a:solidFill>
                <a:srgbClr val="9E413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94"/>
            <c:spPr>
              <a:solidFill>
                <a:srgbClr val="7F9A4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95"/>
            <c:spPr>
              <a:solidFill>
                <a:srgbClr val="69528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96"/>
            <c:spPr>
              <a:solidFill>
                <a:srgbClr val="3D8DA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97"/>
            <c:spPr>
              <a:solidFill>
                <a:srgbClr val="CB7B3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98"/>
            <c:spPr>
              <a:solidFill>
                <a:srgbClr val="416B9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99"/>
            <c:spPr>
              <a:solidFill>
                <a:srgbClr val="9F423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00"/>
            <c:spPr>
              <a:solidFill>
                <a:srgbClr val="809B4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01"/>
            <c:spPr>
              <a:solidFill>
                <a:srgbClr val="6A538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02"/>
            <c:spPr>
              <a:solidFill>
                <a:srgbClr val="3E8EA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03"/>
            <c:spPr>
              <a:solidFill>
                <a:srgbClr val="CD7C3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04"/>
            <c:spPr>
              <a:solidFill>
                <a:srgbClr val="426B9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05"/>
            <c:spPr>
              <a:solidFill>
                <a:srgbClr val="A0424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06"/>
            <c:spPr>
              <a:solidFill>
                <a:srgbClr val="819C4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07"/>
            <c:spPr>
              <a:solidFill>
                <a:srgbClr val="6B538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08"/>
            <c:spPr>
              <a:solidFill>
                <a:srgbClr val="3E8FA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09"/>
            <c:spPr>
              <a:solidFill>
                <a:srgbClr val="CE7D3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10"/>
            <c:spPr>
              <a:solidFill>
                <a:srgbClr val="426C9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11"/>
            <c:spPr>
              <a:solidFill>
                <a:srgbClr val="A1434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12"/>
            <c:spPr>
              <a:solidFill>
                <a:srgbClr val="829D4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13"/>
            <c:spPr>
              <a:solidFill>
                <a:srgbClr val="6B548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14"/>
            <c:spPr>
              <a:solidFill>
                <a:srgbClr val="3F90A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15"/>
            <c:spPr>
              <a:solidFill>
                <a:srgbClr val="CF7E3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16"/>
            <c:spPr>
              <a:solidFill>
                <a:srgbClr val="426DA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17"/>
            <c:spPr>
              <a:solidFill>
                <a:srgbClr val="A2434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18"/>
            <c:spPr>
              <a:solidFill>
                <a:srgbClr val="839E4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19"/>
            <c:spPr>
              <a:solidFill>
                <a:srgbClr val="6C548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20"/>
            <c:spPr>
              <a:solidFill>
                <a:srgbClr val="3F91A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21"/>
            <c:spPr>
              <a:solidFill>
                <a:srgbClr val="D17F3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22"/>
            <c:spPr>
              <a:solidFill>
                <a:srgbClr val="436EA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23"/>
            <c:spPr>
              <a:solidFill>
                <a:srgbClr val="A3444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24"/>
            <c:spPr>
              <a:solidFill>
                <a:srgbClr val="849F4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25"/>
            <c:spPr>
              <a:solidFill>
                <a:srgbClr val="6D558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26"/>
            <c:spPr>
              <a:solidFill>
                <a:srgbClr val="3F92A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27"/>
            <c:spPr>
              <a:solidFill>
                <a:srgbClr val="D27F3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28"/>
            <c:spPr>
              <a:solidFill>
                <a:srgbClr val="436EA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29"/>
            <c:spPr>
              <a:solidFill>
                <a:srgbClr val="A4444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30"/>
            <c:spPr>
              <a:solidFill>
                <a:srgbClr val="85A04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31"/>
            <c:spPr>
              <a:solidFill>
                <a:srgbClr val="6D558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32"/>
            <c:spPr>
              <a:solidFill>
                <a:srgbClr val="4093A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33"/>
            <c:spPr>
              <a:solidFill>
                <a:srgbClr val="D4803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34"/>
            <c:spPr>
              <a:solidFill>
                <a:srgbClr val="446FA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35"/>
            <c:spPr>
              <a:solidFill>
                <a:srgbClr val="A5454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36"/>
            <c:spPr>
              <a:solidFill>
                <a:srgbClr val="85A14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37"/>
            <c:spPr>
              <a:solidFill>
                <a:srgbClr val="6E568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38"/>
            <c:spPr>
              <a:solidFill>
                <a:srgbClr val="4094A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39"/>
            <c:spPr>
              <a:solidFill>
                <a:srgbClr val="D5813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40"/>
            <c:spPr>
              <a:solidFill>
                <a:srgbClr val="4470A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41"/>
            <c:spPr>
              <a:solidFill>
                <a:srgbClr val="A6454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42"/>
            <c:spPr>
              <a:solidFill>
                <a:srgbClr val="86A24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43"/>
            <c:spPr>
              <a:solidFill>
                <a:srgbClr val="6F568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44"/>
            <c:spPr>
              <a:solidFill>
                <a:srgbClr val="4195A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45"/>
            <c:spPr>
              <a:solidFill>
                <a:srgbClr val="D6823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46"/>
            <c:spPr>
              <a:solidFill>
                <a:srgbClr val="4570A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47"/>
            <c:spPr>
              <a:solidFill>
                <a:srgbClr val="A7454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48"/>
            <c:spPr>
              <a:solidFill>
                <a:srgbClr val="87A34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49"/>
            <c:spPr>
              <a:solidFill>
                <a:srgbClr val="6F578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50"/>
            <c:spPr>
              <a:solidFill>
                <a:srgbClr val="4196A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51"/>
            <c:spPr>
              <a:solidFill>
                <a:srgbClr val="D8833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52"/>
            <c:spPr>
              <a:solidFill>
                <a:srgbClr val="4571A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53"/>
            <c:spPr>
              <a:solidFill>
                <a:srgbClr val="A9464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54"/>
            <c:spPr>
              <a:solidFill>
                <a:srgbClr val="88A44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55"/>
            <c:spPr>
              <a:solidFill>
                <a:srgbClr val="70588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56"/>
            <c:spPr>
              <a:solidFill>
                <a:srgbClr val="4297A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57"/>
            <c:spPr>
              <a:solidFill>
                <a:srgbClr val="D9843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58"/>
            <c:spPr>
              <a:solidFill>
                <a:srgbClr val="4572A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59"/>
            <c:spPr>
              <a:solidFill>
                <a:srgbClr val="AA464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60"/>
            <c:spPr>
              <a:solidFill>
                <a:srgbClr val="89A54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61"/>
            <c:spPr>
              <a:solidFill>
                <a:srgbClr val="71588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62"/>
            <c:spPr>
              <a:solidFill>
                <a:srgbClr val="4298A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63"/>
            <c:spPr>
              <a:solidFill>
                <a:srgbClr val="DA843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64"/>
            <c:spPr>
              <a:solidFill>
                <a:srgbClr val="4672A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65"/>
            <c:spPr>
              <a:solidFill>
                <a:srgbClr val="AB474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66"/>
            <c:spPr>
              <a:solidFill>
                <a:srgbClr val="8AA64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67"/>
            <c:spPr>
              <a:solidFill>
                <a:srgbClr val="72599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68"/>
            <c:spPr>
              <a:solidFill>
                <a:srgbClr val="4299B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69"/>
            <c:spPr>
              <a:solidFill>
                <a:srgbClr val="DC853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70"/>
            <c:spPr>
              <a:solidFill>
                <a:srgbClr val="4673A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71"/>
            <c:spPr>
              <a:solidFill>
                <a:srgbClr val="AC474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72"/>
            <c:spPr>
              <a:solidFill>
                <a:srgbClr val="8AA74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73"/>
            <c:spPr>
              <a:solidFill>
                <a:srgbClr val="72599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74"/>
            <c:spPr>
              <a:solidFill>
                <a:srgbClr val="439AB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75"/>
            <c:spPr>
              <a:solidFill>
                <a:srgbClr val="DD863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76"/>
            <c:spPr>
              <a:solidFill>
                <a:srgbClr val="4774A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77"/>
            <c:spPr>
              <a:solidFill>
                <a:srgbClr val="AD484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78"/>
            <c:spPr>
              <a:solidFill>
                <a:srgbClr val="8BA85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79"/>
            <c:spPr>
              <a:solidFill>
                <a:srgbClr val="735A9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80"/>
            <c:spPr>
              <a:solidFill>
                <a:srgbClr val="439BB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81"/>
            <c:spPr>
              <a:solidFill>
                <a:srgbClr val="DE873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82"/>
            <c:spPr>
              <a:solidFill>
                <a:srgbClr val="4774A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83"/>
            <c:spPr>
              <a:solidFill>
                <a:srgbClr val="AE484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84"/>
            <c:spPr>
              <a:solidFill>
                <a:srgbClr val="8CA95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85"/>
            <c:spPr>
              <a:solidFill>
                <a:srgbClr val="745A9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86"/>
            <c:spPr>
              <a:solidFill>
                <a:srgbClr val="439BB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87"/>
            <c:spPr>
              <a:solidFill>
                <a:srgbClr val="DF873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88"/>
            <c:spPr>
              <a:solidFill>
                <a:srgbClr val="4875A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89"/>
            <c:spPr>
              <a:solidFill>
                <a:srgbClr val="AF484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90"/>
            <c:spPr>
              <a:solidFill>
                <a:srgbClr val="8DAA5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91"/>
            <c:spPr>
              <a:solidFill>
                <a:srgbClr val="745B9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92"/>
            <c:spPr>
              <a:solidFill>
                <a:srgbClr val="449CB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93"/>
            <c:spPr>
              <a:solidFill>
                <a:srgbClr val="E1883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94"/>
            <c:spPr>
              <a:solidFill>
                <a:srgbClr val="4876A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95"/>
            <c:spPr>
              <a:solidFill>
                <a:srgbClr val="AF494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96"/>
            <c:spPr>
              <a:solidFill>
                <a:srgbClr val="8EAB5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97"/>
            <c:spPr>
              <a:solidFill>
                <a:srgbClr val="755B9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98"/>
            <c:spPr>
              <a:solidFill>
                <a:srgbClr val="449DB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99"/>
            <c:spPr>
              <a:solidFill>
                <a:srgbClr val="E2894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00"/>
            <c:spPr>
              <a:solidFill>
                <a:srgbClr val="4876A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01"/>
            <c:spPr>
              <a:solidFill>
                <a:srgbClr val="B0494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02"/>
            <c:spPr>
              <a:solidFill>
                <a:srgbClr val="8EAC5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03"/>
            <c:spPr>
              <a:solidFill>
                <a:srgbClr val="755C9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04"/>
            <c:spPr>
              <a:solidFill>
                <a:srgbClr val="459EB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05"/>
            <c:spPr>
              <a:solidFill>
                <a:srgbClr val="E38A4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06"/>
            <c:spPr>
              <a:solidFill>
                <a:srgbClr val="4977A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07"/>
            <c:spPr>
              <a:solidFill>
                <a:srgbClr val="B14A4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08"/>
            <c:spPr>
              <a:solidFill>
                <a:srgbClr val="8FAD5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09"/>
            <c:spPr>
              <a:solidFill>
                <a:srgbClr val="765C9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10"/>
            <c:spPr>
              <a:solidFill>
                <a:srgbClr val="459FB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11"/>
            <c:spPr>
              <a:solidFill>
                <a:srgbClr val="E48A4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12"/>
            <c:spPr>
              <a:solidFill>
                <a:srgbClr val="4978B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13"/>
            <c:spPr>
              <a:solidFill>
                <a:srgbClr val="B24A4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14"/>
            <c:spPr>
              <a:solidFill>
                <a:srgbClr val="90AE5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15"/>
            <c:spPr>
              <a:solidFill>
                <a:srgbClr val="775D9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16"/>
            <c:spPr>
              <a:solidFill>
                <a:srgbClr val="45A0B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17"/>
            <c:spPr>
              <a:solidFill>
                <a:srgbClr val="E68B4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18"/>
            <c:spPr>
              <a:solidFill>
                <a:srgbClr val="4978B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19"/>
            <c:spPr>
              <a:solidFill>
                <a:srgbClr val="B34A4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20"/>
            <c:spPr>
              <a:solidFill>
                <a:srgbClr val="91AF5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21"/>
            <c:spPr>
              <a:solidFill>
                <a:srgbClr val="775D9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22"/>
            <c:spPr>
              <a:solidFill>
                <a:srgbClr val="46A1B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23"/>
            <c:spPr>
              <a:solidFill>
                <a:srgbClr val="E78C4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24"/>
            <c:spPr>
              <a:solidFill>
                <a:srgbClr val="4A79B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25"/>
            <c:spPr>
              <a:solidFill>
                <a:srgbClr val="B44B4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26"/>
            <c:spPr>
              <a:solidFill>
                <a:srgbClr val="91B05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27"/>
            <c:spPr>
              <a:solidFill>
                <a:srgbClr val="785E9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28"/>
            <c:spPr>
              <a:solidFill>
                <a:srgbClr val="46A1B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29"/>
            <c:spPr>
              <a:solidFill>
                <a:srgbClr val="E88D4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30"/>
            <c:spPr>
              <a:solidFill>
                <a:srgbClr val="4A7AB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31"/>
            <c:spPr>
              <a:solidFill>
                <a:srgbClr val="B54B4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32"/>
            <c:spPr>
              <a:solidFill>
                <a:srgbClr val="92B05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33"/>
            <c:spPr>
              <a:solidFill>
                <a:srgbClr val="795E9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34"/>
            <c:spPr>
              <a:solidFill>
                <a:srgbClr val="46A2B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35"/>
            <c:spPr>
              <a:solidFill>
                <a:srgbClr val="E98D4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36"/>
            <c:spPr>
              <a:solidFill>
                <a:srgbClr val="4B7AB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37"/>
            <c:spPr>
              <a:solidFill>
                <a:srgbClr val="B64C4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38"/>
            <c:spPr>
              <a:solidFill>
                <a:srgbClr val="93B15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39"/>
            <c:spPr>
              <a:solidFill>
                <a:srgbClr val="795F9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40"/>
            <c:spPr>
              <a:solidFill>
                <a:srgbClr val="47A3B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41"/>
            <c:spPr>
              <a:solidFill>
                <a:srgbClr val="EA8E4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42"/>
            <c:spPr>
              <a:solidFill>
                <a:srgbClr val="4B7BB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43"/>
            <c:spPr>
              <a:solidFill>
                <a:srgbClr val="B74C4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44"/>
            <c:spPr>
              <a:solidFill>
                <a:srgbClr val="94B25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45"/>
            <c:spPr>
              <a:solidFill>
                <a:srgbClr val="7A5F9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46"/>
            <c:spPr>
              <a:solidFill>
                <a:srgbClr val="47A4B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47"/>
            <c:spPr>
              <a:solidFill>
                <a:srgbClr val="EC8F4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48"/>
            <c:spPr>
              <a:solidFill>
                <a:srgbClr val="4B7BB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49"/>
            <c:spPr>
              <a:solidFill>
                <a:srgbClr val="B84C4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50"/>
            <c:spPr>
              <a:solidFill>
                <a:srgbClr val="94B35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51"/>
            <c:spPr>
              <a:solidFill>
                <a:srgbClr val="7A609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52"/>
            <c:spPr>
              <a:solidFill>
                <a:srgbClr val="48A5B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53"/>
            <c:spPr>
              <a:solidFill>
                <a:srgbClr val="ED904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54"/>
            <c:spPr>
              <a:solidFill>
                <a:srgbClr val="4C7CB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55"/>
            <c:spPr>
              <a:solidFill>
                <a:srgbClr val="B94D4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56"/>
            <c:spPr>
              <a:solidFill>
                <a:srgbClr val="95B45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57"/>
            <c:spPr>
              <a:solidFill>
                <a:srgbClr val="7B609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58"/>
            <c:spPr>
              <a:solidFill>
                <a:srgbClr val="48A6B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59"/>
            <c:spPr>
              <a:solidFill>
                <a:srgbClr val="EE904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60"/>
            <c:spPr>
              <a:solidFill>
                <a:srgbClr val="4C7DB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61"/>
            <c:spPr>
              <a:solidFill>
                <a:srgbClr val="BA4D4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62"/>
            <c:spPr>
              <a:solidFill>
                <a:srgbClr val="96B55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63"/>
            <c:spPr>
              <a:solidFill>
                <a:srgbClr val="7C619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64"/>
            <c:spPr>
              <a:solidFill>
                <a:srgbClr val="48A6C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65"/>
            <c:spPr>
              <a:solidFill>
                <a:srgbClr val="EF914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66"/>
            <c:spPr>
              <a:solidFill>
                <a:srgbClr val="4D7DB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67"/>
            <c:spPr>
              <a:solidFill>
                <a:srgbClr val="BB4D4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68"/>
            <c:spPr>
              <a:solidFill>
                <a:srgbClr val="97B65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69"/>
            <c:spPr>
              <a:solidFill>
                <a:srgbClr val="7C619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70"/>
            <c:spPr>
              <a:solidFill>
                <a:srgbClr val="49A7C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71"/>
            <c:spPr>
              <a:solidFill>
                <a:srgbClr val="F0924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72"/>
            <c:spPr>
              <a:solidFill>
                <a:srgbClr val="4D7EB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73"/>
            <c:spPr>
              <a:solidFill>
                <a:srgbClr val="BC4E4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74"/>
            <c:spPr>
              <a:solidFill>
                <a:srgbClr val="97B75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75"/>
            <c:spPr>
              <a:solidFill>
                <a:srgbClr val="7D619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76"/>
            <c:spPr>
              <a:solidFill>
                <a:srgbClr val="49A8C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77"/>
            <c:spPr>
              <a:solidFill>
                <a:srgbClr val="F1924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78"/>
            <c:spPr>
              <a:solidFill>
                <a:srgbClr val="4D7EB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79"/>
            <c:spPr>
              <a:solidFill>
                <a:srgbClr val="BC4E4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80"/>
            <c:spPr>
              <a:solidFill>
                <a:srgbClr val="98B85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81"/>
            <c:spPr>
              <a:solidFill>
                <a:srgbClr val="7D629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82"/>
            <c:spPr>
              <a:solidFill>
                <a:srgbClr val="49A9C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83"/>
            <c:spPr>
              <a:solidFill>
                <a:srgbClr val="F3934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84"/>
            <c:spPr>
              <a:solidFill>
                <a:srgbClr val="4E7FB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85"/>
            <c:spPr>
              <a:solidFill>
                <a:srgbClr val="BD4F4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86"/>
            <c:spPr>
              <a:solidFill>
                <a:srgbClr val="99B85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87"/>
            <c:spPr>
              <a:solidFill>
                <a:srgbClr val="7E62A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88"/>
            <c:spPr>
              <a:solidFill>
                <a:srgbClr val="4AAAC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89"/>
            <c:spPr>
              <a:solidFill>
                <a:srgbClr val="F4944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90"/>
            <c:spPr>
              <a:solidFill>
                <a:srgbClr val="4E80B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91"/>
            <c:spPr>
              <a:solidFill>
                <a:srgbClr val="BE4F4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92"/>
            <c:spPr>
              <a:solidFill>
                <a:srgbClr val="99B95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93"/>
            <c:spPr>
              <a:solidFill>
                <a:srgbClr val="7F63A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94"/>
            <c:spPr>
              <a:solidFill>
                <a:srgbClr val="4AAAC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95"/>
            <c:spPr>
              <a:solidFill>
                <a:srgbClr val="F5944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96"/>
            <c:spPr>
              <a:solidFill>
                <a:srgbClr val="4E80B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97"/>
            <c:spPr>
              <a:solidFill>
                <a:srgbClr val="BF4F4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98"/>
            <c:spPr>
              <a:solidFill>
                <a:srgbClr val="9ABA5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99"/>
            <c:spPr>
              <a:solidFill>
                <a:srgbClr val="7F63A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00"/>
            <c:spPr>
              <a:solidFill>
                <a:srgbClr val="4AABC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01"/>
            <c:spPr>
              <a:solidFill>
                <a:srgbClr val="F6954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02"/>
            <c:spPr>
              <a:solidFill>
                <a:srgbClr val="5182B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03"/>
            <c:spPr>
              <a:solidFill>
                <a:srgbClr val="C0524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04"/>
            <c:spPr>
              <a:solidFill>
                <a:srgbClr val="9BBB5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05"/>
            <c:spPr>
              <a:solidFill>
                <a:srgbClr val="8165A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06"/>
            <c:spPr>
              <a:solidFill>
                <a:srgbClr val="4DACC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07"/>
            <c:spPr>
              <a:solidFill>
                <a:srgbClr val="F7964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08"/>
            <c:spPr>
              <a:solidFill>
                <a:srgbClr val="5584B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09"/>
            <c:spPr>
              <a:solidFill>
                <a:srgbClr val="C1565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10"/>
            <c:spPr>
              <a:solidFill>
                <a:srgbClr val="9DBC5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11"/>
            <c:spPr>
              <a:solidFill>
                <a:srgbClr val="8368A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12"/>
            <c:spPr>
              <a:solidFill>
                <a:srgbClr val="52ADC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13"/>
            <c:spPr>
              <a:solidFill>
                <a:srgbClr val="F7984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14"/>
            <c:spPr>
              <a:solidFill>
                <a:srgbClr val="5A86B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15"/>
            <c:spPr>
              <a:solidFill>
                <a:srgbClr val="C15B5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16"/>
            <c:spPr>
              <a:solidFill>
                <a:srgbClr val="9EBD6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17"/>
            <c:spPr>
              <a:solidFill>
                <a:srgbClr val="856CA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18"/>
            <c:spPr>
              <a:solidFill>
                <a:srgbClr val="56AEC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19"/>
            <c:spPr>
              <a:solidFill>
                <a:srgbClr val="F7995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20"/>
            <c:spPr>
              <a:solidFill>
                <a:srgbClr val="5E88B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21"/>
            <c:spPr>
              <a:solidFill>
                <a:srgbClr val="C25F5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22"/>
            <c:spPr>
              <a:solidFill>
                <a:srgbClr val="A0BE6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23"/>
            <c:spPr>
              <a:solidFill>
                <a:srgbClr val="876FA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24"/>
            <c:spPr>
              <a:solidFill>
                <a:srgbClr val="5BAFC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25"/>
            <c:spPr>
              <a:solidFill>
                <a:srgbClr val="F79B5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26"/>
            <c:spPr>
              <a:solidFill>
                <a:srgbClr val="628AC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27"/>
            <c:spPr>
              <a:solidFill>
                <a:srgbClr val="C3626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28"/>
            <c:spPr>
              <a:solidFill>
                <a:srgbClr val="A1BE6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29"/>
            <c:spPr>
              <a:solidFill>
                <a:srgbClr val="8972A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30"/>
            <c:spPr>
              <a:solidFill>
                <a:srgbClr val="5FB1C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31"/>
            <c:spPr>
              <a:solidFill>
                <a:srgbClr val="F79D5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32"/>
            <c:spPr>
              <a:solidFill>
                <a:srgbClr val="658CC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33"/>
            <c:spPr>
              <a:solidFill>
                <a:srgbClr val="C4666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34"/>
            <c:spPr>
              <a:solidFill>
                <a:srgbClr val="A2BF6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35"/>
            <c:spPr>
              <a:solidFill>
                <a:srgbClr val="8B74A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36"/>
            <c:spPr>
              <a:solidFill>
                <a:srgbClr val="63B2C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37"/>
            <c:spPr>
              <a:solidFill>
                <a:srgbClr val="F79E5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38"/>
            <c:spPr>
              <a:solidFill>
                <a:srgbClr val="698EC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39"/>
            <c:spPr>
              <a:solidFill>
                <a:srgbClr val="C5696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40"/>
            <c:spPr>
              <a:solidFill>
                <a:srgbClr val="A4C06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41"/>
            <c:spPr>
              <a:solidFill>
                <a:srgbClr val="8D77A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42"/>
            <c:spPr>
              <a:solidFill>
                <a:srgbClr val="66B3C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43"/>
            <c:spPr>
              <a:solidFill>
                <a:srgbClr val="F7A06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44"/>
            <c:spPr>
              <a:solidFill>
                <a:srgbClr val="6C90C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45"/>
            <c:spPr>
              <a:solidFill>
                <a:srgbClr val="C56D6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46"/>
            <c:spPr>
              <a:solidFill>
                <a:srgbClr val="A5C17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47"/>
            <c:spPr>
              <a:solidFill>
                <a:srgbClr val="8F7AA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48"/>
            <c:spPr>
              <a:solidFill>
                <a:srgbClr val="6AB4C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49"/>
            <c:spPr>
              <a:solidFill>
                <a:srgbClr val="F7A16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50"/>
            <c:spPr>
              <a:solidFill>
                <a:srgbClr val="6F92C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51"/>
            <c:spPr>
              <a:solidFill>
                <a:srgbClr val="C6706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52"/>
            <c:spPr>
              <a:solidFill>
                <a:srgbClr val="A7C27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53"/>
            <c:spPr>
              <a:solidFill>
                <a:srgbClr val="917DA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54"/>
            <c:spPr>
              <a:solidFill>
                <a:srgbClr val="6DB5C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55"/>
            <c:spPr>
              <a:solidFill>
                <a:srgbClr val="F7A26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56"/>
            <c:spPr>
              <a:solidFill>
                <a:srgbClr val="7294C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57"/>
            <c:spPr>
              <a:solidFill>
                <a:srgbClr val="C7737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58"/>
            <c:spPr>
              <a:solidFill>
                <a:srgbClr val="A8C37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59"/>
            <c:spPr>
              <a:solidFill>
                <a:srgbClr val="937FA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60"/>
            <c:spPr>
              <a:solidFill>
                <a:srgbClr val="70B6C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61"/>
            <c:spPr>
              <a:solidFill>
                <a:srgbClr val="F7A46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62"/>
            <c:spPr>
              <a:solidFill>
                <a:srgbClr val="7595C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63"/>
            <c:spPr>
              <a:solidFill>
                <a:srgbClr val="C8767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64"/>
            <c:spPr>
              <a:solidFill>
                <a:srgbClr val="A9C37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65"/>
            <c:spPr>
              <a:solidFill>
                <a:srgbClr val="9582A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66"/>
            <c:spPr>
              <a:solidFill>
                <a:srgbClr val="73B7C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67"/>
            <c:spPr>
              <a:solidFill>
                <a:srgbClr val="F7A57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68"/>
            <c:spPr>
              <a:solidFill>
                <a:srgbClr val="7897C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69"/>
            <c:spPr>
              <a:solidFill>
                <a:srgbClr val="C8797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70"/>
            <c:spPr>
              <a:solidFill>
                <a:srgbClr val="ABC47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71"/>
            <c:spPr>
              <a:solidFill>
                <a:srgbClr val="9784B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72"/>
            <c:spPr>
              <a:solidFill>
                <a:srgbClr val="76B8C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73"/>
            <c:spPr>
              <a:solidFill>
                <a:srgbClr val="F7A77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74"/>
            <c:spPr>
              <a:solidFill>
                <a:srgbClr val="7B99C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75"/>
            <c:spPr>
              <a:solidFill>
                <a:srgbClr val="C97B7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76"/>
            <c:spPr>
              <a:solidFill>
                <a:srgbClr val="ACC58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77"/>
            <c:spPr>
              <a:solidFill>
                <a:srgbClr val="9886B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78"/>
            <c:spPr>
              <a:solidFill>
                <a:srgbClr val="79B9C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79"/>
            <c:spPr>
              <a:solidFill>
                <a:srgbClr val="F8A87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80"/>
            <c:spPr>
              <a:solidFill>
                <a:srgbClr val="7E9BC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81"/>
            <c:spPr>
              <a:solidFill>
                <a:srgbClr val="CA7E7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82"/>
            <c:spPr>
              <a:solidFill>
                <a:srgbClr val="ADC68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83"/>
            <c:spPr>
              <a:solidFill>
                <a:srgbClr val="9A89B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84"/>
            <c:spPr>
              <a:solidFill>
                <a:srgbClr val="7CBAC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85"/>
            <c:spPr>
              <a:solidFill>
                <a:srgbClr val="F8AA7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86"/>
            <c:spPr>
              <a:solidFill>
                <a:srgbClr val="809CC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87"/>
            <c:spPr>
              <a:solidFill>
                <a:srgbClr val="CB817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88"/>
            <c:spPr>
              <a:solidFill>
                <a:srgbClr val="AFC78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89"/>
            <c:spPr>
              <a:solidFill>
                <a:srgbClr val="9C8BB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90"/>
            <c:spPr>
              <a:solidFill>
                <a:srgbClr val="7FBBC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91"/>
            <c:spPr>
              <a:solidFill>
                <a:srgbClr val="F8AB7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92"/>
            <c:spPr>
              <a:solidFill>
                <a:srgbClr val="839EC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93"/>
            <c:spPr>
              <a:solidFill>
                <a:srgbClr val="CB838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94"/>
            <c:spPr>
              <a:solidFill>
                <a:srgbClr val="B0C88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95"/>
            <c:spPr>
              <a:solidFill>
                <a:srgbClr val="9E8DB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96"/>
            <c:spPr>
              <a:solidFill>
                <a:srgbClr val="81BCD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97"/>
            <c:spPr>
              <a:solidFill>
                <a:srgbClr val="F8AC7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98"/>
            <c:spPr>
              <a:solidFill>
                <a:srgbClr val="85A0C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499"/>
            <c:spPr>
              <a:solidFill>
                <a:srgbClr val="CC868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00"/>
            <c:spPr>
              <a:solidFill>
                <a:srgbClr val="B1C88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01"/>
            <c:spPr>
              <a:solidFill>
                <a:srgbClr val="9F8FB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02"/>
            <c:spPr>
              <a:solidFill>
                <a:srgbClr val="84BDD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03"/>
            <c:spPr>
              <a:solidFill>
                <a:srgbClr val="F8AE8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04"/>
            <c:spPr>
              <a:solidFill>
                <a:srgbClr val="88A1C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05"/>
            <c:spPr>
              <a:solidFill>
                <a:srgbClr val="CD888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06"/>
            <c:spPr>
              <a:solidFill>
                <a:srgbClr val="B2C98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07"/>
            <c:spPr>
              <a:solidFill>
                <a:srgbClr val="A191B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08"/>
            <c:spPr>
              <a:solidFill>
                <a:srgbClr val="86BED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09"/>
            <c:spPr>
              <a:solidFill>
                <a:srgbClr val="F8AF8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10"/>
            <c:spPr>
              <a:solidFill>
                <a:srgbClr val="8AA3C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11"/>
            <c:spPr>
              <a:solidFill>
                <a:srgbClr val="CE8B8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12"/>
            <c:spPr>
              <a:solidFill>
                <a:srgbClr val="B4CA8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13"/>
            <c:spPr>
              <a:solidFill>
                <a:srgbClr val="A393B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14"/>
            <c:spPr>
              <a:solidFill>
                <a:srgbClr val="89BFD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15"/>
            <c:spPr>
              <a:solidFill>
                <a:srgbClr val="F8B08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16"/>
            <c:spPr>
              <a:solidFill>
                <a:srgbClr val="8DA5C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17"/>
            <c:spPr>
              <a:solidFill>
                <a:srgbClr val="CE8D8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18"/>
            <c:spPr>
              <a:solidFill>
                <a:srgbClr val="B5CB9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19"/>
            <c:spPr>
              <a:solidFill>
                <a:srgbClr val="A495B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20"/>
            <c:spPr>
              <a:solidFill>
                <a:srgbClr val="8BC0D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21"/>
            <c:spPr>
              <a:solidFill>
                <a:srgbClr val="F8B28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22"/>
            <c:spPr>
              <a:solidFill>
                <a:srgbClr val="8FA6C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23"/>
            <c:spPr>
              <a:solidFill>
                <a:srgbClr val="CF8F8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24"/>
            <c:spPr>
              <a:solidFill>
                <a:srgbClr val="B6CB9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25"/>
            <c:spPr>
              <a:solidFill>
                <a:srgbClr val="A697B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26"/>
            <c:spPr>
              <a:solidFill>
                <a:srgbClr val="8DC1D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27"/>
            <c:spPr>
              <a:solidFill>
                <a:srgbClr val="F8B38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28"/>
            <c:spPr>
              <a:solidFill>
                <a:srgbClr val="91A8C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29"/>
            <c:spPr>
              <a:solidFill>
                <a:srgbClr val="D0919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30"/>
            <c:spPr>
              <a:solidFill>
                <a:srgbClr val="B7CC9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31"/>
            <c:spPr>
              <a:solidFill>
                <a:srgbClr val="A799B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32"/>
            <c:spPr>
              <a:solidFill>
                <a:srgbClr val="90C2D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33"/>
            <c:spPr>
              <a:solidFill>
                <a:srgbClr val="F8B48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34"/>
            <c:spPr>
              <a:solidFill>
                <a:srgbClr val="93A9C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35"/>
            <c:spPr>
              <a:solidFill>
                <a:srgbClr val="D0949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36"/>
            <c:spPr>
              <a:solidFill>
                <a:srgbClr val="B8CD9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37"/>
            <c:spPr>
              <a:solidFill>
                <a:srgbClr val="A99BB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38"/>
            <c:spPr>
              <a:solidFill>
                <a:srgbClr val="92C3D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39"/>
            <c:spPr>
              <a:solidFill>
                <a:srgbClr val="F8B59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40"/>
            <c:spPr>
              <a:solidFill>
                <a:srgbClr val="95ABC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41"/>
            <c:spPr>
              <a:solidFill>
                <a:srgbClr val="D1969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42"/>
            <c:spPr>
              <a:solidFill>
                <a:srgbClr val="BACE9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43"/>
            <c:spPr>
              <a:solidFill>
                <a:srgbClr val="AA9DB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44"/>
            <c:spPr>
              <a:solidFill>
                <a:srgbClr val="94C4D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45"/>
            <c:spPr>
              <a:solidFill>
                <a:srgbClr val="F8B79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46"/>
            <c:spPr>
              <a:solidFill>
                <a:srgbClr val="98ACD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47"/>
            <c:spPr>
              <a:solidFill>
                <a:srgbClr val="D2989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48"/>
            <c:spPr>
              <a:solidFill>
                <a:srgbClr val="BBCF9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49"/>
            <c:spPr>
              <a:solidFill>
                <a:srgbClr val="AC9FB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50"/>
            <c:spPr>
              <a:solidFill>
                <a:srgbClr val="96C5D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51"/>
            <c:spPr>
              <a:solidFill>
                <a:srgbClr val="F9B89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52"/>
            <c:spPr>
              <a:solidFill>
                <a:srgbClr val="9AAED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53"/>
            <c:spPr>
              <a:solidFill>
                <a:srgbClr val="D39A9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54"/>
            <c:spPr>
              <a:solidFill>
                <a:srgbClr val="BCCF9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55"/>
            <c:spPr>
              <a:solidFill>
                <a:srgbClr val="ADA1C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56"/>
            <c:spPr>
              <a:solidFill>
                <a:srgbClr val="98C6D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57"/>
            <c:spPr>
              <a:solidFill>
                <a:srgbClr val="F9B99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58"/>
            <c:spPr>
              <a:solidFill>
                <a:srgbClr val="9CAFD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59"/>
            <c:spPr>
              <a:solidFill>
                <a:srgbClr val="D39C9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60"/>
            <c:spPr>
              <a:solidFill>
                <a:srgbClr val="BDD09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61"/>
            <c:spPr>
              <a:solidFill>
                <a:srgbClr val="AFA3C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62"/>
            <c:spPr>
              <a:solidFill>
                <a:srgbClr val="9BC7D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63"/>
            <c:spPr>
              <a:solidFill>
                <a:srgbClr val="F9BA9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64"/>
            <c:spPr>
              <a:solidFill>
                <a:srgbClr val="9EB1D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65"/>
            <c:spPr>
              <a:solidFill>
                <a:srgbClr val="D49E9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66"/>
            <c:spPr>
              <a:solidFill>
                <a:srgbClr val="BED1A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67"/>
            <c:spPr>
              <a:solidFill>
                <a:srgbClr val="B0A5C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68"/>
            <c:spPr>
              <a:solidFill>
                <a:srgbClr val="9DC8D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69"/>
            <c:spPr>
              <a:solidFill>
                <a:srgbClr val="F9BC9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70"/>
            <c:spPr>
              <a:solidFill>
                <a:srgbClr val="A0B2D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71"/>
            <c:spPr>
              <a:solidFill>
                <a:srgbClr val="D5A09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72"/>
            <c:spPr>
              <a:solidFill>
                <a:srgbClr val="BFD2A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73"/>
            <c:spPr>
              <a:solidFill>
                <a:srgbClr val="B2A6C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74"/>
            <c:spPr>
              <a:solidFill>
                <a:srgbClr val="9FC9D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75"/>
            <c:spPr>
              <a:solidFill>
                <a:srgbClr val="F9BD9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76"/>
            <c:spPr>
              <a:solidFill>
                <a:srgbClr val="A2B4D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77"/>
            <c:spPr>
              <a:solidFill>
                <a:srgbClr val="D5A2A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78"/>
            <c:spPr>
              <a:solidFill>
                <a:srgbClr val="C0D2A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79"/>
            <c:spPr>
              <a:solidFill>
                <a:srgbClr val="B3A8C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80"/>
            <c:spPr>
              <a:solidFill>
                <a:srgbClr val="A1CAD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81"/>
            <c:spPr>
              <a:solidFill>
                <a:srgbClr val="F9BE9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82"/>
            <c:spPr>
              <a:solidFill>
                <a:srgbClr val="A4B5D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83"/>
            <c:spPr>
              <a:solidFill>
                <a:srgbClr val="D6A4A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84"/>
            <c:spPr>
              <a:solidFill>
                <a:srgbClr val="C2D3A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85"/>
            <c:spPr>
              <a:solidFill>
                <a:srgbClr val="B5AAC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86"/>
            <c:spPr>
              <a:solidFill>
                <a:srgbClr val="A2CBD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87"/>
            <c:spPr>
              <a:solidFill>
                <a:srgbClr val="F9BFA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88"/>
            <c:spPr>
              <a:solidFill>
                <a:srgbClr val="A5B7D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89"/>
            <c:spPr>
              <a:solidFill>
                <a:srgbClr val="D7A6A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90"/>
            <c:spPr>
              <a:solidFill>
                <a:srgbClr val="C3D4A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91"/>
            <c:spPr>
              <a:solidFill>
                <a:srgbClr val="B6ACC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92"/>
            <c:spPr>
              <a:solidFill>
                <a:srgbClr val="A4CCD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93"/>
            <c:spPr>
              <a:solidFill>
                <a:srgbClr val="F9C0A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94"/>
            <c:spPr>
              <a:solidFill>
                <a:srgbClr val="A7B8D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95"/>
            <c:spPr>
              <a:solidFill>
                <a:srgbClr val="D7A8A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96"/>
            <c:spPr>
              <a:solidFill>
                <a:srgbClr val="C4D5A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97"/>
            <c:spPr>
              <a:solidFill>
                <a:srgbClr val="B8ADC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98"/>
            <c:spPr>
              <a:solidFill>
                <a:srgbClr val="A6CCD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599"/>
            <c:spPr>
              <a:solidFill>
                <a:srgbClr val="F9C1A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00"/>
            <c:spPr>
              <a:solidFill>
                <a:srgbClr val="A9B9D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01"/>
            <c:spPr>
              <a:solidFill>
                <a:srgbClr val="D8A9A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02"/>
            <c:spPr>
              <a:solidFill>
                <a:srgbClr val="C5D5A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03"/>
            <c:spPr>
              <a:solidFill>
                <a:srgbClr val="B9AFC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04"/>
            <c:spPr>
              <a:solidFill>
                <a:srgbClr val="A8CDD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05"/>
            <c:spPr>
              <a:solidFill>
                <a:srgbClr val="F9C3A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06"/>
            <c:spPr>
              <a:solidFill>
                <a:srgbClr val="ABBBD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07"/>
            <c:spPr>
              <a:solidFill>
                <a:srgbClr val="D9ABA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08"/>
            <c:spPr>
              <a:solidFill>
                <a:srgbClr val="C6D6A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09"/>
            <c:spPr>
              <a:solidFill>
                <a:srgbClr val="BAB1C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10"/>
            <c:spPr>
              <a:solidFill>
                <a:srgbClr val="AACED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11"/>
            <c:spPr>
              <a:solidFill>
                <a:srgbClr val="F9C4A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12"/>
            <c:spPr>
              <a:solidFill>
                <a:srgbClr val="ADBCD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13"/>
            <c:spPr>
              <a:solidFill>
                <a:srgbClr val="D9ADA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14"/>
            <c:spPr>
              <a:solidFill>
                <a:srgbClr val="C7D7A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15"/>
            <c:spPr>
              <a:solidFill>
                <a:srgbClr val="BCB2C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16"/>
            <c:spPr>
              <a:solidFill>
                <a:srgbClr val="ACCFD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17"/>
            <c:spPr>
              <a:solidFill>
                <a:srgbClr val="F9C5A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18"/>
            <c:spPr>
              <a:solidFill>
                <a:srgbClr val="AEBDD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19"/>
            <c:spPr>
              <a:solidFill>
                <a:srgbClr val="DAAFA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20"/>
            <c:spPr>
              <a:solidFill>
                <a:srgbClr val="C8D8B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21"/>
            <c:spPr>
              <a:solidFill>
                <a:srgbClr val="BDB4C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22"/>
            <c:spPr>
              <a:solidFill>
                <a:srgbClr val="AED0D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23"/>
            <c:spPr>
              <a:solidFill>
                <a:srgbClr val="FAC6A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24"/>
            <c:spPr>
              <a:solidFill>
                <a:srgbClr val="B0BFD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25"/>
            <c:spPr>
              <a:solidFill>
                <a:srgbClr val="DBB0B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26"/>
            <c:spPr>
              <a:solidFill>
                <a:srgbClr val="C9D8B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27"/>
            <c:spPr>
              <a:solidFill>
                <a:srgbClr val="BEB5C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28"/>
            <c:spPr>
              <a:solidFill>
                <a:srgbClr val="AFD1D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29"/>
            <c:spPr>
              <a:solidFill>
                <a:srgbClr val="FAC7A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30"/>
            <c:spPr>
              <a:solidFill>
                <a:srgbClr val="B2C0D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31"/>
            <c:spPr>
              <a:solidFill>
                <a:srgbClr val="DBB2B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32"/>
            <c:spPr>
              <a:solidFill>
                <a:srgbClr val="CAD9B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33"/>
            <c:spPr>
              <a:solidFill>
                <a:srgbClr val="C0B7C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34"/>
            <c:spPr>
              <a:solidFill>
                <a:srgbClr val="B1D2D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35"/>
            <c:spPr>
              <a:solidFill>
                <a:srgbClr val="FAC8B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36"/>
            <c:spPr>
              <a:solidFill>
                <a:srgbClr val="B4C1D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37"/>
            <c:spPr>
              <a:solidFill>
                <a:srgbClr val="DCB4B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38"/>
            <c:spPr>
              <a:solidFill>
                <a:srgbClr val="CBDAB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39"/>
            <c:spPr>
              <a:solidFill>
                <a:srgbClr val="C1B9C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40"/>
            <c:spPr>
              <a:solidFill>
                <a:srgbClr val="B3D3D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41"/>
            <c:spPr>
              <a:solidFill>
                <a:srgbClr val="FAC9B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42"/>
            <c:spPr>
              <a:solidFill>
                <a:srgbClr val="B5C3D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43"/>
            <c:spPr>
              <a:solidFill>
                <a:srgbClr val="DDB5B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44"/>
            <c:spPr>
              <a:solidFill>
                <a:srgbClr val="CCDAB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45"/>
            <c:spPr>
              <a:solidFill>
                <a:srgbClr val="C2BAC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46"/>
            <c:spPr>
              <a:solidFill>
                <a:srgbClr val="B5D4E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47"/>
            <c:spPr>
              <a:solidFill>
                <a:srgbClr val="FACAB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48"/>
            <c:spPr>
              <a:solidFill>
                <a:srgbClr val="B7C4D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49"/>
            <c:spPr>
              <a:solidFill>
                <a:srgbClr val="DDB7B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50"/>
            <c:spPr>
              <a:solidFill>
                <a:srgbClr val="CDDBB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51"/>
            <c:spPr>
              <a:solidFill>
                <a:srgbClr val="C4BCD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52"/>
            <c:spPr>
              <a:solidFill>
                <a:srgbClr val="B6D4E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53"/>
            <c:spPr>
              <a:solidFill>
                <a:srgbClr val="FACBB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54"/>
            <c:spPr>
              <a:solidFill>
                <a:srgbClr val="B9C5D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55"/>
            <c:spPr>
              <a:solidFill>
                <a:srgbClr val="DEB9B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56"/>
            <c:spPr>
              <a:solidFill>
                <a:srgbClr val="CEDCB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57"/>
            <c:spPr>
              <a:solidFill>
                <a:srgbClr val="C5BDD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58"/>
            <c:spPr>
              <a:solidFill>
                <a:srgbClr val="B8D5E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59"/>
            <c:spPr>
              <a:solidFill>
                <a:srgbClr val="FACDB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60"/>
            <c:spPr>
              <a:solidFill>
                <a:srgbClr val="BAC7D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61"/>
            <c:spPr>
              <a:solidFill>
                <a:srgbClr val="DFBAB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62"/>
            <c:spPr>
              <a:solidFill>
                <a:srgbClr val="CFDDB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63"/>
            <c:spPr>
              <a:solidFill>
                <a:srgbClr val="C6BFD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64"/>
            <c:spPr>
              <a:solidFill>
                <a:srgbClr val="B9D6E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65"/>
            <c:spPr>
              <a:solidFill>
                <a:srgbClr val="FACEB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66"/>
            <c:spPr>
              <a:solidFill>
                <a:srgbClr val="BCC8D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67"/>
            <c:spPr>
              <a:solidFill>
                <a:srgbClr val="DFBCB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68"/>
            <c:spPr>
              <a:solidFill>
                <a:srgbClr val="D1DDB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69"/>
            <c:spPr>
              <a:solidFill>
                <a:srgbClr val="C7C0D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70"/>
            <c:spPr>
              <a:solidFill>
                <a:srgbClr val="BBD7E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71"/>
            <c:spPr>
              <a:solidFill>
                <a:srgbClr val="FACFB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72"/>
            <c:spPr>
              <a:solidFill>
                <a:srgbClr val="BDC9D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73"/>
            <c:spPr>
              <a:solidFill>
                <a:srgbClr val="E0BEB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74"/>
            <c:spPr>
              <a:solidFill>
                <a:srgbClr val="D2DEB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75"/>
            <c:spPr>
              <a:solidFill>
                <a:srgbClr val="C9C1D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76"/>
            <c:spPr>
              <a:solidFill>
                <a:srgbClr val="BDD8E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77"/>
            <c:spPr>
              <a:solidFill>
                <a:srgbClr val="FAD0B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78"/>
            <c:spPr>
              <a:solidFill>
                <a:srgbClr val="BFCAD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79"/>
            <c:spPr>
              <a:solidFill>
                <a:srgbClr val="E1BFB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80"/>
            <c:spPr>
              <a:solidFill>
                <a:srgbClr val="D3DFC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81"/>
            <c:spPr>
              <a:solidFill>
                <a:srgbClr val="CAC3D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82"/>
            <c:spPr>
              <a:solidFill>
                <a:srgbClr val="BED9E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83"/>
            <c:spPr>
              <a:solidFill>
                <a:srgbClr val="FAD1B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84"/>
            <c:spPr>
              <a:solidFill>
                <a:srgbClr val="C0CBE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85"/>
            <c:spPr>
              <a:solidFill>
                <a:srgbClr val="E1C1C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86"/>
            <c:spPr>
              <a:solidFill>
                <a:srgbClr val="D4DFC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87"/>
            <c:spPr>
              <a:solidFill>
                <a:srgbClr val="CBC4D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88"/>
            <c:spPr>
              <a:solidFill>
                <a:srgbClr val="C0DAE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89"/>
            <c:spPr>
              <a:solidFill>
                <a:srgbClr val="FAD2B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90"/>
            <c:spPr>
              <a:solidFill>
                <a:srgbClr val="C2CDE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91"/>
            <c:spPr>
              <a:solidFill>
                <a:srgbClr val="E2C2C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92"/>
            <c:spPr>
              <a:solidFill>
                <a:srgbClr val="D5E0C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93"/>
            <c:spPr>
              <a:solidFill>
                <a:srgbClr val="CCC6D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94"/>
            <c:spPr>
              <a:solidFill>
                <a:srgbClr val="C1DAE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95"/>
            <c:spPr>
              <a:solidFill>
                <a:srgbClr val="FBD3C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96"/>
            <c:spPr>
              <a:solidFill>
                <a:srgbClr val="C4CEE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97"/>
            <c:spPr>
              <a:solidFill>
                <a:srgbClr val="E3C4C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98"/>
            <c:spPr>
              <a:solidFill>
                <a:srgbClr val="D5E1C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699"/>
            <c:spPr>
              <a:solidFill>
                <a:srgbClr val="CEC7D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00"/>
            <c:spPr>
              <a:solidFill>
                <a:srgbClr val="C3DBE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01"/>
            <c:spPr>
              <a:solidFill>
                <a:srgbClr val="FBD4C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02"/>
            <c:spPr>
              <a:solidFill>
                <a:srgbClr val="C5CFE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03"/>
            <c:spPr>
              <a:solidFill>
                <a:srgbClr val="E3C5C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04"/>
            <c:spPr>
              <a:solidFill>
                <a:srgbClr val="D6E1C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05"/>
            <c:spPr>
              <a:solidFill>
                <a:srgbClr val="CFC9D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06"/>
            <c:spPr>
              <a:solidFill>
                <a:srgbClr val="C4DCE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07"/>
            <c:spPr>
              <a:solidFill>
                <a:srgbClr val="FBD5C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08"/>
            <c:spPr>
              <a:solidFill>
                <a:srgbClr val="C7D0E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09"/>
            <c:spPr>
              <a:solidFill>
                <a:srgbClr val="E4C7C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10"/>
            <c:spPr>
              <a:solidFill>
                <a:srgbClr val="D7E2C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11"/>
            <c:spPr>
              <a:solidFill>
                <a:srgbClr val="D0CAD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12"/>
            <c:spPr>
              <a:solidFill>
                <a:srgbClr val="C6DDE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13"/>
            <c:spPr>
              <a:solidFill>
                <a:srgbClr val="FBD6C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14"/>
            <c:spPr>
              <a:solidFill>
                <a:srgbClr val="C8D1E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15"/>
            <c:spPr>
              <a:solidFill>
                <a:srgbClr val="E5C8C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16"/>
            <c:spPr>
              <a:solidFill>
                <a:srgbClr val="D8E3C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17"/>
            <c:spPr>
              <a:solidFill>
                <a:srgbClr val="D1CBD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18"/>
            <c:spPr>
              <a:solidFill>
                <a:srgbClr val="C7DEE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19"/>
            <c:spPr>
              <a:solidFill>
                <a:srgbClr val="FBD7C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20"/>
            <c:spPr>
              <a:solidFill>
                <a:srgbClr val="C9D3E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21"/>
            <c:spPr>
              <a:solidFill>
                <a:srgbClr val="E5CAC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22"/>
            <c:spPr>
              <a:solidFill>
                <a:srgbClr val="D9E3C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23"/>
            <c:spPr>
              <a:solidFill>
                <a:srgbClr val="D2CDD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24"/>
            <c:spPr>
              <a:solidFill>
                <a:srgbClr val="C9DFE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25"/>
            <c:spPr>
              <a:solidFill>
                <a:srgbClr val="FBD8C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26"/>
            <c:spPr>
              <a:solidFill>
                <a:srgbClr val="CBD4E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27"/>
            <c:spPr>
              <a:solidFill>
                <a:srgbClr val="E6CBC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28"/>
            <c:spPr>
              <a:solidFill>
                <a:srgbClr val="DAE4C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29"/>
            <c:spPr>
              <a:solidFill>
                <a:srgbClr val="D4CED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30"/>
            <c:spPr>
              <a:solidFill>
                <a:srgbClr val="CADFE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31"/>
            <c:spPr>
              <a:solidFill>
                <a:srgbClr val="FBD9C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32"/>
            <c:spPr>
              <a:solidFill>
                <a:srgbClr val="CCD5E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33"/>
            <c:spPr>
              <a:solidFill>
                <a:srgbClr val="E6CCC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34"/>
            <c:spPr>
              <a:solidFill>
                <a:srgbClr val="DBE5C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35"/>
            <c:spPr>
              <a:solidFill>
                <a:srgbClr val="D5CFD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36"/>
            <c:spPr>
              <a:solidFill>
                <a:srgbClr val="CCE0E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37"/>
            <c:spPr>
              <a:solidFill>
                <a:srgbClr val="FBDAC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38"/>
            <c:spPr>
              <a:solidFill>
                <a:srgbClr val="CED6E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39"/>
            <c:spPr>
              <a:solidFill>
                <a:srgbClr val="E7CEC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40"/>
            <c:spPr>
              <a:solidFill>
                <a:srgbClr val="DCE6C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41"/>
            <c:spPr>
              <a:solidFill>
                <a:srgbClr val="D6D1D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42"/>
            <c:spPr>
              <a:solidFill>
                <a:srgbClr val="CDE1E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43"/>
            <c:spPr>
              <a:solidFill>
                <a:srgbClr val="FBDBC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44"/>
            <c:spPr>
              <a:solidFill>
                <a:srgbClr val="CFD7E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45"/>
            <c:spPr>
              <a:solidFill>
                <a:srgbClr val="E8CFC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46"/>
            <c:spPr>
              <a:solidFill>
                <a:srgbClr val="DDE6D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47"/>
            <c:spPr>
              <a:solidFill>
                <a:srgbClr val="D7D2DF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48"/>
            <c:spPr>
              <a:solidFill>
                <a:srgbClr val="CFE2E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49"/>
            <c:spPr>
              <a:solidFill>
                <a:srgbClr val="FBDCC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50"/>
            <c:spPr>
              <a:solidFill>
                <a:srgbClr val="D1D8E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51"/>
            <c:spPr>
              <a:solidFill>
                <a:srgbClr val="E8D1D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52"/>
            <c:spPr>
              <a:solidFill>
                <a:srgbClr val="DEE7D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53"/>
            <c:spPr>
              <a:solidFill>
                <a:srgbClr val="D8D3E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54"/>
            <c:spPr>
              <a:solidFill>
                <a:srgbClr val="D0E3E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55"/>
            <c:spPr>
              <a:solidFill>
                <a:srgbClr val="FBDDD0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56"/>
            <c:spPr>
              <a:solidFill>
                <a:srgbClr val="D2D9E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57"/>
            <c:spPr>
              <a:solidFill>
                <a:srgbClr val="E9D2D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58"/>
            <c:spPr>
              <a:solidFill>
                <a:srgbClr val="DFE8D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59"/>
            <c:spPr>
              <a:solidFill>
                <a:srgbClr val="D9D5E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60"/>
            <c:spPr>
              <a:solidFill>
                <a:srgbClr val="D2E3E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61"/>
            <c:spPr>
              <a:solidFill>
                <a:srgbClr val="FBDED1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62"/>
            <c:spPr>
              <a:solidFill>
                <a:srgbClr val="D3DBE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63"/>
            <c:spPr>
              <a:solidFill>
                <a:srgbClr val="EAD3D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64"/>
            <c:spPr>
              <a:solidFill>
                <a:srgbClr val="E0E8D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65"/>
            <c:spPr>
              <a:solidFill>
                <a:srgbClr val="DAD6E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66"/>
            <c:spPr>
              <a:solidFill>
                <a:srgbClr val="D3E4E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67"/>
            <c:spPr>
              <a:solidFill>
                <a:srgbClr val="FCDFD2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68"/>
            <c:spPr>
              <a:solidFill>
                <a:srgbClr val="D5DCE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69"/>
            <c:spPr>
              <a:solidFill>
                <a:srgbClr val="EAD5D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70"/>
            <c:spPr>
              <a:solidFill>
                <a:srgbClr val="E1E9D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71"/>
            <c:spPr>
              <a:solidFill>
                <a:srgbClr val="DBD7E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72"/>
            <c:spPr>
              <a:solidFill>
                <a:srgbClr val="D4E5E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73"/>
            <c:spPr>
              <a:solidFill>
                <a:srgbClr val="FCE0D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74"/>
            <c:spPr>
              <a:solidFill>
                <a:srgbClr val="D6DDE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75"/>
            <c:spPr>
              <a:solidFill>
                <a:srgbClr val="EBD6D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76"/>
            <c:spPr>
              <a:solidFill>
                <a:srgbClr val="E2E9D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77"/>
            <c:spPr>
              <a:solidFill>
                <a:srgbClr val="DDD8E3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78"/>
            <c:spPr>
              <a:solidFill>
                <a:srgbClr val="D6E6E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79"/>
            <c:spPr>
              <a:solidFill>
                <a:srgbClr val="FCE1D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80"/>
            <c:spPr>
              <a:solidFill>
                <a:srgbClr val="D7DEE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81"/>
            <c:spPr>
              <a:solidFill>
                <a:srgbClr val="EBD7D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82"/>
            <c:spPr>
              <a:solidFill>
                <a:srgbClr val="E3EAD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83"/>
            <c:spPr>
              <a:solidFill>
                <a:srgbClr val="DEDAE4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84"/>
            <c:spPr>
              <a:solidFill>
                <a:srgbClr val="D7E6E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85"/>
            <c:spPr>
              <a:solidFill>
                <a:srgbClr val="FCE2D7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86"/>
            <c:spPr>
              <a:solidFill>
                <a:srgbClr val="D9DFE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87"/>
            <c:spPr>
              <a:solidFill>
                <a:srgbClr val="ECD9D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88"/>
            <c:spPr>
              <a:solidFill>
                <a:srgbClr val="E4EBD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89"/>
            <c:spPr>
              <a:solidFill>
                <a:srgbClr val="DFDBE5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90"/>
            <c:spPr>
              <a:solidFill>
                <a:srgbClr val="D8E7E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91"/>
            <c:spPr>
              <a:solidFill>
                <a:srgbClr val="FCE3D8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92"/>
            <c:spPr>
              <a:solidFill>
                <a:srgbClr val="DAE0EC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93"/>
            <c:spPr>
              <a:solidFill>
                <a:srgbClr val="EDDADA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94"/>
            <c:spPr>
              <a:solidFill>
                <a:srgbClr val="E5EBDB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95"/>
            <c:spPr>
              <a:solidFill>
                <a:srgbClr val="E0DCE6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96"/>
            <c:spPr>
              <a:solidFill>
                <a:srgbClr val="DAE8EE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97"/>
            <c:spPr>
              <a:solidFill>
                <a:srgbClr val="FCE4D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798"/>
            <c:spPr>
              <a:solidFill>
                <a:srgbClr val="DBE1ED"/>
              </a:solidFill>
              <a:ln w="1260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</c:dLbls>
          <c:cat>
            <c:strRef>
              <c:f>KASA_HESAPLARI!$B$6:$B$804</c:f>
              <c:strCache>
                <c:ptCount val="799"/>
                <c:pt idx="0">
                  <c:v>Ana Kasa</c:v>
                </c:pt>
                <c:pt idx="1">
                  <c:v>İş Bankası Cari</c:v>
                </c:pt>
                <c:pt idx="2">
                  <c:v>Ziraat Vadesiz</c:v>
                </c:pt>
                <c:pt idx="3">
                  <c:v>Garanti Kredi Hesabı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</c:strCache>
            </c:strRef>
          </c:cat>
          <c:val>
            <c:numRef>
              <c:f>KASA_HESAPLARI!$F$6:$F$804</c:f>
              <c:numCache>
                <c:formatCode>"₺ "#,##0;[RED]"(₺ "#,##0\);\-</c:formatCode>
                <c:ptCount val="799"/>
                <c:pt idx="0">
                  <c:v>450000</c:v>
                </c:pt>
                <c:pt idx="1">
                  <c:v>800000</c:v>
                </c:pt>
                <c:pt idx="2">
                  <c:v>250000</c:v>
                </c:pt>
                <c:pt idx="3">
                  <c:v>150000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Relationship Id="rId4" Type="http://schemas.openxmlformats.org/officeDocument/2006/relationships/chart" Target="../charts/chart7.xml"/><Relationship Id="rId5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4</xdr:row>
      <xdr:rowOff>0</xdr:rowOff>
    </xdr:from>
    <xdr:to>
      <xdr:col>20</xdr:col>
      <xdr:colOff>507600</xdr:colOff>
      <xdr:row>18</xdr:row>
      <xdr:rowOff>32760</xdr:rowOff>
    </xdr:to>
    <xdr:graphicFrame>
      <xdr:nvGraphicFramePr>
        <xdr:cNvPr id="1" name="Chart 1"/>
        <xdr:cNvGraphicFramePr/>
      </xdr:nvGraphicFramePr>
      <xdr:xfrm>
        <a:off x="14426640" y="1143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16</xdr:col>
      <xdr:colOff>507600</xdr:colOff>
      <xdr:row>18</xdr:row>
      <xdr:rowOff>32760</xdr:rowOff>
    </xdr:to>
    <xdr:graphicFrame>
      <xdr:nvGraphicFramePr>
        <xdr:cNvPr id="2" name="Chart 1"/>
        <xdr:cNvGraphicFramePr/>
      </xdr:nvGraphicFramePr>
      <xdr:xfrm>
        <a:off x="9069840" y="1143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19</xdr:row>
      <xdr:rowOff>0</xdr:rowOff>
    </xdr:from>
    <xdr:to>
      <xdr:col>16</xdr:col>
      <xdr:colOff>507600</xdr:colOff>
      <xdr:row>33</xdr:row>
      <xdr:rowOff>32760</xdr:rowOff>
    </xdr:to>
    <xdr:graphicFrame>
      <xdr:nvGraphicFramePr>
        <xdr:cNvPr id="3" name="Chart 2"/>
        <xdr:cNvGraphicFramePr/>
      </xdr:nvGraphicFramePr>
      <xdr:xfrm>
        <a:off x="9069840" y="40006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4</xdr:row>
      <xdr:rowOff>0</xdr:rowOff>
    </xdr:from>
    <xdr:to>
      <xdr:col>19</xdr:col>
      <xdr:colOff>888480</xdr:colOff>
      <xdr:row>18</xdr:row>
      <xdr:rowOff>2880</xdr:rowOff>
    </xdr:to>
    <xdr:graphicFrame>
      <xdr:nvGraphicFramePr>
        <xdr:cNvPr id="4" name="Chart 1"/>
        <xdr:cNvGraphicFramePr/>
      </xdr:nvGraphicFramePr>
      <xdr:xfrm>
        <a:off x="19312920" y="95256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19</xdr:col>
      <xdr:colOff>888480</xdr:colOff>
      <xdr:row>35</xdr:row>
      <xdr:rowOff>32760</xdr:rowOff>
    </xdr:to>
    <xdr:graphicFrame>
      <xdr:nvGraphicFramePr>
        <xdr:cNvPr id="5" name="Chart 2"/>
        <xdr:cNvGraphicFramePr/>
      </xdr:nvGraphicFramePr>
      <xdr:xfrm>
        <a:off x="19312920" y="50698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29</xdr:col>
      <xdr:colOff>0</xdr:colOff>
      <xdr:row>4</xdr:row>
      <xdr:rowOff>0</xdr:rowOff>
    </xdr:from>
    <xdr:to>
      <xdr:col>37</xdr:col>
      <xdr:colOff>507600</xdr:colOff>
      <xdr:row>18</xdr:row>
      <xdr:rowOff>2880</xdr:rowOff>
    </xdr:to>
    <xdr:graphicFrame>
      <xdr:nvGraphicFramePr>
        <xdr:cNvPr id="6" name="Chart 3"/>
        <xdr:cNvGraphicFramePr/>
      </xdr:nvGraphicFramePr>
      <xdr:xfrm>
        <a:off x="31487760" y="95256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38</xdr:row>
      <xdr:rowOff>0</xdr:rowOff>
    </xdr:from>
    <xdr:to>
      <xdr:col>19</xdr:col>
      <xdr:colOff>888480</xdr:colOff>
      <xdr:row>52</xdr:row>
      <xdr:rowOff>32760</xdr:rowOff>
    </xdr:to>
    <xdr:graphicFrame>
      <xdr:nvGraphicFramePr>
        <xdr:cNvPr id="7" name="Chart 4"/>
        <xdr:cNvGraphicFramePr/>
      </xdr:nvGraphicFramePr>
      <xdr:xfrm>
        <a:off x="19312920" y="8308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29</xdr:col>
      <xdr:colOff>0</xdr:colOff>
      <xdr:row>21</xdr:row>
      <xdr:rowOff>0</xdr:rowOff>
    </xdr:from>
    <xdr:to>
      <xdr:col>37</xdr:col>
      <xdr:colOff>507600</xdr:colOff>
      <xdr:row>35</xdr:row>
      <xdr:rowOff>32760</xdr:rowOff>
    </xdr:to>
    <xdr:graphicFrame>
      <xdr:nvGraphicFramePr>
        <xdr:cNvPr id="8" name="Chart 5"/>
        <xdr:cNvGraphicFramePr/>
      </xdr:nvGraphicFramePr>
      <xdr:xfrm>
        <a:off x="31487760" y="50698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GunlukOzet" displayName="tblGunlukOzet" ref="A5:E804" headerRowCount="1" totalsRowCount="0" totalsRowShown="0">
  <tableColumns count="5">
    <tableColumn id="1" name="Tarih"/>
    <tableColumn id="2" name="Toplam Giriş (₺)">
      <calculatedColumnFormula>=IF($A5="","",SUMIFS(tblKasaHareket[Tutar (₺)],tblKasaHareket[Tarih],$A5,tblKasaHareket[İşlem Türü],"GİRİŞ"))</calculatedColumnFormula>
    </tableColumn>
    <tableColumn id="3" name="Toplam Çıkış (₺)">
      <calculatedColumnFormula>=IF($A5="","",SUMIFS(tblKasaHareket[Tutar (₺)],tblKasaHareket[Tarih],$A5,tblKasaHareket[İşlem Türü],"ÇIKIŞ"))</calculatedColumnFormula>
    </tableColumn>
    <tableColumn id="4" name="Net (₺)">
      <calculatedColumnFormula>=IF($A5="","",$B5-$C5)</calculatedColumnFormula>
    </tableColumn>
    <tableColumn id="5" name="Kümülatif Net (₺)">
      <calculatedColumnFormula>=IF($A5="","",SUM($D$5:$D5))</calculatedColumnFormula>
    </tableColumn>
  </tableColumns>
</table>
</file>

<file path=xl/tables/table2.xml><?xml version="1.0" encoding="utf-8"?>
<table xmlns="http://schemas.openxmlformats.org/spreadsheetml/2006/main" id="2" name="tblKasaHareket" displayName="tblKasaHareket" ref="A5:N804" headerRowCount="1" totalsRowCount="0" totalsRowShown="0">
  <tableColumns count="14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"/>
    <tableColumn id="11" name=""/>
    <tableColumn id="12" name="Net Etki (₺)">
      <calculatedColumnFormula>=IF($A6="","",IF($D6="GİRİŞ",$J6,-$J6))</calculatedColumnFormula>
    </tableColumn>
    <tableColumn id="13" name="Kontrol">
      <calculatedColumnFormula>=IF($A6="","",IF(OR($A6="",$D6="",$J6=""),"EKSİK",IF($J6&lt;=0,"SIFIR/NEGATİF",IF($J6&gt;MaksimumHareketTutari,"AŞIRI TUTAR",IF(COUNTIFS(tblKasaHareket[Fiş Numarası],$B6,tblKasaHareket[Tutar (₺)],$J6)&gt;1,"MÜKERRER","OK")))))</calculatedColumnFormula>
    </tableColumn>
    <tableColumn id="14" name="Kayıt ID">
      <calculatedColumnFormula>=IF($A6="","",CONCATENATE(TEXT($A6,"yyyymmdd"),"-",$B6))</calculatedColumnFormula>
    </tableColumn>
  </tableColumns>
</table>
</file>

<file path=xl/tables/table3.xml><?xml version="1.0" encoding="utf-8"?>
<table xmlns="http://schemas.openxmlformats.org/spreadsheetml/2006/main" id="3" name="tblKasaHesap" displayName="tblKasaHesap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Kullanılabilir (₺)">
      <calculatedColumnFormula>=IF($A6="","",$F6-$G6-$H6)</calculatedColumnFormula>
    </tableColumn>
    <tableColumn id="11" name=""/>
  </tableColumns>
</table>
</file>

<file path=xl/tables/table4.xml><?xml version="1.0" encoding="utf-8"?>
<table xmlns="http://schemas.openxmlformats.org/spreadsheetml/2006/main" id="4" name="tblMutabakat" displayName="tblMutabakat" ref="A5:I804" headerRowCount="1" totalsRowCount="0" totalsRowShown="0">
  <tableColumns count="9">
    <tableColumn id="1" name=""/>
    <tableColumn id="2" name=""/>
    <tableColumn id="3" name=""/>
    <tableColumn id="4" name=""/>
    <tableColumn id="5" name="Fark (₺)">
      <calculatedColumnFormula>=IF($A6="","",$D6-$C6)</calculatedColumnFormula>
    </tableColumn>
    <tableColumn id="6" name="Fark Oranı">
      <calculatedColumnFormula>=IF(AND($A6&lt;&gt;"",$C6&lt;&gt;0),$E6/$C6,"")</calculatedColumnFormula>
    </tableColumn>
    <tableColumn id="7" name="Sonuç">
      <calculatedColumnFormula>=IF($A6="","",IF(ABS($E6)&lt;=MutabakatToleransi,"UYUMLU","FARK VAR"))</calculatedColumnFormula>
    </tableColumn>
    <tableColumn id="8" name="Kök Neden">
      <calculatedColumnFormula>=IF($A6="","",IF(ABS($E6)&lt;=MutabakatToleransi,"UYUMLU",IF($E6&lt;0,"SAYIM EKSİK","SAYIM FAZLA")))</calculatedColumnFormula>
    </tableColumn>
    <tableColumn id="9" name=""/>
  </tableColumns>
</table>
</file>

<file path=xl/tables/table5.xml><?xml version="1.0" encoding="utf-8"?>
<table xmlns="http://schemas.openxmlformats.org/spreadsheetml/2006/main" id="5" name="tblProjeksiyon" displayName="tblProjeksiyon" ref="A5:G804" headerRowCount="1" totalsRowCount="0" totalsRowShown="0">
  <tableColumns count="7">
    <tableColumn id="1" name="Hafta Başlangıcı"/>
    <tableColumn id="2" name="Hafta Sonu">
      <calculatedColumnFormula>=IF($A5="","",$A5+HaftaUzunluk-1)</calculatedColumnFormula>
    </tableColumn>
    <tableColumn id="3" name="Beklenen Giriş (₺)">
      <calculatedColumnFormula>=IF($A5="","",SUMIFS(tblTakvim[Tutar (₺)],tblTakvim[Tarih],"&gt;="&amp;$A5,tblTakvim[Tarih],"&lt;="&amp;$B5,tblTakvim[Tür],"TAHSİLAT",tblTakvim[Durum],"BEKLEMEDE"))</calculatedColumnFormula>
    </tableColumn>
    <tableColumn id="4" name="Beklenen Çıkış (₺)">
      <calculatedColumnFormula>=IF($A5="","",SUMIFS(tblTakvim[Tutar (₺)],tblTakvim[Tarih],"&gt;="&amp;$A5,tblTakvim[Tarih],"&lt;="&amp;$B5,tblTakvim[Tür],"ÖDEME",tblTakvim[Durum],"BEKLEMEDE"))</calculatedColumnFormula>
    </tableColumn>
    <tableColumn id="5" name="Net (₺)">
      <calculatedColumnFormula>=IF($A5="","",$C5-$D5)</calculatedColumnFormula>
    </tableColumn>
    <tableColumn id="6" name="Dönem Başı Kasa (₺)">
      <calculatedColumnFormula>=IF($A5="","",IF(ROW()=BaslangicSatir,KasaBaslangicBakiye,$G4))</calculatedColumnFormula>
    </tableColumn>
    <tableColumn id="7" name="Dönem Sonu Kasa (₺)">
      <calculatedColumnFormula>=IF($A5="","",$F5+$E5)</calculatedColumnFormula>
    </tableColumn>
  </tableColumns>
</table>
</file>

<file path=xl/tables/table6.xml><?xml version="1.0" encoding="utf-8"?>
<table xmlns="http://schemas.openxmlformats.org/spreadsheetml/2006/main" id="6" name="tblTakvim" displayName="tblTakvim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Vade Kontrolü">
      <calculatedColumnFormula>=IF($A5="","",IF(AND($B5&lt;&gt;"",$B5&lt;RaporTarihi),"VADE GEÇTİ",IF($B5="","VADE YOK","VADESİNDE")))</calculatedColumnFormula>
    </tableColumn>
    <tableColumn id="9" name=""/>
    <tableColumn id="10" name=""/>
    <tableColumn id="11" name="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<Relationship Id="rId4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6.vml"/><Relationship Id="rId4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8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6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37.3" hidden="false" customHeight="true" outlineLevel="0" collapsed="false">
      <c r="A3" s="2" t="s">
        <v>1</v>
      </c>
      <c r="B3" s="2"/>
      <c r="C3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3"/>
      <c r="B5" s="3"/>
      <c r="C5" s="3"/>
    </row>
    <row r="7" customFormat="false" ht="15" hidden="false" customHeight="false" outlineLevel="0" collapsed="false">
      <c r="A7" s="4" t="s">
        <v>3</v>
      </c>
      <c r="B7" s="4"/>
      <c r="C7" s="4"/>
      <c r="D7" s="4"/>
      <c r="E7" s="4"/>
      <c r="F7" s="4"/>
      <c r="G7" s="4"/>
      <c r="H7" s="4"/>
      <c r="I7" s="4"/>
      <c r="J7" s="4"/>
    </row>
    <row r="8" customFormat="false" ht="15" hidden="false" customHeight="false" outlineLevel="0" collapsed="false">
      <c r="A8" s="4" t="s">
        <v>4</v>
      </c>
      <c r="B8" s="4"/>
      <c r="C8" s="4"/>
      <c r="D8" s="4"/>
      <c r="E8" s="4"/>
      <c r="F8" s="4"/>
      <c r="G8" s="4"/>
      <c r="H8" s="4"/>
      <c r="I8" s="4"/>
      <c r="J8" s="4"/>
    </row>
    <row r="9" customFormat="false" ht="15" hidden="false" customHeight="false" outlineLevel="0" collapsed="false">
      <c r="A9" s="4" t="s">
        <v>5</v>
      </c>
      <c r="B9" s="4"/>
      <c r="C9" s="4"/>
      <c r="D9" s="4"/>
      <c r="E9" s="4"/>
      <c r="F9" s="4"/>
      <c r="G9" s="4"/>
      <c r="H9" s="4"/>
      <c r="I9" s="4"/>
      <c r="J9" s="4"/>
    </row>
    <row r="11" customFormat="false" ht="15" hidden="false" customHeight="true" outlineLevel="0" collapsed="false">
      <c r="A11" s="5" t="s">
        <v>6</v>
      </c>
      <c r="B11" s="5"/>
      <c r="C11" s="5"/>
    </row>
    <row r="12" customFormat="false" ht="15" hidden="false" customHeight="false" outlineLevel="0" collapsed="false">
      <c r="A12" s="5"/>
      <c r="B12" s="5"/>
      <c r="C12" s="5"/>
    </row>
    <row r="13" customFormat="false" ht="15" hidden="false" customHeight="false" outlineLevel="0" collapsed="false">
      <c r="A13" s="5"/>
      <c r="B13" s="5"/>
      <c r="C13" s="5"/>
    </row>
    <row r="14" customFormat="false" ht="15" hidden="false" customHeight="false" outlineLevel="0" collapsed="false">
      <c r="A14" s="5"/>
      <c r="B14" s="5"/>
      <c r="C14" s="5"/>
    </row>
    <row r="15" customFormat="false" ht="15" hidden="false" customHeight="false" outlineLevel="0" collapsed="false">
      <c r="A15" s="6" t="s">
        <v>7</v>
      </c>
    </row>
    <row r="16" customFormat="false" ht="15" hidden="false" customHeight="false" outlineLevel="0" collapsed="false">
      <c r="A16" s="7" t="s">
        <v>8</v>
      </c>
      <c r="B16" s="7"/>
      <c r="C16" s="7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7:J7"/>
    <mergeCell ref="A8:J8"/>
    <mergeCell ref="A9:J9"/>
    <mergeCell ref="A11:C14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6"/>
    <col collapsed="false" customWidth="true" hidden="false" outlineLevel="0" max="2" min="2" style="0" width="20"/>
  </cols>
  <sheetData>
    <row r="3" customFormat="false" ht="16.15" hidden="false" customHeight="false" outlineLevel="0" collapsed="false">
      <c r="A3" s="8" t="s">
        <v>9</v>
      </c>
    </row>
    <row r="4" customFormat="false" ht="15" hidden="false" customHeight="true" outlineLevel="0" collapsed="false">
      <c r="A4" s="9" t="s">
        <v>10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customFormat="false" ht="15" hidden="false" customHeight="true" outlineLevel="0" collapsed="false">
      <c r="A5" s="9" t="s">
        <v>11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customFormat="false" ht="15" hidden="false" customHeight="true" outlineLevel="0" collapsed="false">
      <c r="A6" s="9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customFormat="false" ht="15" hidden="false" customHeight="true" outlineLevel="0" collapsed="false">
      <c r="A7" s="9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customFormat="false" ht="15" hidden="false" customHeight="true" outlineLevel="0" collapsed="false">
      <c r="A8" s="9" t="s">
        <v>14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customFormat="false" ht="15" hidden="false" customHeight="true" outlineLevel="0" collapsed="false">
      <c r="A9" s="9" t="s">
        <v>15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customFormat="false" ht="15" hidden="false" customHeight="true" outlineLevel="0" collapsed="false">
      <c r="A10" s="9" t="s">
        <v>16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2" customFormat="false" ht="15" hidden="false" customHeight="false" outlineLevel="0" collapsed="false">
      <c r="A12" s="10" t="s">
        <v>17</v>
      </c>
    </row>
    <row r="13" customFormat="false" ht="15" hidden="false" customHeight="true" outlineLevel="0" collapsed="false">
      <c r="A13" s="5" t="s">
        <v>18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Format="false" ht="15" hidden="false" customHeight="true" outlineLevel="0" collapsed="false">
      <c r="A14" s="5" t="s">
        <v>19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Format="false" ht="15" hidden="false" customHeight="true" outlineLevel="0" collapsed="false">
      <c r="A15" s="5" t="s">
        <v>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Format="false" ht="15" hidden="false" customHeight="true" outlineLevel="0" collapsed="false">
      <c r="A16" s="5" t="s">
        <v>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Format="false" ht="15" hidden="false" customHeight="true" outlineLevel="0" collapsed="false">
      <c r="A17" s="5" t="s">
        <v>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9" customFormat="false" ht="19.5" hidden="false" customHeight="true" outlineLevel="0" collapsed="false">
      <c r="A19" s="11" t="s">
        <v>23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7" min="6" style="0" width="16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42"/>
    <col collapsed="false" customWidth="true" hidden="false" outlineLevel="0" max="12" min="12" style="0" width="46"/>
  </cols>
  <sheetData>
    <row r="1" customFormat="false" ht="25.5" hidden="false" customHeight="true" outlineLevel="0" collapsed="false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customFormat="false" ht="19.5" hidden="false" customHeight="true" outlineLevel="0" collapsed="false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customFormat="false" ht="22.35" hidden="false" customHeight="false" outlineLevel="0" collapsed="false">
      <c r="L3" s="13" t="s">
        <v>26</v>
      </c>
    </row>
    <row r="4" customFormat="false" ht="30" hidden="false" customHeight="true" outlineLevel="0" collapsed="false">
      <c r="A4" s="14" t="s">
        <v>27</v>
      </c>
      <c r="B4" s="14" t="s">
        <v>28</v>
      </c>
      <c r="C4" s="14" t="s">
        <v>29</v>
      </c>
      <c r="D4" s="14" t="s">
        <v>30</v>
      </c>
      <c r="E4" s="14" t="s">
        <v>31</v>
      </c>
      <c r="F4" s="14" t="s">
        <v>32</v>
      </c>
      <c r="G4" s="14" t="s">
        <v>33</v>
      </c>
      <c r="H4" s="14" t="s">
        <v>34</v>
      </c>
      <c r="I4" s="14" t="s">
        <v>35</v>
      </c>
      <c r="J4" s="14" t="s">
        <v>36</v>
      </c>
      <c r="K4" s="14" t="s">
        <v>37</v>
      </c>
    </row>
    <row r="6" customFormat="false" ht="15" hidden="false" customHeight="false" outlineLevel="0" collapsed="false">
      <c r="A6" s="15" t="s">
        <v>38</v>
      </c>
      <c r="B6" s="16" t="s">
        <v>39</v>
      </c>
      <c r="C6" s="15" t="s">
        <v>40</v>
      </c>
      <c r="D6" s="16"/>
      <c r="E6" s="17"/>
      <c r="F6" s="18" t="n">
        <v>450000</v>
      </c>
      <c r="G6" s="18" t="n">
        <v>0</v>
      </c>
      <c r="H6" s="18" t="n">
        <v>50000</v>
      </c>
      <c r="I6" s="15" t="s">
        <v>41</v>
      </c>
      <c r="J6" s="19" t="n">
        <f aca="false">IF($A6="","",$F6-$G6-$H6)</f>
        <v>400000</v>
      </c>
      <c r="K6" s="20" t="s">
        <v>42</v>
      </c>
    </row>
    <row r="7" customFormat="false" ht="15" hidden="false" customHeight="false" outlineLevel="0" collapsed="false">
      <c r="A7" s="15" t="s">
        <v>43</v>
      </c>
      <c r="B7" s="16" t="s">
        <v>44</v>
      </c>
      <c r="C7" s="15" t="s">
        <v>45</v>
      </c>
      <c r="D7" s="16" t="s">
        <v>46</v>
      </c>
      <c r="E7" s="17" t="s">
        <v>47</v>
      </c>
      <c r="F7" s="18" t="n">
        <v>800000</v>
      </c>
      <c r="G7" s="18" t="n">
        <v>200000</v>
      </c>
      <c r="H7" s="18" t="n">
        <v>100000</v>
      </c>
      <c r="I7" s="15" t="s">
        <v>41</v>
      </c>
      <c r="J7" s="19" t="n">
        <f aca="false">IF($A7="","",$F7-$G7-$H7)</f>
        <v>500000</v>
      </c>
      <c r="K7" s="20" t="s">
        <v>48</v>
      </c>
    </row>
    <row r="8" customFormat="false" ht="15" hidden="false" customHeight="false" outlineLevel="0" collapsed="false">
      <c r="A8" s="15" t="s">
        <v>49</v>
      </c>
      <c r="B8" s="16" t="s">
        <v>50</v>
      </c>
      <c r="C8" s="15" t="s">
        <v>45</v>
      </c>
      <c r="D8" s="16" t="s">
        <v>51</v>
      </c>
      <c r="E8" s="17" t="s">
        <v>52</v>
      </c>
      <c r="F8" s="18" t="n">
        <v>250000</v>
      </c>
      <c r="G8" s="18" t="n">
        <v>0</v>
      </c>
      <c r="H8" s="18" t="n">
        <v>50000</v>
      </c>
      <c r="I8" s="15" t="s">
        <v>41</v>
      </c>
      <c r="J8" s="19" t="n">
        <f aca="false">IF($A8="","",$F8-$G8-$H8)</f>
        <v>200000</v>
      </c>
      <c r="K8" s="20" t="s">
        <v>53</v>
      </c>
    </row>
    <row r="9" customFormat="false" ht="15" hidden="false" customHeight="false" outlineLevel="0" collapsed="false">
      <c r="A9" s="15" t="s">
        <v>54</v>
      </c>
      <c r="B9" s="16" t="s">
        <v>55</v>
      </c>
      <c r="C9" s="15" t="s">
        <v>45</v>
      </c>
      <c r="D9" s="16" t="s">
        <v>56</v>
      </c>
      <c r="E9" s="17" t="s">
        <v>57</v>
      </c>
      <c r="F9" s="18" t="n">
        <v>150000</v>
      </c>
      <c r="G9" s="18" t="n">
        <v>150000</v>
      </c>
      <c r="H9" s="18" t="n">
        <v>0</v>
      </c>
      <c r="I9" s="15" t="s">
        <v>58</v>
      </c>
      <c r="J9" s="19" t="n">
        <f aca="false">IF($A9="","",$F9-$G9-$H9)</f>
        <v>0</v>
      </c>
      <c r="K9" s="20" t="s">
        <v>59</v>
      </c>
    </row>
    <row r="10" customFormat="false" ht="15" hidden="false" customHeight="fals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K10" s="21"/>
    </row>
    <row r="11" customFormat="false" ht="15" hidden="false" customHeight="fals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K11" s="21"/>
    </row>
    <row r="12" customFormat="false" ht="15" hidden="false" customHeight="fals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K12" s="21"/>
    </row>
    <row r="13" customFormat="false" ht="15" hidden="false" customHeight="fals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K13" s="21"/>
    </row>
    <row r="14" customFormat="false" ht="15" hidden="false" customHeight="fals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K14" s="21"/>
    </row>
    <row r="15" customFormat="false" ht="15" hidden="false" customHeight="fals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K15" s="21"/>
    </row>
    <row r="16" customFormat="false" ht="15" hidden="false" customHeight="fals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K16" s="21"/>
    </row>
    <row r="17" customFormat="false" ht="15" hidden="false" customHeight="fals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K17" s="21"/>
    </row>
    <row r="18" customFormat="false" ht="15" hidden="false" customHeight="fals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K18" s="21"/>
    </row>
    <row r="19" customFormat="false" ht="15" hidden="false" customHeight="fals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K19" s="21"/>
    </row>
    <row r="20" customFormat="false" ht="15" hidden="false" customHeight="fals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K20" s="21"/>
    </row>
    <row r="21" customFormat="false" ht="15" hidden="false" customHeight="fals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K21" s="21"/>
    </row>
    <row r="22" customFormat="false" ht="15" hidden="false" customHeight="fals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K22" s="21"/>
    </row>
    <row r="23" customFormat="false" ht="15" hidden="false" customHeight="fals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K23" s="21"/>
    </row>
    <row r="24" customFormat="false" ht="15" hidden="false" customHeight="fals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K24" s="21"/>
    </row>
    <row r="25" customFormat="false" ht="15" hidden="false" customHeight="fals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K25" s="21"/>
    </row>
    <row r="26" customFormat="false" ht="15" hidden="false" customHeight="fals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K26" s="21"/>
    </row>
    <row r="27" customFormat="false" ht="15" hidden="false" customHeight="fals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K27" s="21"/>
    </row>
    <row r="28" customFormat="false" ht="15" hidden="false" customHeight="fals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K28" s="21"/>
    </row>
    <row r="29" customFormat="false" ht="15" hidden="false" customHeight="fals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K29" s="21"/>
    </row>
    <row r="30" customFormat="false" ht="15" hidden="false" customHeight="fals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K30" s="21"/>
    </row>
    <row r="31" customFormat="false" ht="15" hidden="false" customHeight="fals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K31" s="21"/>
    </row>
    <row r="32" customFormat="false" ht="15" hidden="false" customHeight="false" outlineLevel="0" collapsed="false">
      <c r="A32" s="21"/>
      <c r="B32" s="21"/>
      <c r="C32" s="21"/>
      <c r="D32" s="21"/>
      <c r="E32" s="21"/>
      <c r="F32" s="21"/>
      <c r="G32" s="21"/>
      <c r="H32" s="21"/>
      <c r="I32" s="21"/>
      <c r="K32" s="21"/>
    </row>
    <row r="33" customFormat="false" ht="15" hidden="false" customHeight="false" outlineLevel="0" collapsed="false">
      <c r="A33" s="21"/>
      <c r="B33" s="21"/>
      <c r="C33" s="21"/>
      <c r="D33" s="21"/>
      <c r="E33" s="21"/>
      <c r="F33" s="21"/>
      <c r="G33" s="21"/>
      <c r="H33" s="21"/>
      <c r="I33" s="21"/>
      <c r="K33" s="21"/>
    </row>
    <row r="34" customFormat="false" ht="15" hidden="false" customHeight="fals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K34" s="21"/>
    </row>
    <row r="35" customFormat="false" ht="15" hidden="false" customHeight="fals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K35" s="21"/>
    </row>
    <row r="36" customFormat="false" ht="15" hidden="false" customHeight="fals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K36" s="21"/>
    </row>
    <row r="37" customFormat="false" ht="15" hidden="false" customHeight="fals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K37" s="21"/>
    </row>
    <row r="38" customFormat="false" ht="15" hidden="false" customHeight="fals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K38" s="21"/>
    </row>
    <row r="39" customFormat="false" ht="15" hidden="false" customHeight="fals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K39" s="21"/>
    </row>
    <row r="40" customFormat="false" ht="15" hidden="false" customHeight="fals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K40" s="21"/>
    </row>
    <row r="41" customFormat="false" ht="15" hidden="false" customHeight="fals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K41" s="21"/>
    </row>
    <row r="42" customFormat="false" ht="15" hidden="false" customHeight="fals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K42" s="21"/>
    </row>
    <row r="43" customFormat="false" ht="15" hidden="false" customHeight="fals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K43" s="21"/>
    </row>
    <row r="44" customFormat="false" ht="15" hidden="false" customHeight="fals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K44" s="21"/>
    </row>
    <row r="45" customFormat="false" ht="15" hidden="false" customHeight="fals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K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K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K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K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K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K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K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K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K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K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K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K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K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K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K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K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K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K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K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K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K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K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K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K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K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K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K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K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K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K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K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K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K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K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K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K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K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K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K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K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K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K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K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K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K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K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K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K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K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K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K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K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K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K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K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K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K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K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K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K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K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K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K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K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K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K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K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K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K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K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K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K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K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K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K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K120" s="21"/>
    </row>
    <row r="121" customFormat="false" ht="15" hidden="false" customHeight="fals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K121" s="21"/>
    </row>
    <row r="122" customFormat="false" ht="15" hidden="false" customHeight="fals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K122" s="21"/>
    </row>
    <row r="123" customFormat="false" ht="15" hidden="false" customHeight="fals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K123" s="21"/>
    </row>
    <row r="124" customFormat="false" ht="15" hidden="false" customHeight="fals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K124" s="21"/>
    </row>
    <row r="125" customFormat="false" ht="15" hidden="false" customHeight="fals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K125" s="21"/>
    </row>
    <row r="126" customFormat="false" ht="15" hidden="false" customHeight="fals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K126" s="21"/>
    </row>
    <row r="127" customFormat="false" ht="15" hidden="false" customHeight="fals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K127" s="21"/>
    </row>
    <row r="128" customFormat="false" ht="15" hidden="false" customHeight="fals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K128" s="21"/>
    </row>
    <row r="129" customFormat="false" ht="15" hidden="false" customHeight="fals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K129" s="21"/>
    </row>
    <row r="130" customFormat="false" ht="15" hidden="false" customHeight="fals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K130" s="21"/>
    </row>
    <row r="131" customFormat="false" ht="15" hidden="false" customHeight="fals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K131" s="21"/>
    </row>
    <row r="132" customFormat="false" ht="15" hidden="false" customHeight="fals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K132" s="21"/>
    </row>
    <row r="133" customFormat="false" ht="15" hidden="false" customHeight="fals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K133" s="21"/>
    </row>
    <row r="134" customFormat="false" ht="15" hidden="false" customHeight="fals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K134" s="21"/>
    </row>
    <row r="135" customFormat="false" ht="15" hidden="false" customHeight="fals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K135" s="21"/>
    </row>
    <row r="136" customFormat="false" ht="15" hidden="false" customHeight="fals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K136" s="21"/>
    </row>
    <row r="137" customFormat="false" ht="15" hidden="false" customHeight="fals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K137" s="21"/>
    </row>
    <row r="138" customFormat="false" ht="15" hidden="false" customHeight="fals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K138" s="21"/>
    </row>
    <row r="139" customFormat="false" ht="15" hidden="false" customHeight="fals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K139" s="21"/>
    </row>
    <row r="140" customFormat="false" ht="15" hidden="false" customHeight="fals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K140" s="21"/>
    </row>
    <row r="141" customFormat="false" ht="15" hidden="false" customHeight="fals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K141" s="21"/>
    </row>
    <row r="142" customFormat="false" ht="15" hidden="false" customHeight="fals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K142" s="21"/>
    </row>
    <row r="143" customFormat="false" ht="15" hidden="false" customHeight="fals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K143" s="21"/>
    </row>
    <row r="144" customFormat="false" ht="15" hidden="false" customHeight="fals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K144" s="21"/>
    </row>
    <row r="145" customFormat="false" ht="15" hidden="false" customHeight="fals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K145" s="21"/>
    </row>
    <row r="146" customFormat="false" ht="15" hidden="false" customHeight="fals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K146" s="21"/>
    </row>
    <row r="147" customFormat="false" ht="15" hidden="false" customHeight="fals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K147" s="21"/>
    </row>
    <row r="148" customFormat="false" ht="15" hidden="false" customHeight="fals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K148" s="21"/>
    </row>
    <row r="149" customFormat="false" ht="15" hidden="false" customHeight="fals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K149" s="21"/>
    </row>
    <row r="150" customFormat="false" ht="15" hidden="false" customHeight="fals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K150" s="21"/>
    </row>
    <row r="151" customFormat="false" ht="15" hidden="false" customHeight="fals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K151" s="21"/>
    </row>
    <row r="152" customFormat="false" ht="15" hidden="false" customHeight="fals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K152" s="21"/>
    </row>
    <row r="153" customFormat="false" ht="15" hidden="false" customHeight="fals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K153" s="21"/>
    </row>
    <row r="154" customFormat="false" ht="15" hidden="false" customHeight="fals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K154" s="21"/>
    </row>
    <row r="155" customFormat="false" ht="15" hidden="false" customHeight="fals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K155" s="21"/>
    </row>
    <row r="156" customFormat="false" ht="15" hidden="false" customHeight="fals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K156" s="21"/>
    </row>
    <row r="157" customFormat="false" ht="15" hidden="false" customHeight="fals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K157" s="21"/>
    </row>
    <row r="158" customFormat="false" ht="15" hidden="false" customHeight="fals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K158" s="21"/>
    </row>
    <row r="159" customFormat="false" ht="15" hidden="false" customHeight="fals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K159" s="21"/>
    </row>
    <row r="160" customFormat="false" ht="15" hidden="false" customHeight="fals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K160" s="21"/>
    </row>
    <row r="161" customFormat="false" ht="15" hidden="false" customHeight="fals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K161" s="21"/>
    </row>
    <row r="162" customFormat="false" ht="15" hidden="false" customHeight="fals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K162" s="21"/>
    </row>
    <row r="163" customFormat="false" ht="15" hidden="false" customHeight="fals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K163" s="21"/>
    </row>
    <row r="164" customFormat="false" ht="15" hidden="false" customHeight="fals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K164" s="21"/>
    </row>
    <row r="165" customFormat="false" ht="15" hidden="false" customHeight="fals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K165" s="21"/>
    </row>
    <row r="166" customFormat="false" ht="15" hidden="false" customHeight="fals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K166" s="21"/>
    </row>
    <row r="167" customFormat="false" ht="15" hidden="false" customHeight="fals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K167" s="21"/>
    </row>
    <row r="168" customFormat="false" ht="15" hidden="false" customHeight="fals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K168" s="21"/>
    </row>
    <row r="169" customFormat="false" ht="15" hidden="false" customHeight="fals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K169" s="21"/>
    </row>
    <row r="170" customFormat="false" ht="15" hidden="false" customHeight="fals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K170" s="21"/>
    </row>
    <row r="171" customFormat="false" ht="15" hidden="false" customHeight="fals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K171" s="21"/>
    </row>
    <row r="172" customFormat="false" ht="15" hidden="false" customHeight="fals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K172" s="21"/>
    </row>
    <row r="173" customFormat="false" ht="15" hidden="false" customHeight="fals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K173" s="21"/>
    </row>
    <row r="174" customFormat="false" ht="15" hidden="false" customHeight="fals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K174" s="21"/>
    </row>
    <row r="175" customFormat="false" ht="15" hidden="false" customHeight="fals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K175" s="21"/>
    </row>
    <row r="176" customFormat="false" ht="15" hidden="false" customHeight="fals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K176" s="21"/>
    </row>
    <row r="177" customFormat="false" ht="15" hidden="false" customHeight="fals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K177" s="21"/>
    </row>
    <row r="178" customFormat="false" ht="15" hidden="false" customHeight="fals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K178" s="21"/>
    </row>
    <row r="179" customFormat="false" ht="15" hidden="false" customHeight="fals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K179" s="21"/>
    </row>
    <row r="180" customFormat="false" ht="15" hidden="false" customHeight="fals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K180" s="21"/>
    </row>
    <row r="181" customFormat="false" ht="15" hidden="false" customHeight="fals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K181" s="21"/>
    </row>
    <row r="182" customFormat="false" ht="15" hidden="false" customHeight="fals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K182" s="21"/>
    </row>
    <row r="183" customFormat="false" ht="15" hidden="false" customHeight="fals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K183" s="21"/>
    </row>
    <row r="184" customFormat="false" ht="15" hidden="false" customHeight="fals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K184" s="21"/>
    </row>
    <row r="185" customFormat="false" ht="15" hidden="false" customHeight="fals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K185" s="21"/>
    </row>
    <row r="186" customFormat="false" ht="15" hidden="false" customHeight="fals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K186" s="21"/>
    </row>
    <row r="187" customFormat="false" ht="15" hidden="false" customHeight="fals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K187" s="21"/>
    </row>
    <row r="188" customFormat="false" ht="15" hidden="false" customHeight="fals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K188" s="21"/>
    </row>
    <row r="189" customFormat="false" ht="15" hidden="false" customHeight="fals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K189" s="21"/>
    </row>
    <row r="190" customFormat="false" ht="15" hidden="false" customHeight="fals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K190" s="21"/>
    </row>
    <row r="191" customFormat="false" ht="15" hidden="false" customHeight="fals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K191" s="21"/>
    </row>
    <row r="192" customFormat="false" ht="15" hidden="false" customHeight="fals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K192" s="21"/>
    </row>
    <row r="193" customFormat="false" ht="15" hidden="false" customHeight="fals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K193" s="21"/>
    </row>
    <row r="194" customFormat="false" ht="15" hidden="false" customHeight="fals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K194" s="21"/>
    </row>
    <row r="195" customFormat="false" ht="15" hidden="false" customHeight="fals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K195" s="21"/>
    </row>
    <row r="196" customFormat="false" ht="15" hidden="false" customHeight="fals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K196" s="21"/>
    </row>
    <row r="197" customFormat="false" ht="15" hidden="false" customHeight="fals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K197" s="21"/>
    </row>
    <row r="198" customFormat="false" ht="15" hidden="false" customHeight="fals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K198" s="21"/>
    </row>
    <row r="199" customFormat="false" ht="15" hidden="false" customHeight="fals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K199" s="21"/>
    </row>
    <row r="200" customFormat="false" ht="15" hidden="false" customHeight="fals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K200" s="21"/>
    </row>
  </sheetData>
  <sheetProtection sheet="true" password="cc3d" objects="true" scenarios="true" deleteColumns="false" deleteRows="false"/>
  <mergeCells count="2">
    <mergeCell ref="A1:L1"/>
    <mergeCell ref="A2:AN2"/>
  </mergeCells>
  <conditionalFormatting sqref="H6:H804">
    <cfRule type="cellIs" priority="2" operator="lessThan" aboveAverage="0" equalAverage="0" bottom="0" percent="0" rank="0" text="" dxfId="5">
      <formula>0</formula>
    </cfRule>
    <cfRule type="cellIs" priority="3" operator="equal" aboveAverage="0" equalAverage="0" bottom="0" percent="0" rank="0" text="" dxfId="6">
      <formula>"AKTİF"</formula>
    </cfRule>
    <cfRule type="cellIs" priority="4" operator="equal" aboveAverage="0" equalAverage="0" bottom="0" percent="0" rank="0" text="" dxfId="7">
      <formula>"PASİF"</formula>
    </cfRule>
  </conditionalFormatting>
  <dataValidations count="5">
    <dataValidation allowBlank="true" error="Hesap türü yalnızca KASA veya BANKA olabilir." errorStyle="stop" errorTitle="Geçersiz Tür" operator="between" prompt="KASA veya BANKA seçin." promptTitle="Hesap Türü" showDropDown="false" showErrorMessage="true" showInputMessage="true" sqref="C6:C804" type="list">
      <formula1>"KASA,BANKA"</formula1>
      <formula2>0</formula2>
    </dataValidation>
    <dataValidation allowBlank="true" error="Durum yalnızca AKTİF veya PASİF olabilir." errorStyle="stop" errorTitle="Geçersiz Durum" operator="between" prompt="AKTİF hesaplar kullanılabilir para toplamına girer." promptTitle="Hesap Durumu" showDropDown="false" showErrorMessage="true" showInputMessage="true" sqref="I6:I804" type="list">
      <formula1>"AKTİF,PASİF"</formula1>
      <formula2>0</formula2>
    </dataValidation>
    <dataValidation allowBlank="true" error="Bakiye negatif olamaz." errorStyle="stop" errorTitle="Geçersiz Bakiye" operator="greaterThanOrEqual" prompt="Hesabın güncel bakiyesini TL olarak girin." promptTitle="Bakiye" showDropDown="false" showErrorMessage="true" showInputMessage="true" sqref="F6:F804" type="decimal">
      <formula1>0</formula1>
      <formula2>0</formula2>
    </dataValidation>
    <dataValidation allowBlank="true" error="Bloke tutar negatif olamaz." errorStyle="stop" errorTitle="Geçersiz Tutar" operator="greaterThanOrEqual" prompt="Rehin, teminat veya bloke edilmiş tutarı girin." promptTitle="Bloke Tutar" showDropDown="false" showErrorMessage="true" showInputMessage="true" sqref="G6:G804" type="decimal">
      <formula1>0</formula1>
      <formula2>0</formula2>
    </dataValidation>
    <dataValidation allowBlank="true" error="Eşik negatif olamaz." errorStyle="stop" errorTitle="Geçersiz Eşik" operator="greaterThanOrEqual" prompt="Hesapta sürekli kalması gereken asgari tutar." promptTitle="Minimum Kasa Eşiği" showDropDown="false" showErrorMessage="true" showInputMessage="true" sqref="H6:H8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6" min="5" style="0" width="18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10" min="9" style="0" width="14"/>
    <col collapsed="false" customWidth="true" hidden="false" outlineLevel="0" max="11" min="11" style="0" width="42"/>
    <col collapsed="false" customWidth="true" hidden="false" outlineLevel="0" max="13" min="12" style="0" width="14"/>
    <col collapsed="false" customWidth="true" hidden="false" outlineLevel="0" max="14" min="14" style="0" width="16"/>
  </cols>
  <sheetData>
    <row r="1" customFormat="false" ht="25.5" hidden="false" customHeight="true" outlineLevel="0" collapsed="false">
      <c r="A1" s="12" t="s">
        <v>60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customFormat="false" ht="19.5" hidden="false" customHeight="true" outlineLevel="0" collapsed="false">
      <c r="A2" s="11" t="s">
        <v>61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4" customFormat="false" ht="30" hidden="false" customHeight="true" outlineLevel="0" collapsed="false">
      <c r="A4" s="14" t="s">
        <v>62</v>
      </c>
      <c r="B4" s="14" t="s">
        <v>63</v>
      </c>
      <c r="C4" s="14" t="s">
        <v>64</v>
      </c>
      <c r="D4" s="14" t="s">
        <v>65</v>
      </c>
      <c r="E4" s="14" t="s">
        <v>66</v>
      </c>
      <c r="F4" s="14" t="s">
        <v>67</v>
      </c>
      <c r="G4" s="14" t="s">
        <v>68</v>
      </c>
      <c r="H4" s="14" t="s">
        <v>69</v>
      </c>
      <c r="I4" s="14" t="s">
        <v>70</v>
      </c>
      <c r="J4" s="14" t="s">
        <v>71</v>
      </c>
      <c r="K4" s="14" t="s">
        <v>37</v>
      </c>
      <c r="L4" s="14" t="s">
        <v>72</v>
      </c>
      <c r="M4" s="14" t="s">
        <v>73</v>
      </c>
      <c r="N4" s="14" t="s">
        <v>74</v>
      </c>
    </row>
    <row r="6" customFormat="false" ht="15" hidden="false" customHeight="false" outlineLevel="0" collapsed="false">
      <c r="A6" s="22" t="n">
        <v>46204</v>
      </c>
      <c r="B6" s="16" t="s">
        <v>75</v>
      </c>
      <c r="C6" s="16" t="s">
        <v>38</v>
      </c>
      <c r="D6" s="15" t="s">
        <v>76</v>
      </c>
      <c r="E6" s="16" t="s">
        <v>77</v>
      </c>
      <c r="F6" s="16" t="s">
        <v>78</v>
      </c>
      <c r="G6" s="16" t="s">
        <v>79</v>
      </c>
      <c r="H6" s="16" t="s">
        <v>80</v>
      </c>
      <c r="I6" s="16" t="s">
        <v>81</v>
      </c>
      <c r="J6" s="18" t="n">
        <v>120000</v>
      </c>
      <c r="K6" s="20" t="s">
        <v>82</v>
      </c>
    </row>
    <row r="7" customFormat="false" ht="15" hidden="false" customHeight="false" outlineLevel="0" collapsed="false">
      <c r="A7" s="22" t="n">
        <v>46205</v>
      </c>
      <c r="B7" s="16" t="s">
        <v>83</v>
      </c>
      <c r="C7" s="16" t="s">
        <v>38</v>
      </c>
      <c r="D7" s="15" t="s">
        <v>84</v>
      </c>
      <c r="E7" s="16" t="s">
        <v>85</v>
      </c>
      <c r="F7" s="16" t="s">
        <v>86</v>
      </c>
      <c r="G7" s="16" t="s">
        <v>87</v>
      </c>
      <c r="H7" s="16" t="s">
        <v>88</v>
      </c>
      <c r="I7" s="16" t="s">
        <v>89</v>
      </c>
      <c r="J7" s="18" t="n">
        <v>90000</v>
      </c>
      <c r="K7" s="20" t="s">
        <v>90</v>
      </c>
    </row>
    <row r="8" customFormat="false" ht="15" hidden="false" customHeight="false" outlineLevel="0" collapsed="false">
      <c r="A8" s="22" t="n">
        <v>46206</v>
      </c>
      <c r="B8" s="16" t="s">
        <v>91</v>
      </c>
      <c r="C8" s="16" t="s">
        <v>43</v>
      </c>
      <c r="D8" s="15" t="s">
        <v>76</v>
      </c>
      <c r="E8" s="16" t="s">
        <v>92</v>
      </c>
      <c r="F8" s="16" t="s">
        <v>78</v>
      </c>
      <c r="G8" s="16" t="s">
        <v>93</v>
      </c>
      <c r="H8" s="16" t="s">
        <v>88</v>
      </c>
      <c r="I8" s="16" t="s">
        <v>94</v>
      </c>
      <c r="J8" s="18" t="n">
        <v>85000</v>
      </c>
      <c r="K8" s="20" t="s">
        <v>95</v>
      </c>
    </row>
    <row r="9" customFormat="false" ht="15" hidden="false" customHeight="false" outlineLevel="0" collapsed="false">
      <c r="A9" s="22" t="n">
        <v>46208</v>
      </c>
      <c r="B9" s="16" t="s">
        <v>96</v>
      </c>
      <c r="C9" s="16" t="s">
        <v>43</v>
      </c>
      <c r="D9" s="15" t="s">
        <v>84</v>
      </c>
      <c r="E9" s="16" t="s">
        <v>97</v>
      </c>
      <c r="F9" s="16" t="s">
        <v>98</v>
      </c>
      <c r="G9" s="16" t="s">
        <v>99</v>
      </c>
      <c r="H9" s="16" t="s">
        <v>100</v>
      </c>
      <c r="I9" s="16" t="s">
        <v>101</v>
      </c>
      <c r="J9" s="18" t="n">
        <v>180000</v>
      </c>
      <c r="K9" s="20" t="s">
        <v>102</v>
      </c>
    </row>
    <row r="10" customFormat="false" ht="15" hidden="false" customHeight="false" outlineLevel="0" collapsed="false">
      <c r="A10" s="22" t="n">
        <v>46210</v>
      </c>
      <c r="B10" s="16" t="s">
        <v>103</v>
      </c>
      <c r="C10" s="16" t="s">
        <v>49</v>
      </c>
      <c r="D10" s="15" t="s">
        <v>84</v>
      </c>
      <c r="E10" s="16" t="s">
        <v>104</v>
      </c>
      <c r="F10" s="16" t="s">
        <v>105</v>
      </c>
      <c r="G10" s="16" t="s">
        <v>106</v>
      </c>
      <c r="H10" s="16" t="s">
        <v>100</v>
      </c>
      <c r="I10" s="16" t="s">
        <v>107</v>
      </c>
      <c r="J10" s="18" t="n">
        <v>60000</v>
      </c>
      <c r="K10" s="20" t="s">
        <v>108</v>
      </c>
    </row>
    <row r="11" customFormat="false" ht="15" hidden="false" customHeight="false" outlineLevel="0" collapsed="false">
      <c r="A11" s="22" t="n">
        <v>46211</v>
      </c>
      <c r="B11" s="16" t="s">
        <v>109</v>
      </c>
      <c r="C11" s="16" t="s">
        <v>38</v>
      </c>
      <c r="D11" s="15" t="s">
        <v>76</v>
      </c>
      <c r="E11" s="16" t="s">
        <v>77</v>
      </c>
      <c r="F11" s="16" t="s">
        <v>110</v>
      </c>
      <c r="G11" s="16" t="s">
        <v>111</v>
      </c>
      <c r="H11" s="16" t="s">
        <v>80</v>
      </c>
      <c r="I11" s="16" t="s">
        <v>112</v>
      </c>
      <c r="J11" s="18" t="n">
        <v>45000</v>
      </c>
      <c r="K11" s="20" t="s">
        <v>113</v>
      </c>
    </row>
    <row r="12" customFormat="false" ht="15" hidden="false" customHeight="false" outlineLevel="0" collapsed="false">
      <c r="A12" s="22" t="n">
        <v>46213</v>
      </c>
      <c r="B12" s="16" t="s">
        <v>114</v>
      </c>
      <c r="C12" s="16" t="s">
        <v>43</v>
      </c>
      <c r="D12" s="15" t="s">
        <v>84</v>
      </c>
      <c r="E12" s="16" t="s">
        <v>115</v>
      </c>
      <c r="F12" s="16" t="s">
        <v>105</v>
      </c>
      <c r="G12" s="16" t="s">
        <v>116</v>
      </c>
      <c r="H12" s="16" t="s">
        <v>88</v>
      </c>
      <c r="I12" s="16" t="s">
        <v>117</v>
      </c>
      <c r="J12" s="18" t="n">
        <v>75000</v>
      </c>
      <c r="K12" s="20" t="s">
        <v>118</v>
      </c>
    </row>
    <row r="13" customFormat="false" ht="15" hidden="false" customHeight="false" outlineLevel="0" collapsed="false">
      <c r="A13" s="22" t="n">
        <v>46215</v>
      </c>
      <c r="B13" s="16" t="s">
        <v>119</v>
      </c>
      <c r="C13" s="16" t="s">
        <v>43</v>
      </c>
      <c r="D13" s="15" t="s">
        <v>84</v>
      </c>
      <c r="E13" s="16" t="s">
        <v>120</v>
      </c>
      <c r="F13" s="16" t="s">
        <v>98</v>
      </c>
      <c r="G13" s="16" t="s">
        <v>121</v>
      </c>
      <c r="H13" s="16" t="s">
        <v>100</v>
      </c>
      <c r="I13" s="16" t="s">
        <v>122</v>
      </c>
      <c r="J13" s="18" t="n">
        <v>52000</v>
      </c>
      <c r="K13" s="20" t="s">
        <v>123</v>
      </c>
    </row>
    <row r="14" customFormat="false" ht="15" hidden="false" customHeight="false" outlineLevel="0" collapsed="false">
      <c r="A14" s="22" t="n">
        <v>46218</v>
      </c>
      <c r="B14" s="16" t="s">
        <v>124</v>
      </c>
      <c r="C14" s="16" t="s">
        <v>43</v>
      </c>
      <c r="D14" s="15" t="s">
        <v>84</v>
      </c>
      <c r="E14" s="16" t="s">
        <v>125</v>
      </c>
      <c r="F14" s="16" t="s">
        <v>105</v>
      </c>
      <c r="G14" s="16" t="s">
        <v>126</v>
      </c>
      <c r="H14" s="16" t="s">
        <v>100</v>
      </c>
      <c r="I14" s="16" t="s">
        <v>127</v>
      </c>
      <c r="J14" s="18" t="n">
        <v>120000</v>
      </c>
      <c r="K14" s="20" t="s">
        <v>128</v>
      </c>
    </row>
    <row r="15" customFormat="false" ht="15" hidden="false" customHeight="false" outlineLevel="0" collapsed="false">
      <c r="A15" s="22" t="n">
        <v>46219</v>
      </c>
      <c r="B15" s="16" t="s">
        <v>129</v>
      </c>
      <c r="C15" s="16" t="s">
        <v>38</v>
      </c>
      <c r="D15" s="15" t="s">
        <v>76</v>
      </c>
      <c r="E15" s="16" t="s">
        <v>92</v>
      </c>
      <c r="F15" s="16" t="s">
        <v>130</v>
      </c>
      <c r="G15" s="16" t="s">
        <v>131</v>
      </c>
      <c r="H15" s="16" t="s">
        <v>132</v>
      </c>
      <c r="I15" s="16" t="s">
        <v>133</v>
      </c>
      <c r="J15" s="18" t="n">
        <v>95000</v>
      </c>
      <c r="K15" s="20" t="s">
        <v>134</v>
      </c>
    </row>
    <row r="16" customFormat="false" ht="15" hidden="false" customHeight="fals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</row>
    <row r="17" customFormat="false" ht="15" hidden="false" customHeight="fals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</row>
    <row r="18" customFormat="false" ht="15" hidden="false" customHeight="fals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</row>
    <row r="19" customFormat="false" ht="15" hidden="false" customHeight="fals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</row>
    <row r="20" customFormat="false" ht="15" hidden="false" customHeight="fals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</row>
    <row r="21" customFormat="false" ht="15" hidden="false" customHeight="fals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</row>
    <row r="22" customFormat="false" ht="15" hidden="false" customHeight="fals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</row>
    <row r="23" customFormat="false" ht="15" hidden="false" customHeight="fals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</row>
    <row r="24" customFormat="false" ht="15" hidden="false" customHeight="fals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</row>
    <row r="25" customFormat="false" ht="15" hidden="false" customHeight="fals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</row>
    <row r="26" customFormat="false" ht="15" hidden="false" customHeight="fals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</row>
    <row r="27" customFormat="false" ht="15" hidden="false" customHeight="fals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</row>
    <row r="28" customFormat="false" ht="15" hidden="false" customHeight="fals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</row>
    <row r="29" customFormat="false" ht="15" hidden="false" customHeight="fals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</row>
    <row r="30" customFormat="false" ht="15" hidden="false" customHeight="fals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</row>
    <row r="31" customFormat="false" ht="15" hidden="false" customHeight="fals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</row>
    <row r="32" customFormat="false" ht="15" hidden="false" customHeight="false" outlineLevel="0" collapsed="false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</row>
    <row r="33" customFormat="false" ht="15" hidden="false" customHeight="false" outlineLevel="0" collapsed="false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</row>
    <row r="34" customFormat="false" ht="15" hidden="false" customHeight="fals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</row>
    <row r="35" customFormat="false" ht="15" hidden="false" customHeight="fals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</row>
    <row r="36" customFormat="false" ht="15" hidden="false" customHeight="fals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</row>
    <row r="37" customFormat="false" ht="15" hidden="false" customHeight="fals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</row>
    <row r="38" customFormat="false" ht="15" hidden="false" customHeight="fals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</row>
    <row r="39" customFormat="false" ht="15" hidden="false" customHeight="fals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</row>
    <row r="40" customFormat="false" ht="15" hidden="false" customHeight="fals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</row>
    <row r="41" customFormat="false" ht="15" hidden="false" customHeight="fals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</row>
    <row r="42" customFormat="false" ht="15" hidden="false" customHeight="fals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</row>
    <row r="43" customFormat="false" ht="15" hidden="false" customHeight="fals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</row>
    <row r="44" customFormat="false" ht="15" hidden="false" customHeight="fals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</row>
    <row r="45" customFormat="false" ht="15" hidden="false" customHeight="fals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customFormat="false" ht="15" hidden="false" customHeight="fals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customFormat="false" ht="15" hidden="false" customHeight="fals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customFormat="false" ht="15" hidden="false" customHeight="fals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customFormat="false" ht="15" hidden="false" customHeight="fals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customFormat="false" ht="15" hidden="false" customHeight="fals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customFormat="false" ht="15" hidden="false" customHeight="fals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customFormat="false" ht="15" hidden="false" customHeight="fals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customFormat="false" ht="15" hidden="false" customHeight="fals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customFormat="false" ht="15" hidden="false" customHeight="fals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customFormat="false" ht="15" hidden="false" customHeight="fals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customFormat="false" ht="15" hidden="false" customHeight="fals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customFormat="false" ht="15" hidden="false" customHeight="fals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customFormat="false" ht="15" hidden="false" customHeight="fals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customFormat="false" ht="15" hidden="false" customHeight="fals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customFormat="false" ht="15" hidden="false" customHeight="fals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customFormat="false" ht="15" hidden="false" customHeight="fals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customFormat="false" ht="15" hidden="false" customHeight="fals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customFormat="false" ht="15" hidden="false" customHeight="fals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customFormat="false" ht="15" hidden="false" customHeight="fals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customFormat="false" ht="15" hidden="false" customHeight="fals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customFormat="false" ht="15" hidden="false" customHeight="fals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customFormat="false" ht="15" hidden="false" customHeight="fals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customFormat="false" ht="15" hidden="false" customHeight="fals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customFormat="false" ht="15" hidden="false" customHeight="fals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customFormat="false" ht="15" hidden="false" customHeight="fals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customFormat="false" ht="15" hidden="false" customHeight="fals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customFormat="false" ht="15" hidden="false" customHeight="fals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customFormat="false" ht="15" hidden="false" customHeight="fals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customFormat="false" ht="15" hidden="false" customHeight="fals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customFormat="false" ht="15" hidden="false" customHeight="fals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customFormat="false" ht="15" hidden="false" customHeight="fals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customFormat="false" ht="15" hidden="false" customHeight="fals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customFormat="false" ht="15" hidden="false" customHeight="fals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customFormat="false" ht="15" hidden="false" customHeight="fals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customFormat="false" ht="15" hidden="false" customHeight="fals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customFormat="false" ht="15" hidden="false" customHeight="fals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customFormat="false" ht="15" hidden="false" customHeight="fals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customFormat="false" ht="15" hidden="false" customHeight="fals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customFormat="false" ht="15" hidden="false" customHeight="fals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customFormat="false" ht="15" hidden="false" customHeight="fals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customFormat="false" ht="15" hidden="false" customHeight="fals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customFormat="false" ht="15" hidden="false" customHeight="fals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customFormat="false" ht="15" hidden="false" customHeight="fals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customFormat="false" ht="15" hidden="false" customHeight="fals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customFormat="false" ht="15" hidden="false" customHeight="fals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customFormat="false" ht="15" hidden="false" customHeight="fals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customFormat="false" ht="15" hidden="false" customHeight="fals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customFormat="false" ht="15" hidden="false" customHeight="fals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customFormat="false" ht="15" hidden="false" customHeight="fals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customFormat="false" ht="15" hidden="false" customHeight="fals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customFormat="false" ht="15" hidden="false" customHeight="fals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customFormat="false" ht="15" hidden="false" customHeight="fals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customFormat="false" ht="15" hidden="false" customHeight="fals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customFormat="false" ht="15" hidden="false" customHeight="fals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customFormat="false" ht="15" hidden="false" customHeight="fals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customFormat="false" ht="15" hidden="false" customHeight="fals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customFormat="false" ht="15" hidden="false" customHeight="fals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customFormat="false" ht="15" hidden="false" customHeight="fals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customFormat="false" ht="15" hidden="false" customHeight="fals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customFormat="false" ht="15" hidden="false" customHeight="fals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customFormat="false" ht="15" hidden="false" customHeight="fals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customFormat="false" ht="15" hidden="false" customHeight="fals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customFormat="false" ht="15" hidden="false" customHeight="fals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customFormat="false" ht="15" hidden="false" customHeight="fals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customFormat="false" ht="15" hidden="false" customHeight="fals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customFormat="false" ht="15" hidden="false" customHeight="fals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customFormat="false" ht="15" hidden="false" customHeight="fals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customFormat="false" ht="15" hidden="false" customHeight="fals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customFormat="false" ht="15" hidden="false" customHeight="fals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customFormat="false" ht="15" hidden="false" customHeight="fals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customFormat="false" ht="15" hidden="false" customHeight="fals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customFormat="false" ht="15" hidden="false" customHeight="fals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customFormat="false" ht="15" hidden="false" customHeight="fals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customFormat="false" ht="15" hidden="false" customHeight="fals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customFormat="false" ht="15" hidden="false" customHeight="fals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customFormat="false" ht="15" hidden="false" customHeight="fals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customFormat="false" ht="15" hidden="false" customHeight="fals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customFormat="false" ht="15" hidden="false" customHeight="fals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customFormat="false" ht="15" hidden="false" customHeight="fals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customFormat="false" ht="15" hidden="false" customHeight="fals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</sheetData>
  <sheetProtection sheet="true" password="cc3d" objects="true" scenarios="true" deleteColumns="false" deleteRows="false"/>
  <mergeCells count="2">
    <mergeCell ref="A1:P1"/>
    <mergeCell ref="A2:AN2"/>
  </mergeCells>
  <conditionalFormatting sqref="F6:F804">
    <cfRule type="cellIs" priority="2" operator="equal" aboveAverage="0" equalAverage="0" bottom="0" percent="0" rank="0" text="" dxfId="6">
      <formula>"GİRİŞ"</formula>
    </cfRule>
    <cfRule type="cellIs" priority="3" operator="equal" aboveAverage="0" equalAverage="0" bottom="0" percent="0" rank="0" text="" dxfId="8">
      <formula>"ÇIKIŞ"</formula>
    </cfRule>
  </conditionalFormatting>
  <conditionalFormatting sqref="L6:L804">
    <cfRule type="cellIs" priority="4" operator="greaterThan" aboveAverage="0" equalAverage="0" bottom="0" percent="0" rank="0" text="" dxfId="6">
      <formula>0</formula>
    </cfRule>
    <cfRule type="cellIs" priority="5" operator="lessThan" aboveAverage="0" equalAverage="0" bottom="0" percent="0" rank="0" text="" dxfId="8">
      <formula>0</formula>
    </cfRule>
  </conditionalFormatting>
  <conditionalFormatting sqref="M6:M804">
    <cfRule type="cellIs" priority="6" operator="equal" aboveAverage="0" equalAverage="0" bottom="0" percent="0" rank="0" text="" dxfId="6">
      <formula>"OK"</formula>
    </cfRule>
    <cfRule type="cellIs" priority="7" operator="equal" aboveAverage="0" equalAverage="0" bottom="0" percent="0" rank="0" text="" dxfId="9">
      <formula>"EKSİK"</formula>
    </cfRule>
    <cfRule type="cellIs" priority="8" operator="equal" aboveAverage="0" equalAverage="0" bottom="0" percent="0" rank="0" text="" dxfId="5">
      <formula>"MÜKERRER"</formula>
    </cfRule>
    <cfRule type="cellIs" priority="9" operator="equal" aboveAverage="0" equalAverage="0" bottom="0" percent="0" rank="0" text="" dxfId="8">
      <formula>"SIFIR/NEGATİF"</formula>
    </cfRule>
    <cfRule type="cellIs" priority="10" operator="equal" aboveAverage="0" equalAverage="0" bottom="0" percent="0" rank="0" text="" dxfId="5">
      <formula>"AŞIRI TUTAR"</formula>
    </cfRule>
  </conditionalFormatting>
  <dataValidations count="6">
    <dataValidation allowBlank="true" error="İşlem türü yalnızca GİRİŞ veya ÇIKIŞ olabilir." errorStyle="stop" errorTitle="Geçersiz İşlem Türü" operator="between" prompt="Para girişi ise GİRİŞ, çıkış ise ÇIKIŞ seçin." promptTitle="İşlem Türü" showDropDown="false" showErrorMessage="true" showInputMessage="true" sqref="D6:D804" type="list">
      <formula1>"GİRİŞ,ÇIKIŞ"</formula1>
      <formula2>0</formula2>
    </dataValidation>
    <dataValidation allowBlank="true" error="Kategoriyi LISTELER sayfasındaki listeden seçin." errorStyle="stop" errorTitle="Geçersiz Kategori" operator="between" prompt="Hareketin ait olduğu gelir veya gider kategorisini seçin." promptTitle="Kategori" showDropDown="false" showErrorMessage="true" showInputMessage="true" sqref="E6:E804" type="list">
      <formula1>LISTELER!$B$4:$B$30</formula1>
      <formula2>0</formula2>
    </dataValidation>
    <dataValidation allowBlank="true" error="Alt kategoriyi listeden seçin." errorStyle="stop" errorTitle="Geçersiz Alt Kategori" operator="between" prompt="Opsiyonel alt kategori seçin." promptTitle="Alt Kategori" showDropDown="false" showErrorMessage="true" showInputMessage="true" sqref="F6:F804" type="list">
      <formula1>LISTELER!$C$4:$C$30</formula1>
      <formula2>0</formula2>
    </dataValidation>
    <dataValidation allowBlank="true" error="Ödeme yöntemini listeden seçin." errorStyle="stop" errorTitle="Geçersiz Yöntem" operator="between" prompt="Nakit, havale veya kart ile yapılan ödeme türü." promptTitle="Ödeme Yöntemi" showDropDown="false" showErrorMessage="true" showInputMessage="true" sqref="H6:H804" type="list">
      <formula1>LISTELER!$D$4:$D$15</formula1>
      <formula2>0</formula2>
    </dataValidation>
    <dataValidation allowBlank="true" error="Hesabı KASA_HESAPLARI sayfasından seçin." errorStyle="stop" errorTitle="Geçersiz Hesap" operator="between" prompt="Hareketin gerçekleştiği kasa veya banka hesabı." promptTitle="Hesap" showDropDown="false" showErrorMessage="true" showInputMessage="true" sqref="C6:C804" type="list">
      <formula1>KASA_HESAPLARI!$A$6:$A$804</formula1>
      <formula2>0</formula2>
    </dataValidation>
    <dataValidation allowBlank="true" error="Tutar pozitif bir sayı olmalıdır." errorStyle="stop" errorTitle="Geçersiz Tutar" operator="greaterThan" prompt="Hareket tutarını TL olarak, sıfırdan büyük girin." promptTitle="Tutar" showDropDown="false" showErrorMessage="true" showInputMessage="true" sqref="J6:J804" type="decimal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8" min="6" style="0" width="14"/>
    <col collapsed="false" customWidth="true" hidden="false" outlineLevel="0" max="9" min="9" style="0" width="16"/>
    <col collapsed="false" customWidth="true" hidden="false" outlineLevel="0" max="10" min="10" style="0" width="22"/>
    <col collapsed="false" customWidth="true" hidden="false" outlineLevel="0" max="11" min="11" style="0" width="42"/>
  </cols>
  <sheetData>
    <row r="1" customFormat="false" ht="25.5" hidden="false" customHeight="true" outlineLevel="0" collapsed="false">
      <c r="A1" s="12" t="s">
        <v>135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customFormat="false" ht="19.5" hidden="false" customHeight="true" outlineLevel="0" collapsed="false">
      <c r="A2" s="11" t="s">
        <v>136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4" customFormat="false" ht="30" hidden="false" customHeight="true" outlineLevel="0" collapsed="false">
      <c r="A4" s="14" t="s">
        <v>62</v>
      </c>
      <c r="B4" s="14" t="s">
        <v>137</v>
      </c>
      <c r="C4" s="14" t="s">
        <v>29</v>
      </c>
      <c r="D4" s="14" t="s">
        <v>68</v>
      </c>
      <c r="E4" s="14" t="s">
        <v>138</v>
      </c>
      <c r="F4" s="14" t="s">
        <v>71</v>
      </c>
      <c r="G4" s="14" t="s">
        <v>35</v>
      </c>
      <c r="H4" s="14" t="s">
        <v>139</v>
      </c>
      <c r="I4" s="14" t="s">
        <v>69</v>
      </c>
      <c r="J4" s="14" t="s">
        <v>140</v>
      </c>
      <c r="K4" s="14" t="s">
        <v>37</v>
      </c>
      <c r="M4" s="23" t="s">
        <v>138</v>
      </c>
      <c r="N4" s="23" t="s">
        <v>141</v>
      </c>
    </row>
    <row r="5" customFormat="false" ht="15" hidden="false" customHeight="false" outlineLevel="0" collapsed="false">
      <c r="M5" s="24" t="s">
        <v>142</v>
      </c>
      <c r="N5" s="25" t="n">
        <f aca="false">IF(KayitSayisi=0,"",SUMIFS(tblTakvim[],tblTakvim[],"KRİTİK",tblTakvim[],"BEKLEMEDE",tblTakvim[],"ÖDEME"))</f>
        <v>260000</v>
      </c>
    </row>
    <row r="6" customFormat="false" ht="15" hidden="false" customHeight="false" outlineLevel="0" collapsed="false">
      <c r="A6" s="22" t="n">
        <v>46244</v>
      </c>
      <c r="B6" s="22" t="n">
        <v>46244</v>
      </c>
      <c r="C6" s="15" t="s">
        <v>143</v>
      </c>
      <c r="D6" s="16" t="s">
        <v>106</v>
      </c>
      <c r="E6" s="15" t="s">
        <v>142</v>
      </c>
      <c r="F6" s="18" t="n">
        <v>80000</v>
      </c>
      <c r="G6" s="15" t="s">
        <v>144</v>
      </c>
      <c r="I6" s="16" t="s">
        <v>100</v>
      </c>
      <c r="J6" s="16" t="s">
        <v>49</v>
      </c>
      <c r="K6" s="20" t="s">
        <v>145</v>
      </c>
      <c r="M6" s="24" t="s">
        <v>146</v>
      </c>
      <c r="N6" s="25" t="n">
        <f aca="false">IF(KayitSayisi=0,"",SUMIFS(tblTakvim[],tblTakvim[],"YÜKSEK",tblTakvim[],"BEKLEMEDE",tblTakvim[],"ÖDEME"))</f>
        <v>202000</v>
      </c>
    </row>
    <row r="7" customFormat="false" ht="15" hidden="false" customHeight="false" outlineLevel="0" collapsed="false">
      <c r="A7" s="22" t="n">
        <v>46246</v>
      </c>
      <c r="B7" s="22" t="n">
        <v>46246</v>
      </c>
      <c r="C7" s="15" t="s">
        <v>92</v>
      </c>
      <c r="D7" s="16" t="s">
        <v>93</v>
      </c>
      <c r="E7" s="15" t="s">
        <v>142</v>
      </c>
      <c r="F7" s="18" t="n">
        <v>200000</v>
      </c>
      <c r="G7" s="15" t="s">
        <v>144</v>
      </c>
      <c r="I7" s="16" t="s">
        <v>88</v>
      </c>
      <c r="J7" s="16" t="s">
        <v>43</v>
      </c>
      <c r="K7" s="20" t="s">
        <v>147</v>
      </c>
      <c r="M7" s="24" t="s">
        <v>148</v>
      </c>
      <c r="N7" s="25" t="n">
        <f aca="false">IF(KayitSayisi=0,"",SUMIFS(tblTakvim[],tblTakvim[],"ORTA",tblTakvim[],"BEKLEMEDE",tblTakvim[],"ÖDEME"))</f>
        <v>75000</v>
      </c>
    </row>
    <row r="8" customFormat="false" ht="15" hidden="false" customHeight="false" outlineLevel="0" collapsed="false">
      <c r="A8" s="22" t="n">
        <v>46249</v>
      </c>
      <c r="B8" s="22" t="n">
        <v>46249</v>
      </c>
      <c r="C8" s="15" t="s">
        <v>143</v>
      </c>
      <c r="D8" s="16" t="s">
        <v>87</v>
      </c>
      <c r="E8" s="15" t="s">
        <v>146</v>
      </c>
      <c r="F8" s="18" t="n">
        <v>150000</v>
      </c>
      <c r="G8" s="15" t="s">
        <v>144</v>
      </c>
      <c r="I8" s="16" t="s">
        <v>88</v>
      </c>
      <c r="J8" s="16" t="s">
        <v>43</v>
      </c>
      <c r="K8" s="20" t="s">
        <v>149</v>
      </c>
      <c r="M8" s="24" t="s">
        <v>150</v>
      </c>
      <c r="N8" s="25" t="n">
        <f aca="false">IF(KayitSayisi=0,"",SUMIFS(tblTakvim[],tblTakvim[],"DÜŞÜK",tblTakvim[],"BEKLEMEDE",tblTakvim[],"ÖDEME"))</f>
        <v>0</v>
      </c>
    </row>
    <row r="9" customFormat="false" ht="15" hidden="false" customHeight="false" outlineLevel="0" collapsed="false">
      <c r="A9" s="22" t="n">
        <v>46254</v>
      </c>
      <c r="B9" s="22" t="n">
        <v>46254</v>
      </c>
      <c r="C9" s="15" t="s">
        <v>143</v>
      </c>
      <c r="D9" s="16" t="s">
        <v>99</v>
      </c>
      <c r="E9" s="15" t="s">
        <v>142</v>
      </c>
      <c r="F9" s="18" t="n">
        <v>180000</v>
      </c>
      <c r="G9" s="15" t="s">
        <v>144</v>
      </c>
      <c r="I9" s="16" t="s">
        <v>100</v>
      </c>
      <c r="J9" s="16" t="s">
        <v>43</v>
      </c>
      <c r="K9" s="20" t="s">
        <v>151</v>
      </c>
    </row>
    <row r="10" customFormat="false" ht="15" hidden="false" customHeight="false" outlineLevel="0" collapsed="false">
      <c r="A10" s="22" t="n">
        <v>46259</v>
      </c>
      <c r="B10" s="22" t="n">
        <v>46259</v>
      </c>
      <c r="C10" s="15" t="s">
        <v>92</v>
      </c>
      <c r="D10" s="16" t="s">
        <v>79</v>
      </c>
      <c r="E10" s="15" t="s">
        <v>148</v>
      </c>
      <c r="F10" s="18" t="n">
        <v>150000</v>
      </c>
      <c r="G10" s="15" t="s">
        <v>144</v>
      </c>
      <c r="I10" s="16" t="s">
        <v>88</v>
      </c>
      <c r="J10" s="16" t="s">
        <v>43</v>
      </c>
      <c r="K10" s="20" t="s">
        <v>152</v>
      </c>
    </row>
    <row r="11" customFormat="false" ht="15" hidden="false" customHeight="false" outlineLevel="0" collapsed="false">
      <c r="A11" s="22" t="n">
        <v>46266</v>
      </c>
      <c r="B11" s="22" t="n">
        <v>46266</v>
      </c>
      <c r="C11" s="15" t="s">
        <v>143</v>
      </c>
      <c r="D11" s="16" t="s">
        <v>121</v>
      </c>
      <c r="E11" s="15" t="s">
        <v>146</v>
      </c>
      <c r="F11" s="18" t="n">
        <v>52000</v>
      </c>
      <c r="G11" s="15" t="s">
        <v>144</v>
      </c>
      <c r="I11" s="16" t="s">
        <v>100</v>
      </c>
      <c r="J11" s="16" t="s">
        <v>49</v>
      </c>
      <c r="K11" s="20" t="s">
        <v>153</v>
      </c>
    </row>
    <row r="12" customFormat="false" ht="15" hidden="false" customHeight="false" outlineLevel="0" collapsed="false">
      <c r="A12" s="22" t="n">
        <v>46270</v>
      </c>
      <c r="B12" s="22" t="n">
        <v>46270</v>
      </c>
      <c r="C12" s="15" t="s">
        <v>143</v>
      </c>
      <c r="D12" s="16" t="s">
        <v>116</v>
      </c>
      <c r="E12" s="15" t="s">
        <v>148</v>
      </c>
      <c r="F12" s="18" t="n">
        <v>75000</v>
      </c>
      <c r="G12" s="15" t="s">
        <v>144</v>
      </c>
      <c r="I12" s="16" t="s">
        <v>88</v>
      </c>
      <c r="J12" s="16" t="s">
        <v>43</v>
      </c>
      <c r="K12" s="20" t="s">
        <v>154</v>
      </c>
    </row>
    <row r="13" customFormat="false" ht="15" hidden="false" customHeight="false" outlineLevel="0" collapsed="false">
      <c r="A13" s="21"/>
      <c r="B13" s="21"/>
      <c r="C13" s="21"/>
      <c r="D13" s="21"/>
      <c r="E13" s="21"/>
      <c r="F13" s="21"/>
      <c r="G13" s="21"/>
      <c r="I13" s="21"/>
      <c r="J13" s="21"/>
      <c r="K13" s="21"/>
    </row>
    <row r="14" customFormat="false" ht="15" hidden="false" customHeight="false" outlineLevel="0" collapsed="false">
      <c r="A14" s="21"/>
      <c r="B14" s="21"/>
      <c r="C14" s="21"/>
      <c r="D14" s="21"/>
      <c r="E14" s="21"/>
      <c r="F14" s="21"/>
      <c r="G14" s="21"/>
      <c r="I14" s="21"/>
      <c r="J14" s="21"/>
      <c r="K14" s="21"/>
    </row>
    <row r="15" customFormat="false" ht="15" hidden="false" customHeight="false" outlineLevel="0" collapsed="false">
      <c r="A15" s="21"/>
      <c r="B15" s="21"/>
      <c r="C15" s="21"/>
      <c r="D15" s="21"/>
      <c r="E15" s="21"/>
      <c r="F15" s="21"/>
      <c r="G15" s="21"/>
      <c r="I15" s="21"/>
      <c r="J15" s="21"/>
      <c r="K15" s="21"/>
    </row>
    <row r="16" customFormat="false" ht="15" hidden="false" customHeight="false" outlineLevel="0" collapsed="false">
      <c r="A16" s="21"/>
      <c r="B16" s="21"/>
      <c r="C16" s="21"/>
      <c r="D16" s="21"/>
      <c r="E16" s="21"/>
      <c r="F16" s="21"/>
      <c r="G16" s="21"/>
      <c r="I16" s="21"/>
      <c r="J16" s="21"/>
      <c r="K16" s="21"/>
    </row>
    <row r="17" customFormat="false" ht="15" hidden="false" customHeight="false" outlineLevel="0" collapsed="false">
      <c r="A17" s="21"/>
      <c r="B17" s="21"/>
      <c r="C17" s="21"/>
      <c r="D17" s="21"/>
      <c r="E17" s="21"/>
      <c r="F17" s="21"/>
      <c r="G17" s="21"/>
      <c r="I17" s="21"/>
      <c r="J17" s="21"/>
      <c r="K17" s="21"/>
    </row>
    <row r="18" customFormat="false" ht="15" hidden="false" customHeight="false" outlineLevel="0" collapsed="false">
      <c r="A18" s="21"/>
      <c r="B18" s="21"/>
      <c r="C18" s="21"/>
      <c r="D18" s="21"/>
      <c r="E18" s="21"/>
      <c r="F18" s="21"/>
      <c r="G18" s="21"/>
      <c r="I18" s="21"/>
      <c r="J18" s="21"/>
      <c r="K18" s="21"/>
    </row>
    <row r="19" customFormat="false" ht="15" hidden="false" customHeight="false" outlineLevel="0" collapsed="false">
      <c r="A19" s="21"/>
      <c r="B19" s="21"/>
      <c r="C19" s="21"/>
      <c r="D19" s="21"/>
      <c r="E19" s="21"/>
      <c r="F19" s="21"/>
      <c r="G19" s="21"/>
      <c r="I19" s="21"/>
      <c r="J19" s="21"/>
      <c r="K19" s="21"/>
    </row>
    <row r="20" customFormat="false" ht="15" hidden="false" customHeight="false" outlineLevel="0" collapsed="false">
      <c r="A20" s="21"/>
      <c r="B20" s="21"/>
      <c r="C20" s="21"/>
      <c r="D20" s="21"/>
      <c r="E20" s="21"/>
      <c r="F20" s="21"/>
      <c r="G20" s="21"/>
      <c r="I20" s="21"/>
      <c r="J20" s="21"/>
      <c r="K20" s="21"/>
    </row>
    <row r="21" customFormat="false" ht="15" hidden="false" customHeight="false" outlineLevel="0" collapsed="false">
      <c r="A21" s="21"/>
      <c r="B21" s="21"/>
      <c r="C21" s="21"/>
      <c r="D21" s="21"/>
      <c r="E21" s="21"/>
      <c r="F21" s="21"/>
      <c r="G21" s="21"/>
      <c r="I21" s="21"/>
      <c r="J21" s="21"/>
      <c r="K21" s="21"/>
    </row>
    <row r="22" customFormat="false" ht="15" hidden="false" customHeight="false" outlineLevel="0" collapsed="false">
      <c r="A22" s="21"/>
      <c r="B22" s="21"/>
      <c r="C22" s="21"/>
      <c r="D22" s="21"/>
      <c r="E22" s="21"/>
      <c r="F22" s="21"/>
      <c r="G22" s="21"/>
      <c r="I22" s="21"/>
      <c r="J22" s="21"/>
      <c r="K22" s="21"/>
    </row>
    <row r="23" customFormat="false" ht="15" hidden="false" customHeight="false" outlineLevel="0" collapsed="false">
      <c r="A23" s="21"/>
      <c r="B23" s="21"/>
      <c r="C23" s="21"/>
      <c r="D23" s="21"/>
      <c r="E23" s="21"/>
      <c r="F23" s="21"/>
      <c r="G23" s="21"/>
      <c r="I23" s="21"/>
      <c r="J23" s="21"/>
      <c r="K23" s="21"/>
    </row>
    <row r="24" customFormat="false" ht="15" hidden="false" customHeight="false" outlineLevel="0" collapsed="false">
      <c r="A24" s="21"/>
      <c r="B24" s="21"/>
      <c r="C24" s="21"/>
      <c r="D24" s="21"/>
      <c r="E24" s="21"/>
      <c r="F24" s="21"/>
      <c r="G24" s="21"/>
      <c r="I24" s="21"/>
      <c r="J24" s="21"/>
      <c r="K24" s="21"/>
    </row>
    <row r="25" customFormat="false" ht="15" hidden="false" customHeight="false" outlineLevel="0" collapsed="false">
      <c r="A25" s="21"/>
      <c r="B25" s="21"/>
      <c r="C25" s="21"/>
      <c r="D25" s="21"/>
      <c r="E25" s="21"/>
      <c r="F25" s="21"/>
      <c r="G25" s="21"/>
      <c r="I25" s="21"/>
      <c r="J25" s="21"/>
      <c r="K25" s="21"/>
    </row>
    <row r="26" customFormat="false" ht="15" hidden="false" customHeight="false" outlineLevel="0" collapsed="false">
      <c r="A26" s="21"/>
      <c r="B26" s="21"/>
      <c r="C26" s="21"/>
      <c r="D26" s="21"/>
      <c r="E26" s="21"/>
      <c r="F26" s="21"/>
      <c r="G26" s="21"/>
      <c r="I26" s="21"/>
      <c r="J26" s="21"/>
      <c r="K26" s="21"/>
    </row>
    <row r="27" customFormat="false" ht="15" hidden="false" customHeight="false" outlineLevel="0" collapsed="false">
      <c r="A27" s="21"/>
      <c r="B27" s="21"/>
      <c r="C27" s="21"/>
      <c r="D27" s="21"/>
      <c r="E27" s="21"/>
      <c r="F27" s="21"/>
      <c r="G27" s="21"/>
      <c r="I27" s="21"/>
      <c r="J27" s="21"/>
      <c r="K27" s="21"/>
    </row>
    <row r="28" customFormat="false" ht="15" hidden="false" customHeight="false" outlineLevel="0" collapsed="false">
      <c r="A28" s="21"/>
      <c r="B28" s="21"/>
      <c r="C28" s="21"/>
      <c r="D28" s="21"/>
      <c r="E28" s="21"/>
      <c r="F28" s="21"/>
      <c r="G28" s="21"/>
      <c r="I28" s="21"/>
      <c r="J28" s="21"/>
      <c r="K28" s="21"/>
    </row>
    <row r="29" customFormat="false" ht="15" hidden="false" customHeight="false" outlineLevel="0" collapsed="false">
      <c r="A29" s="21"/>
      <c r="B29" s="21"/>
      <c r="C29" s="21"/>
      <c r="D29" s="21"/>
      <c r="E29" s="21"/>
      <c r="F29" s="21"/>
      <c r="G29" s="21"/>
      <c r="I29" s="21"/>
      <c r="J29" s="21"/>
      <c r="K29" s="21"/>
    </row>
    <row r="30" customFormat="false" ht="15" hidden="false" customHeight="false" outlineLevel="0" collapsed="false">
      <c r="A30" s="21"/>
      <c r="B30" s="21"/>
      <c r="C30" s="21"/>
      <c r="D30" s="21"/>
      <c r="E30" s="21"/>
      <c r="F30" s="21"/>
      <c r="G30" s="21"/>
      <c r="I30" s="21"/>
      <c r="J30" s="21"/>
      <c r="K30" s="21"/>
    </row>
    <row r="31" customFormat="false" ht="15" hidden="false" customHeight="false" outlineLevel="0" collapsed="false">
      <c r="A31" s="21"/>
      <c r="B31" s="21"/>
      <c r="C31" s="21"/>
      <c r="D31" s="21"/>
      <c r="E31" s="21"/>
      <c r="F31" s="21"/>
      <c r="G31" s="21"/>
      <c r="I31" s="21"/>
      <c r="J31" s="21"/>
      <c r="K31" s="21"/>
    </row>
    <row r="32" customFormat="false" ht="15" hidden="false" customHeight="false" outlineLevel="0" collapsed="false">
      <c r="A32" s="21"/>
      <c r="B32" s="21"/>
      <c r="C32" s="21"/>
      <c r="D32" s="21"/>
      <c r="E32" s="21"/>
      <c r="F32" s="21"/>
      <c r="G32" s="21"/>
      <c r="I32" s="21"/>
      <c r="J32" s="21"/>
      <c r="K32" s="21"/>
    </row>
    <row r="33" customFormat="false" ht="15" hidden="false" customHeight="false" outlineLevel="0" collapsed="false">
      <c r="A33" s="21"/>
      <c r="B33" s="21"/>
      <c r="C33" s="21"/>
      <c r="D33" s="21"/>
      <c r="E33" s="21"/>
      <c r="F33" s="21"/>
      <c r="G33" s="21"/>
      <c r="I33" s="21"/>
      <c r="J33" s="21"/>
      <c r="K33" s="21"/>
    </row>
    <row r="34" customFormat="false" ht="15" hidden="false" customHeight="false" outlineLevel="0" collapsed="false">
      <c r="A34" s="21"/>
      <c r="B34" s="21"/>
      <c r="C34" s="21"/>
      <c r="D34" s="21"/>
      <c r="E34" s="21"/>
      <c r="F34" s="21"/>
      <c r="G34" s="21"/>
      <c r="I34" s="21"/>
      <c r="J34" s="21"/>
      <c r="K34" s="21"/>
    </row>
    <row r="35" customFormat="false" ht="15" hidden="false" customHeight="false" outlineLevel="0" collapsed="false">
      <c r="A35" s="21"/>
      <c r="B35" s="21"/>
      <c r="C35" s="21"/>
      <c r="D35" s="21"/>
      <c r="E35" s="21"/>
      <c r="F35" s="21"/>
      <c r="G35" s="21"/>
      <c r="I35" s="21"/>
      <c r="J35" s="21"/>
      <c r="K35" s="21"/>
    </row>
    <row r="36" customFormat="false" ht="15" hidden="false" customHeight="false" outlineLevel="0" collapsed="false">
      <c r="A36" s="21"/>
      <c r="B36" s="21"/>
      <c r="C36" s="21"/>
      <c r="D36" s="21"/>
      <c r="E36" s="21"/>
      <c r="F36" s="21"/>
      <c r="G36" s="21"/>
      <c r="I36" s="21"/>
      <c r="J36" s="21"/>
      <c r="K36" s="21"/>
    </row>
    <row r="37" customFormat="false" ht="15" hidden="false" customHeight="false" outlineLevel="0" collapsed="false">
      <c r="A37" s="21"/>
      <c r="B37" s="21"/>
      <c r="C37" s="21"/>
      <c r="D37" s="21"/>
      <c r="E37" s="21"/>
      <c r="F37" s="21"/>
      <c r="G37" s="21"/>
      <c r="I37" s="21"/>
      <c r="J37" s="21"/>
      <c r="K37" s="21"/>
    </row>
    <row r="38" customFormat="false" ht="15" hidden="false" customHeight="false" outlineLevel="0" collapsed="false">
      <c r="A38" s="21"/>
      <c r="B38" s="21"/>
      <c r="C38" s="21"/>
      <c r="D38" s="21"/>
      <c r="E38" s="21"/>
      <c r="F38" s="21"/>
      <c r="G38" s="21"/>
      <c r="I38" s="21"/>
      <c r="J38" s="21"/>
      <c r="K38" s="21"/>
    </row>
    <row r="39" customFormat="false" ht="15" hidden="false" customHeight="false" outlineLevel="0" collapsed="false">
      <c r="A39" s="21"/>
      <c r="B39" s="21"/>
      <c r="C39" s="21"/>
      <c r="D39" s="21"/>
      <c r="E39" s="21"/>
      <c r="F39" s="21"/>
      <c r="G39" s="21"/>
      <c r="I39" s="21"/>
      <c r="J39" s="21"/>
      <c r="K39" s="21"/>
    </row>
    <row r="40" customFormat="false" ht="15" hidden="false" customHeight="false" outlineLevel="0" collapsed="false">
      <c r="A40" s="21"/>
      <c r="B40" s="21"/>
      <c r="C40" s="21"/>
      <c r="D40" s="21"/>
      <c r="E40" s="21"/>
      <c r="F40" s="21"/>
      <c r="G40" s="21"/>
      <c r="I40" s="21"/>
      <c r="J40" s="21"/>
      <c r="K40" s="21"/>
    </row>
    <row r="41" customFormat="false" ht="15" hidden="false" customHeight="false" outlineLevel="0" collapsed="false">
      <c r="A41" s="21"/>
      <c r="B41" s="21"/>
      <c r="C41" s="21"/>
      <c r="D41" s="21"/>
      <c r="E41" s="21"/>
      <c r="F41" s="21"/>
      <c r="G41" s="21"/>
      <c r="I41" s="21"/>
      <c r="J41" s="21"/>
      <c r="K41" s="21"/>
    </row>
    <row r="42" customFormat="false" ht="15" hidden="false" customHeight="false" outlineLevel="0" collapsed="false">
      <c r="A42" s="21"/>
      <c r="B42" s="21"/>
      <c r="C42" s="21"/>
      <c r="D42" s="21"/>
      <c r="E42" s="21"/>
      <c r="F42" s="21"/>
      <c r="G42" s="21"/>
      <c r="I42" s="21"/>
      <c r="J42" s="21"/>
      <c r="K42" s="21"/>
    </row>
    <row r="43" customFormat="false" ht="15" hidden="false" customHeight="false" outlineLevel="0" collapsed="false">
      <c r="A43" s="21"/>
      <c r="B43" s="21"/>
      <c r="C43" s="21"/>
      <c r="D43" s="21"/>
      <c r="E43" s="21"/>
      <c r="F43" s="21"/>
      <c r="G43" s="21"/>
      <c r="I43" s="21"/>
      <c r="J43" s="21"/>
      <c r="K43" s="21"/>
    </row>
    <row r="44" customFormat="false" ht="15" hidden="false" customHeight="false" outlineLevel="0" collapsed="false">
      <c r="A44" s="21"/>
      <c r="B44" s="21"/>
      <c r="C44" s="21"/>
      <c r="D44" s="21"/>
      <c r="E44" s="21"/>
      <c r="F44" s="21"/>
      <c r="G44" s="21"/>
      <c r="I44" s="21"/>
      <c r="J44" s="21"/>
      <c r="K44" s="21"/>
    </row>
    <row r="45" customFormat="false" ht="15" hidden="false" customHeight="false" outlineLevel="0" collapsed="false">
      <c r="A45" s="21"/>
      <c r="B45" s="21"/>
      <c r="C45" s="21"/>
      <c r="D45" s="21"/>
      <c r="E45" s="21"/>
      <c r="F45" s="21"/>
      <c r="G45" s="21"/>
      <c r="I45" s="21"/>
      <c r="J45" s="21"/>
      <c r="K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  <c r="G46" s="21"/>
      <c r="I46" s="21"/>
      <c r="J46" s="21"/>
      <c r="K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  <c r="G47" s="21"/>
      <c r="I47" s="21"/>
      <c r="J47" s="21"/>
      <c r="K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  <c r="G48" s="21"/>
      <c r="I48" s="21"/>
      <c r="J48" s="21"/>
      <c r="K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  <c r="G49" s="21"/>
      <c r="I49" s="21"/>
      <c r="J49" s="21"/>
      <c r="K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  <c r="G50" s="21"/>
      <c r="I50" s="21"/>
      <c r="J50" s="21"/>
      <c r="K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  <c r="G51" s="21"/>
      <c r="I51" s="21"/>
      <c r="J51" s="21"/>
      <c r="K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  <c r="G52" s="21"/>
      <c r="I52" s="21"/>
      <c r="J52" s="21"/>
      <c r="K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  <c r="G53" s="21"/>
      <c r="I53" s="21"/>
      <c r="J53" s="21"/>
      <c r="K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  <c r="G54" s="21"/>
      <c r="I54" s="21"/>
      <c r="J54" s="21"/>
      <c r="K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  <c r="G55" s="21"/>
      <c r="I55" s="21"/>
      <c r="J55" s="21"/>
      <c r="K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  <c r="G56" s="21"/>
      <c r="I56" s="21"/>
      <c r="J56" s="21"/>
      <c r="K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  <c r="G57" s="21"/>
      <c r="I57" s="21"/>
      <c r="J57" s="21"/>
      <c r="K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  <c r="G58" s="21"/>
      <c r="I58" s="21"/>
      <c r="J58" s="21"/>
      <c r="K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  <c r="G59" s="21"/>
      <c r="I59" s="21"/>
      <c r="J59" s="21"/>
      <c r="K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  <c r="G60" s="21"/>
      <c r="I60" s="21"/>
      <c r="J60" s="21"/>
      <c r="K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  <c r="G61" s="21"/>
      <c r="I61" s="21"/>
      <c r="J61" s="21"/>
      <c r="K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  <c r="G62" s="21"/>
      <c r="I62" s="21"/>
      <c r="J62" s="21"/>
      <c r="K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  <c r="G63" s="21"/>
      <c r="I63" s="21"/>
      <c r="J63" s="21"/>
      <c r="K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  <c r="G64" s="21"/>
      <c r="I64" s="21"/>
      <c r="J64" s="21"/>
      <c r="K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  <c r="G65" s="21"/>
      <c r="I65" s="21"/>
      <c r="J65" s="21"/>
      <c r="K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  <c r="G66" s="21"/>
      <c r="I66" s="21"/>
      <c r="J66" s="21"/>
      <c r="K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  <c r="G67" s="21"/>
      <c r="I67" s="21"/>
      <c r="J67" s="21"/>
      <c r="K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  <c r="G68" s="21"/>
      <c r="I68" s="21"/>
      <c r="J68" s="21"/>
      <c r="K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  <c r="G69" s="21"/>
      <c r="I69" s="21"/>
      <c r="J69" s="21"/>
      <c r="K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  <c r="G70" s="21"/>
      <c r="I70" s="21"/>
      <c r="J70" s="21"/>
      <c r="K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  <c r="G71" s="21"/>
      <c r="I71" s="21"/>
      <c r="J71" s="21"/>
      <c r="K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  <c r="G72" s="21"/>
      <c r="I72" s="21"/>
      <c r="J72" s="21"/>
      <c r="K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  <c r="G73" s="21"/>
      <c r="I73" s="21"/>
      <c r="J73" s="21"/>
      <c r="K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  <c r="G74" s="21"/>
      <c r="I74" s="21"/>
      <c r="J74" s="21"/>
      <c r="K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  <c r="G75" s="21"/>
      <c r="I75" s="21"/>
      <c r="J75" s="21"/>
      <c r="K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  <c r="G76" s="21"/>
      <c r="I76" s="21"/>
      <c r="J76" s="21"/>
      <c r="K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  <c r="G77" s="21"/>
      <c r="I77" s="21"/>
      <c r="J77" s="21"/>
      <c r="K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  <c r="G78" s="21"/>
      <c r="I78" s="21"/>
      <c r="J78" s="21"/>
      <c r="K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  <c r="G79" s="21"/>
      <c r="I79" s="21"/>
      <c r="J79" s="21"/>
      <c r="K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  <c r="G80" s="21"/>
      <c r="I80" s="21"/>
      <c r="J80" s="21"/>
      <c r="K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  <c r="G81" s="21"/>
      <c r="I81" s="21"/>
      <c r="J81" s="21"/>
      <c r="K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  <c r="G82" s="21"/>
      <c r="I82" s="21"/>
      <c r="J82" s="21"/>
      <c r="K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  <c r="G83" s="21"/>
      <c r="I83" s="21"/>
      <c r="J83" s="21"/>
      <c r="K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  <c r="G84" s="21"/>
      <c r="I84" s="21"/>
      <c r="J84" s="21"/>
      <c r="K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  <c r="G85" s="21"/>
      <c r="I85" s="21"/>
      <c r="J85" s="21"/>
      <c r="K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  <c r="G86" s="21"/>
      <c r="I86" s="21"/>
      <c r="J86" s="21"/>
      <c r="K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  <c r="G87" s="21"/>
      <c r="I87" s="21"/>
      <c r="J87" s="21"/>
      <c r="K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  <c r="G88" s="21"/>
      <c r="I88" s="21"/>
      <c r="J88" s="21"/>
      <c r="K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  <c r="G89" s="21"/>
      <c r="I89" s="21"/>
      <c r="J89" s="21"/>
      <c r="K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  <c r="G90" s="21"/>
      <c r="I90" s="21"/>
      <c r="J90" s="21"/>
      <c r="K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  <c r="G91" s="21"/>
      <c r="I91" s="21"/>
      <c r="J91" s="21"/>
      <c r="K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  <c r="G92" s="21"/>
      <c r="I92" s="21"/>
      <c r="J92" s="21"/>
      <c r="K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  <c r="G93" s="21"/>
      <c r="I93" s="21"/>
      <c r="J93" s="21"/>
      <c r="K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  <c r="G94" s="21"/>
      <c r="I94" s="21"/>
      <c r="J94" s="21"/>
      <c r="K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  <c r="G95" s="21"/>
      <c r="I95" s="21"/>
      <c r="J95" s="21"/>
      <c r="K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  <c r="G96" s="21"/>
      <c r="I96" s="21"/>
      <c r="J96" s="21"/>
      <c r="K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  <c r="G97" s="21"/>
      <c r="I97" s="21"/>
      <c r="J97" s="21"/>
      <c r="K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  <c r="G98" s="21"/>
      <c r="I98" s="21"/>
      <c r="J98" s="21"/>
      <c r="K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  <c r="G99" s="21"/>
      <c r="I99" s="21"/>
      <c r="J99" s="21"/>
      <c r="K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  <c r="G100" s="21"/>
      <c r="I100" s="21"/>
      <c r="J100" s="21"/>
      <c r="K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  <c r="G101" s="21"/>
      <c r="I101" s="21"/>
      <c r="J101" s="21"/>
      <c r="K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  <c r="G102" s="21"/>
      <c r="I102" s="21"/>
      <c r="J102" s="21"/>
      <c r="K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  <c r="G103" s="21"/>
      <c r="I103" s="21"/>
      <c r="J103" s="21"/>
      <c r="K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  <c r="G104" s="21"/>
      <c r="I104" s="21"/>
      <c r="J104" s="21"/>
      <c r="K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  <c r="G105" s="21"/>
      <c r="I105" s="21"/>
      <c r="J105" s="21"/>
      <c r="K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  <c r="G106" s="21"/>
      <c r="I106" s="21"/>
      <c r="J106" s="21"/>
      <c r="K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  <c r="G107" s="21"/>
      <c r="I107" s="21"/>
      <c r="J107" s="21"/>
      <c r="K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  <c r="G108" s="21"/>
      <c r="I108" s="21"/>
      <c r="J108" s="21"/>
      <c r="K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  <c r="G109" s="21"/>
      <c r="I109" s="21"/>
      <c r="J109" s="21"/>
      <c r="K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  <c r="G110" s="21"/>
      <c r="I110" s="21"/>
      <c r="J110" s="21"/>
      <c r="K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  <c r="G111" s="21"/>
      <c r="I111" s="21"/>
      <c r="J111" s="21"/>
      <c r="K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  <c r="G112" s="21"/>
      <c r="I112" s="21"/>
      <c r="J112" s="21"/>
      <c r="K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  <c r="G113" s="21"/>
      <c r="I113" s="21"/>
      <c r="J113" s="21"/>
      <c r="K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  <c r="G114" s="21"/>
      <c r="I114" s="21"/>
      <c r="J114" s="21"/>
      <c r="K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  <c r="G115" s="21"/>
      <c r="I115" s="21"/>
      <c r="J115" s="21"/>
      <c r="K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  <c r="G116" s="21"/>
      <c r="I116" s="21"/>
      <c r="J116" s="21"/>
      <c r="K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  <c r="G117" s="21"/>
      <c r="I117" s="21"/>
      <c r="J117" s="21"/>
      <c r="K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  <c r="G118" s="21"/>
      <c r="I118" s="21"/>
      <c r="J118" s="21"/>
      <c r="K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  <c r="G119" s="21"/>
      <c r="I119" s="21"/>
      <c r="J119" s="21"/>
      <c r="K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  <c r="G120" s="21"/>
      <c r="I120" s="21"/>
      <c r="J120" s="21"/>
      <c r="K120" s="21"/>
    </row>
    <row r="121" customFormat="false" ht="15" hidden="false" customHeight="false" outlineLevel="0" collapsed="false">
      <c r="A121" s="21"/>
      <c r="B121" s="21"/>
      <c r="C121" s="21"/>
      <c r="D121" s="21"/>
      <c r="E121" s="21"/>
      <c r="F121" s="21"/>
      <c r="G121" s="21"/>
      <c r="I121" s="21"/>
      <c r="J121" s="21"/>
      <c r="K121" s="21"/>
    </row>
    <row r="122" customFormat="false" ht="15" hidden="false" customHeight="false" outlineLevel="0" collapsed="false">
      <c r="A122" s="21"/>
      <c r="B122" s="21"/>
      <c r="C122" s="21"/>
      <c r="D122" s="21"/>
      <c r="E122" s="21"/>
      <c r="F122" s="21"/>
      <c r="G122" s="21"/>
      <c r="I122" s="21"/>
      <c r="J122" s="21"/>
      <c r="K122" s="21"/>
    </row>
    <row r="123" customFormat="false" ht="15" hidden="false" customHeight="false" outlineLevel="0" collapsed="false">
      <c r="A123" s="21"/>
      <c r="B123" s="21"/>
      <c r="C123" s="21"/>
      <c r="D123" s="21"/>
      <c r="E123" s="21"/>
      <c r="F123" s="21"/>
      <c r="G123" s="21"/>
      <c r="I123" s="21"/>
      <c r="J123" s="21"/>
      <c r="K123" s="21"/>
    </row>
    <row r="124" customFormat="false" ht="15" hidden="false" customHeight="false" outlineLevel="0" collapsed="false">
      <c r="A124" s="21"/>
      <c r="B124" s="21"/>
      <c r="C124" s="21"/>
      <c r="D124" s="21"/>
      <c r="E124" s="21"/>
      <c r="F124" s="21"/>
      <c r="G124" s="21"/>
      <c r="I124" s="21"/>
      <c r="J124" s="21"/>
      <c r="K124" s="21"/>
    </row>
    <row r="125" customFormat="false" ht="15" hidden="false" customHeight="false" outlineLevel="0" collapsed="false">
      <c r="A125" s="21"/>
      <c r="B125" s="21"/>
      <c r="C125" s="21"/>
      <c r="D125" s="21"/>
      <c r="E125" s="21"/>
      <c r="F125" s="21"/>
      <c r="G125" s="21"/>
      <c r="I125" s="21"/>
      <c r="J125" s="21"/>
      <c r="K125" s="21"/>
    </row>
    <row r="126" customFormat="false" ht="15" hidden="false" customHeight="false" outlineLevel="0" collapsed="false">
      <c r="A126" s="21"/>
      <c r="B126" s="21"/>
      <c r="C126" s="21"/>
      <c r="D126" s="21"/>
      <c r="E126" s="21"/>
      <c r="F126" s="21"/>
      <c r="G126" s="21"/>
      <c r="I126" s="21"/>
      <c r="J126" s="21"/>
      <c r="K126" s="21"/>
    </row>
    <row r="127" customFormat="false" ht="15" hidden="false" customHeight="false" outlineLevel="0" collapsed="false">
      <c r="A127" s="21"/>
      <c r="B127" s="21"/>
      <c r="C127" s="21"/>
      <c r="D127" s="21"/>
      <c r="E127" s="21"/>
      <c r="F127" s="21"/>
      <c r="G127" s="21"/>
      <c r="I127" s="21"/>
      <c r="J127" s="21"/>
      <c r="K127" s="21"/>
    </row>
    <row r="128" customFormat="false" ht="15" hidden="false" customHeight="false" outlineLevel="0" collapsed="false">
      <c r="A128" s="21"/>
      <c r="B128" s="21"/>
      <c r="C128" s="21"/>
      <c r="D128" s="21"/>
      <c r="E128" s="21"/>
      <c r="F128" s="21"/>
      <c r="G128" s="21"/>
      <c r="I128" s="21"/>
      <c r="J128" s="21"/>
      <c r="K128" s="21"/>
    </row>
    <row r="129" customFormat="false" ht="15" hidden="false" customHeight="false" outlineLevel="0" collapsed="false">
      <c r="A129" s="21"/>
      <c r="B129" s="21"/>
      <c r="C129" s="21"/>
      <c r="D129" s="21"/>
      <c r="E129" s="21"/>
      <c r="F129" s="21"/>
      <c r="G129" s="21"/>
      <c r="I129" s="21"/>
      <c r="J129" s="21"/>
      <c r="K129" s="21"/>
    </row>
    <row r="130" customFormat="false" ht="15" hidden="false" customHeight="false" outlineLevel="0" collapsed="false">
      <c r="A130" s="21"/>
      <c r="B130" s="21"/>
      <c r="C130" s="21"/>
      <c r="D130" s="21"/>
      <c r="E130" s="21"/>
      <c r="F130" s="21"/>
      <c r="G130" s="21"/>
      <c r="I130" s="21"/>
      <c r="J130" s="21"/>
      <c r="K130" s="21"/>
    </row>
    <row r="131" customFormat="false" ht="15" hidden="false" customHeight="false" outlineLevel="0" collapsed="false">
      <c r="A131" s="21"/>
      <c r="B131" s="21"/>
      <c r="C131" s="21"/>
      <c r="D131" s="21"/>
      <c r="E131" s="21"/>
      <c r="F131" s="21"/>
      <c r="G131" s="21"/>
      <c r="I131" s="21"/>
      <c r="J131" s="21"/>
      <c r="K131" s="21"/>
    </row>
    <row r="132" customFormat="false" ht="15" hidden="false" customHeight="false" outlineLevel="0" collapsed="false">
      <c r="A132" s="21"/>
      <c r="B132" s="21"/>
      <c r="C132" s="21"/>
      <c r="D132" s="21"/>
      <c r="E132" s="21"/>
      <c r="F132" s="21"/>
      <c r="G132" s="21"/>
      <c r="I132" s="21"/>
      <c r="J132" s="21"/>
      <c r="K132" s="21"/>
    </row>
    <row r="133" customFormat="false" ht="15" hidden="false" customHeight="false" outlineLevel="0" collapsed="false">
      <c r="A133" s="21"/>
      <c r="B133" s="21"/>
      <c r="C133" s="21"/>
      <c r="D133" s="21"/>
      <c r="E133" s="21"/>
      <c r="F133" s="21"/>
      <c r="G133" s="21"/>
      <c r="I133" s="21"/>
      <c r="J133" s="21"/>
      <c r="K133" s="21"/>
    </row>
    <row r="134" customFormat="false" ht="15" hidden="false" customHeight="false" outlineLevel="0" collapsed="false">
      <c r="A134" s="21"/>
      <c r="B134" s="21"/>
      <c r="C134" s="21"/>
      <c r="D134" s="21"/>
      <c r="E134" s="21"/>
      <c r="F134" s="21"/>
      <c r="G134" s="21"/>
      <c r="I134" s="21"/>
      <c r="J134" s="21"/>
      <c r="K134" s="21"/>
    </row>
    <row r="135" customFormat="false" ht="15" hidden="false" customHeight="false" outlineLevel="0" collapsed="false">
      <c r="A135" s="21"/>
      <c r="B135" s="21"/>
      <c r="C135" s="21"/>
      <c r="D135" s="21"/>
      <c r="E135" s="21"/>
      <c r="F135" s="21"/>
      <c r="G135" s="21"/>
      <c r="I135" s="21"/>
      <c r="J135" s="21"/>
      <c r="K135" s="21"/>
    </row>
    <row r="136" customFormat="false" ht="15" hidden="false" customHeight="false" outlineLevel="0" collapsed="false">
      <c r="A136" s="21"/>
      <c r="B136" s="21"/>
      <c r="C136" s="21"/>
      <c r="D136" s="21"/>
      <c r="E136" s="21"/>
      <c r="F136" s="21"/>
      <c r="G136" s="21"/>
      <c r="I136" s="21"/>
      <c r="J136" s="21"/>
      <c r="K136" s="21"/>
    </row>
    <row r="137" customFormat="false" ht="15" hidden="false" customHeight="false" outlineLevel="0" collapsed="false">
      <c r="A137" s="21"/>
      <c r="B137" s="21"/>
      <c r="C137" s="21"/>
      <c r="D137" s="21"/>
      <c r="E137" s="21"/>
      <c r="F137" s="21"/>
      <c r="G137" s="21"/>
      <c r="I137" s="21"/>
      <c r="J137" s="21"/>
      <c r="K137" s="21"/>
    </row>
    <row r="138" customFormat="false" ht="15" hidden="false" customHeight="false" outlineLevel="0" collapsed="false">
      <c r="A138" s="21"/>
      <c r="B138" s="21"/>
      <c r="C138" s="21"/>
      <c r="D138" s="21"/>
      <c r="E138" s="21"/>
      <c r="F138" s="21"/>
      <c r="G138" s="21"/>
      <c r="I138" s="21"/>
      <c r="J138" s="21"/>
      <c r="K138" s="21"/>
    </row>
    <row r="139" customFormat="false" ht="15" hidden="false" customHeight="false" outlineLevel="0" collapsed="false">
      <c r="A139" s="21"/>
      <c r="B139" s="21"/>
      <c r="C139" s="21"/>
      <c r="D139" s="21"/>
      <c r="E139" s="21"/>
      <c r="F139" s="21"/>
      <c r="G139" s="21"/>
      <c r="I139" s="21"/>
      <c r="J139" s="21"/>
      <c r="K139" s="21"/>
    </row>
    <row r="140" customFormat="false" ht="15" hidden="false" customHeight="false" outlineLevel="0" collapsed="false">
      <c r="A140" s="21"/>
      <c r="B140" s="21"/>
      <c r="C140" s="21"/>
      <c r="D140" s="21"/>
      <c r="E140" s="21"/>
      <c r="F140" s="21"/>
      <c r="G140" s="21"/>
      <c r="I140" s="21"/>
      <c r="J140" s="21"/>
      <c r="K140" s="21"/>
    </row>
    <row r="141" customFormat="false" ht="15" hidden="false" customHeight="false" outlineLevel="0" collapsed="false">
      <c r="A141" s="21"/>
      <c r="B141" s="21"/>
      <c r="C141" s="21"/>
      <c r="D141" s="21"/>
      <c r="E141" s="21"/>
      <c r="F141" s="21"/>
      <c r="G141" s="21"/>
      <c r="I141" s="21"/>
      <c r="J141" s="21"/>
      <c r="K141" s="21"/>
    </row>
    <row r="142" customFormat="false" ht="15" hidden="false" customHeight="false" outlineLevel="0" collapsed="false">
      <c r="A142" s="21"/>
      <c r="B142" s="21"/>
      <c r="C142" s="21"/>
      <c r="D142" s="21"/>
      <c r="E142" s="21"/>
      <c r="F142" s="21"/>
      <c r="G142" s="21"/>
      <c r="I142" s="21"/>
      <c r="J142" s="21"/>
      <c r="K142" s="21"/>
    </row>
    <row r="143" customFormat="false" ht="15" hidden="false" customHeight="false" outlineLevel="0" collapsed="false">
      <c r="A143" s="21"/>
      <c r="B143" s="21"/>
      <c r="C143" s="21"/>
      <c r="D143" s="21"/>
      <c r="E143" s="21"/>
      <c r="F143" s="21"/>
      <c r="G143" s="21"/>
      <c r="I143" s="21"/>
      <c r="J143" s="21"/>
      <c r="K143" s="21"/>
    </row>
    <row r="144" customFormat="false" ht="15" hidden="false" customHeight="false" outlineLevel="0" collapsed="false">
      <c r="A144" s="21"/>
      <c r="B144" s="21"/>
      <c r="C144" s="21"/>
      <c r="D144" s="21"/>
      <c r="E144" s="21"/>
      <c r="F144" s="21"/>
      <c r="G144" s="21"/>
      <c r="I144" s="21"/>
      <c r="J144" s="21"/>
      <c r="K144" s="21"/>
    </row>
    <row r="145" customFormat="false" ht="15" hidden="false" customHeight="false" outlineLevel="0" collapsed="false">
      <c r="A145" s="21"/>
      <c r="B145" s="21"/>
      <c r="C145" s="21"/>
      <c r="D145" s="21"/>
      <c r="E145" s="21"/>
      <c r="F145" s="21"/>
      <c r="G145" s="21"/>
      <c r="I145" s="21"/>
      <c r="J145" s="21"/>
      <c r="K145" s="21"/>
    </row>
    <row r="146" customFormat="false" ht="15" hidden="false" customHeight="false" outlineLevel="0" collapsed="false">
      <c r="A146" s="21"/>
      <c r="B146" s="21"/>
      <c r="C146" s="21"/>
      <c r="D146" s="21"/>
      <c r="E146" s="21"/>
      <c r="F146" s="21"/>
      <c r="G146" s="21"/>
      <c r="I146" s="21"/>
      <c r="J146" s="21"/>
      <c r="K146" s="21"/>
    </row>
    <row r="147" customFormat="false" ht="15" hidden="false" customHeight="false" outlineLevel="0" collapsed="false">
      <c r="A147" s="21"/>
      <c r="B147" s="21"/>
      <c r="C147" s="21"/>
      <c r="D147" s="21"/>
      <c r="E147" s="21"/>
      <c r="F147" s="21"/>
      <c r="G147" s="21"/>
      <c r="I147" s="21"/>
      <c r="J147" s="21"/>
      <c r="K147" s="21"/>
    </row>
    <row r="148" customFormat="false" ht="15" hidden="false" customHeight="false" outlineLevel="0" collapsed="false">
      <c r="A148" s="21"/>
      <c r="B148" s="21"/>
      <c r="C148" s="21"/>
      <c r="D148" s="21"/>
      <c r="E148" s="21"/>
      <c r="F148" s="21"/>
      <c r="G148" s="21"/>
      <c r="I148" s="21"/>
      <c r="J148" s="21"/>
      <c r="K148" s="21"/>
    </row>
    <row r="149" customFormat="false" ht="15" hidden="false" customHeight="false" outlineLevel="0" collapsed="false">
      <c r="A149" s="21"/>
      <c r="B149" s="21"/>
      <c r="C149" s="21"/>
      <c r="D149" s="21"/>
      <c r="E149" s="21"/>
      <c r="F149" s="21"/>
      <c r="G149" s="21"/>
      <c r="I149" s="21"/>
      <c r="J149" s="21"/>
      <c r="K149" s="21"/>
    </row>
    <row r="150" customFormat="false" ht="15" hidden="false" customHeight="false" outlineLevel="0" collapsed="false">
      <c r="A150" s="21"/>
      <c r="B150" s="21"/>
      <c r="C150" s="21"/>
      <c r="D150" s="21"/>
      <c r="E150" s="21"/>
      <c r="F150" s="21"/>
      <c r="G150" s="21"/>
      <c r="I150" s="21"/>
      <c r="J150" s="21"/>
      <c r="K150" s="21"/>
    </row>
    <row r="151" customFormat="false" ht="15" hidden="false" customHeight="false" outlineLevel="0" collapsed="false">
      <c r="A151" s="21"/>
      <c r="B151" s="21"/>
      <c r="C151" s="21"/>
      <c r="D151" s="21"/>
      <c r="E151" s="21"/>
      <c r="F151" s="21"/>
      <c r="G151" s="21"/>
      <c r="I151" s="21"/>
      <c r="J151" s="21"/>
      <c r="K151" s="21"/>
    </row>
    <row r="152" customFormat="false" ht="15" hidden="false" customHeight="false" outlineLevel="0" collapsed="false">
      <c r="A152" s="21"/>
      <c r="B152" s="21"/>
      <c r="C152" s="21"/>
      <c r="D152" s="21"/>
      <c r="E152" s="21"/>
      <c r="F152" s="21"/>
      <c r="G152" s="21"/>
      <c r="I152" s="21"/>
      <c r="J152" s="21"/>
      <c r="K152" s="21"/>
    </row>
    <row r="153" customFormat="false" ht="15" hidden="false" customHeight="false" outlineLevel="0" collapsed="false">
      <c r="A153" s="21"/>
      <c r="B153" s="21"/>
      <c r="C153" s="21"/>
      <c r="D153" s="21"/>
      <c r="E153" s="21"/>
      <c r="F153" s="21"/>
      <c r="G153" s="21"/>
      <c r="I153" s="21"/>
      <c r="J153" s="21"/>
      <c r="K153" s="21"/>
    </row>
    <row r="154" customFormat="false" ht="15" hidden="false" customHeight="false" outlineLevel="0" collapsed="false">
      <c r="A154" s="21"/>
      <c r="B154" s="21"/>
      <c r="C154" s="21"/>
      <c r="D154" s="21"/>
      <c r="E154" s="21"/>
      <c r="F154" s="21"/>
      <c r="G154" s="21"/>
      <c r="I154" s="21"/>
      <c r="J154" s="21"/>
      <c r="K154" s="21"/>
    </row>
    <row r="155" customFormat="false" ht="15" hidden="false" customHeight="false" outlineLevel="0" collapsed="false">
      <c r="A155" s="21"/>
      <c r="B155" s="21"/>
      <c r="C155" s="21"/>
      <c r="D155" s="21"/>
      <c r="E155" s="21"/>
      <c r="F155" s="21"/>
      <c r="G155" s="21"/>
      <c r="I155" s="21"/>
      <c r="J155" s="21"/>
      <c r="K155" s="21"/>
    </row>
    <row r="156" customFormat="false" ht="15" hidden="false" customHeight="false" outlineLevel="0" collapsed="false">
      <c r="A156" s="21"/>
      <c r="B156" s="21"/>
      <c r="C156" s="21"/>
      <c r="D156" s="21"/>
      <c r="E156" s="21"/>
      <c r="F156" s="21"/>
      <c r="G156" s="21"/>
      <c r="I156" s="21"/>
      <c r="J156" s="21"/>
      <c r="K156" s="21"/>
    </row>
    <row r="157" customFormat="false" ht="15" hidden="false" customHeight="false" outlineLevel="0" collapsed="false">
      <c r="A157" s="21"/>
      <c r="B157" s="21"/>
      <c r="C157" s="21"/>
      <c r="D157" s="21"/>
      <c r="E157" s="21"/>
      <c r="F157" s="21"/>
      <c r="G157" s="21"/>
      <c r="I157" s="21"/>
      <c r="J157" s="21"/>
      <c r="K157" s="21"/>
    </row>
    <row r="158" customFormat="false" ht="15" hidden="false" customHeight="false" outlineLevel="0" collapsed="false">
      <c r="A158" s="21"/>
      <c r="B158" s="21"/>
      <c r="C158" s="21"/>
      <c r="D158" s="21"/>
      <c r="E158" s="21"/>
      <c r="F158" s="21"/>
      <c r="G158" s="21"/>
      <c r="I158" s="21"/>
      <c r="J158" s="21"/>
      <c r="K158" s="21"/>
    </row>
    <row r="159" customFormat="false" ht="15" hidden="false" customHeight="false" outlineLevel="0" collapsed="false">
      <c r="A159" s="21"/>
      <c r="B159" s="21"/>
      <c r="C159" s="21"/>
      <c r="D159" s="21"/>
      <c r="E159" s="21"/>
      <c r="F159" s="21"/>
      <c r="G159" s="21"/>
      <c r="I159" s="21"/>
      <c r="J159" s="21"/>
      <c r="K159" s="21"/>
    </row>
    <row r="160" customFormat="false" ht="15" hidden="false" customHeight="false" outlineLevel="0" collapsed="false">
      <c r="A160" s="21"/>
      <c r="B160" s="21"/>
      <c r="C160" s="21"/>
      <c r="D160" s="21"/>
      <c r="E160" s="21"/>
      <c r="F160" s="21"/>
      <c r="G160" s="21"/>
      <c r="I160" s="21"/>
      <c r="J160" s="21"/>
      <c r="K160" s="21"/>
    </row>
    <row r="161" customFormat="false" ht="15" hidden="false" customHeight="false" outlineLevel="0" collapsed="false">
      <c r="A161" s="21"/>
      <c r="B161" s="21"/>
      <c r="C161" s="21"/>
      <c r="D161" s="21"/>
      <c r="E161" s="21"/>
      <c r="F161" s="21"/>
      <c r="G161" s="21"/>
      <c r="I161" s="21"/>
      <c r="J161" s="21"/>
      <c r="K161" s="21"/>
    </row>
    <row r="162" customFormat="false" ht="15" hidden="false" customHeight="false" outlineLevel="0" collapsed="false">
      <c r="A162" s="21"/>
      <c r="B162" s="21"/>
      <c r="C162" s="21"/>
      <c r="D162" s="21"/>
      <c r="E162" s="21"/>
      <c r="F162" s="21"/>
      <c r="G162" s="21"/>
      <c r="I162" s="21"/>
      <c r="J162" s="21"/>
      <c r="K162" s="21"/>
    </row>
    <row r="163" customFormat="false" ht="15" hidden="false" customHeight="false" outlineLevel="0" collapsed="false">
      <c r="A163" s="21"/>
      <c r="B163" s="21"/>
      <c r="C163" s="21"/>
      <c r="D163" s="21"/>
      <c r="E163" s="21"/>
      <c r="F163" s="21"/>
      <c r="G163" s="21"/>
      <c r="I163" s="21"/>
      <c r="J163" s="21"/>
      <c r="K163" s="21"/>
    </row>
    <row r="164" customFormat="false" ht="15" hidden="false" customHeight="false" outlineLevel="0" collapsed="false">
      <c r="A164" s="21"/>
      <c r="B164" s="21"/>
      <c r="C164" s="21"/>
      <c r="D164" s="21"/>
      <c r="E164" s="21"/>
      <c r="F164" s="21"/>
      <c r="G164" s="21"/>
      <c r="I164" s="21"/>
      <c r="J164" s="21"/>
      <c r="K164" s="21"/>
    </row>
    <row r="165" customFormat="false" ht="15" hidden="false" customHeight="false" outlineLevel="0" collapsed="false">
      <c r="A165" s="21"/>
      <c r="B165" s="21"/>
      <c r="C165" s="21"/>
      <c r="D165" s="21"/>
      <c r="E165" s="21"/>
      <c r="F165" s="21"/>
      <c r="G165" s="21"/>
      <c r="I165" s="21"/>
      <c r="J165" s="21"/>
      <c r="K165" s="21"/>
    </row>
    <row r="166" customFormat="false" ht="15" hidden="false" customHeight="false" outlineLevel="0" collapsed="false">
      <c r="A166" s="21"/>
      <c r="B166" s="21"/>
      <c r="C166" s="21"/>
      <c r="D166" s="21"/>
      <c r="E166" s="21"/>
      <c r="F166" s="21"/>
      <c r="G166" s="21"/>
      <c r="I166" s="21"/>
      <c r="J166" s="21"/>
      <c r="K166" s="21"/>
    </row>
    <row r="167" customFormat="false" ht="15" hidden="false" customHeight="false" outlineLevel="0" collapsed="false">
      <c r="A167" s="21"/>
      <c r="B167" s="21"/>
      <c r="C167" s="21"/>
      <c r="D167" s="21"/>
      <c r="E167" s="21"/>
      <c r="F167" s="21"/>
      <c r="G167" s="21"/>
      <c r="I167" s="21"/>
      <c r="J167" s="21"/>
      <c r="K167" s="21"/>
    </row>
    <row r="168" customFormat="false" ht="15" hidden="false" customHeight="false" outlineLevel="0" collapsed="false">
      <c r="A168" s="21"/>
      <c r="B168" s="21"/>
      <c r="C168" s="21"/>
      <c r="D168" s="21"/>
      <c r="E168" s="21"/>
      <c r="F168" s="21"/>
      <c r="G168" s="21"/>
      <c r="I168" s="21"/>
      <c r="J168" s="21"/>
      <c r="K168" s="21"/>
    </row>
    <row r="169" customFormat="false" ht="15" hidden="false" customHeight="false" outlineLevel="0" collapsed="false">
      <c r="A169" s="21"/>
      <c r="B169" s="21"/>
      <c r="C169" s="21"/>
      <c r="D169" s="21"/>
      <c r="E169" s="21"/>
      <c r="F169" s="21"/>
      <c r="G169" s="21"/>
      <c r="I169" s="21"/>
      <c r="J169" s="21"/>
      <c r="K169" s="21"/>
    </row>
    <row r="170" customFormat="false" ht="15" hidden="false" customHeight="false" outlineLevel="0" collapsed="false">
      <c r="A170" s="21"/>
      <c r="B170" s="21"/>
      <c r="C170" s="21"/>
      <c r="D170" s="21"/>
      <c r="E170" s="21"/>
      <c r="F170" s="21"/>
      <c r="G170" s="21"/>
      <c r="I170" s="21"/>
      <c r="J170" s="21"/>
      <c r="K170" s="21"/>
    </row>
    <row r="171" customFormat="false" ht="15" hidden="false" customHeight="false" outlineLevel="0" collapsed="false">
      <c r="A171" s="21"/>
      <c r="B171" s="21"/>
      <c r="C171" s="21"/>
      <c r="D171" s="21"/>
      <c r="E171" s="21"/>
      <c r="F171" s="21"/>
      <c r="G171" s="21"/>
      <c r="I171" s="21"/>
      <c r="J171" s="21"/>
      <c r="K171" s="21"/>
    </row>
    <row r="172" customFormat="false" ht="15" hidden="false" customHeight="false" outlineLevel="0" collapsed="false">
      <c r="A172" s="21"/>
      <c r="B172" s="21"/>
      <c r="C172" s="21"/>
      <c r="D172" s="21"/>
      <c r="E172" s="21"/>
      <c r="F172" s="21"/>
      <c r="G172" s="21"/>
      <c r="I172" s="21"/>
      <c r="J172" s="21"/>
      <c r="K172" s="21"/>
    </row>
    <row r="173" customFormat="false" ht="15" hidden="false" customHeight="false" outlineLevel="0" collapsed="false">
      <c r="A173" s="21"/>
      <c r="B173" s="21"/>
      <c r="C173" s="21"/>
      <c r="D173" s="21"/>
      <c r="E173" s="21"/>
      <c r="F173" s="21"/>
      <c r="G173" s="21"/>
      <c r="I173" s="21"/>
      <c r="J173" s="21"/>
      <c r="K173" s="21"/>
    </row>
    <row r="174" customFormat="false" ht="15" hidden="false" customHeight="false" outlineLevel="0" collapsed="false">
      <c r="A174" s="21"/>
      <c r="B174" s="21"/>
      <c r="C174" s="21"/>
      <c r="D174" s="21"/>
      <c r="E174" s="21"/>
      <c r="F174" s="21"/>
      <c r="G174" s="21"/>
      <c r="I174" s="21"/>
      <c r="J174" s="21"/>
      <c r="K174" s="21"/>
    </row>
    <row r="175" customFormat="false" ht="15" hidden="false" customHeight="false" outlineLevel="0" collapsed="false">
      <c r="A175" s="21"/>
      <c r="B175" s="21"/>
      <c r="C175" s="21"/>
      <c r="D175" s="21"/>
      <c r="E175" s="21"/>
      <c r="F175" s="21"/>
      <c r="G175" s="21"/>
      <c r="I175" s="21"/>
      <c r="J175" s="21"/>
      <c r="K175" s="21"/>
    </row>
    <row r="176" customFormat="false" ht="15" hidden="false" customHeight="false" outlineLevel="0" collapsed="false">
      <c r="A176" s="21"/>
      <c r="B176" s="21"/>
      <c r="C176" s="21"/>
      <c r="D176" s="21"/>
      <c r="E176" s="21"/>
      <c r="F176" s="21"/>
      <c r="G176" s="21"/>
      <c r="I176" s="21"/>
      <c r="J176" s="21"/>
      <c r="K176" s="21"/>
    </row>
    <row r="177" customFormat="false" ht="15" hidden="false" customHeight="false" outlineLevel="0" collapsed="false">
      <c r="A177" s="21"/>
      <c r="B177" s="21"/>
      <c r="C177" s="21"/>
      <c r="D177" s="21"/>
      <c r="E177" s="21"/>
      <c r="F177" s="21"/>
      <c r="G177" s="21"/>
      <c r="I177" s="21"/>
      <c r="J177" s="21"/>
      <c r="K177" s="21"/>
    </row>
    <row r="178" customFormat="false" ht="15" hidden="false" customHeight="false" outlineLevel="0" collapsed="false">
      <c r="A178" s="21"/>
      <c r="B178" s="21"/>
      <c r="C178" s="21"/>
      <c r="D178" s="21"/>
      <c r="E178" s="21"/>
      <c r="F178" s="21"/>
      <c r="G178" s="21"/>
      <c r="I178" s="21"/>
      <c r="J178" s="21"/>
      <c r="K178" s="21"/>
    </row>
    <row r="179" customFormat="false" ht="15" hidden="false" customHeight="false" outlineLevel="0" collapsed="false">
      <c r="A179" s="21"/>
      <c r="B179" s="21"/>
      <c r="C179" s="21"/>
      <c r="D179" s="21"/>
      <c r="E179" s="21"/>
      <c r="F179" s="21"/>
      <c r="G179" s="21"/>
      <c r="I179" s="21"/>
      <c r="J179" s="21"/>
      <c r="K179" s="21"/>
    </row>
    <row r="180" customFormat="false" ht="15" hidden="false" customHeight="false" outlineLevel="0" collapsed="false">
      <c r="A180" s="21"/>
      <c r="B180" s="21"/>
      <c r="C180" s="21"/>
      <c r="D180" s="21"/>
      <c r="E180" s="21"/>
      <c r="F180" s="21"/>
      <c r="G180" s="21"/>
      <c r="I180" s="21"/>
      <c r="J180" s="21"/>
      <c r="K180" s="21"/>
    </row>
    <row r="181" customFormat="false" ht="15" hidden="false" customHeight="false" outlineLevel="0" collapsed="false">
      <c r="A181" s="21"/>
      <c r="B181" s="21"/>
      <c r="C181" s="21"/>
      <c r="D181" s="21"/>
      <c r="E181" s="21"/>
      <c r="F181" s="21"/>
      <c r="G181" s="21"/>
      <c r="I181" s="21"/>
      <c r="J181" s="21"/>
      <c r="K181" s="21"/>
    </row>
    <row r="182" customFormat="false" ht="15" hidden="false" customHeight="false" outlineLevel="0" collapsed="false">
      <c r="A182" s="21"/>
      <c r="B182" s="21"/>
      <c r="C182" s="21"/>
      <c r="D182" s="21"/>
      <c r="E182" s="21"/>
      <c r="F182" s="21"/>
      <c r="G182" s="21"/>
      <c r="I182" s="21"/>
      <c r="J182" s="21"/>
      <c r="K182" s="21"/>
    </row>
    <row r="183" customFormat="false" ht="15" hidden="false" customHeight="false" outlineLevel="0" collapsed="false">
      <c r="A183" s="21"/>
      <c r="B183" s="21"/>
      <c r="C183" s="21"/>
      <c r="D183" s="21"/>
      <c r="E183" s="21"/>
      <c r="F183" s="21"/>
      <c r="G183" s="21"/>
      <c r="I183" s="21"/>
      <c r="J183" s="21"/>
      <c r="K183" s="21"/>
    </row>
    <row r="184" customFormat="false" ht="15" hidden="false" customHeight="false" outlineLevel="0" collapsed="false">
      <c r="A184" s="21"/>
      <c r="B184" s="21"/>
      <c r="C184" s="21"/>
      <c r="D184" s="21"/>
      <c r="E184" s="21"/>
      <c r="F184" s="21"/>
      <c r="G184" s="21"/>
      <c r="I184" s="21"/>
      <c r="J184" s="21"/>
      <c r="K184" s="21"/>
    </row>
    <row r="185" customFormat="false" ht="15" hidden="false" customHeight="false" outlineLevel="0" collapsed="false">
      <c r="A185" s="21"/>
      <c r="B185" s="21"/>
      <c r="C185" s="21"/>
      <c r="D185" s="21"/>
      <c r="E185" s="21"/>
      <c r="F185" s="21"/>
      <c r="G185" s="21"/>
      <c r="I185" s="21"/>
      <c r="J185" s="21"/>
      <c r="K185" s="21"/>
    </row>
    <row r="186" customFormat="false" ht="15" hidden="false" customHeight="false" outlineLevel="0" collapsed="false">
      <c r="A186" s="21"/>
      <c r="B186" s="21"/>
      <c r="C186" s="21"/>
      <c r="D186" s="21"/>
      <c r="E186" s="21"/>
      <c r="F186" s="21"/>
      <c r="G186" s="21"/>
      <c r="I186" s="21"/>
      <c r="J186" s="21"/>
      <c r="K186" s="21"/>
    </row>
    <row r="187" customFormat="false" ht="15" hidden="false" customHeight="false" outlineLevel="0" collapsed="false">
      <c r="A187" s="21"/>
      <c r="B187" s="21"/>
      <c r="C187" s="21"/>
      <c r="D187" s="21"/>
      <c r="E187" s="21"/>
      <c r="F187" s="21"/>
      <c r="G187" s="21"/>
      <c r="I187" s="21"/>
      <c r="J187" s="21"/>
      <c r="K187" s="21"/>
    </row>
    <row r="188" customFormat="false" ht="15" hidden="false" customHeight="false" outlineLevel="0" collapsed="false">
      <c r="A188" s="21"/>
      <c r="B188" s="21"/>
      <c r="C188" s="21"/>
      <c r="D188" s="21"/>
      <c r="E188" s="21"/>
      <c r="F188" s="21"/>
      <c r="G188" s="21"/>
      <c r="I188" s="21"/>
      <c r="J188" s="21"/>
      <c r="K188" s="21"/>
    </row>
    <row r="189" customFormat="false" ht="15" hidden="false" customHeight="false" outlineLevel="0" collapsed="false">
      <c r="A189" s="21"/>
      <c r="B189" s="21"/>
      <c r="C189" s="21"/>
      <c r="D189" s="21"/>
      <c r="E189" s="21"/>
      <c r="F189" s="21"/>
      <c r="G189" s="21"/>
      <c r="I189" s="21"/>
      <c r="J189" s="21"/>
      <c r="K189" s="21"/>
    </row>
    <row r="190" customFormat="false" ht="15" hidden="false" customHeight="false" outlineLevel="0" collapsed="false">
      <c r="A190" s="21"/>
      <c r="B190" s="21"/>
      <c r="C190" s="21"/>
      <c r="D190" s="21"/>
      <c r="E190" s="21"/>
      <c r="F190" s="21"/>
      <c r="G190" s="21"/>
      <c r="I190" s="21"/>
      <c r="J190" s="21"/>
      <c r="K190" s="21"/>
    </row>
    <row r="191" customFormat="false" ht="15" hidden="false" customHeight="false" outlineLevel="0" collapsed="false">
      <c r="A191" s="21"/>
      <c r="B191" s="21"/>
      <c r="C191" s="21"/>
      <c r="D191" s="21"/>
      <c r="E191" s="21"/>
      <c r="F191" s="21"/>
      <c r="G191" s="21"/>
      <c r="I191" s="21"/>
      <c r="J191" s="21"/>
      <c r="K191" s="21"/>
    </row>
    <row r="192" customFormat="false" ht="15" hidden="false" customHeight="false" outlineLevel="0" collapsed="false">
      <c r="A192" s="21"/>
      <c r="B192" s="21"/>
      <c r="C192" s="21"/>
      <c r="D192" s="21"/>
      <c r="E192" s="21"/>
      <c r="F192" s="21"/>
      <c r="G192" s="21"/>
      <c r="I192" s="21"/>
      <c r="J192" s="21"/>
      <c r="K192" s="21"/>
    </row>
    <row r="193" customFormat="false" ht="15" hidden="false" customHeight="false" outlineLevel="0" collapsed="false">
      <c r="A193" s="21"/>
      <c r="B193" s="21"/>
      <c r="C193" s="21"/>
      <c r="D193" s="21"/>
      <c r="E193" s="21"/>
      <c r="F193" s="21"/>
      <c r="G193" s="21"/>
      <c r="I193" s="21"/>
      <c r="J193" s="21"/>
      <c r="K193" s="21"/>
    </row>
    <row r="194" customFormat="false" ht="15" hidden="false" customHeight="false" outlineLevel="0" collapsed="false">
      <c r="A194" s="21"/>
      <c r="B194" s="21"/>
      <c r="C194" s="21"/>
      <c r="D194" s="21"/>
      <c r="E194" s="21"/>
      <c r="F194" s="21"/>
      <c r="G194" s="21"/>
      <c r="I194" s="21"/>
      <c r="J194" s="21"/>
      <c r="K194" s="21"/>
    </row>
    <row r="195" customFormat="false" ht="15" hidden="false" customHeight="false" outlineLevel="0" collapsed="false">
      <c r="A195" s="21"/>
      <c r="B195" s="21"/>
      <c r="C195" s="21"/>
      <c r="D195" s="21"/>
      <c r="E195" s="21"/>
      <c r="F195" s="21"/>
      <c r="G195" s="21"/>
      <c r="I195" s="21"/>
      <c r="J195" s="21"/>
      <c r="K195" s="21"/>
    </row>
    <row r="196" customFormat="false" ht="15" hidden="false" customHeight="false" outlineLevel="0" collapsed="false">
      <c r="A196" s="21"/>
      <c r="B196" s="21"/>
      <c r="C196" s="21"/>
      <c r="D196" s="21"/>
      <c r="E196" s="21"/>
      <c r="F196" s="21"/>
      <c r="G196" s="21"/>
      <c r="I196" s="21"/>
      <c r="J196" s="21"/>
      <c r="K196" s="21"/>
    </row>
    <row r="197" customFormat="false" ht="15" hidden="false" customHeight="false" outlineLevel="0" collapsed="false">
      <c r="A197" s="21"/>
      <c r="B197" s="21"/>
      <c r="C197" s="21"/>
      <c r="D197" s="21"/>
      <c r="E197" s="21"/>
      <c r="F197" s="21"/>
      <c r="G197" s="21"/>
      <c r="I197" s="21"/>
      <c r="J197" s="21"/>
      <c r="K197" s="21"/>
    </row>
    <row r="198" customFormat="false" ht="15" hidden="false" customHeight="false" outlineLevel="0" collapsed="false">
      <c r="A198" s="21"/>
      <c r="B198" s="21"/>
      <c r="C198" s="21"/>
      <c r="D198" s="21"/>
      <c r="E198" s="21"/>
      <c r="F198" s="21"/>
      <c r="G198" s="21"/>
      <c r="I198" s="21"/>
      <c r="J198" s="21"/>
      <c r="K198" s="21"/>
    </row>
    <row r="199" customFormat="false" ht="15" hidden="false" customHeight="false" outlineLevel="0" collapsed="false">
      <c r="A199" s="21"/>
      <c r="B199" s="21"/>
      <c r="C199" s="21"/>
      <c r="D199" s="21"/>
      <c r="E199" s="21"/>
      <c r="F199" s="21"/>
      <c r="G199" s="21"/>
      <c r="I199" s="21"/>
      <c r="J199" s="21"/>
      <c r="K199" s="21"/>
    </row>
    <row r="200" customFormat="false" ht="15" hidden="false" customHeight="false" outlineLevel="0" collapsed="false">
      <c r="A200" s="21"/>
      <c r="B200" s="21"/>
      <c r="C200" s="21"/>
      <c r="D200" s="21"/>
      <c r="E200" s="21"/>
      <c r="F200" s="21"/>
      <c r="G200" s="21"/>
      <c r="I200" s="21"/>
      <c r="J200" s="21"/>
      <c r="K200" s="21"/>
    </row>
  </sheetData>
  <sheetProtection sheet="true" password="cc3d" objects="true" scenarios="true" deleteColumns="false" deleteRows="false"/>
  <mergeCells count="2">
    <mergeCell ref="A1:N1"/>
    <mergeCell ref="A2:AN2"/>
  </mergeCells>
  <conditionalFormatting sqref="C6:C804">
    <cfRule type="cellIs" priority="2" operator="equal" aboveAverage="0" equalAverage="0" bottom="0" percent="0" rank="0" text="" dxfId="8">
      <formula>"ÖDEME"</formula>
    </cfRule>
    <cfRule type="cellIs" priority="3" operator="equal" aboveAverage="0" equalAverage="0" bottom="0" percent="0" rank="0" text="" dxfId="6">
      <formula>"TAHSİLAT"</formula>
    </cfRule>
  </conditionalFormatting>
  <conditionalFormatting sqref="E6:E804">
    <cfRule type="cellIs" priority="4" operator="equal" aboveAverage="0" equalAverage="0" bottom="0" percent="0" rank="0" text="" dxfId="5">
      <formula>"KRİTİK"</formula>
    </cfRule>
    <cfRule type="cellIs" priority="5" operator="equal" aboveAverage="0" equalAverage="0" bottom="0" percent="0" rank="0" text="" dxfId="9">
      <formula>"YÜKSEK"</formula>
    </cfRule>
    <cfRule type="cellIs" priority="6" operator="equal" aboveAverage="0" equalAverage="0" bottom="0" percent="0" rank="0" text="" dxfId="6">
      <formula>"ORTA"</formula>
    </cfRule>
    <cfRule type="cellIs" priority="7" operator="equal" aboveAverage="0" equalAverage="0" bottom="0" percent="0" rank="0" text="" dxfId="7">
      <formula>"DÜŞÜK"</formula>
    </cfRule>
  </conditionalFormatting>
  <conditionalFormatting sqref="G6:G804">
    <cfRule type="cellIs" priority="8" operator="equal" aboveAverage="0" equalAverage="0" bottom="0" percent="0" rank="0" text="" dxfId="6">
      <formula>"YAPILDI"</formula>
    </cfRule>
    <cfRule type="cellIs" priority="9" operator="equal" aboveAverage="0" equalAverage="0" bottom="0" percent="0" rank="0" text="" dxfId="9">
      <formula>"ERTELENDİ"</formula>
    </cfRule>
  </conditionalFormatting>
  <conditionalFormatting sqref="H6:H804">
    <cfRule type="cellIs" priority="10" operator="equal" aboveAverage="0" equalAverage="0" bottom="0" percent="0" rank="0" text="" dxfId="5">
      <formula>"VADE GEÇTİ"</formula>
    </cfRule>
  </conditionalFormatting>
  <dataValidations count="5">
    <dataValidation allowBlank="true" error="Tür yalnızca ÖDEME veya TAHSİLAT olabilir." errorStyle="stop" errorTitle="Geçersiz Tür" operator="between" prompt="Borç ödemesi ÖDEME, alacak tahsilatı TAHSİLAT." promptTitle="Takvim Türü" showDropDown="false" showErrorMessage="true" showInputMessage="true" sqref="C6:C804" type="list">
      <formula1>"ÖDEME,TAHSİLAT"</formula1>
      <formula2>0</formula2>
    </dataValidation>
    <dataValidation allowBlank="true" error="Öncelik yalnızca KRİTİK, YÜKSEK, ORTA veya DÜŞÜK olabilir." errorStyle="stop" errorTitle="Geçersiz Öncelik" operator="between" prompt="KRİTİK: gecikirse operasyon durur; YÜKSEK: gecikirse ceza/maliyet doğar." promptTitle="Öncelik" showDropDown="false" showErrorMessage="true" showInputMessage="true" sqref="E6:E804" type="list">
      <formula1>"KRİTİK,YÜKSEK,ORTA,DÜŞÜK"</formula1>
      <formula2>0</formula2>
    </dataValidation>
    <dataValidation allowBlank="true" error="Durum yalnızca BEKLEMEDE, YAPILDI veya ERTELENDİ olabilir." errorStyle="stop" errorTitle="Geçersiz Durum" operator="between" prompt="BEKLEMEDE kayıtlar ödeme yüküne girer." promptTitle="Durum" showDropDown="false" showErrorMessage="true" showInputMessage="true" sqref="G6:G804" type="list">
      <formula1>"BEKLEMEDE,YAPILDI,ERTELENDİ"</formula1>
      <formula2>0</formula2>
    </dataValidation>
    <dataValidation allowBlank="true" error="Yöntemi listeden seçin." errorStyle="stop" errorTitle="Geçersiz Yöntem" operator="between" prompt="Ödemenin/tahsilatın yapılacağı yöntem." promptTitle="Ödeme Yöntemi" showDropDown="false" showErrorMessage="true" showInputMessage="true" sqref="I6:I804" type="list">
      <formula1>LISTELER!$D$4:$D$15</formula1>
      <formula2>0</formula2>
    </dataValidation>
    <dataValidation allowBlank="true" error="Tutar pozitif bir sayı olmalıdır." errorStyle="stop" errorTitle="Geçersiz Tutar" operator="greaterThan" prompt="Bekleyen ödeme/tahsilat tutarını TL olarak girin." promptTitle="Tutar" showDropDown="false" showErrorMessage="true" showInputMessage="true" sqref="F6:F804" type="decimal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42"/>
  </cols>
  <sheetData>
    <row r="1" customFormat="false" ht="25.5" hidden="false" customHeight="true" outlineLevel="0" collapsed="false">
      <c r="A1" s="12" t="s">
        <v>155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customFormat="false" ht="19.5" hidden="false" customHeight="true" outlineLevel="0" collapsed="false">
      <c r="A2" s="11" t="s">
        <v>156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4" customFormat="false" ht="30" hidden="false" customHeight="true" outlineLevel="0" collapsed="false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161</v>
      </c>
      <c r="F4" s="14" t="s">
        <v>162</v>
      </c>
      <c r="G4" s="14" t="s">
        <v>163</v>
      </c>
      <c r="H4" s="14" t="s">
        <v>164</v>
      </c>
      <c r="I4" s="14" t="s">
        <v>37</v>
      </c>
    </row>
    <row r="6" customFormat="false" ht="15" hidden="false" customHeight="false" outlineLevel="0" collapsed="false">
      <c r="A6" s="22" t="n">
        <v>46234</v>
      </c>
      <c r="B6" s="16" t="s">
        <v>165</v>
      </c>
      <c r="C6" s="18" t="n">
        <v>450000</v>
      </c>
      <c r="D6" s="18" t="n">
        <v>450000</v>
      </c>
      <c r="I6" s="20" t="s">
        <v>166</v>
      </c>
    </row>
    <row r="7" customFormat="false" ht="15" hidden="false" customHeight="false" outlineLevel="0" collapsed="false">
      <c r="A7" s="22" t="n">
        <v>46218</v>
      </c>
      <c r="B7" s="16" t="s">
        <v>167</v>
      </c>
      <c r="C7" s="18" t="n">
        <v>320000</v>
      </c>
      <c r="D7" s="18" t="n">
        <v>318500</v>
      </c>
      <c r="I7" s="20" t="s">
        <v>168</v>
      </c>
    </row>
    <row r="8" customFormat="false" ht="15" hidden="false" customHeight="false" outlineLevel="0" collapsed="false">
      <c r="A8" s="21"/>
      <c r="B8" s="21"/>
      <c r="C8" s="21"/>
      <c r="D8" s="21"/>
      <c r="I8" s="21"/>
    </row>
    <row r="9" customFormat="false" ht="15" hidden="false" customHeight="false" outlineLevel="0" collapsed="false">
      <c r="A9" s="21"/>
      <c r="B9" s="21"/>
      <c r="C9" s="21"/>
      <c r="D9" s="21"/>
      <c r="I9" s="21"/>
    </row>
    <row r="10" customFormat="false" ht="15" hidden="false" customHeight="false" outlineLevel="0" collapsed="false">
      <c r="A10" s="21"/>
      <c r="B10" s="21"/>
      <c r="C10" s="21"/>
      <c r="D10" s="21"/>
      <c r="I10" s="21"/>
    </row>
    <row r="11" customFormat="false" ht="15" hidden="false" customHeight="false" outlineLevel="0" collapsed="false">
      <c r="A11" s="21"/>
      <c r="B11" s="21"/>
      <c r="C11" s="21"/>
      <c r="D11" s="21"/>
      <c r="I11" s="21"/>
    </row>
    <row r="12" customFormat="false" ht="15" hidden="false" customHeight="false" outlineLevel="0" collapsed="false">
      <c r="A12" s="21"/>
      <c r="B12" s="21"/>
      <c r="C12" s="21"/>
      <c r="D12" s="21"/>
      <c r="I12" s="21"/>
    </row>
    <row r="13" customFormat="false" ht="15" hidden="false" customHeight="false" outlineLevel="0" collapsed="false">
      <c r="A13" s="21"/>
      <c r="B13" s="21"/>
      <c r="C13" s="21"/>
      <c r="D13" s="21"/>
      <c r="I13" s="21"/>
    </row>
    <row r="14" customFormat="false" ht="15" hidden="false" customHeight="false" outlineLevel="0" collapsed="false">
      <c r="A14" s="21"/>
      <c r="B14" s="21"/>
      <c r="C14" s="21"/>
      <c r="D14" s="21"/>
      <c r="I14" s="21"/>
    </row>
    <row r="15" customFormat="false" ht="15" hidden="false" customHeight="false" outlineLevel="0" collapsed="false">
      <c r="A15" s="21"/>
      <c r="B15" s="21"/>
      <c r="C15" s="21"/>
      <c r="D15" s="21"/>
      <c r="I15" s="21"/>
    </row>
    <row r="16" customFormat="false" ht="15" hidden="false" customHeight="false" outlineLevel="0" collapsed="false">
      <c r="A16" s="21"/>
      <c r="B16" s="21"/>
      <c r="C16" s="21"/>
      <c r="D16" s="21"/>
      <c r="I16" s="21"/>
    </row>
    <row r="17" customFormat="false" ht="15" hidden="false" customHeight="false" outlineLevel="0" collapsed="false">
      <c r="A17" s="21"/>
      <c r="B17" s="21"/>
      <c r="C17" s="21"/>
      <c r="D17" s="21"/>
      <c r="I17" s="21"/>
    </row>
    <row r="18" customFormat="false" ht="15" hidden="false" customHeight="false" outlineLevel="0" collapsed="false">
      <c r="A18" s="21"/>
      <c r="B18" s="21"/>
      <c r="C18" s="21"/>
      <c r="D18" s="21"/>
      <c r="I18" s="21"/>
    </row>
    <row r="19" customFormat="false" ht="15" hidden="false" customHeight="false" outlineLevel="0" collapsed="false">
      <c r="A19" s="21"/>
      <c r="B19" s="21"/>
      <c r="C19" s="21"/>
      <c r="D19" s="21"/>
      <c r="I19" s="21"/>
    </row>
    <row r="20" customFormat="false" ht="15" hidden="false" customHeight="false" outlineLevel="0" collapsed="false">
      <c r="A20" s="21"/>
      <c r="B20" s="21"/>
      <c r="C20" s="21"/>
      <c r="D20" s="21"/>
      <c r="I20" s="21"/>
    </row>
    <row r="21" customFormat="false" ht="15" hidden="false" customHeight="false" outlineLevel="0" collapsed="false">
      <c r="A21" s="21"/>
      <c r="B21" s="21"/>
      <c r="C21" s="21"/>
      <c r="D21" s="21"/>
      <c r="I21" s="21"/>
    </row>
    <row r="22" customFormat="false" ht="15" hidden="false" customHeight="false" outlineLevel="0" collapsed="false">
      <c r="A22" s="21"/>
      <c r="B22" s="21"/>
      <c r="C22" s="21"/>
      <c r="D22" s="21"/>
      <c r="I22" s="21"/>
    </row>
    <row r="23" customFormat="false" ht="15" hidden="false" customHeight="false" outlineLevel="0" collapsed="false">
      <c r="A23" s="21"/>
      <c r="B23" s="21"/>
      <c r="C23" s="21"/>
      <c r="D23" s="21"/>
      <c r="I23" s="21"/>
    </row>
    <row r="24" customFormat="false" ht="15" hidden="false" customHeight="false" outlineLevel="0" collapsed="false">
      <c r="A24" s="21"/>
      <c r="B24" s="21"/>
      <c r="C24" s="21"/>
      <c r="D24" s="21"/>
      <c r="I24" s="21"/>
    </row>
    <row r="25" customFormat="false" ht="15" hidden="false" customHeight="false" outlineLevel="0" collapsed="false">
      <c r="A25" s="21"/>
      <c r="B25" s="21"/>
      <c r="C25" s="21"/>
      <c r="D25" s="21"/>
      <c r="I25" s="21"/>
    </row>
    <row r="26" customFormat="false" ht="15" hidden="false" customHeight="false" outlineLevel="0" collapsed="false">
      <c r="A26" s="21"/>
      <c r="B26" s="21"/>
      <c r="C26" s="21"/>
      <c r="D26" s="21"/>
      <c r="I26" s="21"/>
    </row>
    <row r="27" customFormat="false" ht="15" hidden="false" customHeight="false" outlineLevel="0" collapsed="false">
      <c r="A27" s="21"/>
      <c r="B27" s="21"/>
      <c r="C27" s="21"/>
      <c r="D27" s="21"/>
      <c r="I27" s="21"/>
    </row>
    <row r="28" customFormat="false" ht="15" hidden="false" customHeight="false" outlineLevel="0" collapsed="false">
      <c r="A28" s="21"/>
      <c r="B28" s="21"/>
      <c r="C28" s="21"/>
      <c r="D28" s="21"/>
      <c r="I28" s="21"/>
    </row>
    <row r="29" customFormat="false" ht="15" hidden="false" customHeight="false" outlineLevel="0" collapsed="false">
      <c r="A29" s="21"/>
      <c r="B29" s="21"/>
      <c r="C29" s="21"/>
      <c r="D29" s="21"/>
      <c r="I29" s="21"/>
    </row>
    <row r="30" customFormat="false" ht="15" hidden="false" customHeight="false" outlineLevel="0" collapsed="false">
      <c r="A30" s="21"/>
      <c r="B30" s="21"/>
      <c r="C30" s="21"/>
      <c r="D30" s="21"/>
      <c r="I30" s="21"/>
    </row>
    <row r="31" customFormat="false" ht="15" hidden="false" customHeight="false" outlineLevel="0" collapsed="false">
      <c r="A31" s="21"/>
      <c r="B31" s="21"/>
      <c r="C31" s="21"/>
      <c r="D31" s="21"/>
      <c r="I31" s="21"/>
    </row>
    <row r="32" customFormat="false" ht="15" hidden="false" customHeight="false" outlineLevel="0" collapsed="false">
      <c r="A32" s="21"/>
      <c r="B32" s="21"/>
      <c r="C32" s="21"/>
      <c r="D32" s="21"/>
      <c r="I32" s="21"/>
    </row>
    <row r="33" customFormat="false" ht="15" hidden="false" customHeight="false" outlineLevel="0" collapsed="false">
      <c r="A33" s="21"/>
      <c r="B33" s="21"/>
      <c r="C33" s="21"/>
      <c r="D33" s="21"/>
      <c r="I33" s="21"/>
    </row>
    <row r="34" customFormat="false" ht="15" hidden="false" customHeight="false" outlineLevel="0" collapsed="false">
      <c r="A34" s="21"/>
      <c r="B34" s="21"/>
      <c r="C34" s="21"/>
      <c r="D34" s="21"/>
      <c r="I34" s="21"/>
    </row>
    <row r="35" customFormat="false" ht="15" hidden="false" customHeight="false" outlineLevel="0" collapsed="false">
      <c r="A35" s="21"/>
      <c r="B35" s="21"/>
      <c r="C35" s="21"/>
      <c r="D35" s="21"/>
      <c r="I35" s="21"/>
    </row>
    <row r="36" customFormat="false" ht="15" hidden="false" customHeight="false" outlineLevel="0" collapsed="false">
      <c r="A36" s="21"/>
      <c r="B36" s="21"/>
      <c r="C36" s="21"/>
      <c r="D36" s="21"/>
      <c r="I36" s="21"/>
    </row>
    <row r="37" customFormat="false" ht="15" hidden="false" customHeight="false" outlineLevel="0" collapsed="false">
      <c r="A37" s="21"/>
      <c r="B37" s="21"/>
      <c r="C37" s="21"/>
      <c r="D37" s="21"/>
      <c r="I37" s="21"/>
    </row>
    <row r="38" customFormat="false" ht="15" hidden="false" customHeight="false" outlineLevel="0" collapsed="false">
      <c r="A38" s="21"/>
      <c r="B38" s="21"/>
      <c r="C38" s="21"/>
      <c r="D38" s="21"/>
      <c r="I38" s="21"/>
    </row>
    <row r="39" customFormat="false" ht="15" hidden="false" customHeight="false" outlineLevel="0" collapsed="false">
      <c r="A39" s="21"/>
      <c r="B39" s="21"/>
      <c r="C39" s="21"/>
      <c r="D39" s="21"/>
      <c r="I39" s="21"/>
    </row>
    <row r="40" customFormat="false" ht="15" hidden="false" customHeight="false" outlineLevel="0" collapsed="false">
      <c r="A40" s="21"/>
      <c r="B40" s="21"/>
      <c r="C40" s="21"/>
      <c r="D40" s="21"/>
      <c r="I40" s="21"/>
    </row>
    <row r="41" customFormat="false" ht="15" hidden="false" customHeight="false" outlineLevel="0" collapsed="false">
      <c r="A41" s="21"/>
      <c r="B41" s="21"/>
      <c r="C41" s="21"/>
      <c r="D41" s="21"/>
      <c r="I41" s="21"/>
    </row>
    <row r="42" customFormat="false" ht="15" hidden="false" customHeight="false" outlineLevel="0" collapsed="false">
      <c r="A42" s="21"/>
      <c r="B42" s="21"/>
      <c r="C42" s="21"/>
      <c r="D42" s="21"/>
      <c r="I42" s="21"/>
    </row>
    <row r="43" customFormat="false" ht="15" hidden="false" customHeight="false" outlineLevel="0" collapsed="false">
      <c r="A43" s="21"/>
      <c r="B43" s="21"/>
      <c r="C43" s="21"/>
      <c r="D43" s="21"/>
      <c r="I43" s="21"/>
    </row>
    <row r="44" customFormat="false" ht="15" hidden="false" customHeight="false" outlineLevel="0" collapsed="false">
      <c r="A44" s="21"/>
      <c r="B44" s="21"/>
      <c r="C44" s="21"/>
      <c r="D44" s="21"/>
      <c r="I44" s="21"/>
    </row>
    <row r="45" customFormat="false" ht="15" hidden="false" customHeight="false" outlineLevel="0" collapsed="false">
      <c r="A45" s="21"/>
      <c r="B45" s="21"/>
      <c r="C45" s="21"/>
      <c r="D45" s="21"/>
      <c r="I45" s="21"/>
    </row>
    <row r="46" customFormat="false" ht="15" hidden="false" customHeight="false" outlineLevel="0" collapsed="false">
      <c r="A46" s="21"/>
      <c r="B46" s="21"/>
      <c r="C46" s="21"/>
      <c r="D46" s="21"/>
      <c r="I46" s="21"/>
    </row>
    <row r="47" customFormat="false" ht="15" hidden="false" customHeight="false" outlineLevel="0" collapsed="false">
      <c r="A47" s="21"/>
      <c r="B47" s="21"/>
      <c r="C47" s="21"/>
      <c r="D47" s="21"/>
      <c r="I47" s="21"/>
    </row>
    <row r="48" customFormat="false" ht="15" hidden="false" customHeight="false" outlineLevel="0" collapsed="false">
      <c r="A48" s="21"/>
      <c r="B48" s="21"/>
      <c r="C48" s="21"/>
      <c r="D48" s="21"/>
      <c r="I48" s="21"/>
    </row>
    <row r="49" customFormat="false" ht="15" hidden="false" customHeight="false" outlineLevel="0" collapsed="false">
      <c r="A49" s="21"/>
      <c r="B49" s="21"/>
      <c r="C49" s="21"/>
      <c r="D49" s="21"/>
      <c r="I49" s="21"/>
    </row>
    <row r="50" customFormat="false" ht="15" hidden="false" customHeight="false" outlineLevel="0" collapsed="false">
      <c r="A50" s="21"/>
      <c r="B50" s="21"/>
      <c r="C50" s="21"/>
      <c r="D50" s="21"/>
      <c r="I50" s="21"/>
    </row>
    <row r="51" customFormat="false" ht="15" hidden="false" customHeight="false" outlineLevel="0" collapsed="false">
      <c r="A51" s="21"/>
      <c r="B51" s="21"/>
      <c r="C51" s="21"/>
      <c r="D51" s="21"/>
      <c r="I51" s="21"/>
    </row>
    <row r="52" customFormat="false" ht="15" hidden="false" customHeight="false" outlineLevel="0" collapsed="false">
      <c r="A52" s="21"/>
      <c r="B52" s="21"/>
      <c r="C52" s="21"/>
      <c r="D52" s="21"/>
      <c r="I52" s="21"/>
    </row>
    <row r="53" customFormat="false" ht="15" hidden="false" customHeight="false" outlineLevel="0" collapsed="false">
      <c r="A53" s="21"/>
      <c r="B53" s="21"/>
      <c r="C53" s="21"/>
      <c r="D53" s="21"/>
      <c r="I53" s="21"/>
    </row>
    <row r="54" customFormat="false" ht="15" hidden="false" customHeight="false" outlineLevel="0" collapsed="false">
      <c r="A54" s="21"/>
      <c r="B54" s="21"/>
      <c r="C54" s="21"/>
      <c r="D54" s="21"/>
      <c r="I54" s="21"/>
    </row>
    <row r="55" customFormat="false" ht="15" hidden="false" customHeight="false" outlineLevel="0" collapsed="false">
      <c r="A55" s="21"/>
      <c r="B55" s="21"/>
      <c r="C55" s="21"/>
      <c r="D55" s="21"/>
      <c r="I55" s="21"/>
    </row>
    <row r="56" customFormat="false" ht="15" hidden="false" customHeight="false" outlineLevel="0" collapsed="false">
      <c r="A56" s="21"/>
      <c r="B56" s="21"/>
      <c r="C56" s="21"/>
      <c r="D56" s="21"/>
      <c r="I56" s="21"/>
    </row>
    <row r="57" customFormat="false" ht="15" hidden="false" customHeight="false" outlineLevel="0" collapsed="false">
      <c r="A57" s="21"/>
      <c r="B57" s="21"/>
      <c r="C57" s="21"/>
      <c r="D57" s="21"/>
      <c r="I57" s="21"/>
    </row>
    <row r="58" customFormat="false" ht="15" hidden="false" customHeight="false" outlineLevel="0" collapsed="false">
      <c r="A58" s="21"/>
      <c r="B58" s="21"/>
      <c r="C58" s="21"/>
      <c r="D58" s="21"/>
      <c r="I58" s="21"/>
    </row>
    <row r="59" customFormat="false" ht="15" hidden="false" customHeight="false" outlineLevel="0" collapsed="false">
      <c r="A59" s="21"/>
      <c r="B59" s="21"/>
      <c r="C59" s="21"/>
      <c r="D59" s="21"/>
      <c r="I59" s="21"/>
    </row>
    <row r="60" customFormat="false" ht="15" hidden="false" customHeight="false" outlineLevel="0" collapsed="false">
      <c r="A60" s="21"/>
      <c r="B60" s="21"/>
      <c r="C60" s="21"/>
      <c r="D60" s="21"/>
      <c r="I60" s="21"/>
    </row>
    <row r="61" customFormat="false" ht="15" hidden="false" customHeight="false" outlineLevel="0" collapsed="false">
      <c r="A61" s="21"/>
      <c r="B61" s="21"/>
      <c r="C61" s="21"/>
      <c r="D61" s="21"/>
      <c r="I61" s="21"/>
    </row>
    <row r="62" customFormat="false" ht="15" hidden="false" customHeight="false" outlineLevel="0" collapsed="false">
      <c r="A62" s="21"/>
      <c r="B62" s="21"/>
      <c r="C62" s="21"/>
      <c r="D62" s="21"/>
      <c r="I62" s="21"/>
    </row>
    <row r="63" customFormat="false" ht="15" hidden="false" customHeight="false" outlineLevel="0" collapsed="false">
      <c r="A63" s="21"/>
      <c r="B63" s="21"/>
      <c r="C63" s="21"/>
      <c r="D63" s="21"/>
      <c r="I63" s="21"/>
    </row>
    <row r="64" customFormat="false" ht="15" hidden="false" customHeight="false" outlineLevel="0" collapsed="false">
      <c r="A64" s="21"/>
      <c r="B64" s="21"/>
      <c r="C64" s="21"/>
      <c r="D64" s="21"/>
      <c r="I64" s="21"/>
    </row>
    <row r="65" customFormat="false" ht="15" hidden="false" customHeight="false" outlineLevel="0" collapsed="false">
      <c r="A65" s="21"/>
      <c r="B65" s="21"/>
      <c r="C65" s="21"/>
      <c r="D65" s="21"/>
      <c r="I65" s="21"/>
    </row>
    <row r="66" customFormat="false" ht="15" hidden="false" customHeight="false" outlineLevel="0" collapsed="false">
      <c r="A66" s="21"/>
      <c r="B66" s="21"/>
      <c r="C66" s="21"/>
      <c r="D66" s="21"/>
      <c r="I66" s="21"/>
    </row>
    <row r="67" customFormat="false" ht="15" hidden="false" customHeight="false" outlineLevel="0" collapsed="false">
      <c r="A67" s="21"/>
      <c r="B67" s="21"/>
      <c r="C67" s="21"/>
      <c r="D67" s="21"/>
      <c r="I67" s="21"/>
    </row>
    <row r="68" customFormat="false" ht="15" hidden="false" customHeight="false" outlineLevel="0" collapsed="false">
      <c r="A68" s="21"/>
      <c r="B68" s="21"/>
      <c r="C68" s="21"/>
      <c r="D68" s="21"/>
      <c r="I68" s="21"/>
    </row>
    <row r="69" customFormat="false" ht="15" hidden="false" customHeight="false" outlineLevel="0" collapsed="false">
      <c r="A69" s="21"/>
      <c r="B69" s="21"/>
      <c r="C69" s="21"/>
      <c r="D69" s="21"/>
      <c r="I69" s="21"/>
    </row>
    <row r="70" customFormat="false" ht="15" hidden="false" customHeight="false" outlineLevel="0" collapsed="false">
      <c r="A70" s="21"/>
      <c r="B70" s="21"/>
      <c r="C70" s="21"/>
      <c r="D70" s="21"/>
      <c r="I70" s="21"/>
    </row>
    <row r="71" customFormat="false" ht="15" hidden="false" customHeight="false" outlineLevel="0" collapsed="false">
      <c r="A71" s="21"/>
      <c r="B71" s="21"/>
      <c r="C71" s="21"/>
      <c r="D71" s="21"/>
      <c r="I71" s="21"/>
    </row>
    <row r="72" customFormat="false" ht="15" hidden="false" customHeight="false" outlineLevel="0" collapsed="false">
      <c r="A72" s="21"/>
      <c r="B72" s="21"/>
      <c r="C72" s="21"/>
      <c r="D72" s="21"/>
      <c r="I72" s="21"/>
    </row>
    <row r="73" customFormat="false" ht="15" hidden="false" customHeight="false" outlineLevel="0" collapsed="false">
      <c r="A73" s="21"/>
      <c r="B73" s="21"/>
      <c r="C73" s="21"/>
      <c r="D73" s="21"/>
      <c r="I73" s="21"/>
    </row>
    <row r="74" customFormat="false" ht="15" hidden="false" customHeight="false" outlineLevel="0" collapsed="false">
      <c r="A74" s="21"/>
      <c r="B74" s="21"/>
      <c r="C74" s="21"/>
      <c r="D74" s="21"/>
      <c r="I74" s="21"/>
    </row>
    <row r="75" customFormat="false" ht="15" hidden="false" customHeight="false" outlineLevel="0" collapsed="false">
      <c r="A75" s="21"/>
      <c r="B75" s="21"/>
      <c r="C75" s="21"/>
      <c r="D75" s="21"/>
      <c r="I75" s="21"/>
    </row>
    <row r="76" customFormat="false" ht="15" hidden="false" customHeight="false" outlineLevel="0" collapsed="false">
      <c r="A76" s="21"/>
      <c r="B76" s="21"/>
      <c r="C76" s="21"/>
      <c r="D76" s="21"/>
      <c r="I76" s="21"/>
    </row>
    <row r="77" customFormat="false" ht="15" hidden="false" customHeight="false" outlineLevel="0" collapsed="false">
      <c r="A77" s="21"/>
      <c r="B77" s="21"/>
      <c r="C77" s="21"/>
      <c r="D77" s="21"/>
      <c r="I77" s="21"/>
    </row>
    <row r="78" customFormat="false" ht="15" hidden="false" customHeight="false" outlineLevel="0" collapsed="false">
      <c r="A78" s="21"/>
      <c r="B78" s="21"/>
      <c r="C78" s="21"/>
      <c r="D78" s="21"/>
      <c r="I78" s="21"/>
    </row>
    <row r="79" customFormat="false" ht="15" hidden="false" customHeight="false" outlineLevel="0" collapsed="false">
      <c r="A79" s="21"/>
      <c r="B79" s="21"/>
      <c r="C79" s="21"/>
      <c r="D79" s="21"/>
      <c r="I79" s="21"/>
    </row>
    <row r="80" customFormat="false" ht="15" hidden="false" customHeight="false" outlineLevel="0" collapsed="false">
      <c r="A80" s="21"/>
      <c r="B80" s="21"/>
      <c r="C80" s="21"/>
      <c r="D80" s="21"/>
      <c r="I80" s="21"/>
    </row>
    <row r="81" customFormat="false" ht="15" hidden="false" customHeight="false" outlineLevel="0" collapsed="false">
      <c r="A81" s="21"/>
      <c r="B81" s="21"/>
      <c r="C81" s="21"/>
      <c r="D81" s="21"/>
      <c r="I81" s="21"/>
    </row>
    <row r="82" customFormat="false" ht="15" hidden="false" customHeight="false" outlineLevel="0" collapsed="false">
      <c r="A82" s="21"/>
      <c r="B82" s="21"/>
      <c r="C82" s="21"/>
      <c r="D82" s="21"/>
      <c r="I82" s="21"/>
    </row>
    <row r="83" customFormat="false" ht="15" hidden="false" customHeight="false" outlineLevel="0" collapsed="false">
      <c r="A83" s="21"/>
      <c r="B83" s="21"/>
      <c r="C83" s="21"/>
      <c r="D83" s="21"/>
      <c r="I83" s="21"/>
    </row>
    <row r="84" customFormat="false" ht="15" hidden="false" customHeight="false" outlineLevel="0" collapsed="false">
      <c r="A84" s="21"/>
      <c r="B84" s="21"/>
      <c r="C84" s="21"/>
      <c r="D84" s="21"/>
      <c r="I84" s="21"/>
    </row>
    <row r="85" customFormat="false" ht="15" hidden="false" customHeight="false" outlineLevel="0" collapsed="false">
      <c r="A85" s="21"/>
      <c r="B85" s="21"/>
      <c r="C85" s="21"/>
      <c r="D85" s="21"/>
      <c r="I85" s="21"/>
    </row>
    <row r="86" customFormat="false" ht="15" hidden="false" customHeight="false" outlineLevel="0" collapsed="false">
      <c r="A86" s="21"/>
      <c r="B86" s="21"/>
      <c r="C86" s="21"/>
      <c r="D86" s="21"/>
      <c r="I86" s="21"/>
    </row>
    <row r="87" customFormat="false" ht="15" hidden="false" customHeight="false" outlineLevel="0" collapsed="false">
      <c r="A87" s="21"/>
      <c r="B87" s="21"/>
      <c r="C87" s="21"/>
      <c r="D87" s="21"/>
      <c r="I87" s="21"/>
    </row>
    <row r="88" customFormat="false" ht="15" hidden="false" customHeight="false" outlineLevel="0" collapsed="false">
      <c r="A88" s="21"/>
      <c r="B88" s="21"/>
      <c r="C88" s="21"/>
      <c r="D88" s="21"/>
      <c r="I88" s="21"/>
    </row>
    <row r="89" customFormat="false" ht="15" hidden="false" customHeight="false" outlineLevel="0" collapsed="false">
      <c r="A89" s="21"/>
      <c r="B89" s="21"/>
      <c r="C89" s="21"/>
      <c r="D89" s="21"/>
      <c r="I89" s="21"/>
    </row>
    <row r="90" customFormat="false" ht="15" hidden="false" customHeight="false" outlineLevel="0" collapsed="false">
      <c r="A90" s="21"/>
      <c r="B90" s="21"/>
      <c r="C90" s="21"/>
      <c r="D90" s="21"/>
      <c r="I90" s="21"/>
    </row>
    <row r="91" customFormat="false" ht="15" hidden="false" customHeight="false" outlineLevel="0" collapsed="false">
      <c r="A91" s="21"/>
      <c r="B91" s="21"/>
      <c r="C91" s="21"/>
      <c r="D91" s="21"/>
      <c r="I91" s="21"/>
    </row>
    <row r="92" customFormat="false" ht="15" hidden="false" customHeight="false" outlineLevel="0" collapsed="false">
      <c r="A92" s="21"/>
      <c r="B92" s="21"/>
      <c r="C92" s="21"/>
      <c r="D92" s="21"/>
      <c r="I92" s="21"/>
    </row>
    <row r="93" customFormat="false" ht="15" hidden="false" customHeight="false" outlineLevel="0" collapsed="false">
      <c r="A93" s="21"/>
      <c r="B93" s="21"/>
      <c r="C93" s="21"/>
      <c r="D93" s="21"/>
      <c r="I93" s="21"/>
    </row>
    <row r="94" customFormat="false" ht="15" hidden="false" customHeight="false" outlineLevel="0" collapsed="false">
      <c r="A94" s="21"/>
      <c r="B94" s="21"/>
      <c r="C94" s="21"/>
      <c r="D94" s="21"/>
      <c r="I94" s="21"/>
    </row>
    <row r="95" customFormat="false" ht="15" hidden="false" customHeight="false" outlineLevel="0" collapsed="false">
      <c r="A95" s="21"/>
      <c r="B95" s="21"/>
      <c r="C95" s="21"/>
      <c r="D95" s="21"/>
      <c r="I95" s="21"/>
    </row>
    <row r="96" customFormat="false" ht="15" hidden="false" customHeight="false" outlineLevel="0" collapsed="false">
      <c r="A96" s="21"/>
      <c r="B96" s="21"/>
      <c r="C96" s="21"/>
      <c r="D96" s="21"/>
      <c r="I96" s="21"/>
    </row>
    <row r="97" customFormat="false" ht="15" hidden="false" customHeight="false" outlineLevel="0" collapsed="false">
      <c r="A97" s="21"/>
      <c r="B97" s="21"/>
      <c r="C97" s="21"/>
      <c r="D97" s="21"/>
      <c r="I97" s="21"/>
    </row>
    <row r="98" customFormat="false" ht="15" hidden="false" customHeight="false" outlineLevel="0" collapsed="false">
      <c r="A98" s="21"/>
      <c r="B98" s="21"/>
      <c r="C98" s="21"/>
      <c r="D98" s="21"/>
      <c r="I98" s="21"/>
    </row>
    <row r="99" customFormat="false" ht="15" hidden="false" customHeight="false" outlineLevel="0" collapsed="false">
      <c r="A99" s="21"/>
      <c r="B99" s="21"/>
      <c r="C99" s="21"/>
      <c r="D99" s="21"/>
      <c r="I99" s="21"/>
    </row>
    <row r="100" customFormat="false" ht="15" hidden="false" customHeight="false" outlineLevel="0" collapsed="false">
      <c r="A100" s="21"/>
      <c r="B100" s="21"/>
      <c r="C100" s="21"/>
      <c r="D100" s="21"/>
      <c r="I100" s="21"/>
    </row>
    <row r="101" customFormat="false" ht="15" hidden="false" customHeight="false" outlineLevel="0" collapsed="false">
      <c r="A101" s="21"/>
      <c r="B101" s="21"/>
      <c r="C101" s="21"/>
      <c r="D101" s="21"/>
      <c r="I101" s="21"/>
    </row>
    <row r="102" customFormat="false" ht="15" hidden="false" customHeight="false" outlineLevel="0" collapsed="false">
      <c r="A102" s="21"/>
      <c r="B102" s="21"/>
      <c r="C102" s="21"/>
      <c r="D102" s="21"/>
      <c r="I102" s="21"/>
    </row>
    <row r="103" customFormat="false" ht="15" hidden="false" customHeight="false" outlineLevel="0" collapsed="false">
      <c r="A103" s="21"/>
      <c r="B103" s="21"/>
      <c r="C103" s="21"/>
      <c r="D103" s="21"/>
      <c r="I103" s="21"/>
    </row>
    <row r="104" customFormat="false" ht="15" hidden="false" customHeight="false" outlineLevel="0" collapsed="false">
      <c r="A104" s="21"/>
      <c r="B104" s="21"/>
      <c r="C104" s="21"/>
      <c r="D104" s="21"/>
      <c r="I104" s="21"/>
    </row>
    <row r="105" customFormat="false" ht="15" hidden="false" customHeight="false" outlineLevel="0" collapsed="false">
      <c r="A105" s="21"/>
      <c r="B105" s="21"/>
      <c r="C105" s="21"/>
      <c r="D105" s="21"/>
      <c r="I105" s="21"/>
    </row>
    <row r="106" customFormat="false" ht="15" hidden="false" customHeight="false" outlineLevel="0" collapsed="false">
      <c r="A106" s="21"/>
      <c r="B106" s="21"/>
      <c r="C106" s="21"/>
      <c r="D106" s="21"/>
      <c r="I106" s="21"/>
    </row>
    <row r="107" customFormat="false" ht="15" hidden="false" customHeight="false" outlineLevel="0" collapsed="false">
      <c r="A107" s="21"/>
      <c r="B107" s="21"/>
      <c r="C107" s="21"/>
      <c r="D107" s="21"/>
      <c r="I107" s="21"/>
    </row>
    <row r="108" customFormat="false" ht="15" hidden="false" customHeight="false" outlineLevel="0" collapsed="false">
      <c r="A108" s="21"/>
      <c r="B108" s="21"/>
      <c r="C108" s="21"/>
      <c r="D108" s="21"/>
      <c r="I108" s="21"/>
    </row>
    <row r="109" customFormat="false" ht="15" hidden="false" customHeight="false" outlineLevel="0" collapsed="false">
      <c r="A109" s="21"/>
      <c r="B109" s="21"/>
      <c r="C109" s="21"/>
      <c r="D109" s="21"/>
      <c r="I109" s="21"/>
    </row>
    <row r="110" customFormat="false" ht="15" hidden="false" customHeight="false" outlineLevel="0" collapsed="false">
      <c r="A110" s="21"/>
      <c r="B110" s="21"/>
      <c r="C110" s="21"/>
      <c r="D110" s="21"/>
      <c r="I110" s="21"/>
    </row>
    <row r="111" customFormat="false" ht="15" hidden="false" customHeight="false" outlineLevel="0" collapsed="false">
      <c r="A111" s="21"/>
      <c r="B111" s="21"/>
      <c r="C111" s="21"/>
      <c r="D111" s="21"/>
      <c r="I111" s="21"/>
    </row>
    <row r="112" customFormat="false" ht="15" hidden="false" customHeight="false" outlineLevel="0" collapsed="false">
      <c r="A112" s="21"/>
      <c r="B112" s="21"/>
      <c r="C112" s="21"/>
      <c r="D112" s="21"/>
      <c r="I112" s="21"/>
    </row>
    <row r="113" customFormat="false" ht="15" hidden="false" customHeight="false" outlineLevel="0" collapsed="false">
      <c r="A113" s="21"/>
      <c r="B113" s="21"/>
      <c r="C113" s="21"/>
      <c r="D113" s="21"/>
      <c r="I113" s="21"/>
    </row>
    <row r="114" customFormat="false" ht="15" hidden="false" customHeight="false" outlineLevel="0" collapsed="false">
      <c r="A114" s="21"/>
      <c r="B114" s="21"/>
      <c r="C114" s="21"/>
      <c r="D114" s="21"/>
      <c r="I114" s="21"/>
    </row>
    <row r="115" customFormat="false" ht="15" hidden="false" customHeight="false" outlineLevel="0" collapsed="false">
      <c r="A115" s="21"/>
      <c r="B115" s="21"/>
      <c r="C115" s="21"/>
      <c r="D115" s="21"/>
      <c r="I115" s="21"/>
    </row>
    <row r="116" customFormat="false" ht="15" hidden="false" customHeight="false" outlineLevel="0" collapsed="false">
      <c r="A116" s="21"/>
      <c r="B116" s="21"/>
      <c r="C116" s="21"/>
      <c r="D116" s="21"/>
      <c r="I116" s="21"/>
    </row>
    <row r="117" customFormat="false" ht="15" hidden="false" customHeight="false" outlineLevel="0" collapsed="false">
      <c r="A117" s="21"/>
      <c r="B117" s="21"/>
      <c r="C117" s="21"/>
      <c r="D117" s="21"/>
      <c r="I117" s="21"/>
    </row>
    <row r="118" customFormat="false" ht="15" hidden="false" customHeight="false" outlineLevel="0" collapsed="false">
      <c r="A118" s="21"/>
      <c r="B118" s="21"/>
      <c r="C118" s="21"/>
      <c r="D118" s="21"/>
      <c r="I118" s="21"/>
    </row>
    <row r="119" customFormat="false" ht="15" hidden="false" customHeight="false" outlineLevel="0" collapsed="false">
      <c r="A119" s="21"/>
      <c r="B119" s="21"/>
      <c r="C119" s="21"/>
      <c r="D119" s="21"/>
      <c r="I119" s="21"/>
    </row>
    <row r="120" customFormat="false" ht="15" hidden="false" customHeight="false" outlineLevel="0" collapsed="false">
      <c r="A120" s="21"/>
      <c r="B120" s="21"/>
      <c r="C120" s="21"/>
      <c r="D120" s="21"/>
      <c r="I120" s="21"/>
    </row>
    <row r="121" customFormat="false" ht="15" hidden="false" customHeight="false" outlineLevel="0" collapsed="false">
      <c r="A121" s="21"/>
      <c r="B121" s="21"/>
      <c r="C121" s="21"/>
      <c r="D121" s="21"/>
      <c r="I121" s="21"/>
    </row>
    <row r="122" customFormat="false" ht="15" hidden="false" customHeight="false" outlineLevel="0" collapsed="false">
      <c r="A122" s="21"/>
      <c r="B122" s="21"/>
      <c r="C122" s="21"/>
      <c r="D122" s="21"/>
      <c r="I122" s="21"/>
    </row>
    <row r="123" customFormat="false" ht="15" hidden="false" customHeight="false" outlineLevel="0" collapsed="false">
      <c r="A123" s="21"/>
      <c r="B123" s="21"/>
      <c r="C123" s="21"/>
      <c r="D123" s="21"/>
      <c r="I123" s="21"/>
    </row>
    <row r="124" customFormat="false" ht="15" hidden="false" customHeight="false" outlineLevel="0" collapsed="false">
      <c r="A124" s="21"/>
      <c r="B124" s="21"/>
      <c r="C124" s="21"/>
      <c r="D124" s="21"/>
      <c r="I124" s="21"/>
    </row>
    <row r="125" customFormat="false" ht="15" hidden="false" customHeight="false" outlineLevel="0" collapsed="false">
      <c r="A125" s="21"/>
      <c r="B125" s="21"/>
      <c r="C125" s="21"/>
      <c r="D125" s="21"/>
      <c r="I125" s="21"/>
    </row>
    <row r="126" customFormat="false" ht="15" hidden="false" customHeight="false" outlineLevel="0" collapsed="false">
      <c r="A126" s="21"/>
      <c r="B126" s="21"/>
      <c r="C126" s="21"/>
      <c r="D126" s="21"/>
      <c r="I126" s="21"/>
    </row>
    <row r="127" customFormat="false" ht="15" hidden="false" customHeight="false" outlineLevel="0" collapsed="false">
      <c r="A127" s="21"/>
      <c r="B127" s="21"/>
      <c r="C127" s="21"/>
      <c r="D127" s="21"/>
      <c r="I127" s="21"/>
    </row>
    <row r="128" customFormat="false" ht="15" hidden="false" customHeight="false" outlineLevel="0" collapsed="false">
      <c r="A128" s="21"/>
      <c r="B128" s="21"/>
      <c r="C128" s="21"/>
      <c r="D128" s="21"/>
      <c r="I128" s="21"/>
    </row>
    <row r="129" customFormat="false" ht="15" hidden="false" customHeight="false" outlineLevel="0" collapsed="false">
      <c r="A129" s="21"/>
      <c r="B129" s="21"/>
      <c r="C129" s="21"/>
      <c r="D129" s="21"/>
      <c r="I129" s="21"/>
    </row>
    <row r="130" customFormat="false" ht="15" hidden="false" customHeight="false" outlineLevel="0" collapsed="false">
      <c r="A130" s="21"/>
      <c r="B130" s="21"/>
      <c r="C130" s="21"/>
      <c r="D130" s="21"/>
      <c r="I130" s="21"/>
    </row>
    <row r="131" customFormat="false" ht="15" hidden="false" customHeight="false" outlineLevel="0" collapsed="false">
      <c r="A131" s="21"/>
      <c r="B131" s="21"/>
      <c r="C131" s="21"/>
      <c r="D131" s="21"/>
      <c r="I131" s="21"/>
    </row>
    <row r="132" customFormat="false" ht="15" hidden="false" customHeight="false" outlineLevel="0" collapsed="false">
      <c r="A132" s="21"/>
      <c r="B132" s="21"/>
      <c r="C132" s="21"/>
      <c r="D132" s="21"/>
      <c r="I132" s="21"/>
    </row>
    <row r="133" customFormat="false" ht="15" hidden="false" customHeight="false" outlineLevel="0" collapsed="false">
      <c r="A133" s="21"/>
      <c r="B133" s="21"/>
      <c r="C133" s="21"/>
      <c r="D133" s="21"/>
      <c r="I133" s="21"/>
    </row>
    <row r="134" customFormat="false" ht="15" hidden="false" customHeight="false" outlineLevel="0" collapsed="false">
      <c r="A134" s="21"/>
      <c r="B134" s="21"/>
      <c r="C134" s="21"/>
      <c r="D134" s="21"/>
      <c r="I134" s="21"/>
    </row>
    <row r="135" customFormat="false" ht="15" hidden="false" customHeight="false" outlineLevel="0" collapsed="false">
      <c r="A135" s="21"/>
      <c r="B135" s="21"/>
      <c r="C135" s="21"/>
      <c r="D135" s="21"/>
      <c r="I135" s="21"/>
    </row>
    <row r="136" customFormat="false" ht="15" hidden="false" customHeight="false" outlineLevel="0" collapsed="false">
      <c r="A136" s="21"/>
      <c r="B136" s="21"/>
      <c r="C136" s="21"/>
      <c r="D136" s="21"/>
      <c r="I136" s="21"/>
    </row>
    <row r="137" customFormat="false" ht="15" hidden="false" customHeight="false" outlineLevel="0" collapsed="false">
      <c r="A137" s="21"/>
      <c r="B137" s="21"/>
      <c r="C137" s="21"/>
      <c r="D137" s="21"/>
      <c r="I137" s="21"/>
    </row>
    <row r="138" customFormat="false" ht="15" hidden="false" customHeight="false" outlineLevel="0" collapsed="false">
      <c r="A138" s="21"/>
      <c r="B138" s="21"/>
      <c r="C138" s="21"/>
      <c r="D138" s="21"/>
      <c r="I138" s="21"/>
    </row>
    <row r="139" customFormat="false" ht="15" hidden="false" customHeight="false" outlineLevel="0" collapsed="false">
      <c r="A139" s="21"/>
      <c r="B139" s="21"/>
      <c r="C139" s="21"/>
      <c r="D139" s="21"/>
      <c r="I139" s="21"/>
    </row>
    <row r="140" customFormat="false" ht="15" hidden="false" customHeight="false" outlineLevel="0" collapsed="false">
      <c r="A140" s="21"/>
      <c r="B140" s="21"/>
      <c r="C140" s="21"/>
      <c r="D140" s="21"/>
      <c r="I140" s="21"/>
    </row>
    <row r="141" customFormat="false" ht="15" hidden="false" customHeight="false" outlineLevel="0" collapsed="false">
      <c r="A141" s="21"/>
      <c r="B141" s="21"/>
      <c r="C141" s="21"/>
      <c r="D141" s="21"/>
      <c r="I141" s="21"/>
    </row>
    <row r="142" customFormat="false" ht="15" hidden="false" customHeight="false" outlineLevel="0" collapsed="false">
      <c r="A142" s="21"/>
      <c r="B142" s="21"/>
      <c r="C142" s="21"/>
      <c r="D142" s="21"/>
      <c r="I142" s="21"/>
    </row>
    <row r="143" customFormat="false" ht="15" hidden="false" customHeight="false" outlineLevel="0" collapsed="false">
      <c r="A143" s="21"/>
      <c r="B143" s="21"/>
      <c r="C143" s="21"/>
      <c r="D143" s="21"/>
      <c r="I143" s="21"/>
    </row>
    <row r="144" customFormat="false" ht="15" hidden="false" customHeight="false" outlineLevel="0" collapsed="false">
      <c r="A144" s="21"/>
      <c r="B144" s="21"/>
      <c r="C144" s="21"/>
      <c r="D144" s="21"/>
      <c r="I144" s="21"/>
    </row>
    <row r="145" customFormat="false" ht="15" hidden="false" customHeight="false" outlineLevel="0" collapsed="false">
      <c r="A145" s="21"/>
      <c r="B145" s="21"/>
      <c r="C145" s="21"/>
      <c r="D145" s="21"/>
      <c r="I145" s="21"/>
    </row>
    <row r="146" customFormat="false" ht="15" hidden="false" customHeight="false" outlineLevel="0" collapsed="false">
      <c r="A146" s="21"/>
      <c r="B146" s="21"/>
      <c r="C146" s="21"/>
      <c r="D146" s="21"/>
      <c r="I146" s="21"/>
    </row>
    <row r="147" customFormat="false" ht="15" hidden="false" customHeight="false" outlineLevel="0" collapsed="false">
      <c r="A147" s="21"/>
      <c r="B147" s="21"/>
      <c r="C147" s="21"/>
      <c r="D147" s="21"/>
      <c r="I147" s="21"/>
    </row>
    <row r="148" customFormat="false" ht="15" hidden="false" customHeight="false" outlineLevel="0" collapsed="false">
      <c r="A148" s="21"/>
      <c r="B148" s="21"/>
      <c r="C148" s="21"/>
      <c r="D148" s="21"/>
      <c r="I148" s="21"/>
    </row>
    <row r="149" customFormat="false" ht="15" hidden="false" customHeight="false" outlineLevel="0" collapsed="false">
      <c r="A149" s="21"/>
      <c r="B149" s="21"/>
      <c r="C149" s="21"/>
      <c r="D149" s="21"/>
      <c r="I149" s="21"/>
    </row>
    <row r="150" customFormat="false" ht="15" hidden="false" customHeight="false" outlineLevel="0" collapsed="false">
      <c r="A150" s="21"/>
      <c r="B150" s="21"/>
      <c r="C150" s="21"/>
      <c r="D150" s="21"/>
      <c r="I150" s="21"/>
    </row>
    <row r="151" customFormat="false" ht="15" hidden="false" customHeight="false" outlineLevel="0" collapsed="false">
      <c r="A151" s="21"/>
      <c r="B151" s="21"/>
      <c r="C151" s="21"/>
      <c r="D151" s="21"/>
      <c r="I151" s="21"/>
    </row>
    <row r="152" customFormat="false" ht="15" hidden="false" customHeight="false" outlineLevel="0" collapsed="false">
      <c r="A152" s="21"/>
      <c r="B152" s="21"/>
      <c r="C152" s="21"/>
      <c r="D152" s="21"/>
      <c r="I152" s="21"/>
    </row>
    <row r="153" customFormat="false" ht="15" hidden="false" customHeight="false" outlineLevel="0" collapsed="false">
      <c r="A153" s="21"/>
      <c r="B153" s="21"/>
      <c r="C153" s="21"/>
      <c r="D153" s="21"/>
      <c r="I153" s="21"/>
    </row>
    <row r="154" customFormat="false" ht="15" hidden="false" customHeight="false" outlineLevel="0" collapsed="false">
      <c r="A154" s="21"/>
      <c r="B154" s="21"/>
      <c r="C154" s="21"/>
      <c r="D154" s="21"/>
      <c r="I154" s="21"/>
    </row>
    <row r="155" customFormat="false" ht="15" hidden="false" customHeight="false" outlineLevel="0" collapsed="false">
      <c r="A155" s="21"/>
      <c r="B155" s="21"/>
      <c r="C155" s="21"/>
      <c r="D155" s="21"/>
      <c r="I155" s="21"/>
    </row>
    <row r="156" customFormat="false" ht="15" hidden="false" customHeight="false" outlineLevel="0" collapsed="false">
      <c r="A156" s="21"/>
      <c r="B156" s="21"/>
      <c r="C156" s="21"/>
      <c r="D156" s="21"/>
      <c r="I156" s="21"/>
    </row>
    <row r="157" customFormat="false" ht="15" hidden="false" customHeight="false" outlineLevel="0" collapsed="false">
      <c r="A157" s="21"/>
      <c r="B157" s="21"/>
      <c r="C157" s="21"/>
      <c r="D157" s="21"/>
      <c r="I157" s="21"/>
    </row>
    <row r="158" customFormat="false" ht="15" hidden="false" customHeight="false" outlineLevel="0" collapsed="false">
      <c r="A158" s="21"/>
      <c r="B158" s="21"/>
      <c r="C158" s="21"/>
      <c r="D158" s="21"/>
      <c r="I158" s="21"/>
    </row>
    <row r="159" customFormat="false" ht="15" hidden="false" customHeight="false" outlineLevel="0" collapsed="false">
      <c r="A159" s="21"/>
      <c r="B159" s="21"/>
      <c r="C159" s="21"/>
      <c r="D159" s="21"/>
      <c r="I159" s="21"/>
    </row>
    <row r="160" customFormat="false" ht="15" hidden="false" customHeight="false" outlineLevel="0" collapsed="false">
      <c r="A160" s="21"/>
      <c r="B160" s="21"/>
      <c r="C160" s="21"/>
      <c r="D160" s="21"/>
      <c r="I160" s="21"/>
    </row>
    <row r="161" customFormat="false" ht="15" hidden="false" customHeight="false" outlineLevel="0" collapsed="false">
      <c r="A161" s="21"/>
      <c r="B161" s="21"/>
      <c r="C161" s="21"/>
      <c r="D161" s="21"/>
      <c r="I161" s="21"/>
    </row>
    <row r="162" customFormat="false" ht="15" hidden="false" customHeight="false" outlineLevel="0" collapsed="false">
      <c r="A162" s="21"/>
      <c r="B162" s="21"/>
      <c r="C162" s="21"/>
      <c r="D162" s="21"/>
      <c r="I162" s="21"/>
    </row>
    <row r="163" customFormat="false" ht="15" hidden="false" customHeight="false" outlineLevel="0" collapsed="false">
      <c r="A163" s="21"/>
      <c r="B163" s="21"/>
      <c r="C163" s="21"/>
      <c r="D163" s="21"/>
      <c r="I163" s="21"/>
    </row>
    <row r="164" customFormat="false" ht="15" hidden="false" customHeight="false" outlineLevel="0" collapsed="false">
      <c r="A164" s="21"/>
      <c r="B164" s="21"/>
      <c r="C164" s="21"/>
      <c r="D164" s="21"/>
      <c r="I164" s="21"/>
    </row>
    <row r="165" customFormat="false" ht="15" hidden="false" customHeight="false" outlineLevel="0" collapsed="false">
      <c r="A165" s="21"/>
      <c r="B165" s="21"/>
      <c r="C165" s="21"/>
      <c r="D165" s="21"/>
      <c r="I165" s="21"/>
    </row>
    <row r="166" customFormat="false" ht="15" hidden="false" customHeight="false" outlineLevel="0" collapsed="false">
      <c r="A166" s="21"/>
      <c r="B166" s="21"/>
      <c r="C166" s="21"/>
      <c r="D166" s="21"/>
      <c r="I166" s="21"/>
    </row>
    <row r="167" customFormat="false" ht="15" hidden="false" customHeight="false" outlineLevel="0" collapsed="false">
      <c r="A167" s="21"/>
      <c r="B167" s="21"/>
      <c r="C167" s="21"/>
      <c r="D167" s="21"/>
      <c r="I167" s="21"/>
    </row>
    <row r="168" customFormat="false" ht="15" hidden="false" customHeight="false" outlineLevel="0" collapsed="false">
      <c r="A168" s="21"/>
      <c r="B168" s="21"/>
      <c r="C168" s="21"/>
      <c r="D168" s="21"/>
      <c r="I168" s="21"/>
    </row>
    <row r="169" customFormat="false" ht="15" hidden="false" customHeight="false" outlineLevel="0" collapsed="false">
      <c r="A169" s="21"/>
      <c r="B169" s="21"/>
      <c r="C169" s="21"/>
      <c r="D169" s="21"/>
      <c r="I169" s="21"/>
    </row>
    <row r="170" customFormat="false" ht="15" hidden="false" customHeight="false" outlineLevel="0" collapsed="false">
      <c r="A170" s="21"/>
      <c r="B170" s="21"/>
      <c r="C170" s="21"/>
      <c r="D170" s="21"/>
      <c r="I170" s="21"/>
    </row>
    <row r="171" customFormat="false" ht="15" hidden="false" customHeight="false" outlineLevel="0" collapsed="false">
      <c r="A171" s="21"/>
      <c r="B171" s="21"/>
      <c r="C171" s="21"/>
      <c r="D171" s="21"/>
      <c r="I171" s="21"/>
    </row>
    <row r="172" customFormat="false" ht="15" hidden="false" customHeight="false" outlineLevel="0" collapsed="false">
      <c r="A172" s="21"/>
      <c r="B172" s="21"/>
      <c r="C172" s="21"/>
      <c r="D172" s="21"/>
      <c r="I172" s="21"/>
    </row>
    <row r="173" customFormat="false" ht="15" hidden="false" customHeight="false" outlineLevel="0" collapsed="false">
      <c r="A173" s="21"/>
      <c r="B173" s="21"/>
      <c r="C173" s="21"/>
      <c r="D173" s="21"/>
      <c r="I173" s="21"/>
    </row>
    <row r="174" customFormat="false" ht="15" hidden="false" customHeight="false" outlineLevel="0" collapsed="false">
      <c r="A174" s="21"/>
      <c r="B174" s="21"/>
      <c r="C174" s="21"/>
      <c r="D174" s="21"/>
      <c r="I174" s="21"/>
    </row>
    <row r="175" customFormat="false" ht="15" hidden="false" customHeight="false" outlineLevel="0" collapsed="false">
      <c r="A175" s="21"/>
      <c r="B175" s="21"/>
      <c r="C175" s="21"/>
      <c r="D175" s="21"/>
      <c r="I175" s="21"/>
    </row>
    <row r="176" customFormat="false" ht="15" hidden="false" customHeight="false" outlineLevel="0" collapsed="false">
      <c r="A176" s="21"/>
      <c r="B176" s="21"/>
      <c r="C176" s="21"/>
      <c r="D176" s="21"/>
      <c r="I176" s="21"/>
    </row>
    <row r="177" customFormat="false" ht="15" hidden="false" customHeight="false" outlineLevel="0" collapsed="false">
      <c r="A177" s="21"/>
      <c r="B177" s="21"/>
      <c r="C177" s="21"/>
      <c r="D177" s="21"/>
      <c r="I177" s="21"/>
    </row>
    <row r="178" customFormat="false" ht="15" hidden="false" customHeight="false" outlineLevel="0" collapsed="false">
      <c r="A178" s="21"/>
      <c r="B178" s="21"/>
      <c r="C178" s="21"/>
      <c r="D178" s="21"/>
      <c r="I178" s="21"/>
    </row>
    <row r="179" customFormat="false" ht="15" hidden="false" customHeight="false" outlineLevel="0" collapsed="false">
      <c r="A179" s="21"/>
      <c r="B179" s="21"/>
      <c r="C179" s="21"/>
      <c r="D179" s="21"/>
      <c r="I179" s="21"/>
    </row>
    <row r="180" customFormat="false" ht="15" hidden="false" customHeight="false" outlineLevel="0" collapsed="false">
      <c r="A180" s="21"/>
      <c r="B180" s="21"/>
      <c r="C180" s="21"/>
      <c r="D180" s="21"/>
      <c r="I180" s="21"/>
    </row>
    <row r="181" customFormat="false" ht="15" hidden="false" customHeight="false" outlineLevel="0" collapsed="false">
      <c r="A181" s="21"/>
      <c r="B181" s="21"/>
      <c r="C181" s="21"/>
      <c r="D181" s="21"/>
      <c r="I181" s="21"/>
    </row>
    <row r="182" customFormat="false" ht="15" hidden="false" customHeight="false" outlineLevel="0" collapsed="false">
      <c r="A182" s="21"/>
      <c r="B182" s="21"/>
      <c r="C182" s="21"/>
      <c r="D182" s="21"/>
      <c r="I182" s="21"/>
    </row>
    <row r="183" customFormat="false" ht="15" hidden="false" customHeight="false" outlineLevel="0" collapsed="false">
      <c r="A183" s="21"/>
      <c r="B183" s="21"/>
      <c r="C183" s="21"/>
      <c r="D183" s="21"/>
      <c r="I183" s="21"/>
    </row>
    <row r="184" customFormat="false" ht="15" hidden="false" customHeight="false" outlineLevel="0" collapsed="false">
      <c r="A184" s="21"/>
      <c r="B184" s="21"/>
      <c r="C184" s="21"/>
      <c r="D184" s="21"/>
      <c r="I184" s="21"/>
    </row>
    <row r="185" customFormat="false" ht="15" hidden="false" customHeight="false" outlineLevel="0" collapsed="false">
      <c r="A185" s="21"/>
      <c r="B185" s="21"/>
      <c r="C185" s="21"/>
      <c r="D185" s="21"/>
      <c r="I185" s="21"/>
    </row>
    <row r="186" customFormat="false" ht="15" hidden="false" customHeight="false" outlineLevel="0" collapsed="false">
      <c r="A186" s="21"/>
      <c r="B186" s="21"/>
      <c r="C186" s="21"/>
      <c r="D186" s="21"/>
      <c r="I186" s="21"/>
    </row>
    <row r="187" customFormat="false" ht="15" hidden="false" customHeight="false" outlineLevel="0" collapsed="false">
      <c r="A187" s="21"/>
      <c r="B187" s="21"/>
      <c r="C187" s="21"/>
      <c r="D187" s="21"/>
      <c r="I187" s="21"/>
    </row>
    <row r="188" customFormat="false" ht="15" hidden="false" customHeight="false" outlineLevel="0" collapsed="false">
      <c r="A188" s="21"/>
      <c r="B188" s="21"/>
      <c r="C188" s="21"/>
      <c r="D188" s="21"/>
      <c r="I188" s="21"/>
    </row>
    <row r="189" customFormat="false" ht="15" hidden="false" customHeight="false" outlineLevel="0" collapsed="false">
      <c r="A189" s="21"/>
      <c r="B189" s="21"/>
      <c r="C189" s="21"/>
      <c r="D189" s="21"/>
      <c r="I189" s="21"/>
    </row>
    <row r="190" customFormat="false" ht="15" hidden="false" customHeight="false" outlineLevel="0" collapsed="false">
      <c r="A190" s="21"/>
      <c r="B190" s="21"/>
      <c r="C190" s="21"/>
      <c r="D190" s="21"/>
      <c r="I190" s="21"/>
    </row>
    <row r="191" customFormat="false" ht="15" hidden="false" customHeight="false" outlineLevel="0" collapsed="false">
      <c r="A191" s="21"/>
      <c r="B191" s="21"/>
      <c r="C191" s="21"/>
      <c r="D191" s="21"/>
      <c r="I191" s="21"/>
    </row>
    <row r="192" customFormat="false" ht="15" hidden="false" customHeight="false" outlineLevel="0" collapsed="false">
      <c r="A192" s="21"/>
      <c r="B192" s="21"/>
      <c r="C192" s="21"/>
      <c r="D192" s="21"/>
      <c r="I192" s="21"/>
    </row>
    <row r="193" customFormat="false" ht="15" hidden="false" customHeight="false" outlineLevel="0" collapsed="false">
      <c r="A193" s="21"/>
      <c r="B193" s="21"/>
      <c r="C193" s="21"/>
      <c r="D193" s="21"/>
      <c r="I193" s="21"/>
    </row>
    <row r="194" customFormat="false" ht="15" hidden="false" customHeight="false" outlineLevel="0" collapsed="false">
      <c r="A194" s="21"/>
      <c r="B194" s="21"/>
      <c r="C194" s="21"/>
      <c r="D194" s="21"/>
      <c r="I194" s="21"/>
    </row>
    <row r="195" customFormat="false" ht="15" hidden="false" customHeight="false" outlineLevel="0" collapsed="false">
      <c r="A195" s="21"/>
      <c r="B195" s="21"/>
      <c r="C195" s="21"/>
      <c r="D195" s="21"/>
      <c r="I195" s="21"/>
    </row>
    <row r="196" customFormat="false" ht="15" hidden="false" customHeight="false" outlineLevel="0" collapsed="false">
      <c r="A196" s="21"/>
      <c r="B196" s="21"/>
      <c r="C196" s="21"/>
      <c r="D196" s="21"/>
      <c r="I196" s="21"/>
    </row>
    <row r="197" customFormat="false" ht="15" hidden="false" customHeight="false" outlineLevel="0" collapsed="false">
      <c r="A197" s="21"/>
      <c r="B197" s="21"/>
      <c r="C197" s="21"/>
      <c r="D197" s="21"/>
      <c r="I197" s="21"/>
    </row>
    <row r="198" customFormat="false" ht="15" hidden="false" customHeight="false" outlineLevel="0" collapsed="false">
      <c r="A198" s="21"/>
      <c r="B198" s="21"/>
      <c r="C198" s="21"/>
      <c r="D198" s="21"/>
      <c r="I198" s="21"/>
    </row>
    <row r="199" customFormat="false" ht="15" hidden="false" customHeight="false" outlineLevel="0" collapsed="false">
      <c r="A199" s="21"/>
      <c r="B199" s="21"/>
      <c r="C199" s="21"/>
      <c r="D199" s="21"/>
      <c r="I199" s="21"/>
    </row>
    <row r="200" customFormat="false" ht="15" hidden="false" customHeight="false" outlineLevel="0" collapsed="false">
      <c r="A200" s="21"/>
      <c r="B200" s="21"/>
      <c r="C200" s="21"/>
      <c r="D200" s="21"/>
      <c r="I200" s="21"/>
    </row>
  </sheetData>
  <sheetProtection sheet="true" password="cc3d" objects="true" scenarios="true" deleteColumns="false" deleteRows="false"/>
  <mergeCells count="2">
    <mergeCell ref="A1:N1"/>
    <mergeCell ref="A2:AN2"/>
  </mergeCells>
  <conditionalFormatting sqref="E6:E804">
    <cfRule type="cellIs" priority="2" operator="notEqual" aboveAverage="0" equalAverage="0" bottom="0" percent="0" rank="0" text="" dxfId="5">
      <formula>0</formula>
    </cfRule>
  </conditionalFormatting>
  <conditionalFormatting sqref="G6:G804">
    <cfRule type="cellIs" priority="3" operator="equal" aboveAverage="0" equalAverage="0" bottom="0" percent="0" rank="0" text="" dxfId="6">
      <formula>"UYUMLU"</formula>
    </cfRule>
    <cfRule type="cellIs" priority="4" operator="equal" aboveAverage="0" equalAverage="0" bottom="0" percent="0" rank="0" text="" dxfId="8">
      <formula>"FARK VAR"</formula>
    </cfRule>
  </conditionalFormatting>
  <conditionalFormatting sqref="H6:H804">
    <cfRule type="cellIs" priority="5" operator="equal" aboveAverage="0" equalAverage="0" bottom="0" percent="0" rank="0" text="" dxfId="8">
      <formula>"SAYIM EKSİK"</formula>
    </cfRule>
    <cfRule type="cellIs" priority="6" operator="equal" aboveAverage="0" equalAverage="0" bottom="0" percent="0" rank="0" text="" dxfId="9">
      <formula>"SAYIM FAZLA"</formula>
    </cfRule>
  </conditionalFormatting>
  <dataValidations count="2">
    <dataValidation allowBlank="true" error="Defter bakiyesi negatif olamaz." errorStyle="stop" errorTitle="Geçersiz Bakiye" operator="greaterThanOrEqual" prompt="KASA_HAREKETLERI'ne göre hesaplanan kasa bakiyesi." promptTitle="Defter Bakiyesi" showDropDown="false" showErrorMessage="true" showInputMessage="true" sqref="C6:C804" type="decimal">
      <formula1>0</formula1>
      <formula2>0</formula2>
    </dataValidation>
    <dataValidation allowBlank="true" error="Sayım tutarı negatif olamaz." errorStyle="stop" errorTitle="Geçersiz Sayım" operator="greaterThanOrEqual" prompt="Fiziki olarak sayılan para tutarı." promptTitle="Sayım Tutarı" showDropDown="false" showErrorMessage="true" showInputMessage="true" sqref="D6:D8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</cols>
  <sheetData>
    <row r="1" customFormat="false" ht="25.5" hidden="false" customHeight="true" outlineLevel="0" collapsed="false">
      <c r="A1" s="12" t="s">
        <v>169</v>
      </c>
      <c r="B1" s="12"/>
      <c r="C1" s="12"/>
      <c r="D1" s="12"/>
      <c r="E1" s="12"/>
      <c r="F1" s="12"/>
      <c r="G1" s="12"/>
      <c r="H1" s="12"/>
      <c r="I1" s="12"/>
      <c r="J1" s="12"/>
    </row>
    <row r="2" customFormat="false" ht="19.5" hidden="false" customHeight="true" outlineLevel="0" collapsed="false">
      <c r="A2" s="11" t="s">
        <v>170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4" customFormat="false" ht="30" hidden="false" customHeight="true" outlineLevel="0" collapsed="false">
      <c r="A4" s="14" t="s">
        <v>62</v>
      </c>
      <c r="B4" s="14" t="s">
        <v>171</v>
      </c>
      <c r="C4" s="14" t="s">
        <v>172</v>
      </c>
      <c r="D4" s="14" t="s">
        <v>173</v>
      </c>
      <c r="E4" s="14" t="s">
        <v>174</v>
      </c>
    </row>
    <row r="5" customFormat="false" ht="15" hidden="false" customHeight="false" outlineLevel="0" collapsed="false">
      <c r="A5" s="22" t="n">
        <v>46204</v>
      </c>
      <c r="B5" s="25" t="n">
        <f aca="false">IF($A5="","",SUMIFS(tblKasaHareket[],tblKasaHareket[],$A5,tblKasaHareket[],"GİRİŞ"))</f>
        <v>120000</v>
      </c>
      <c r="C5" s="25" t="n">
        <f aca="false">IF($A5="","",SUMIFS(tblKasaHareket[],tblKasaHareket[],$A5,tblKasaHareket[],"ÇIKIŞ"))</f>
        <v>0</v>
      </c>
      <c r="D5" s="25" t="n">
        <f aca="false">IF($A5="","",$B5-$C5)</f>
        <v>120000</v>
      </c>
      <c r="E5" s="25" t="n">
        <f aca="false">IF($A5="","",SUM($D$5:$D5))</f>
        <v>120000</v>
      </c>
    </row>
    <row r="6" customFormat="false" ht="15" hidden="false" customHeight="false" outlineLevel="0" collapsed="false">
      <c r="A6" s="22" t="n">
        <v>46205</v>
      </c>
      <c r="B6" s="25" t="n">
        <f aca="false">IF($A6="","",SUMIFS(tblKasaHareket[],tblKasaHareket[],$A6,tblKasaHareket[],"GİRİŞ"))</f>
        <v>0</v>
      </c>
      <c r="C6" s="25" t="n">
        <f aca="false">IF($A6="","",SUMIFS(tblKasaHareket[],tblKasaHareket[],$A6,tblKasaHareket[],"ÇIKIŞ"))</f>
        <v>90000</v>
      </c>
      <c r="D6" s="25" t="n">
        <f aca="false">IF($A6="","",$B6-$C6)</f>
        <v>-90000</v>
      </c>
      <c r="E6" s="25" t="n">
        <f aca="false">IF($A6="","",SUM($D$5:$D6))</f>
        <v>30000</v>
      </c>
    </row>
    <row r="7" customFormat="false" ht="15" hidden="false" customHeight="false" outlineLevel="0" collapsed="false">
      <c r="A7" s="22" t="n">
        <v>46206</v>
      </c>
      <c r="B7" s="25" t="n">
        <f aca="false">IF($A7="","",SUMIFS(tblKasaHareket[],tblKasaHareket[],$A7,tblKasaHareket[],"GİRİŞ"))</f>
        <v>85000</v>
      </c>
      <c r="C7" s="25" t="n">
        <f aca="false">IF($A7="","",SUMIFS(tblKasaHareket[],tblKasaHareket[],$A7,tblKasaHareket[],"ÇIKIŞ"))</f>
        <v>0</v>
      </c>
      <c r="D7" s="25" t="n">
        <f aca="false">IF($A7="","",$B7-$C7)</f>
        <v>85000</v>
      </c>
      <c r="E7" s="25" t="n">
        <f aca="false">IF($A7="","",SUM($D$5:$D7))</f>
        <v>115000</v>
      </c>
    </row>
    <row r="8" customFormat="false" ht="15" hidden="false" customHeight="false" outlineLevel="0" collapsed="false">
      <c r="A8" s="22" t="n">
        <v>46208</v>
      </c>
      <c r="B8" s="25" t="n">
        <f aca="false">IF($A8="","",SUMIFS(tblKasaHareket[],tblKasaHareket[],$A8,tblKasaHareket[],"GİRİŞ"))</f>
        <v>0</v>
      </c>
      <c r="C8" s="25" t="n">
        <f aca="false">IF($A8="","",SUMIFS(tblKasaHareket[],tblKasaHareket[],$A8,tblKasaHareket[],"ÇIKIŞ"))</f>
        <v>180000</v>
      </c>
      <c r="D8" s="25" t="n">
        <f aca="false">IF($A8="","",$B8-$C8)</f>
        <v>-180000</v>
      </c>
      <c r="E8" s="25" t="n">
        <f aca="false">IF($A8="","",SUM($D$5:$D8))</f>
        <v>-65000</v>
      </c>
    </row>
    <row r="9" customFormat="false" ht="15" hidden="false" customHeight="false" outlineLevel="0" collapsed="false">
      <c r="A9" s="22" t="n">
        <v>46210</v>
      </c>
      <c r="B9" s="25" t="n">
        <f aca="false">IF($A9="","",SUMIFS(tblKasaHareket[],tblKasaHareket[],$A9,tblKasaHareket[],"GİRİŞ"))</f>
        <v>0</v>
      </c>
      <c r="C9" s="25" t="n">
        <f aca="false">IF($A9="","",SUMIFS(tblKasaHareket[],tblKasaHareket[],$A9,tblKasaHareket[],"ÇIKIŞ"))</f>
        <v>60000</v>
      </c>
      <c r="D9" s="25" t="n">
        <f aca="false">IF($A9="","",$B9-$C9)</f>
        <v>-60000</v>
      </c>
      <c r="E9" s="25" t="n">
        <f aca="false">IF($A9="","",SUM($D$5:$D9))</f>
        <v>-125000</v>
      </c>
    </row>
    <row r="10" customFormat="false" ht="15" hidden="false" customHeight="false" outlineLevel="0" collapsed="false">
      <c r="A10" s="22" t="n">
        <v>46211</v>
      </c>
      <c r="B10" s="25" t="n">
        <f aca="false">IF($A10="","",SUMIFS(tblKasaHareket[],tblKasaHareket[],$A10,tblKasaHareket[],"GİRİŞ"))</f>
        <v>45000</v>
      </c>
      <c r="C10" s="25" t="n">
        <f aca="false">IF($A10="","",SUMIFS(tblKasaHareket[],tblKasaHareket[],$A10,tblKasaHareket[],"ÇIKIŞ"))</f>
        <v>0</v>
      </c>
      <c r="D10" s="25" t="n">
        <f aca="false">IF($A10="","",$B10-$C10)</f>
        <v>45000</v>
      </c>
      <c r="E10" s="25" t="n">
        <f aca="false">IF($A10="","",SUM($D$5:$D10))</f>
        <v>-80000</v>
      </c>
    </row>
    <row r="11" customFormat="false" ht="15" hidden="false" customHeight="false" outlineLevel="0" collapsed="false">
      <c r="A11" s="22" t="n">
        <v>46213</v>
      </c>
      <c r="B11" s="25" t="n">
        <f aca="false">IF($A11="","",SUMIFS(tblKasaHareket[],tblKasaHareket[],$A11,tblKasaHareket[],"GİRİŞ"))</f>
        <v>0</v>
      </c>
      <c r="C11" s="25" t="n">
        <f aca="false">IF($A11="","",SUMIFS(tblKasaHareket[],tblKasaHareket[],$A11,tblKasaHareket[],"ÇIKIŞ"))</f>
        <v>75000</v>
      </c>
      <c r="D11" s="25" t="n">
        <f aca="false">IF($A11="","",$B11-$C11)</f>
        <v>-75000</v>
      </c>
      <c r="E11" s="25" t="n">
        <f aca="false">IF($A11="","",SUM($D$5:$D11))</f>
        <v>-155000</v>
      </c>
    </row>
    <row r="12" customFormat="false" ht="15" hidden="false" customHeight="false" outlineLevel="0" collapsed="false">
      <c r="A12" s="22" t="n">
        <v>46215</v>
      </c>
      <c r="B12" s="25" t="n">
        <f aca="false">IF($A12="","",SUMIFS(tblKasaHareket[],tblKasaHareket[],$A12,tblKasaHareket[],"GİRİŞ"))</f>
        <v>0</v>
      </c>
      <c r="C12" s="25" t="n">
        <f aca="false">IF($A12="","",SUMIFS(tblKasaHareket[],tblKasaHareket[],$A12,tblKasaHareket[],"ÇIKIŞ"))</f>
        <v>52000</v>
      </c>
      <c r="D12" s="25" t="n">
        <f aca="false">IF($A12="","",$B12-$C12)</f>
        <v>-52000</v>
      </c>
      <c r="E12" s="25" t="n">
        <f aca="false">IF($A12="","",SUM($D$5:$D12))</f>
        <v>-207000</v>
      </c>
    </row>
    <row r="13" customFormat="false" ht="15" hidden="false" customHeight="false" outlineLevel="0" collapsed="false">
      <c r="A13" s="22" t="n">
        <v>46218</v>
      </c>
      <c r="B13" s="25" t="n">
        <f aca="false">IF($A13="","",SUMIFS(tblKasaHareket[],tblKasaHareket[],$A13,tblKasaHareket[],"GİRİŞ"))</f>
        <v>0</v>
      </c>
      <c r="C13" s="25" t="n">
        <f aca="false">IF($A13="","",SUMIFS(tblKasaHareket[],tblKasaHareket[],$A13,tblKasaHareket[],"ÇIKIŞ"))</f>
        <v>120000</v>
      </c>
      <c r="D13" s="25" t="n">
        <f aca="false">IF($A13="","",$B13-$C13)</f>
        <v>-120000</v>
      </c>
      <c r="E13" s="25" t="n">
        <f aca="false">IF($A13="","",SUM($D$5:$D13))</f>
        <v>-327000</v>
      </c>
    </row>
    <row r="14" customFormat="false" ht="15" hidden="false" customHeight="false" outlineLevel="0" collapsed="false">
      <c r="A14" s="22" t="n">
        <v>46219</v>
      </c>
      <c r="B14" s="25" t="n">
        <f aca="false">IF($A14="","",SUMIFS(tblKasaHareket[],tblKasaHareket[],$A14,tblKasaHareket[],"GİRİŞ"))</f>
        <v>95000</v>
      </c>
      <c r="C14" s="25" t="n">
        <f aca="false">IF($A14="","",SUMIFS(tblKasaHareket[],tblKasaHareket[],$A14,tblKasaHareket[],"ÇIKIŞ"))</f>
        <v>0</v>
      </c>
      <c r="D14" s="25" t="n">
        <f aca="false">IF($A14="","",$B14-$C14)</f>
        <v>95000</v>
      </c>
      <c r="E14" s="25" t="n">
        <f aca="false">IF($A14="","",SUM($D$5:$D14))</f>
        <v>-232000</v>
      </c>
    </row>
    <row r="15" customFormat="false" ht="15" hidden="false" customHeight="false" outlineLevel="0" collapsed="false">
      <c r="A15" s="21"/>
      <c r="B15" s="25" t="str">
        <f aca="false">IF($A15="","",SUMIFS(tblKasaHareket[],tblKasaHareket[],$A15,tblKasaHareket[],"GİRİŞ"))</f>
        <v/>
      </c>
      <c r="C15" s="25" t="str">
        <f aca="false">IF($A15="","",SUMIFS(tblKasaHareket[],tblKasaHareket[],$A15,tblKasaHareket[],"ÇIKIŞ"))</f>
        <v/>
      </c>
      <c r="D15" s="25" t="str">
        <f aca="false">IF($A15="","",$B15-$C15)</f>
        <v/>
      </c>
      <c r="E15" s="25" t="str">
        <f aca="false">IF($A15="","",SUM($D$5:$D15))</f>
        <v/>
      </c>
    </row>
    <row r="16" customFormat="false" ht="15" hidden="false" customHeight="false" outlineLevel="0" collapsed="false">
      <c r="A16" s="21"/>
      <c r="B16" s="25" t="str">
        <f aca="false">IF($A16="","",SUMIFS(tblKasaHareket[],tblKasaHareket[],$A16,tblKasaHareket[],"GİRİŞ"))</f>
        <v/>
      </c>
      <c r="C16" s="25" t="str">
        <f aca="false">IF($A16="","",SUMIFS(tblKasaHareket[],tblKasaHareket[],$A16,tblKasaHareket[],"ÇIKIŞ"))</f>
        <v/>
      </c>
      <c r="D16" s="25" t="str">
        <f aca="false">IF($A16="","",$B16-$C16)</f>
        <v/>
      </c>
      <c r="E16" s="25" t="str">
        <f aca="false">IF($A16="","",SUM($D$5:$D16))</f>
        <v/>
      </c>
    </row>
    <row r="17" customFormat="false" ht="15" hidden="false" customHeight="false" outlineLevel="0" collapsed="false">
      <c r="A17" s="21"/>
      <c r="B17" s="25" t="str">
        <f aca="false">IF($A17="","",SUMIFS(tblKasaHareket[],tblKasaHareket[],$A17,tblKasaHareket[],"GİRİŞ"))</f>
        <v/>
      </c>
      <c r="C17" s="25" t="str">
        <f aca="false">IF($A17="","",SUMIFS(tblKasaHareket[],tblKasaHareket[],$A17,tblKasaHareket[],"ÇIKIŞ"))</f>
        <v/>
      </c>
      <c r="D17" s="25" t="str">
        <f aca="false">IF($A17="","",$B17-$C17)</f>
        <v/>
      </c>
      <c r="E17" s="25" t="str">
        <f aca="false">IF($A17="","",SUM($D$5:$D17))</f>
        <v/>
      </c>
    </row>
    <row r="18" customFormat="false" ht="15" hidden="false" customHeight="false" outlineLevel="0" collapsed="false">
      <c r="A18" s="21"/>
      <c r="B18" s="25" t="str">
        <f aca="false">IF($A18="","",SUMIFS(tblKasaHareket[],tblKasaHareket[],$A18,tblKasaHareket[],"GİRİŞ"))</f>
        <v/>
      </c>
      <c r="C18" s="25" t="str">
        <f aca="false">IF($A18="","",SUMIFS(tblKasaHareket[],tblKasaHareket[],$A18,tblKasaHareket[],"ÇIKIŞ"))</f>
        <v/>
      </c>
      <c r="D18" s="25" t="str">
        <f aca="false">IF($A18="","",$B18-$C18)</f>
        <v/>
      </c>
      <c r="E18" s="25" t="str">
        <f aca="false">IF($A18="","",SUM($D$5:$D18))</f>
        <v/>
      </c>
    </row>
    <row r="19" customFormat="false" ht="15" hidden="false" customHeight="false" outlineLevel="0" collapsed="false">
      <c r="A19" s="21"/>
      <c r="B19" s="25" t="str">
        <f aca="false">IF($A19="","",SUMIFS(tblKasaHareket[],tblKasaHareket[],$A19,tblKasaHareket[],"GİRİŞ"))</f>
        <v/>
      </c>
      <c r="C19" s="25" t="str">
        <f aca="false">IF($A19="","",SUMIFS(tblKasaHareket[],tblKasaHareket[],$A19,tblKasaHareket[],"ÇIKIŞ"))</f>
        <v/>
      </c>
      <c r="D19" s="25" t="str">
        <f aca="false">IF($A19="","",$B19-$C19)</f>
        <v/>
      </c>
      <c r="E19" s="25" t="str">
        <f aca="false">IF($A19="","",SUM($D$5:$D19))</f>
        <v/>
      </c>
    </row>
    <row r="20" customFormat="false" ht="15" hidden="false" customHeight="false" outlineLevel="0" collapsed="false">
      <c r="A20" s="21"/>
      <c r="B20" s="25" t="str">
        <f aca="false">IF($A20="","",SUMIFS(tblKasaHareket[],tblKasaHareket[],$A20,tblKasaHareket[],"GİRİŞ"))</f>
        <v/>
      </c>
      <c r="C20" s="25" t="str">
        <f aca="false">IF($A20="","",SUMIFS(tblKasaHareket[],tblKasaHareket[],$A20,tblKasaHareket[],"ÇIKIŞ"))</f>
        <v/>
      </c>
      <c r="D20" s="25" t="str">
        <f aca="false">IF($A20="","",$B20-$C20)</f>
        <v/>
      </c>
      <c r="E20" s="25" t="str">
        <f aca="false">IF($A20="","",SUM($D$5:$D20))</f>
        <v/>
      </c>
    </row>
    <row r="21" customFormat="false" ht="15" hidden="false" customHeight="false" outlineLevel="0" collapsed="false">
      <c r="A21" s="21"/>
      <c r="B21" s="25" t="str">
        <f aca="false">IF($A21="","",SUMIFS(tblKasaHareket[],tblKasaHareket[],$A21,tblKasaHareket[],"GİRİŞ"))</f>
        <v/>
      </c>
      <c r="C21" s="25" t="str">
        <f aca="false">IF($A21="","",SUMIFS(tblKasaHareket[],tblKasaHareket[],$A21,tblKasaHareket[],"ÇIKIŞ"))</f>
        <v/>
      </c>
      <c r="D21" s="25" t="str">
        <f aca="false">IF($A21="","",$B21-$C21)</f>
        <v/>
      </c>
      <c r="E21" s="25" t="str">
        <f aca="false">IF($A21="","",SUM($D$5:$D21))</f>
        <v/>
      </c>
    </row>
    <row r="22" customFormat="false" ht="15" hidden="false" customHeight="false" outlineLevel="0" collapsed="false">
      <c r="A22" s="21"/>
      <c r="B22" s="25" t="str">
        <f aca="false">IF($A22="","",SUMIFS(tblKasaHareket[],tblKasaHareket[],$A22,tblKasaHareket[],"GİRİŞ"))</f>
        <v/>
      </c>
      <c r="C22" s="25" t="str">
        <f aca="false">IF($A22="","",SUMIFS(tblKasaHareket[],tblKasaHareket[],$A22,tblKasaHareket[],"ÇIKIŞ"))</f>
        <v/>
      </c>
      <c r="D22" s="25" t="str">
        <f aca="false">IF($A22="","",$B22-$C22)</f>
        <v/>
      </c>
      <c r="E22" s="25" t="str">
        <f aca="false">IF($A22="","",SUM($D$5:$D22))</f>
        <v/>
      </c>
    </row>
    <row r="23" customFormat="false" ht="15" hidden="false" customHeight="false" outlineLevel="0" collapsed="false">
      <c r="A23" s="21"/>
      <c r="B23" s="25" t="str">
        <f aca="false">IF($A23="","",SUMIFS(tblKasaHareket[],tblKasaHareket[],$A23,tblKasaHareket[],"GİRİŞ"))</f>
        <v/>
      </c>
      <c r="C23" s="25" t="str">
        <f aca="false">IF($A23="","",SUMIFS(tblKasaHareket[],tblKasaHareket[],$A23,tblKasaHareket[],"ÇIKIŞ"))</f>
        <v/>
      </c>
      <c r="D23" s="25" t="str">
        <f aca="false">IF($A23="","",$B23-$C23)</f>
        <v/>
      </c>
      <c r="E23" s="25" t="str">
        <f aca="false">IF($A23="","",SUM($D$5:$D23))</f>
        <v/>
      </c>
    </row>
    <row r="24" customFormat="false" ht="15" hidden="false" customHeight="false" outlineLevel="0" collapsed="false">
      <c r="A24" s="21"/>
      <c r="B24" s="25" t="str">
        <f aca="false">IF($A24="","",SUMIFS(tblKasaHareket[],tblKasaHareket[],$A24,tblKasaHareket[],"GİRİŞ"))</f>
        <v/>
      </c>
      <c r="C24" s="25" t="str">
        <f aca="false">IF($A24="","",SUMIFS(tblKasaHareket[],tblKasaHareket[],$A24,tblKasaHareket[],"ÇIKIŞ"))</f>
        <v/>
      </c>
      <c r="D24" s="25" t="str">
        <f aca="false">IF($A24="","",$B24-$C24)</f>
        <v/>
      </c>
      <c r="E24" s="25" t="str">
        <f aca="false">IF($A24="","",SUM($D$5:$D24))</f>
        <v/>
      </c>
    </row>
    <row r="25" customFormat="false" ht="15" hidden="false" customHeight="false" outlineLevel="0" collapsed="false">
      <c r="A25" s="21"/>
      <c r="B25" s="25" t="str">
        <f aca="false">IF($A25="","",SUMIFS(tblKasaHareket[],tblKasaHareket[],$A25,tblKasaHareket[],"GİRİŞ"))</f>
        <v/>
      </c>
      <c r="C25" s="25" t="str">
        <f aca="false">IF($A25="","",SUMIFS(tblKasaHareket[],tblKasaHareket[],$A25,tblKasaHareket[],"ÇIKIŞ"))</f>
        <v/>
      </c>
      <c r="D25" s="25" t="str">
        <f aca="false">IF($A25="","",$B25-$C25)</f>
        <v/>
      </c>
      <c r="E25" s="25" t="str">
        <f aca="false">IF($A25="","",SUM($D$5:$D25))</f>
        <v/>
      </c>
    </row>
    <row r="26" customFormat="false" ht="15" hidden="false" customHeight="false" outlineLevel="0" collapsed="false">
      <c r="A26" s="21"/>
      <c r="B26" s="25" t="str">
        <f aca="false">IF($A26="","",SUMIFS(tblKasaHareket[],tblKasaHareket[],$A26,tblKasaHareket[],"GİRİŞ"))</f>
        <v/>
      </c>
      <c r="C26" s="25" t="str">
        <f aca="false">IF($A26="","",SUMIFS(tblKasaHareket[],tblKasaHareket[],$A26,tblKasaHareket[],"ÇIKIŞ"))</f>
        <v/>
      </c>
      <c r="D26" s="25" t="str">
        <f aca="false">IF($A26="","",$B26-$C26)</f>
        <v/>
      </c>
      <c r="E26" s="25" t="str">
        <f aca="false">IF($A26="","",SUM($D$5:$D26))</f>
        <v/>
      </c>
    </row>
    <row r="27" customFormat="false" ht="15" hidden="false" customHeight="false" outlineLevel="0" collapsed="false">
      <c r="A27" s="21"/>
      <c r="B27" s="25" t="str">
        <f aca="false">IF($A27="","",SUMIFS(tblKasaHareket[],tblKasaHareket[],$A27,tblKasaHareket[],"GİRİŞ"))</f>
        <v/>
      </c>
      <c r="C27" s="25" t="str">
        <f aca="false">IF($A27="","",SUMIFS(tblKasaHareket[],tblKasaHareket[],$A27,tblKasaHareket[],"ÇIKIŞ"))</f>
        <v/>
      </c>
      <c r="D27" s="25" t="str">
        <f aca="false">IF($A27="","",$B27-$C27)</f>
        <v/>
      </c>
      <c r="E27" s="25" t="str">
        <f aca="false">IF($A27="","",SUM($D$5:$D27))</f>
        <v/>
      </c>
    </row>
    <row r="28" customFormat="false" ht="15" hidden="false" customHeight="false" outlineLevel="0" collapsed="false">
      <c r="A28" s="21"/>
      <c r="B28" s="25" t="str">
        <f aca="false">IF($A28="","",SUMIFS(tblKasaHareket[],tblKasaHareket[],$A28,tblKasaHareket[],"GİRİŞ"))</f>
        <v/>
      </c>
      <c r="C28" s="25" t="str">
        <f aca="false">IF($A28="","",SUMIFS(tblKasaHareket[],tblKasaHareket[],$A28,tblKasaHareket[],"ÇIKIŞ"))</f>
        <v/>
      </c>
      <c r="D28" s="25" t="str">
        <f aca="false">IF($A28="","",$B28-$C28)</f>
        <v/>
      </c>
      <c r="E28" s="25" t="str">
        <f aca="false">IF($A28="","",SUM($D$5:$D28))</f>
        <v/>
      </c>
    </row>
    <row r="29" customFormat="false" ht="15" hidden="false" customHeight="false" outlineLevel="0" collapsed="false">
      <c r="A29" s="21"/>
      <c r="B29" s="25" t="str">
        <f aca="false">IF($A29="","",SUMIFS(tblKasaHareket[],tblKasaHareket[],$A29,tblKasaHareket[],"GİRİŞ"))</f>
        <v/>
      </c>
      <c r="C29" s="25" t="str">
        <f aca="false">IF($A29="","",SUMIFS(tblKasaHareket[],tblKasaHareket[],$A29,tblKasaHareket[],"ÇIKIŞ"))</f>
        <v/>
      </c>
      <c r="D29" s="25" t="str">
        <f aca="false">IF($A29="","",$B29-$C29)</f>
        <v/>
      </c>
      <c r="E29" s="25" t="str">
        <f aca="false">IF($A29="","",SUM($D$5:$D29))</f>
        <v/>
      </c>
    </row>
    <row r="30" customFormat="false" ht="15" hidden="false" customHeight="false" outlineLevel="0" collapsed="false">
      <c r="A30" s="21"/>
      <c r="B30" s="25" t="str">
        <f aca="false">IF($A30="","",SUMIFS(tblKasaHareket[],tblKasaHareket[],$A30,tblKasaHareket[],"GİRİŞ"))</f>
        <v/>
      </c>
      <c r="C30" s="25" t="str">
        <f aca="false">IF($A30="","",SUMIFS(tblKasaHareket[],tblKasaHareket[],$A30,tblKasaHareket[],"ÇIKIŞ"))</f>
        <v/>
      </c>
      <c r="D30" s="25" t="str">
        <f aca="false">IF($A30="","",$B30-$C30)</f>
        <v/>
      </c>
      <c r="E30" s="25" t="str">
        <f aca="false">IF($A30="","",SUM($D$5:$D30))</f>
        <v/>
      </c>
    </row>
    <row r="31" customFormat="false" ht="15" hidden="false" customHeight="false" outlineLevel="0" collapsed="false">
      <c r="A31" s="21"/>
    </row>
    <row r="32" customFormat="false" ht="15" hidden="false" customHeight="false" outlineLevel="0" collapsed="false">
      <c r="A32" s="21"/>
    </row>
    <row r="33" customFormat="false" ht="15" hidden="false" customHeight="false" outlineLevel="0" collapsed="false">
      <c r="A33" s="21"/>
    </row>
    <row r="34" customFormat="false" ht="15" hidden="false" customHeight="false" outlineLevel="0" collapsed="false">
      <c r="A34" s="21"/>
    </row>
    <row r="35" customFormat="false" ht="15" hidden="false" customHeight="false" outlineLevel="0" collapsed="false">
      <c r="A35" s="21"/>
    </row>
    <row r="36" customFormat="false" ht="15" hidden="false" customHeight="false" outlineLevel="0" collapsed="false">
      <c r="A36" s="21"/>
    </row>
    <row r="37" customFormat="false" ht="15" hidden="false" customHeight="false" outlineLevel="0" collapsed="false">
      <c r="A37" s="21"/>
    </row>
    <row r="38" customFormat="false" ht="15" hidden="false" customHeight="false" outlineLevel="0" collapsed="false">
      <c r="A38" s="21"/>
    </row>
    <row r="39" customFormat="false" ht="15" hidden="false" customHeight="false" outlineLevel="0" collapsed="false">
      <c r="A39" s="21"/>
    </row>
    <row r="40" customFormat="false" ht="15" hidden="false" customHeight="false" outlineLevel="0" collapsed="false">
      <c r="A40" s="21"/>
    </row>
    <row r="41" customFormat="false" ht="15" hidden="false" customHeight="false" outlineLevel="0" collapsed="false">
      <c r="A41" s="21"/>
    </row>
    <row r="42" customFormat="false" ht="15" hidden="false" customHeight="false" outlineLevel="0" collapsed="false">
      <c r="A42" s="21"/>
    </row>
    <row r="43" customFormat="false" ht="15" hidden="false" customHeight="false" outlineLevel="0" collapsed="false">
      <c r="A43" s="21"/>
    </row>
    <row r="44" customFormat="false" ht="15" hidden="false" customHeight="false" outlineLevel="0" collapsed="false">
      <c r="A44" s="21"/>
    </row>
    <row r="45" customFormat="false" ht="15" hidden="false" customHeight="false" outlineLevel="0" collapsed="false">
      <c r="A45" s="21"/>
    </row>
    <row r="46" customFormat="false" ht="15" hidden="false" customHeight="false" outlineLevel="0" collapsed="false">
      <c r="A46" s="21"/>
    </row>
    <row r="47" customFormat="false" ht="15" hidden="false" customHeight="false" outlineLevel="0" collapsed="false">
      <c r="A47" s="21"/>
    </row>
    <row r="48" customFormat="false" ht="15" hidden="false" customHeight="false" outlineLevel="0" collapsed="false">
      <c r="A48" s="21"/>
    </row>
    <row r="49" customFormat="false" ht="15" hidden="false" customHeight="false" outlineLevel="0" collapsed="false">
      <c r="A49" s="21"/>
    </row>
    <row r="50" customFormat="false" ht="15" hidden="false" customHeight="false" outlineLevel="0" collapsed="false">
      <c r="A50" s="21"/>
    </row>
    <row r="51" customFormat="false" ht="15" hidden="false" customHeight="false" outlineLevel="0" collapsed="false">
      <c r="A51" s="21"/>
    </row>
    <row r="52" customFormat="false" ht="15" hidden="false" customHeight="false" outlineLevel="0" collapsed="false">
      <c r="A52" s="21"/>
    </row>
    <row r="53" customFormat="false" ht="15" hidden="false" customHeight="false" outlineLevel="0" collapsed="false">
      <c r="A53" s="21"/>
    </row>
    <row r="54" customFormat="false" ht="15" hidden="false" customHeight="false" outlineLevel="0" collapsed="false">
      <c r="A54" s="21"/>
    </row>
    <row r="55" customFormat="false" ht="15" hidden="false" customHeight="false" outlineLevel="0" collapsed="false">
      <c r="A55" s="21"/>
    </row>
    <row r="56" customFormat="false" ht="15" hidden="false" customHeight="false" outlineLevel="0" collapsed="false">
      <c r="A56" s="21"/>
    </row>
    <row r="57" customFormat="false" ht="15" hidden="false" customHeight="false" outlineLevel="0" collapsed="false">
      <c r="A57" s="21"/>
    </row>
    <row r="58" customFormat="false" ht="15" hidden="false" customHeight="false" outlineLevel="0" collapsed="false">
      <c r="A58" s="21"/>
    </row>
    <row r="59" customFormat="false" ht="15" hidden="false" customHeight="false" outlineLevel="0" collapsed="false">
      <c r="A59" s="21"/>
    </row>
    <row r="60" customFormat="false" ht="15" hidden="false" customHeight="false" outlineLevel="0" collapsed="false">
      <c r="A60" s="21"/>
    </row>
    <row r="61" customFormat="false" ht="15" hidden="false" customHeight="false" outlineLevel="0" collapsed="false">
      <c r="A61" s="21"/>
    </row>
    <row r="62" customFormat="false" ht="15" hidden="false" customHeight="false" outlineLevel="0" collapsed="false">
      <c r="A62" s="21"/>
    </row>
    <row r="63" customFormat="false" ht="15" hidden="false" customHeight="false" outlineLevel="0" collapsed="false">
      <c r="A63" s="21"/>
    </row>
    <row r="64" customFormat="false" ht="15" hidden="false" customHeight="false" outlineLevel="0" collapsed="false">
      <c r="A64" s="21"/>
    </row>
    <row r="65" customFormat="false" ht="15" hidden="false" customHeight="false" outlineLevel="0" collapsed="false">
      <c r="A65" s="21"/>
    </row>
    <row r="66" customFormat="false" ht="15" hidden="false" customHeight="false" outlineLevel="0" collapsed="false">
      <c r="A66" s="21"/>
    </row>
    <row r="67" customFormat="false" ht="15" hidden="false" customHeight="false" outlineLevel="0" collapsed="false">
      <c r="A67" s="21"/>
    </row>
    <row r="68" customFormat="false" ht="15" hidden="false" customHeight="false" outlineLevel="0" collapsed="false">
      <c r="A68" s="21"/>
    </row>
    <row r="69" customFormat="false" ht="15" hidden="false" customHeight="false" outlineLevel="0" collapsed="false">
      <c r="A69" s="21"/>
    </row>
    <row r="70" customFormat="false" ht="15" hidden="false" customHeight="false" outlineLevel="0" collapsed="false">
      <c r="A70" s="21"/>
    </row>
    <row r="71" customFormat="false" ht="15" hidden="false" customHeight="false" outlineLevel="0" collapsed="false">
      <c r="A71" s="21"/>
    </row>
    <row r="72" customFormat="false" ht="15" hidden="false" customHeight="false" outlineLevel="0" collapsed="false">
      <c r="A72" s="21"/>
    </row>
    <row r="73" customFormat="false" ht="15" hidden="false" customHeight="false" outlineLevel="0" collapsed="false">
      <c r="A73" s="21"/>
    </row>
    <row r="74" customFormat="false" ht="15" hidden="false" customHeight="false" outlineLevel="0" collapsed="false">
      <c r="A74" s="21"/>
    </row>
    <row r="75" customFormat="false" ht="15" hidden="false" customHeight="false" outlineLevel="0" collapsed="false">
      <c r="A75" s="21"/>
    </row>
    <row r="76" customFormat="false" ht="15" hidden="false" customHeight="false" outlineLevel="0" collapsed="false">
      <c r="A76" s="21"/>
    </row>
    <row r="77" customFormat="false" ht="15" hidden="false" customHeight="false" outlineLevel="0" collapsed="false">
      <c r="A77" s="21"/>
    </row>
    <row r="78" customFormat="false" ht="15" hidden="false" customHeight="false" outlineLevel="0" collapsed="false">
      <c r="A78" s="21"/>
    </row>
    <row r="79" customFormat="false" ht="15" hidden="false" customHeight="false" outlineLevel="0" collapsed="false">
      <c r="A79" s="21"/>
    </row>
    <row r="80" customFormat="false" ht="15" hidden="false" customHeight="false" outlineLevel="0" collapsed="false">
      <c r="A80" s="21"/>
    </row>
    <row r="81" customFormat="false" ht="15" hidden="false" customHeight="false" outlineLevel="0" collapsed="false">
      <c r="A81" s="21"/>
    </row>
    <row r="82" customFormat="false" ht="15" hidden="false" customHeight="false" outlineLevel="0" collapsed="false">
      <c r="A82" s="21"/>
    </row>
    <row r="83" customFormat="false" ht="15" hidden="false" customHeight="false" outlineLevel="0" collapsed="false">
      <c r="A83" s="21"/>
    </row>
    <row r="84" customFormat="false" ht="15" hidden="false" customHeight="false" outlineLevel="0" collapsed="false">
      <c r="A84" s="21"/>
    </row>
    <row r="85" customFormat="false" ht="15" hidden="false" customHeight="false" outlineLevel="0" collapsed="false">
      <c r="A85" s="21"/>
    </row>
    <row r="86" customFormat="false" ht="15" hidden="false" customHeight="false" outlineLevel="0" collapsed="false">
      <c r="A86" s="21"/>
    </row>
    <row r="87" customFormat="false" ht="15" hidden="false" customHeight="false" outlineLevel="0" collapsed="false">
      <c r="A87" s="21"/>
    </row>
    <row r="88" customFormat="false" ht="15" hidden="false" customHeight="false" outlineLevel="0" collapsed="false">
      <c r="A88" s="21"/>
    </row>
    <row r="89" customFormat="false" ht="15" hidden="false" customHeight="false" outlineLevel="0" collapsed="false">
      <c r="A89" s="21"/>
    </row>
    <row r="90" customFormat="false" ht="15" hidden="false" customHeight="false" outlineLevel="0" collapsed="false">
      <c r="A90" s="21"/>
    </row>
    <row r="91" customFormat="false" ht="15" hidden="false" customHeight="false" outlineLevel="0" collapsed="false">
      <c r="A91" s="21"/>
    </row>
    <row r="92" customFormat="false" ht="15" hidden="false" customHeight="false" outlineLevel="0" collapsed="false">
      <c r="A92" s="21"/>
    </row>
    <row r="93" customFormat="false" ht="15" hidden="false" customHeight="false" outlineLevel="0" collapsed="false">
      <c r="A93" s="21"/>
    </row>
    <row r="94" customFormat="false" ht="15" hidden="false" customHeight="false" outlineLevel="0" collapsed="false">
      <c r="A94" s="21"/>
    </row>
    <row r="95" customFormat="false" ht="15" hidden="false" customHeight="false" outlineLevel="0" collapsed="false">
      <c r="A95" s="21"/>
    </row>
    <row r="96" customFormat="false" ht="15" hidden="false" customHeight="false" outlineLevel="0" collapsed="false">
      <c r="A96" s="21"/>
    </row>
    <row r="97" customFormat="false" ht="15" hidden="false" customHeight="false" outlineLevel="0" collapsed="false">
      <c r="A97" s="21"/>
    </row>
    <row r="98" customFormat="false" ht="15" hidden="false" customHeight="false" outlineLevel="0" collapsed="false">
      <c r="A98" s="21"/>
    </row>
    <row r="99" customFormat="false" ht="15" hidden="false" customHeight="false" outlineLevel="0" collapsed="false">
      <c r="A99" s="21"/>
    </row>
    <row r="100" customFormat="false" ht="15" hidden="false" customHeight="false" outlineLevel="0" collapsed="false">
      <c r="A100" s="21"/>
    </row>
    <row r="101" customFormat="false" ht="15" hidden="false" customHeight="false" outlineLevel="0" collapsed="false">
      <c r="A101" s="21"/>
    </row>
    <row r="102" customFormat="false" ht="15" hidden="false" customHeight="false" outlineLevel="0" collapsed="false">
      <c r="A102" s="21"/>
    </row>
    <row r="103" customFormat="false" ht="15" hidden="false" customHeight="false" outlineLevel="0" collapsed="false">
      <c r="A103" s="21"/>
    </row>
    <row r="104" customFormat="false" ht="15" hidden="false" customHeight="false" outlineLevel="0" collapsed="false">
      <c r="A104" s="21"/>
    </row>
    <row r="105" customFormat="false" ht="15" hidden="false" customHeight="false" outlineLevel="0" collapsed="false">
      <c r="A105" s="21"/>
    </row>
    <row r="106" customFormat="false" ht="15" hidden="false" customHeight="false" outlineLevel="0" collapsed="false">
      <c r="A106" s="21"/>
    </row>
    <row r="107" customFormat="false" ht="15" hidden="false" customHeight="false" outlineLevel="0" collapsed="false">
      <c r="A107" s="21"/>
    </row>
    <row r="108" customFormat="false" ht="15" hidden="false" customHeight="false" outlineLevel="0" collapsed="false">
      <c r="A108" s="21"/>
    </row>
    <row r="109" customFormat="false" ht="15" hidden="false" customHeight="false" outlineLevel="0" collapsed="false">
      <c r="A109" s="21"/>
    </row>
    <row r="110" customFormat="false" ht="15" hidden="false" customHeight="false" outlineLevel="0" collapsed="false">
      <c r="A110" s="21"/>
    </row>
    <row r="111" customFormat="false" ht="15" hidden="false" customHeight="false" outlineLevel="0" collapsed="false">
      <c r="A111" s="21"/>
    </row>
    <row r="112" customFormat="false" ht="15" hidden="false" customHeight="false" outlineLevel="0" collapsed="false">
      <c r="A112" s="21"/>
    </row>
    <row r="113" customFormat="false" ht="15" hidden="false" customHeight="false" outlineLevel="0" collapsed="false">
      <c r="A113" s="21"/>
    </row>
    <row r="114" customFormat="false" ht="15" hidden="false" customHeight="false" outlineLevel="0" collapsed="false">
      <c r="A114" s="21"/>
    </row>
    <row r="115" customFormat="false" ht="15" hidden="false" customHeight="false" outlineLevel="0" collapsed="false">
      <c r="A115" s="21"/>
    </row>
    <row r="116" customFormat="false" ht="15" hidden="false" customHeight="false" outlineLevel="0" collapsed="false">
      <c r="A116" s="21"/>
    </row>
    <row r="117" customFormat="false" ht="15" hidden="false" customHeight="false" outlineLevel="0" collapsed="false">
      <c r="A117" s="21"/>
    </row>
    <row r="118" customFormat="false" ht="15" hidden="false" customHeight="false" outlineLevel="0" collapsed="false">
      <c r="A118" s="21"/>
    </row>
    <row r="119" customFormat="false" ht="15" hidden="false" customHeight="false" outlineLevel="0" collapsed="false">
      <c r="A119" s="21"/>
    </row>
    <row r="120" customFormat="false" ht="15" hidden="false" customHeight="false" outlineLevel="0" collapsed="false">
      <c r="A120" s="21"/>
    </row>
    <row r="121" customFormat="false" ht="15" hidden="false" customHeight="false" outlineLevel="0" collapsed="false">
      <c r="A121" s="21"/>
    </row>
    <row r="122" customFormat="false" ht="15" hidden="false" customHeight="false" outlineLevel="0" collapsed="false">
      <c r="A122" s="21"/>
    </row>
    <row r="123" customFormat="false" ht="15" hidden="false" customHeight="false" outlineLevel="0" collapsed="false">
      <c r="A123" s="21"/>
    </row>
    <row r="124" customFormat="false" ht="15" hidden="false" customHeight="false" outlineLevel="0" collapsed="false">
      <c r="A124" s="21"/>
    </row>
    <row r="125" customFormat="false" ht="15" hidden="false" customHeight="false" outlineLevel="0" collapsed="false">
      <c r="A125" s="21"/>
    </row>
    <row r="126" customFormat="false" ht="15" hidden="false" customHeight="false" outlineLevel="0" collapsed="false">
      <c r="A126" s="21"/>
    </row>
    <row r="127" customFormat="false" ht="15" hidden="false" customHeight="false" outlineLevel="0" collapsed="false">
      <c r="A127" s="21"/>
    </row>
    <row r="128" customFormat="false" ht="15" hidden="false" customHeight="false" outlineLevel="0" collapsed="false">
      <c r="A128" s="21"/>
    </row>
    <row r="129" customFormat="false" ht="15" hidden="false" customHeight="false" outlineLevel="0" collapsed="false">
      <c r="A129" s="21"/>
    </row>
    <row r="130" customFormat="false" ht="15" hidden="false" customHeight="false" outlineLevel="0" collapsed="false">
      <c r="A130" s="21"/>
    </row>
    <row r="131" customFormat="false" ht="15" hidden="false" customHeight="false" outlineLevel="0" collapsed="false">
      <c r="A131" s="21"/>
    </row>
    <row r="132" customFormat="false" ht="15" hidden="false" customHeight="false" outlineLevel="0" collapsed="false">
      <c r="A132" s="21"/>
    </row>
    <row r="133" customFormat="false" ht="15" hidden="false" customHeight="false" outlineLevel="0" collapsed="false">
      <c r="A133" s="21"/>
    </row>
    <row r="134" customFormat="false" ht="15" hidden="false" customHeight="false" outlineLevel="0" collapsed="false">
      <c r="A134" s="21"/>
    </row>
    <row r="135" customFormat="false" ht="15" hidden="false" customHeight="false" outlineLevel="0" collapsed="false">
      <c r="A135" s="21"/>
    </row>
    <row r="136" customFormat="false" ht="15" hidden="false" customHeight="false" outlineLevel="0" collapsed="false">
      <c r="A136" s="21"/>
    </row>
    <row r="137" customFormat="false" ht="15" hidden="false" customHeight="false" outlineLevel="0" collapsed="false">
      <c r="A137" s="21"/>
    </row>
    <row r="138" customFormat="false" ht="15" hidden="false" customHeight="false" outlineLevel="0" collapsed="false">
      <c r="A138" s="21"/>
    </row>
    <row r="139" customFormat="false" ht="15" hidden="false" customHeight="false" outlineLevel="0" collapsed="false">
      <c r="A139" s="21"/>
    </row>
    <row r="140" customFormat="false" ht="15" hidden="false" customHeight="false" outlineLevel="0" collapsed="false">
      <c r="A140" s="21"/>
    </row>
    <row r="141" customFormat="false" ht="15" hidden="false" customHeight="false" outlineLevel="0" collapsed="false">
      <c r="A141" s="21"/>
    </row>
    <row r="142" customFormat="false" ht="15" hidden="false" customHeight="false" outlineLevel="0" collapsed="false">
      <c r="A142" s="21"/>
    </row>
    <row r="143" customFormat="false" ht="15" hidden="false" customHeight="false" outlineLevel="0" collapsed="false">
      <c r="A143" s="21"/>
    </row>
    <row r="144" customFormat="false" ht="15" hidden="false" customHeight="false" outlineLevel="0" collapsed="false">
      <c r="A144" s="21"/>
    </row>
    <row r="145" customFormat="false" ht="15" hidden="false" customHeight="false" outlineLevel="0" collapsed="false">
      <c r="A145" s="21"/>
    </row>
    <row r="146" customFormat="false" ht="15" hidden="false" customHeight="false" outlineLevel="0" collapsed="false">
      <c r="A146" s="21"/>
    </row>
    <row r="147" customFormat="false" ht="15" hidden="false" customHeight="false" outlineLevel="0" collapsed="false">
      <c r="A147" s="21"/>
    </row>
    <row r="148" customFormat="false" ht="15" hidden="false" customHeight="false" outlineLevel="0" collapsed="false">
      <c r="A148" s="21"/>
    </row>
    <row r="149" customFormat="false" ht="15" hidden="false" customHeight="false" outlineLevel="0" collapsed="false">
      <c r="A149" s="21"/>
    </row>
    <row r="150" customFormat="false" ht="15" hidden="false" customHeight="false" outlineLevel="0" collapsed="false">
      <c r="A150" s="21"/>
    </row>
    <row r="151" customFormat="false" ht="15" hidden="false" customHeight="false" outlineLevel="0" collapsed="false">
      <c r="A151" s="21"/>
    </row>
    <row r="152" customFormat="false" ht="15" hidden="false" customHeight="false" outlineLevel="0" collapsed="false">
      <c r="A152" s="21"/>
    </row>
    <row r="153" customFormat="false" ht="15" hidden="false" customHeight="false" outlineLevel="0" collapsed="false">
      <c r="A153" s="21"/>
    </row>
    <row r="154" customFormat="false" ht="15" hidden="false" customHeight="false" outlineLevel="0" collapsed="false">
      <c r="A154" s="21"/>
    </row>
    <row r="155" customFormat="false" ht="15" hidden="false" customHeight="false" outlineLevel="0" collapsed="false">
      <c r="A155" s="21"/>
    </row>
    <row r="156" customFormat="false" ht="15" hidden="false" customHeight="false" outlineLevel="0" collapsed="false">
      <c r="A156" s="21"/>
    </row>
    <row r="157" customFormat="false" ht="15" hidden="false" customHeight="false" outlineLevel="0" collapsed="false">
      <c r="A157" s="21"/>
    </row>
    <row r="158" customFormat="false" ht="15" hidden="false" customHeight="false" outlineLevel="0" collapsed="false">
      <c r="A158" s="21"/>
    </row>
    <row r="159" customFormat="false" ht="15" hidden="false" customHeight="false" outlineLevel="0" collapsed="false">
      <c r="A159" s="21"/>
    </row>
    <row r="160" customFormat="false" ht="15" hidden="false" customHeight="false" outlineLevel="0" collapsed="false">
      <c r="A160" s="21"/>
    </row>
    <row r="161" customFormat="false" ht="15" hidden="false" customHeight="false" outlineLevel="0" collapsed="false">
      <c r="A161" s="21"/>
    </row>
    <row r="162" customFormat="false" ht="15" hidden="false" customHeight="false" outlineLevel="0" collapsed="false">
      <c r="A162" s="21"/>
    </row>
    <row r="163" customFormat="false" ht="15" hidden="false" customHeight="false" outlineLevel="0" collapsed="false">
      <c r="A163" s="21"/>
    </row>
    <row r="164" customFormat="false" ht="15" hidden="false" customHeight="false" outlineLevel="0" collapsed="false">
      <c r="A164" s="21"/>
    </row>
    <row r="165" customFormat="false" ht="15" hidden="false" customHeight="false" outlineLevel="0" collapsed="false">
      <c r="A165" s="21"/>
    </row>
    <row r="166" customFormat="false" ht="15" hidden="false" customHeight="false" outlineLevel="0" collapsed="false">
      <c r="A166" s="21"/>
    </row>
    <row r="167" customFormat="false" ht="15" hidden="false" customHeight="false" outlineLevel="0" collapsed="false">
      <c r="A167" s="21"/>
    </row>
    <row r="168" customFormat="false" ht="15" hidden="false" customHeight="false" outlineLevel="0" collapsed="false">
      <c r="A168" s="21"/>
    </row>
    <row r="169" customFormat="false" ht="15" hidden="false" customHeight="false" outlineLevel="0" collapsed="false">
      <c r="A169" s="21"/>
    </row>
    <row r="170" customFormat="false" ht="15" hidden="false" customHeight="false" outlineLevel="0" collapsed="false">
      <c r="A170" s="21"/>
    </row>
    <row r="171" customFormat="false" ht="15" hidden="false" customHeight="false" outlineLevel="0" collapsed="false">
      <c r="A171" s="21"/>
    </row>
    <row r="172" customFormat="false" ht="15" hidden="false" customHeight="false" outlineLevel="0" collapsed="false">
      <c r="A172" s="21"/>
    </row>
    <row r="173" customFormat="false" ht="15" hidden="false" customHeight="false" outlineLevel="0" collapsed="false">
      <c r="A173" s="21"/>
    </row>
    <row r="174" customFormat="false" ht="15" hidden="false" customHeight="false" outlineLevel="0" collapsed="false">
      <c r="A174" s="21"/>
    </row>
    <row r="175" customFormat="false" ht="15" hidden="false" customHeight="false" outlineLevel="0" collapsed="false">
      <c r="A175" s="21"/>
    </row>
    <row r="176" customFormat="false" ht="15" hidden="false" customHeight="false" outlineLevel="0" collapsed="false">
      <c r="A176" s="21"/>
    </row>
    <row r="177" customFormat="false" ht="15" hidden="false" customHeight="false" outlineLevel="0" collapsed="false">
      <c r="A177" s="21"/>
    </row>
    <row r="178" customFormat="false" ht="15" hidden="false" customHeight="false" outlineLevel="0" collapsed="false">
      <c r="A178" s="21"/>
    </row>
    <row r="179" customFormat="false" ht="15" hidden="false" customHeight="false" outlineLevel="0" collapsed="false">
      <c r="A179" s="21"/>
    </row>
    <row r="180" customFormat="false" ht="15" hidden="false" customHeight="false" outlineLevel="0" collapsed="false">
      <c r="A180" s="21"/>
    </row>
    <row r="181" customFormat="false" ht="15" hidden="false" customHeight="false" outlineLevel="0" collapsed="false">
      <c r="A181" s="21"/>
    </row>
    <row r="182" customFormat="false" ht="15" hidden="false" customHeight="false" outlineLevel="0" collapsed="false">
      <c r="A182" s="21"/>
    </row>
    <row r="183" customFormat="false" ht="15" hidden="false" customHeight="false" outlineLevel="0" collapsed="false">
      <c r="A183" s="21"/>
    </row>
    <row r="184" customFormat="false" ht="15" hidden="false" customHeight="false" outlineLevel="0" collapsed="false">
      <c r="A184" s="21"/>
    </row>
    <row r="185" customFormat="false" ht="15" hidden="false" customHeight="false" outlineLevel="0" collapsed="false">
      <c r="A185" s="21"/>
    </row>
    <row r="186" customFormat="false" ht="15" hidden="false" customHeight="false" outlineLevel="0" collapsed="false">
      <c r="A186" s="21"/>
    </row>
    <row r="187" customFormat="false" ht="15" hidden="false" customHeight="false" outlineLevel="0" collapsed="false">
      <c r="A187" s="21"/>
    </row>
    <row r="188" customFormat="false" ht="15" hidden="false" customHeight="false" outlineLevel="0" collapsed="false">
      <c r="A188" s="21"/>
    </row>
    <row r="189" customFormat="false" ht="15" hidden="false" customHeight="false" outlineLevel="0" collapsed="false">
      <c r="A189" s="21"/>
    </row>
    <row r="190" customFormat="false" ht="15" hidden="false" customHeight="false" outlineLevel="0" collapsed="false">
      <c r="A190" s="21"/>
    </row>
    <row r="191" customFormat="false" ht="15" hidden="false" customHeight="false" outlineLevel="0" collapsed="false">
      <c r="A191" s="21"/>
    </row>
    <row r="192" customFormat="false" ht="15" hidden="false" customHeight="false" outlineLevel="0" collapsed="false">
      <c r="A192" s="21"/>
    </row>
    <row r="193" customFormat="false" ht="15" hidden="false" customHeight="false" outlineLevel="0" collapsed="false">
      <c r="A193" s="21"/>
    </row>
    <row r="194" customFormat="false" ht="15" hidden="false" customHeight="false" outlineLevel="0" collapsed="false">
      <c r="A194" s="21"/>
    </row>
    <row r="195" customFormat="false" ht="15" hidden="false" customHeight="false" outlineLevel="0" collapsed="false">
      <c r="A195" s="21"/>
    </row>
    <row r="196" customFormat="false" ht="15" hidden="false" customHeight="false" outlineLevel="0" collapsed="false">
      <c r="A196" s="21"/>
    </row>
    <row r="197" customFormat="false" ht="15" hidden="false" customHeight="false" outlineLevel="0" collapsed="false">
      <c r="A197" s="21"/>
    </row>
    <row r="198" customFormat="false" ht="15" hidden="false" customHeight="false" outlineLevel="0" collapsed="false">
      <c r="A198" s="21"/>
    </row>
    <row r="199" customFormat="false" ht="15" hidden="false" customHeight="false" outlineLevel="0" collapsed="false">
      <c r="A199" s="21"/>
    </row>
    <row r="200" customFormat="false" ht="15" hidden="false" customHeight="false" outlineLevel="0" collapsed="false">
      <c r="A200" s="21"/>
    </row>
  </sheetData>
  <sheetProtection sheet="true" password="cc3d" objects="true" scenarios="true" deleteColumns="false" deleteRows="false"/>
  <mergeCells count="2">
    <mergeCell ref="A1:J1"/>
    <mergeCell ref="A2:AN2"/>
  </mergeCells>
  <conditionalFormatting sqref="C6:C804">
    <cfRule type="cellIs" priority="2" operator="lessThan" aboveAverage="0" equalAverage="0" bottom="0" percent="0" rank="0" text="" dxfId="5">
      <formula>0</formula>
    </cfRule>
    <cfRule type="cellIs" priority="3" operator="greaterThan" aboveAverage="0" equalAverage="0" bottom="0" percent="0" rank="0" text="" dxfId="6">
      <formula>0</formula>
    </cfRule>
  </conditionalFormatting>
  <conditionalFormatting sqref="D6:D804">
    <cfRule type="cellIs" priority="4" operator="lessThan" aboveAverage="0" equalAverage="0" bottom="0" percent="0" rank="0" text="" dxfId="8">
      <formula>0</formula>
    </cfRule>
  </conditionalFormatting>
  <conditionalFormatting sqref="E6:E804">
    <cfRule type="cellIs" priority="5" operator="lessThan" aboveAverage="0" equalAverage="0" bottom="0" percent="0" rank="0" text="" dxfId="8">
      <formula>0</formula>
    </cfRule>
  </conditionalFormatting>
  <conditionalFormatting sqref="F6:F804">
    <cfRule type="cellIs" priority="6" operator="lessThan" aboveAverage="0" equalAverage="0" bottom="0" percent="0" rank="0" text="" dxfId="8">
      <formula>0</formula>
    </cfRule>
    <cfRule type="cellIs" priority="7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&amp;LAKILLI KASA DEFTERİ VE NAKİT KONTROL SİSTEMİ&amp;CExcelArşiv&amp;RSayfa &amp;P / &amp;N</oddFooter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7" min="3" style="0" width="18"/>
  </cols>
  <sheetData>
    <row r="1" customFormat="false" ht="25.5" hidden="false" customHeight="true" outlineLevel="0" collapsed="false">
      <c r="A1" s="12" t="s">
        <v>175</v>
      </c>
      <c r="B1" s="12"/>
      <c r="C1" s="12"/>
      <c r="D1" s="12"/>
      <c r="E1" s="12"/>
      <c r="F1" s="12"/>
      <c r="G1" s="12"/>
      <c r="H1" s="12"/>
      <c r="I1" s="12"/>
      <c r="J1" s="12"/>
    </row>
    <row r="2" customFormat="false" ht="19.5" hidden="false" customHeight="true" outlineLevel="0" collapsed="false">
      <c r="A2" s="11" t="s">
        <v>176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4" customFormat="false" ht="30" hidden="false" customHeight="true" outlineLevel="0" collapsed="false">
      <c r="A4" s="14" t="s">
        <v>177</v>
      </c>
      <c r="B4" s="14" t="s">
        <v>178</v>
      </c>
      <c r="C4" s="14" t="s">
        <v>179</v>
      </c>
      <c r="D4" s="14" t="s">
        <v>180</v>
      </c>
      <c r="E4" s="14" t="s">
        <v>173</v>
      </c>
      <c r="F4" s="14" t="s">
        <v>181</v>
      </c>
      <c r="G4" s="14" t="s">
        <v>182</v>
      </c>
    </row>
    <row r="5" customFormat="false" ht="15" hidden="false" customHeight="false" outlineLevel="0" collapsed="false">
      <c r="A5" s="22" t="n">
        <v>46244</v>
      </c>
      <c r="B5" s="26" t="n">
        <f aca="false">IF($A5="","",$A5+HaftaUzunluk-1)</f>
        <v>46250</v>
      </c>
      <c r="C5" s="25" t="n">
        <f aca="false">IF($A5="","",SUMIFS(tblTakvim[],tblTakvim[],"&gt;="&amp;$A5,tblTakvim[],"&lt;="&amp;$B5,tblTakvim[],"TAHSİLAT",tblTakvim[],"BEKLEMEDE"))</f>
        <v>200000</v>
      </c>
      <c r="D5" s="25" t="n">
        <f aca="false">IF($A5="","",SUMIFS(tblTakvim[],tblTakvim[],"&gt;="&amp;$A5,tblTakvim[],"&lt;="&amp;$B5,tblTakvim[],"ÖDEME",tblTakvim[],"BEKLEMEDE"))</f>
        <v>230000</v>
      </c>
      <c r="E5" s="25" t="n">
        <f aca="false">IF($A5="","",$C5-$D5)</f>
        <v>-30000</v>
      </c>
      <c r="F5" s="25" t="n">
        <f aca="false">IF($A5="","",IF(ROW()=BaslangicSatir,KasaBaslangicBakiye,$G4))</f>
        <v>500000</v>
      </c>
      <c r="G5" s="25" t="n">
        <f aca="false">IF($A5="","",$F5+$E5)</f>
        <v>470000</v>
      </c>
    </row>
    <row r="6" customFormat="false" ht="15" hidden="false" customHeight="false" outlineLevel="0" collapsed="false">
      <c r="A6" s="22" t="n">
        <v>46251</v>
      </c>
      <c r="B6" s="26" t="n">
        <f aca="false">IF($A6="","",$A6+HaftaUzunluk-1)</f>
        <v>46257</v>
      </c>
      <c r="C6" s="25" t="n">
        <f aca="false">IF($A6="","",SUMIFS(tblTakvim[],tblTakvim[],"&gt;="&amp;$A6,tblTakvim[],"&lt;="&amp;$B6,tblTakvim[],"TAHSİLAT",tblTakvim[],"BEKLEMEDE"))</f>
        <v>0</v>
      </c>
      <c r="D6" s="25" t="n">
        <f aca="false">IF($A6="","",SUMIFS(tblTakvim[],tblTakvim[],"&gt;="&amp;$A6,tblTakvim[],"&lt;="&amp;$B6,tblTakvim[],"ÖDEME",tblTakvim[],"BEKLEMEDE"))</f>
        <v>180000</v>
      </c>
      <c r="E6" s="25" t="n">
        <f aca="false">IF($A6="","",$C6-$D6)</f>
        <v>-180000</v>
      </c>
      <c r="F6" s="25" t="n">
        <f aca="false">IF($A6="","",IF(ROW()=BaslangicSatir,KasaBaslangicBakiye,$G5))</f>
        <v>470000</v>
      </c>
      <c r="G6" s="25" t="n">
        <f aca="false">IF($A6="","",$F6+$E6)</f>
        <v>290000</v>
      </c>
    </row>
    <row r="7" customFormat="false" ht="15" hidden="false" customHeight="false" outlineLevel="0" collapsed="false">
      <c r="A7" s="22" t="n">
        <v>46258</v>
      </c>
      <c r="B7" s="26" t="n">
        <f aca="false">IF($A7="","",$A7+HaftaUzunluk-1)</f>
        <v>46264</v>
      </c>
      <c r="C7" s="25" t="n">
        <f aca="false">IF($A7="","",SUMIFS(tblTakvim[],tblTakvim[],"&gt;="&amp;$A7,tblTakvim[],"&lt;="&amp;$B7,tblTakvim[],"TAHSİLAT",tblTakvim[],"BEKLEMEDE"))</f>
        <v>150000</v>
      </c>
      <c r="D7" s="25" t="n">
        <f aca="false">IF($A7="","",SUMIFS(tblTakvim[],tblTakvim[],"&gt;="&amp;$A7,tblTakvim[],"&lt;="&amp;$B7,tblTakvim[],"ÖDEME",tblTakvim[],"BEKLEMEDE"))</f>
        <v>0</v>
      </c>
      <c r="E7" s="25" t="n">
        <f aca="false">IF($A7="","",$C7-$D7)</f>
        <v>150000</v>
      </c>
      <c r="F7" s="25" t="n">
        <f aca="false">IF($A7="","",IF(ROW()=BaslangicSatir,KasaBaslangicBakiye,$G6))</f>
        <v>290000</v>
      </c>
      <c r="G7" s="25" t="n">
        <f aca="false">IF($A7="","",$F7+$E7)</f>
        <v>440000</v>
      </c>
    </row>
    <row r="8" customFormat="false" ht="15" hidden="false" customHeight="false" outlineLevel="0" collapsed="false">
      <c r="A8" s="22" t="n">
        <v>46265</v>
      </c>
      <c r="B8" s="26" t="n">
        <f aca="false">IF($A8="","",$A8+HaftaUzunluk-1)</f>
        <v>46271</v>
      </c>
      <c r="C8" s="25" t="n">
        <f aca="false">IF($A8="","",SUMIFS(tblTakvim[],tblTakvim[],"&gt;="&amp;$A8,tblTakvim[],"&lt;="&amp;$B8,tblTakvim[],"TAHSİLAT",tblTakvim[],"BEKLEMEDE"))</f>
        <v>0</v>
      </c>
      <c r="D8" s="25" t="n">
        <f aca="false">IF($A8="","",SUMIFS(tblTakvim[],tblTakvim[],"&gt;="&amp;$A8,tblTakvim[],"&lt;="&amp;$B8,tblTakvim[],"ÖDEME",tblTakvim[],"BEKLEMEDE"))</f>
        <v>127000</v>
      </c>
      <c r="E8" s="25" t="n">
        <f aca="false">IF($A8="","",$C8-$D8)</f>
        <v>-127000</v>
      </c>
      <c r="F8" s="25" t="n">
        <f aca="false">IF($A8="","",IF(ROW()=BaslangicSatir,KasaBaslangicBakiye,$G7))</f>
        <v>440000</v>
      </c>
      <c r="G8" s="25" t="n">
        <f aca="false">IF($A8="","",$F8+$E8)</f>
        <v>313000</v>
      </c>
    </row>
    <row r="9" customFormat="false" ht="15" hidden="false" customHeight="false" outlineLevel="0" collapsed="false">
      <c r="A9" s="22" t="n">
        <v>46272</v>
      </c>
      <c r="B9" s="26" t="n">
        <f aca="false">IF($A9="","",$A9+HaftaUzunluk-1)</f>
        <v>46278</v>
      </c>
      <c r="C9" s="25" t="n">
        <f aca="false">IF($A9="","",SUMIFS(tblTakvim[],tblTakvim[],"&gt;="&amp;$A9,tblTakvim[],"&lt;="&amp;$B9,tblTakvim[],"TAHSİLAT",tblTakvim[],"BEKLEMEDE"))</f>
        <v>0</v>
      </c>
      <c r="D9" s="25" t="n">
        <f aca="false">IF($A9="","",SUMIFS(tblTakvim[],tblTakvim[],"&gt;="&amp;$A9,tblTakvim[],"&lt;="&amp;$B9,tblTakvim[],"ÖDEME",tblTakvim[],"BEKLEMEDE"))</f>
        <v>0</v>
      </c>
      <c r="E9" s="25" t="n">
        <f aca="false">IF($A9="","",$C9-$D9)</f>
        <v>0</v>
      </c>
      <c r="F9" s="25" t="n">
        <f aca="false">IF($A9="","",IF(ROW()=BaslangicSatir,KasaBaslangicBakiye,$G8))</f>
        <v>313000</v>
      </c>
      <c r="G9" s="25" t="n">
        <f aca="false">IF($A9="","",$F9+$E9)</f>
        <v>313000</v>
      </c>
    </row>
    <row r="10" customFormat="false" ht="15" hidden="false" customHeight="false" outlineLevel="0" collapsed="false">
      <c r="A10" s="22" t="n">
        <v>46279</v>
      </c>
      <c r="B10" s="26" t="n">
        <f aca="false">IF($A10="","",$A10+HaftaUzunluk-1)</f>
        <v>46285</v>
      </c>
      <c r="C10" s="25" t="n">
        <f aca="false">IF($A10="","",SUMIFS(tblTakvim[],tblTakvim[],"&gt;="&amp;$A10,tblTakvim[],"&lt;="&amp;$B10,tblTakvim[],"TAHSİLAT",tblTakvim[],"BEKLEMEDE"))</f>
        <v>0</v>
      </c>
      <c r="D10" s="25" t="n">
        <f aca="false">IF($A10="","",SUMIFS(tblTakvim[],tblTakvim[],"&gt;="&amp;$A10,tblTakvim[],"&lt;="&amp;$B10,tblTakvim[],"ÖDEME",tblTakvim[],"BEKLEMEDE"))</f>
        <v>0</v>
      </c>
      <c r="E10" s="25" t="n">
        <f aca="false">IF($A10="","",$C10-$D10)</f>
        <v>0</v>
      </c>
      <c r="F10" s="25" t="n">
        <f aca="false">IF($A10="","",IF(ROW()=BaslangicSatir,KasaBaslangicBakiye,$G9))</f>
        <v>313000</v>
      </c>
      <c r="G10" s="25" t="n">
        <f aca="false">IF($A10="","",$F10+$E10)</f>
        <v>313000</v>
      </c>
    </row>
    <row r="11" customFormat="false" ht="15" hidden="false" customHeight="false" outlineLevel="0" collapsed="false">
      <c r="A11" s="22" t="n">
        <v>46286</v>
      </c>
      <c r="B11" s="26" t="n">
        <f aca="false">IF($A11="","",$A11+HaftaUzunluk-1)</f>
        <v>46292</v>
      </c>
      <c r="C11" s="25" t="n">
        <f aca="false">IF($A11="","",SUMIFS(tblTakvim[],tblTakvim[],"&gt;="&amp;$A11,tblTakvim[],"&lt;="&amp;$B11,tblTakvim[],"TAHSİLAT",tblTakvim[],"BEKLEMEDE"))</f>
        <v>0</v>
      </c>
      <c r="D11" s="25" t="n">
        <f aca="false">IF($A11="","",SUMIFS(tblTakvim[],tblTakvim[],"&gt;="&amp;$A11,tblTakvim[],"&lt;="&amp;$B11,tblTakvim[],"ÖDEME",tblTakvim[],"BEKLEMEDE"))</f>
        <v>0</v>
      </c>
      <c r="E11" s="25" t="n">
        <f aca="false">IF($A11="","",$C11-$D11)</f>
        <v>0</v>
      </c>
      <c r="F11" s="25" t="n">
        <f aca="false">IF($A11="","",IF(ROW()=BaslangicSatir,KasaBaslangicBakiye,$G10))</f>
        <v>313000</v>
      </c>
      <c r="G11" s="25" t="n">
        <f aca="false">IF($A11="","",$F11+$E11)</f>
        <v>313000</v>
      </c>
    </row>
    <row r="12" customFormat="false" ht="15" hidden="false" customHeight="false" outlineLevel="0" collapsed="false">
      <c r="A12" s="22" t="n">
        <v>46293</v>
      </c>
      <c r="B12" s="26" t="n">
        <f aca="false">IF($A12="","",$A12+HaftaUzunluk-1)</f>
        <v>46299</v>
      </c>
      <c r="C12" s="25" t="n">
        <f aca="false">IF($A12="","",SUMIFS(tblTakvim[],tblTakvim[],"&gt;="&amp;$A12,tblTakvim[],"&lt;="&amp;$B12,tblTakvim[],"TAHSİLAT",tblTakvim[],"BEKLEMEDE"))</f>
        <v>0</v>
      </c>
      <c r="D12" s="25" t="n">
        <f aca="false">IF($A12="","",SUMIFS(tblTakvim[],tblTakvim[],"&gt;="&amp;$A12,tblTakvim[],"&lt;="&amp;$B12,tblTakvim[],"ÖDEME",tblTakvim[],"BEKLEMEDE"))</f>
        <v>0</v>
      </c>
      <c r="E12" s="25" t="n">
        <f aca="false">IF($A12="","",$C12-$D12)</f>
        <v>0</v>
      </c>
      <c r="F12" s="25" t="n">
        <f aca="false">IF($A12="","",IF(ROW()=BaslangicSatir,KasaBaslangicBakiye,$G11))</f>
        <v>313000</v>
      </c>
      <c r="G12" s="25" t="n">
        <f aca="false">IF($A12="","",$F12+$E12)</f>
        <v>313000</v>
      </c>
    </row>
    <row r="13" customFormat="false" ht="15" hidden="false" customHeight="false" outlineLevel="0" collapsed="false">
      <c r="A13" s="22" t="n">
        <v>46300</v>
      </c>
      <c r="B13" s="26" t="n">
        <f aca="false">IF($A13="","",$A13+HaftaUzunluk-1)</f>
        <v>46306</v>
      </c>
      <c r="C13" s="25" t="n">
        <f aca="false">IF($A13="","",SUMIFS(tblTakvim[],tblTakvim[],"&gt;="&amp;$A13,tblTakvim[],"&lt;="&amp;$B13,tblTakvim[],"TAHSİLAT",tblTakvim[],"BEKLEMEDE"))</f>
        <v>0</v>
      </c>
      <c r="D13" s="25" t="n">
        <f aca="false">IF($A13="","",SUMIFS(tblTakvim[],tblTakvim[],"&gt;="&amp;$A13,tblTakvim[],"&lt;="&amp;$B13,tblTakvim[],"ÖDEME",tblTakvim[],"BEKLEMEDE"))</f>
        <v>0</v>
      </c>
      <c r="E13" s="25" t="n">
        <f aca="false">IF($A13="","",$C13-$D13)</f>
        <v>0</v>
      </c>
      <c r="F13" s="25" t="n">
        <f aca="false">IF($A13="","",IF(ROW()=BaslangicSatir,KasaBaslangicBakiye,$G12))</f>
        <v>313000</v>
      </c>
      <c r="G13" s="25" t="n">
        <f aca="false">IF($A13="","",$F13+$E13)</f>
        <v>313000</v>
      </c>
    </row>
    <row r="14" customFormat="false" ht="15" hidden="false" customHeight="false" outlineLevel="0" collapsed="false">
      <c r="A14" s="22" t="n">
        <v>46307</v>
      </c>
      <c r="B14" s="26" t="n">
        <f aca="false">IF($A14="","",$A14+HaftaUzunluk-1)</f>
        <v>46313</v>
      </c>
      <c r="C14" s="25" t="n">
        <f aca="false">IF($A14="","",SUMIFS(tblTakvim[],tblTakvim[],"&gt;="&amp;$A14,tblTakvim[],"&lt;="&amp;$B14,tblTakvim[],"TAHSİLAT",tblTakvim[],"BEKLEMEDE"))</f>
        <v>0</v>
      </c>
      <c r="D14" s="25" t="n">
        <f aca="false">IF($A14="","",SUMIFS(tblTakvim[],tblTakvim[],"&gt;="&amp;$A14,tblTakvim[],"&lt;="&amp;$B14,tblTakvim[],"ÖDEME",tblTakvim[],"BEKLEMEDE"))</f>
        <v>0</v>
      </c>
      <c r="E14" s="25" t="n">
        <f aca="false">IF($A14="","",$C14-$D14)</f>
        <v>0</v>
      </c>
      <c r="F14" s="25" t="n">
        <f aca="false">IF($A14="","",IF(ROW()=BaslangicSatir,KasaBaslangicBakiye,$G13))</f>
        <v>313000</v>
      </c>
      <c r="G14" s="25" t="n">
        <f aca="false">IF($A14="","",$F14+$E14)</f>
        <v>313000</v>
      </c>
    </row>
    <row r="15" customFormat="false" ht="15" hidden="false" customHeight="false" outlineLevel="0" collapsed="false">
      <c r="A15" s="22" t="n">
        <v>46314</v>
      </c>
      <c r="B15" s="26" t="n">
        <f aca="false">IF($A15="","",$A15+HaftaUzunluk-1)</f>
        <v>46320</v>
      </c>
      <c r="C15" s="25" t="n">
        <f aca="false">IF($A15="","",SUMIFS(tblTakvim[],tblTakvim[],"&gt;="&amp;$A15,tblTakvim[],"&lt;="&amp;$B15,tblTakvim[],"TAHSİLAT",tblTakvim[],"BEKLEMEDE"))</f>
        <v>0</v>
      </c>
      <c r="D15" s="25" t="n">
        <f aca="false">IF($A15="","",SUMIFS(tblTakvim[],tblTakvim[],"&gt;="&amp;$A15,tblTakvim[],"&lt;="&amp;$B15,tblTakvim[],"ÖDEME",tblTakvim[],"BEKLEMEDE"))</f>
        <v>0</v>
      </c>
      <c r="E15" s="25" t="n">
        <f aca="false">IF($A15="","",$C15-$D15)</f>
        <v>0</v>
      </c>
      <c r="F15" s="25" t="n">
        <f aca="false">IF($A15="","",IF(ROW()=BaslangicSatir,KasaBaslangicBakiye,$G14))</f>
        <v>313000</v>
      </c>
      <c r="G15" s="25" t="n">
        <f aca="false">IF($A15="","",$F15+$E15)</f>
        <v>313000</v>
      </c>
    </row>
    <row r="16" customFormat="false" ht="15" hidden="false" customHeight="false" outlineLevel="0" collapsed="false">
      <c r="A16" s="22" t="n">
        <v>46321</v>
      </c>
      <c r="B16" s="26" t="n">
        <f aca="false">IF($A16="","",$A16+HaftaUzunluk-1)</f>
        <v>46327</v>
      </c>
      <c r="C16" s="25" t="n">
        <f aca="false">IF($A16="","",SUMIFS(tblTakvim[],tblTakvim[],"&gt;="&amp;$A16,tblTakvim[],"&lt;="&amp;$B16,tblTakvim[],"TAHSİLAT",tblTakvim[],"BEKLEMEDE"))</f>
        <v>0</v>
      </c>
      <c r="D16" s="25" t="n">
        <f aca="false">IF($A16="","",SUMIFS(tblTakvim[],tblTakvim[],"&gt;="&amp;$A16,tblTakvim[],"&lt;="&amp;$B16,tblTakvim[],"ÖDEME",tblTakvim[],"BEKLEMEDE"))</f>
        <v>0</v>
      </c>
      <c r="E16" s="25" t="n">
        <f aca="false">IF($A16="","",$C16-$D16)</f>
        <v>0</v>
      </c>
      <c r="F16" s="25" t="n">
        <f aca="false">IF($A16="","",IF(ROW()=BaslangicSatir,KasaBaslangicBakiye,$G15))</f>
        <v>313000</v>
      </c>
      <c r="G16" s="25" t="n">
        <f aca="false">IF($A16="","",$F16+$E16)</f>
        <v>313000</v>
      </c>
    </row>
    <row r="17" customFormat="false" ht="15" hidden="false" customHeight="false" outlineLevel="0" collapsed="false">
      <c r="A17" s="21"/>
      <c r="B17" s="26" t="str">
        <f aca="false">IF($A17="","",$A17+HaftaUzunluk-1)</f>
        <v/>
      </c>
      <c r="C17" s="25" t="str">
        <f aca="false">IF($A17="","",SUMIFS(tblTakvim[],tblTakvim[],"&gt;="&amp;$A17,tblTakvim[],"&lt;="&amp;$B17,tblTakvim[],"TAHSİLAT",tblTakvim[],"BEKLEMEDE"))</f>
        <v/>
      </c>
      <c r="D17" s="25" t="str">
        <f aca="false">IF($A17="","",SUMIFS(tblTakvim[],tblTakvim[],"&gt;="&amp;$A17,tblTakvim[],"&lt;="&amp;$B17,tblTakvim[],"ÖDEME",tblTakvim[],"BEKLEMEDE"))</f>
        <v/>
      </c>
      <c r="E17" s="25" t="str">
        <f aca="false">IF($A17="","",$C17-$D17)</f>
        <v/>
      </c>
      <c r="F17" s="25" t="str">
        <f aca="false">IF($A17="","",IF(ROW()=BaslangicSatir,KasaBaslangicBakiye,$G16))</f>
        <v/>
      </c>
      <c r="G17" s="25" t="str">
        <f aca="false">IF($A17="","",$F17+$E17)</f>
        <v/>
      </c>
    </row>
    <row r="18" customFormat="false" ht="15" hidden="false" customHeight="false" outlineLevel="0" collapsed="false">
      <c r="A18" s="21"/>
      <c r="B18" s="26" t="str">
        <f aca="false">IF($A18="","",$A18+HaftaUzunluk-1)</f>
        <v/>
      </c>
      <c r="C18" s="25" t="str">
        <f aca="false">IF($A18="","",SUMIFS(tblTakvim[],tblTakvim[],"&gt;="&amp;$A18,tblTakvim[],"&lt;="&amp;$B18,tblTakvim[],"TAHSİLAT",tblTakvim[],"BEKLEMEDE"))</f>
        <v/>
      </c>
      <c r="D18" s="25" t="str">
        <f aca="false">IF($A18="","",SUMIFS(tblTakvim[],tblTakvim[],"&gt;="&amp;$A18,tblTakvim[],"&lt;="&amp;$B18,tblTakvim[],"ÖDEME",tblTakvim[],"BEKLEMEDE"))</f>
        <v/>
      </c>
      <c r="E18" s="25" t="str">
        <f aca="false">IF($A18="","",$C18-$D18)</f>
        <v/>
      </c>
      <c r="F18" s="25" t="str">
        <f aca="false">IF($A18="","",IF(ROW()=BaslangicSatir,KasaBaslangicBakiye,$G17))</f>
        <v/>
      </c>
      <c r="G18" s="25" t="str">
        <f aca="false">IF($A18="","",$F18+$E18)</f>
        <v/>
      </c>
    </row>
    <row r="19" customFormat="false" ht="15" hidden="false" customHeight="false" outlineLevel="0" collapsed="false">
      <c r="A19" s="21"/>
      <c r="B19" s="26" t="str">
        <f aca="false">IF($A19="","",$A19+HaftaUzunluk-1)</f>
        <v/>
      </c>
      <c r="C19" s="25" t="str">
        <f aca="false">IF($A19="","",SUMIFS(tblTakvim[],tblTakvim[],"&gt;="&amp;$A19,tblTakvim[],"&lt;="&amp;$B19,tblTakvim[],"TAHSİLAT",tblTakvim[],"BEKLEMEDE"))</f>
        <v/>
      </c>
      <c r="D19" s="25" t="str">
        <f aca="false">IF($A19="","",SUMIFS(tblTakvim[],tblTakvim[],"&gt;="&amp;$A19,tblTakvim[],"&lt;="&amp;$B19,tblTakvim[],"ÖDEME",tblTakvim[],"BEKLEMEDE"))</f>
        <v/>
      </c>
      <c r="E19" s="25" t="str">
        <f aca="false">IF($A19="","",$C19-$D19)</f>
        <v/>
      </c>
      <c r="F19" s="25" t="str">
        <f aca="false">IF($A19="","",IF(ROW()=BaslangicSatir,KasaBaslangicBakiye,$G18))</f>
        <v/>
      </c>
      <c r="G19" s="25" t="str">
        <f aca="false">IF($A19="","",$F19+$E19)</f>
        <v/>
      </c>
    </row>
    <row r="20" customFormat="false" ht="15" hidden="false" customHeight="false" outlineLevel="0" collapsed="false">
      <c r="A20" s="21"/>
      <c r="B20" s="26" t="str">
        <f aca="false">IF($A20="","",$A20+HaftaUzunluk-1)</f>
        <v/>
      </c>
      <c r="C20" s="25" t="str">
        <f aca="false">IF($A20="","",SUMIFS(tblTakvim[],tblTakvim[],"&gt;="&amp;$A20,tblTakvim[],"&lt;="&amp;$B20,tblTakvim[],"TAHSİLAT",tblTakvim[],"BEKLEMEDE"))</f>
        <v/>
      </c>
      <c r="D20" s="25" t="str">
        <f aca="false">IF($A20="","",SUMIFS(tblTakvim[],tblTakvim[],"&gt;="&amp;$A20,tblTakvim[],"&lt;="&amp;$B20,tblTakvim[],"ÖDEME",tblTakvim[],"BEKLEMEDE"))</f>
        <v/>
      </c>
      <c r="E20" s="25" t="str">
        <f aca="false">IF($A20="","",$C20-$D20)</f>
        <v/>
      </c>
      <c r="F20" s="25" t="str">
        <f aca="false">IF($A20="","",IF(ROW()=BaslangicSatir,KasaBaslangicBakiye,$G19))</f>
        <v/>
      </c>
      <c r="G20" s="25" t="str">
        <f aca="false">IF($A20="","",$F20+$E20)</f>
        <v/>
      </c>
    </row>
    <row r="21" customFormat="false" ht="15" hidden="false" customHeight="false" outlineLevel="0" collapsed="false">
      <c r="A21" s="21"/>
      <c r="B21" s="26" t="str">
        <f aca="false">IF($A21="","",$A21+HaftaUzunluk-1)</f>
        <v/>
      </c>
      <c r="C21" s="25" t="str">
        <f aca="false">IF($A21="","",SUMIFS(tblTakvim[],tblTakvim[],"&gt;="&amp;$A21,tblTakvim[],"&lt;="&amp;$B21,tblTakvim[],"TAHSİLAT",tblTakvim[],"BEKLEMEDE"))</f>
        <v/>
      </c>
      <c r="D21" s="25" t="str">
        <f aca="false">IF($A21="","",SUMIFS(tblTakvim[],tblTakvim[],"&gt;="&amp;$A21,tblTakvim[],"&lt;="&amp;$B21,tblTakvim[],"ÖDEME",tblTakvim[],"BEKLEMEDE"))</f>
        <v/>
      </c>
      <c r="E21" s="25" t="str">
        <f aca="false">IF($A21="","",$C21-$D21)</f>
        <v/>
      </c>
      <c r="F21" s="25" t="str">
        <f aca="false">IF($A21="","",IF(ROW()=BaslangicSatir,KasaBaslangicBakiye,$G20))</f>
        <v/>
      </c>
      <c r="G21" s="25" t="str">
        <f aca="false">IF($A21="","",$F21+$E21)</f>
        <v/>
      </c>
    </row>
    <row r="22" customFormat="false" ht="15" hidden="false" customHeight="false" outlineLevel="0" collapsed="false">
      <c r="A22" s="21"/>
      <c r="B22" s="26" t="str">
        <f aca="false">IF($A22="","",$A22+HaftaUzunluk-1)</f>
        <v/>
      </c>
      <c r="C22" s="25" t="str">
        <f aca="false">IF($A22="","",SUMIFS(tblTakvim[],tblTakvim[],"&gt;="&amp;$A22,tblTakvim[],"&lt;="&amp;$B22,tblTakvim[],"TAHSİLAT",tblTakvim[],"BEKLEMEDE"))</f>
        <v/>
      </c>
      <c r="D22" s="25" t="str">
        <f aca="false">IF($A22="","",SUMIFS(tblTakvim[],tblTakvim[],"&gt;="&amp;$A22,tblTakvim[],"&lt;="&amp;$B22,tblTakvim[],"ÖDEME",tblTakvim[],"BEKLEMEDE"))</f>
        <v/>
      </c>
      <c r="E22" s="25" t="str">
        <f aca="false">IF($A22="","",$C22-$D22)</f>
        <v/>
      </c>
      <c r="F22" s="25" t="str">
        <f aca="false">IF($A22="","",IF(ROW()=BaslangicSatir,KasaBaslangicBakiye,$G21))</f>
        <v/>
      </c>
      <c r="G22" s="25" t="str">
        <f aca="false">IF($A22="","",$F22+$E22)</f>
        <v/>
      </c>
    </row>
    <row r="23" customFormat="false" ht="15" hidden="false" customHeight="false" outlineLevel="0" collapsed="false">
      <c r="A23" s="21"/>
      <c r="B23" s="26" t="str">
        <f aca="false">IF($A23="","",$A23+HaftaUzunluk-1)</f>
        <v/>
      </c>
      <c r="C23" s="25" t="str">
        <f aca="false">IF($A23="","",SUMIFS(tblTakvim[],tblTakvim[],"&gt;="&amp;$A23,tblTakvim[],"&lt;="&amp;$B23,tblTakvim[],"TAHSİLAT",tblTakvim[],"BEKLEMEDE"))</f>
        <v/>
      </c>
      <c r="D23" s="25" t="str">
        <f aca="false">IF($A23="","",SUMIFS(tblTakvim[],tblTakvim[],"&gt;="&amp;$A23,tblTakvim[],"&lt;="&amp;$B23,tblTakvim[],"ÖDEME",tblTakvim[],"BEKLEMEDE"))</f>
        <v/>
      </c>
      <c r="E23" s="25" t="str">
        <f aca="false">IF($A23="","",$C23-$D23)</f>
        <v/>
      </c>
      <c r="F23" s="25" t="str">
        <f aca="false">IF($A23="","",IF(ROW()=BaslangicSatir,KasaBaslangicBakiye,$G22))</f>
        <v/>
      </c>
      <c r="G23" s="25" t="str">
        <f aca="false">IF($A23="","",$F23+$E23)</f>
        <v/>
      </c>
    </row>
    <row r="24" customFormat="false" ht="15" hidden="false" customHeight="false" outlineLevel="0" collapsed="false">
      <c r="A24" s="21"/>
      <c r="B24" s="26" t="str">
        <f aca="false">IF($A24="","",$A24+HaftaUzunluk-1)</f>
        <v/>
      </c>
      <c r="C24" s="25" t="str">
        <f aca="false">IF($A24="","",SUMIFS(tblTakvim[],tblTakvim[],"&gt;="&amp;$A24,tblTakvim[],"&lt;="&amp;$B24,tblTakvim[],"TAHSİLAT",tblTakvim[],"BEKLEMEDE"))</f>
        <v/>
      </c>
      <c r="D24" s="25" t="str">
        <f aca="false">IF($A24="","",SUMIFS(tblTakvim[],tblTakvim[],"&gt;="&amp;$A24,tblTakvim[],"&lt;="&amp;$B24,tblTakvim[],"ÖDEME",tblTakvim[],"BEKLEMEDE"))</f>
        <v/>
      </c>
      <c r="E24" s="25" t="str">
        <f aca="false">IF($A24="","",$C24-$D24)</f>
        <v/>
      </c>
      <c r="F24" s="25" t="str">
        <f aca="false">IF($A24="","",IF(ROW()=BaslangicSatir,KasaBaslangicBakiye,$G23))</f>
        <v/>
      </c>
      <c r="G24" s="25" t="str">
        <f aca="false">IF($A24="","",$F24+$E24)</f>
        <v/>
      </c>
    </row>
    <row r="25" customFormat="false" ht="15" hidden="false" customHeight="false" outlineLevel="0" collapsed="false">
      <c r="A25" s="21"/>
      <c r="B25" s="26" t="str">
        <f aca="false">IF($A25="","",$A25+HaftaUzunluk-1)</f>
        <v/>
      </c>
      <c r="C25" s="25" t="str">
        <f aca="false">IF($A25="","",SUMIFS(tblTakvim[],tblTakvim[],"&gt;="&amp;$A25,tblTakvim[],"&lt;="&amp;$B25,tblTakvim[],"TAHSİLAT",tblTakvim[],"BEKLEMEDE"))</f>
        <v/>
      </c>
      <c r="D25" s="25" t="str">
        <f aca="false">IF($A25="","",SUMIFS(tblTakvim[],tblTakvim[],"&gt;="&amp;$A25,tblTakvim[],"&lt;="&amp;$B25,tblTakvim[],"ÖDEME",tblTakvim[],"BEKLEMEDE"))</f>
        <v/>
      </c>
      <c r="E25" s="25" t="str">
        <f aca="false">IF($A25="","",$C25-$D25)</f>
        <v/>
      </c>
      <c r="F25" s="25" t="str">
        <f aca="false">IF($A25="","",IF(ROW()=BaslangicSatir,KasaBaslangicBakiye,$G24))</f>
        <v/>
      </c>
      <c r="G25" s="25" t="str">
        <f aca="false">IF($A25="","",$F25+$E25)</f>
        <v/>
      </c>
    </row>
    <row r="26" customFormat="false" ht="15" hidden="false" customHeight="false" outlineLevel="0" collapsed="false">
      <c r="A26" s="21"/>
      <c r="B26" s="26" t="str">
        <f aca="false">IF($A26="","",$A26+HaftaUzunluk-1)</f>
        <v/>
      </c>
      <c r="C26" s="25" t="str">
        <f aca="false">IF($A26="","",SUMIFS(tblTakvim[],tblTakvim[],"&gt;="&amp;$A26,tblTakvim[],"&lt;="&amp;$B26,tblTakvim[],"TAHSİLAT",tblTakvim[],"BEKLEMEDE"))</f>
        <v/>
      </c>
      <c r="D26" s="25" t="str">
        <f aca="false">IF($A26="","",SUMIFS(tblTakvim[],tblTakvim[],"&gt;="&amp;$A26,tblTakvim[],"&lt;="&amp;$B26,tblTakvim[],"ÖDEME",tblTakvim[],"BEKLEMEDE"))</f>
        <v/>
      </c>
      <c r="E26" s="25" t="str">
        <f aca="false">IF($A26="","",$C26-$D26)</f>
        <v/>
      </c>
      <c r="F26" s="25" t="str">
        <f aca="false">IF($A26="","",IF(ROW()=BaslangicSatir,KasaBaslangicBakiye,$G25))</f>
        <v/>
      </c>
      <c r="G26" s="25" t="str">
        <f aca="false">IF($A26="","",$F26+$E26)</f>
        <v/>
      </c>
    </row>
    <row r="27" customFormat="false" ht="15" hidden="false" customHeight="false" outlineLevel="0" collapsed="false">
      <c r="A27" s="21"/>
      <c r="B27" s="26" t="str">
        <f aca="false">IF($A27="","",$A27+HaftaUzunluk-1)</f>
        <v/>
      </c>
      <c r="C27" s="25" t="str">
        <f aca="false">IF($A27="","",SUMIFS(tblTakvim[],tblTakvim[],"&gt;="&amp;$A27,tblTakvim[],"&lt;="&amp;$B27,tblTakvim[],"TAHSİLAT",tblTakvim[],"BEKLEMEDE"))</f>
        <v/>
      </c>
      <c r="D27" s="25" t="str">
        <f aca="false">IF($A27="","",SUMIFS(tblTakvim[],tblTakvim[],"&gt;="&amp;$A27,tblTakvim[],"&lt;="&amp;$B27,tblTakvim[],"ÖDEME",tblTakvim[],"BEKLEMEDE"))</f>
        <v/>
      </c>
      <c r="E27" s="25" t="str">
        <f aca="false">IF($A27="","",$C27-$D27)</f>
        <v/>
      </c>
      <c r="F27" s="25" t="str">
        <f aca="false">IF($A27="","",IF(ROW()=BaslangicSatir,KasaBaslangicBakiye,$G26))</f>
        <v/>
      </c>
      <c r="G27" s="25" t="str">
        <f aca="false">IF($A27="","",$F27+$E27)</f>
        <v/>
      </c>
    </row>
    <row r="28" customFormat="false" ht="15" hidden="false" customHeight="false" outlineLevel="0" collapsed="false">
      <c r="A28" s="21"/>
      <c r="B28" s="26" t="str">
        <f aca="false">IF($A28="","",$A28+HaftaUzunluk-1)</f>
        <v/>
      </c>
      <c r="C28" s="25" t="str">
        <f aca="false">IF($A28="","",SUMIFS(tblTakvim[],tblTakvim[],"&gt;="&amp;$A28,tblTakvim[],"&lt;="&amp;$B28,tblTakvim[],"TAHSİLAT",tblTakvim[],"BEKLEMEDE"))</f>
        <v/>
      </c>
      <c r="D28" s="25" t="str">
        <f aca="false">IF($A28="","",SUMIFS(tblTakvim[],tblTakvim[],"&gt;="&amp;$A28,tblTakvim[],"&lt;="&amp;$B28,tblTakvim[],"ÖDEME",tblTakvim[],"BEKLEMEDE"))</f>
        <v/>
      </c>
      <c r="E28" s="25" t="str">
        <f aca="false">IF($A28="","",$C28-$D28)</f>
        <v/>
      </c>
      <c r="F28" s="25" t="str">
        <f aca="false">IF($A28="","",IF(ROW()=BaslangicSatir,KasaBaslangicBakiye,$G27))</f>
        <v/>
      </c>
      <c r="G28" s="25" t="str">
        <f aca="false">IF($A28="","",$F28+$E28)</f>
        <v/>
      </c>
    </row>
    <row r="29" customFormat="false" ht="15" hidden="false" customHeight="false" outlineLevel="0" collapsed="false">
      <c r="A29" s="21"/>
      <c r="B29" s="26" t="str">
        <f aca="false">IF($A29="","",$A29+HaftaUzunluk-1)</f>
        <v/>
      </c>
      <c r="C29" s="25" t="str">
        <f aca="false">IF($A29="","",SUMIFS(tblTakvim[],tblTakvim[],"&gt;="&amp;$A29,tblTakvim[],"&lt;="&amp;$B29,tblTakvim[],"TAHSİLAT",tblTakvim[],"BEKLEMEDE"))</f>
        <v/>
      </c>
      <c r="D29" s="25" t="str">
        <f aca="false">IF($A29="","",SUMIFS(tblTakvim[],tblTakvim[],"&gt;="&amp;$A29,tblTakvim[],"&lt;="&amp;$B29,tblTakvim[],"ÖDEME",tblTakvim[],"BEKLEMEDE"))</f>
        <v/>
      </c>
      <c r="E29" s="25" t="str">
        <f aca="false">IF($A29="","",$C29-$D29)</f>
        <v/>
      </c>
      <c r="F29" s="25" t="str">
        <f aca="false">IF($A29="","",IF(ROW()=BaslangicSatir,KasaBaslangicBakiye,$G28))</f>
        <v/>
      </c>
      <c r="G29" s="25" t="str">
        <f aca="false">IF($A29="","",$F29+$E29)</f>
        <v/>
      </c>
    </row>
    <row r="30" customFormat="false" ht="15" hidden="false" customHeight="false" outlineLevel="0" collapsed="false">
      <c r="A30" s="21"/>
      <c r="B30" s="26" t="str">
        <f aca="false">IF($A30="","",$A30+HaftaUzunluk-1)</f>
        <v/>
      </c>
      <c r="C30" s="25" t="str">
        <f aca="false">IF($A30="","",SUMIFS(tblTakvim[],tblTakvim[],"&gt;="&amp;$A30,tblTakvim[],"&lt;="&amp;$B30,tblTakvim[],"TAHSİLAT",tblTakvim[],"BEKLEMEDE"))</f>
        <v/>
      </c>
      <c r="D30" s="25" t="str">
        <f aca="false">IF($A30="","",SUMIFS(tblTakvim[],tblTakvim[],"&gt;="&amp;$A30,tblTakvim[],"&lt;="&amp;$B30,tblTakvim[],"ÖDEME",tblTakvim[],"BEKLEMEDE"))</f>
        <v/>
      </c>
      <c r="E30" s="25" t="str">
        <f aca="false">IF($A30="","",$C30-$D30)</f>
        <v/>
      </c>
      <c r="F30" s="25" t="str">
        <f aca="false">IF($A30="","",IF(ROW()=BaslangicSatir,KasaBaslangicBakiye,$G29))</f>
        <v/>
      </c>
      <c r="G30" s="25" t="str">
        <f aca="false">IF($A30="","",$F30+$E30)</f>
        <v/>
      </c>
    </row>
    <row r="31" customFormat="false" ht="15" hidden="false" customHeight="false" outlineLevel="0" collapsed="false">
      <c r="A31" s="21"/>
    </row>
    <row r="32" customFormat="false" ht="15" hidden="false" customHeight="false" outlineLevel="0" collapsed="false">
      <c r="A32" s="21"/>
    </row>
    <row r="33" customFormat="false" ht="15" hidden="false" customHeight="false" outlineLevel="0" collapsed="false">
      <c r="A33" s="21"/>
    </row>
    <row r="34" customFormat="false" ht="15" hidden="false" customHeight="false" outlineLevel="0" collapsed="false">
      <c r="A34" s="21"/>
    </row>
    <row r="35" customFormat="false" ht="15" hidden="false" customHeight="false" outlineLevel="0" collapsed="false">
      <c r="A35" s="21"/>
    </row>
    <row r="36" customFormat="false" ht="15" hidden="false" customHeight="false" outlineLevel="0" collapsed="false">
      <c r="A36" s="21"/>
    </row>
    <row r="37" customFormat="false" ht="15" hidden="false" customHeight="false" outlineLevel="0" collapsed="false">
      <c r="A37" s="21"/>
    </row>
    <row r="38" customFormat="false" ht="15" hidden="false" customHeight="false" outlineLevel="0" collapsed="false">
      <c r="A38" s="21"/>
    </row>
    <row r="39" customFormat="false" ht="15" hidden="false" customHeight="false" outlineLevel="0" collapsed="false">
      <c r="A39" s="21"/>
    </row>
    <row r="40" customFormat="false" ht="15" hidden="false" customHeight="false" outlineLevel="0" collapsed="false">
      <c r="A40" s="21"/>
    </row>
    <row r="41" customFormat="false" ht="15" hidden="false" customHeight="false" outlineLevel="0" collapsed="false">
      <c r="A41" s="21"/>
    </row>
    <row r="42" customFormat="false" ht="15" hidden="false" customHeight="false" outlineLevel="0" collapsed="false">
      <c r="A42" s="21"/>
    </row>
    <row r="43" customFormat="false" ht="15" hidden="false" customHeight="false" outlineLevel="0" collapsed="false">
      <c r="A43" s="21"/>
    </row>
    <row r="44" customFormat="false" ht="15" hidden="false" customHeight="false" outlineLevel="0" collapsed="false">
      <c r="A44" s="21"/>
    </row>
    <row r="45" customFormat="false" ht="15" hidden="false" customHeight="false" outlineLevel="0" collapsed="false">
      <c r="A45" s="21"/>
    </row>
    <row r="46" customFormat="false" ht="15" hidden="false" customHeight="false" outlineLevel="0" collapsed="false">
      <c r="A46" s="21"/>
    </row>
    <row r="47" customFormat="false" ht="15" hidden="false" customHeight="false" outlineLevel="0" collapsed="false">
      <c r="A47" s="21"/>
    </row>
    <row r="48" customFormat="false" ht="15" hidden="false" customHeight="false" outlineLevel="0" collapsed="false">
      <c r="A48" s="21"/>
    </row>
    <row r="49" customFormat="false" ht="15" hidden="false" customHeight="false" outlineLevel="0" collapsed="false">
      <c r="A49" s="21"/>
    </row>
    <row r="50" customFormat="false" ht="15" hidden="false" customHeight="false" outlineLevel="0" collapsed="false">
      <c r="A50" s="21"/>
    </row>
    <row r="51" customFormat="false" ht="15" hidden="false" customHeight="false" outlineLevel="0" collapsed="false">
      <c r="A51" s="21"/>
    </row>
    <row r="52" customFormat="false" ht="15" hidden="false" customHeight="false" outlineLevel="0" collapsed="false">
      <c r="A52" s="21"/>
    </row>
    <row r="53" customFormat="false" ht="15" hidden="false" customHeight="false" outlineLevel="0" collapsed="false">
      <c r="A53" s="21"/>
    </row>
    <row r="54" customFormat="false" ht="15" hidden="false" customHeight="false" outlineLevel="0" collapsed="false">
      <c r="A54" s="21"/>
    </row>
    <row r="55" customFormat="false" ht="15" hidden="false" customHeight="false" outlineLevel="0" collapsed="false">
      <c r="A55" s="21"/>
    </row>
    <row r="56" customFormat="false" ht="15" hidden="false" customHeight="false" outlineLevel="0" collapsed="false">
      <c r="A56" s="21"/>
    </row>
    <row r="57" customFormat="false" ht="15" hidden="false" customHeight="false" outlineLevel="0" collapsed="false">
      <c r="A57" s="21"/>
    </row>
    <row r="58" customFormat="false" ht="15" hidden="false" customHeight="false" outlineLevel="0" collapsed="false">
      <c r="A58" s="21"/>
    </row>
    <row r="59" customFormat="false" ht="15" hidden="false" customHeight="false" outlineLevel="0" collapsed="false">
      <c r="A59" s="21"/>
    </row>
    <row r="60" customFormat="false" ht="15" hidden="false" customHeight="false" outlineLevel="0" collapsed="false">
      <c r="A60" s="21"/>
    </row>
    <row r="61" customFormat="false" ht="15" hidden="false" customHeight="false" outlineLevel="0" collapsed="false">
      <c r="A61" s="21"/>
    </row>
    <row r="62" customFormat="false" ht="15" hidden="false" customHeight="false" outlineLevel="0" collapsed="false">
      <c r="A62" s="21"/>
    </row>
    <row r="63" customFormat="false" ht="15" hidden="false" customHeight="false" outlineLevel="0" collapsed="false">
      <c r="A63" s="21"/>
    </row>
    <row r="64" customFormat="false" ht="15" hidden="false" customHeight="false" outlineLevel="0" collapsed="false">
      <c r="A64" s="21"/>
    </row>
    <row r="65" customFormat="false" ht="15" hidden="false" customHeight="false" outlineLevel="0" collapsed="false">
      <c r="A65" s="21"/>
    </row>
    <row r="66" customFormat="false" ht="15" hidden="false" customHeight="false" outlineLevel="0" collapsed="false">
      <c r="A66" s="21"/>
    </row>
    <row r="67" customFormat="false" ht="15" hidden="false" customHeight="false" outlineLevel="0" collapsed="false">
      <c r="A67" s="21"/>
    </row>
    <row r="68" customFormat="false" ht="15" hidden="false" customHeight="false" outlineLevel="0" collapsed="false">
      <c r="A68" s="21"/>
    </row>
    <row r="69" customFormat="false" ht="15" hidden="false" customHeight="false" outlineLevel="0" collapsed="false">
      <c r="A69" s="21"/>
    </row>
    <row r="70" customFormat="false" ht="15" hidden="false" customHeight="false" outlineLevel="0" collapsed="false">
      <c r="A70" s="21"/>
    </row>
    <row r="71" customFormat="false" ht="15" hidden="false" customHeight="false" outlineLevel="0" collapsed="false">
      <c r="A71" s="21"/>
    </row>
    <row r="72" customFormat="false" ht="15" hidden="false" customHeight="false" outlineLevel="0" collapsed="false">
      <c r="A72" s="21"/>
    </row>
    <row r="73" customFormat="false" ht="15" hidden="false" customHeight="false" outlineLevel="0" collapsed="false">
      <c r="A73" s="21"/>
    </row>
    <row r="74" customFormat="false" ht="15" hidden="false" customHeight="false" outlineLevel="0" collapsed="false">
      <c r="A74" s="21"/>
    </row>
    <row r="75" customFormat="false" ht="15" hidden="false" customHeight="false" outlineLevel="0" collapsed="false">
      <c r="A75" s="21"/>
    </row>
    <row r="76" customFormat="false" ht="15" hidden="false" customHeight="false" outlineLevel="0" collapsed="false">
      <c r="A76" s="21"/>
    </row>
    <row r="77" customFormat="false" ht="15" hidden="false" customHeight="false" outlineLevel="0" collapsed="false">
      <c r="A77" s="21"/>
    </row>
    <row r="78" customFormat="false" ht="15" hidden="false" customHeight="false" outlineLevel="0" collapsed="false">
      <c r="A78" s="21"/>
    </row>
    <row r="79" customFormat="false" ht="15" hidden="false" customHeight="false" outlineLevel="0" collapsed="false">
      <c r="A79" s="21"/>
    </row>
    <row r="80" customFormat="false" ht="15" hidden="false" customHeight="false" outlineLevel="0" collapsed="false">
      <c r="A80" s="21"/>
    </row>
    <row r="81" customFormat="false" ht="15" hidden="false" customHeight="false" outlineLevel="0" collapsed="false">
      <c r="A81" s="21"/>
    </row>
    <row r="82" customFormat="false" ht="15" hidden="false" customHeight="false" outlineLevel="0" collapsed="false">
      <c r="A82" s="21"/>
    </row>
    <row r="83" customFormat="false" ht="15" hidden="false" customHeight="false" outlineLevel="0" collapsed="false">
      <c r="A83" s="21"/>
    </row>
    <row r="84" customFormat="false" ht="15" hidden="false" customHeight="false" outlineLevel="0" collapsed="false">
      <c r="A84" s="21"/>
    </row>
    <row r="85" customFormat="false" ht="15" hidden="false" customHeight="false" outlineLevel="0" collapsed="false">
      <c r="A85" s="21"/>
    </row>
    <row r="86" customFormat="false" ht="15" hidden="false" customHeight="false" outlineLevel="0" collapsed="false">
      <c r="A86" s="21"/>
    </row>
    <row r="87" customFormat="false" ht="15" hidden="false" customHeight="false" outlineLevel="0" collapsed="false">
      <c r="A87" s="21"/>
    </row>
    <row r="88" customFormat="false" ht="15" hidden="false" customHeight="false" outlineLevel="0" collapsed="false">
      <c r="A88" s="21"/>
    </row>
    <row r="89" customFormat="false" ht="15" hidden="false" customHeight="false" outlineLevel="0" collapsed="false">
      <c r="A89" s="21"/>
    </row>
    <row r="90" customFormat="false" ht="15" hidden="false" customHeight="false" outlineLevel="0" collapsed="false">
      <c r="A90" s="21"/>
    </row>
    <row r="91" customFormat="false" ht="15" hidden="false" customHeight="false" outlineLevel="0" collapsed="false">
      <c r="A91" s="21"/>
    </row>
    <row r="92" customFormat="false" ht="15" hidden="false" customHeight="false" outlineLevel="0" collapsed="false">
      <c r="A92" s="21"/>
    </row>
    <row r="93" customFormat="false" ht="15" hidden="false" customHeight="false" outlineLevel="0" collapsed="false">
      <c r="A93" s="21"/>
    </row>
    <row r="94" customFormat="false" ht="15" hidden="false" customHeight="false" outlineLevel="0" collapsed="false">
      <c r="A94" s="21"/>
    </row>
    <row r="95" customFormat="false" ht="15" hidden="false" customHeight="false" outlineLevel="0" collapsed="false">
      <c r="A95" s="21"/>
    </row>
    <row r="96" customFormat="false" ht="15" hidden="false" customHeight="false" outlineLevel="0" collapsed="false">
      <c r="A96" s="21"/>
    </row>
    <row r="97" customFormat="false" ht="15" hidden="false" customHeight="false" outlineLevel="0" collapsed="false">
      <c r="A97" s="21"/>
    </row>
    <row r="98" customFormat="false" ht="15" hidden="false" customHeight="false" outlineLevel="0" collapsed="false">
      <c r="A98" s="21"/>
    </row>
    <row r="99" customFormat="false" ht="15" hidden="false" customHeight="false" outlineLevel="0" collapsed="false">
      <c r="A99" s="21"/>
    </row>
    <row r="100" customFormat="false" ht="15" hidden="false" customHeight="false" outlineLevel="0" collapsed="false">
      <c r="A100" s="21"/>
    </row>
    <row r="101" customFormat="false" ht="15" hidden="false" customHeight="false" outlineLevel="0" collapsed="false">
      <c r="A101" s="21"/>
    </row>
    <row r="102" customFormat="false" ht="15" hidden="false" customHeight="false" outlineLevel="0" collapsed="false">
      <c r="A102" s="21"/>
    </row>
    <row r="103" customFormat="false" ht="15" hidden="false" customHeight="false" outlineLevel="0" collapsed="false">
      <c r="A103" s="21"/>
    </row>
    <row r="104" customFormat="false" ht="15" hidden="false" customHeight="false" outlineLevel="0" collapsed="false">
      <c r="A104" s="21"/>
    </row>
    <row r="105" customFormat="false" ht="15" hidden="false" customHeight="false" outlineLevel="0" collapsed="false">
      <c r="A105" s="21"/>
    </row>
    <row r="106" customFormat="false" ht="15" hidden="false" customHeight="false" outlineLevel="0" collapsed="false">
      <c r="A106" s="21"/>
    </row>
    <row r="107" customFormat="false" ht="15" hidden="false" customHeight="false" outlineLevel="0" collapsed="false">
      <c r="A107" s="21"/>
    </row>
    <row r="108" customFormat="false" ht="15" hidden="false" customHeight="false" outlineLevel="0" collapsed="false">
      <c r="A108" s="21"/>
    </row>
    <row r="109" customFormat="false" ht="15" hidden="false" customHeight="false" outlineLevel="0" collapsed="false">
      <c r="A109" s="21"/>
    </row>
    <row r="110" customFormat="false" ht="15" hidden="false" customHeight="false" outlineLevel="0" collapsed="false">
      <c r="A110" s="21"/>
    </row>
    <row r="111" customFormat="false" ht="15" hidden="false" customHeight="false" outlineLevel="0" collapsed="false">
      <c r="A111" s="21"/>
    </row>
    <row r="112" customFormat="false" ht="15" hidden="false" customHeight="false" outlineLevel="0" collapsed="false">
      <c r="A112" s="21"/>
    </row>
    <row r="113" customFormat="false" ht="15" hidden="false" customHeight="false" outlineLevel="0" collapsed="false">
      <c r="A113" s="21"/>
    </row>
    <row r="114" customFormat="false" ht="15" hidden="false" customHeight="false" outlineLevel="0" collapsed="false">
      <c r="A114" s="21"/>
    </row>
    <row r="115" customFormat="false" ht="15" hidden="false" customHeight="false" outlineLevel="0" collapsed="false">
      <c r="A115" s="21"/>
    </row>
    <row r="116" customFormat="false" ht="15" hidden="false" customHeight="false" outlineLevel="0" collapsed="false">
      <c r="A116" s="21"/>
    </row>
    <row r="117" customFormat="false" ht="15" hidden="false" customHeight="false" outlineLevel="0" collapsed="false">
      <c r="A117" s="21"/>
    </row>
    <row r="118" customFormat="false" ht="15" hidden="false" customHeight="false" outlineLevel="0" collapsed="false">
      <c r="A118" s="21"/>
    </row>
    <row r="119" customFormat="false" ht="15" hidden="false" customHeight="false" outlineLevel="0" collapsed="false">
      <c r="A119" s="21"/>
    </row>
    <row r="120" customFormat="false" ht="15" hidden="false" customHeight="false" outlineLevel="0" collapsed="false">
      <c r="A120" s="21"/>
    </row>
    <row r="121" customFormat="false" ht="15" hidden="false" customHeight="false" outlineLevel="0" collapsed="false">
      <c r="A121" s="21"/>
    </row>
    <row r="122" customFormat="false" ht="15" hidden="false" customHeight="false" outlineLevel="0" collapsed="false">
      <c r="A122" s="21"/>
    </row>
    <row r="123" customFormat="false" ht="15" hidden="false" customHeight="false" outlineLevel="0" collapsed="false">
      <c r="A123" s="21"/>
    </row>
    <row r="124" customFormat="false" ht="15" hidden="false" customHeight="false" outlineLevel="0" collapsed="false">
      <c r="A124" s="21"/>
    </row>
    <row r="125" customFormat="false" ht="15" hidden="false" customHeight="false" outlineLevel="0" collapsed="false">
      <c r="A125" s="21"/>
    </row>
    <row r="126" customFormat="false" ht="15" hidden="false" customHeight="false" outlineLevel="0" collapsed="false">
      <c r="A126" s="21"/>
    </row>
    <row r="127" customFormat="false" ht="15" hidden="false" customHeight="false" outlineLevel="0" collapsed="false">
      <c r="A127" s="21"/>
    </row>
    <row r="128" customFormat="false" ht="15" hidden="false" customHeight="false" outlineLevel="0" collapsed="false">
      <c r="A128" s="21"/>
    </row>
    <row r="129" customFormat="false" ht="15" hidden="false" customHeight="false" outlineLevel="0" collapsed="false">
      <c r="A129" s="21"/>
    </row>
    <row r="130" customFormat="false" ht="15" hidden="false" customHeight="false" outlineLevel="0" collapsed="false">
      <c r="A130" s="21"/>
    </row>
    <row r="131" customFormat="false" ht="15" hidden="false" customHeight="false" outlineLevel="0" collapsed="false">
      <c r="A131" s="21"/>
    </row>
    <row r="132" customFormat="false" ht="15" hidden="false" customHeight="false" outlineLevel="0" collapsed="false">
      <c r="A132" s="21"/>
    </row>
    <row r="133" customFormat="false" ht="15" hidden="false" customHeight="false" outlineLevel="0" collapsed="false">
      <c r="A133" s="21"/>
    </row>
    <row r="134" customFormat="false" ht="15" hidden="false" customHeight="false" outlineLevel="0" collapsed="false">
      <c r="A134" s="21"/>
    </row>
    <row r="135" customFormat="false" ht="15" hidden="false" customHeight="false" outlineLevel="0" collapsed="false">
      <c r="A135" s="21"/>
    </row>
    <row r="136" customFormat="false" ht="15" hidden="false" customHeight="false" outlineLevel="0" collapsed="false">
      <c r="A136" s="21"/>
    </row>
    <row r="137" customFormat="false" ht="15" hidden="false" customHeight="false" outlineLevel="0" collapsed="false">
      <c r="A137" s="21"/>
    </row>
    <row r="138" customFormat="false" ht="15" hidden="false" customHeight="false" outlineLevel="0" collapsed="false">
      <c r="A138" s="21"/>
    </row>
    <row r="139" customFormat="false" ht="15" hidden="false" customHeight="false" outlineLevel="0" collapsed="false">
      <c r="A139" s="21"/>
    </row>
    <row r="140" customFormat="false" ht="15" hidden="false" customHeight="false" outlineLevel="0" collapsed="false">
      <c r="A140" s="21"/>
    </row>
    <row r="141" customFormat="false" ht="15" hidden="false" customHeight="false" outlineLevel="0" collapsed="false">
      <c r="A141" s="21"/>
    </row>
    <row r="142" customFormat="false" ht="15" hidden="false" customHeight="false" outlineLevel="0" collapsed="false">
      <c r="A142" s="21"/>
    </row>
    <row r="143" customFormat="false" ht="15" hidden="false" customHeight="false" outlineLevel="0" collapsed="false">
      <c r="A143" s="21"/>
    </row>
    <row r="144" customFormat="false" ht="15" hidden="false" customHeight="false" outlineLevel="0" collapsed="false">
      <c r="A144" s="21"/>
    </row>
    <row r="145" customFormat="false" ht="15" hidden="false" customHeight="false" outlineLevel="0" collapsed="false">
      <c r="A145" s="21"/>
    </row>
    <row r="146" customFormat="false" ht="15" hidden="false" customHeight="false" outlineLevel="0" collapsed="false">
      <c r="A146" s="21"/>
    </row>
    <row r="147" customFormat="false" ht="15" hidden="false" customHeight="false" outlineLevel="0" collapsed="false">
      <c r="A147" s="21"/>
    </row>
    <row r="148" customFormat="false" ht="15" hidden="false" customHeight="false" outlineLevel="0" collapsed="false">
      <c r="A148" s="21"/>
    </row>
    <row r="149" customFormat="false" ht="15" hidden="false" customHeight="false" outlineLevel="0" collapsed="false">
      <c r="A149" s="21"/>
    </row>
    <row r="150" customFormat="false" ht="15" hidden="false" customHeight="false" outlineLevel="0" collapsed="false">
      <c r="A150" s="21"/>
    </row>
    <row r="151" customFormat="false" ht="15" hidden="false" customHeight="false" outlineLevel="0" collapsed="false">
      <c r="A151" s="21"/>
    </row>
    <row r="152" customFormat="false" ht="15" hidden="false" customHeight="false" outlineLevel="0" collapsed="false">
      <c r="A152" s="21"/>
    </row>
    <row r="153" customFormat="false" ht="15" hidden="false" customHeight="false" outlineLevel="0" collapsed="false">
      <c r="A153" s="21"/>
    </row>
    <row r="154" customFormat="false" ht="15" hidden="false" customHeight="false" outlineLevel="0" collapsed="false">
      <c r="A154" s="21"/>
    </row>
    <row r="155" customFormat="false" ht="15" hidden="false" customHeight="false" outlineLevel="0" collapsed="false">
      <c r="A155" s="21"/>
    </row>
    <row r="156" customFormat="false" ht="15" hidden="false" customHeight="false" outlineLevel="0" collapsed="false">
      <c r="A156" s="21"/>
    </row>
    <row r="157" customFormat="false" ht="15" hidden="false" customHeight="false" outlineLevel="0" collapsed="false">
      <c r="A157" s="21"/>
    </row>
    <row r="158" customFormat="false" ht="15" hidden="false" customHeight="false" outlineLevel="0" collapsed="false">
      <c r="A158" s="21"/>
    </row>
    <row r="159" customFormat="false" ht="15" hidden="false" customHeight="false" outlineLevel="0" collapsed="false">
      <c r="A159" s="21"/>
    </row>
    <row r="160" customFormat="false" ht="15" hidden="false" customHeight="false" outlineLevel="0" collapsed="false">
      <c r="A160" s="21"/>
    </row>
    <row r="161" customFormat="false" ht="15" hidden="false" customHeight="false" outlineLevel="0" collapsed="false">
      <c r="A161" s="21"/>
    </row>
    <row r="162" customFormat="false" ht="15" hidden="false" customHeight="false" outlineLevel="0" collapsed="false">
      <c r="A162" s="21"/>
    </row>
    <row r="163" customFormat="false" ht="15" hidden="false" customHeight="false" outlineLevel="0" collapsed="false">
      <c r="A163" s="21"/>
    </row>
    <row r="164" customFormat="false" ht="15" hidden="false" customHeight="false" outlineLevel="0" collapsed="false">
      <c r="A164" s="21"/>
    </row>
    <row r="165" customFormat="false" ht="15" hidden="false" customHeight="false" outlineLevel="0" collapsed="false">
      <c r="A165" s="21"/>
    </row>
    <row r="166" customFormat="false" ht="15" hidden="false" customHeight="false" outlineLevel="0" collapsed="false">
      <c r="A166" s="21"/>
    </row>
    <row r="167" customFormat="false" ht="15" hidden="false" customHeight="false" outlineLevel="0" collapsed="false">
      <c r="A167" s="21"/>
    </row>
    <row r="168" customFormat="false" ht="15" hidden="false" customHeight="false" outlineLevel="0" collapsed="false">
      <c r="A168" s="21"/>
    </row>
    <row r="169" customFormat="false" ht="15" hidden="false" customHeight="false" outlineLevel="0" collapsed="false">
      <c r="A169" s="21"/>
    </row>
    <row r="170" customFormat="false" ht="15" hidden="false" customHeight="false" outlineLevel="0" collapsed="false">
      <c r="A170" s="21"/>
    </row>
    <row r="171" customFormat="false" ht="15" hidden="false" customHeight="false" outlineLevel="0" collapsed="false">
      <c r="A171" s="21"/>
    </row>
    <row r="172" customFormat="false" ht="15" hidden="false" customHeight="false" outlineLevel="0" collapsed="false">
      <c r="A172" s="21"/>
    </row>
    <row r="173" customFormat="false" ht="15" hidden="false" customHeight="false" outlineLevel="0" collapsed="false">
      <c r="A173" s="21"/>
    </row>
    <row r="174" customFormat="false" ht="15" hidden="false" customHeight="false" outlineLevel="0" collapsed="false">
      <c r="A174" s="21"/>
    </row>
    <row r="175" customFormat="false" ht="15" hidden="false" customHeight="false" outlineLevel="0" collapsed="false">
      <c r="A175" s="21"/>
    </row>
    <row r="176" customFormat="false" ht="15" hidden="false" customHeight="false" outlineLevel="0" collapsed="false">
      <c r="A176" s="21"/>
    </row>
    <row r="177" customFormat="false" ht="15" hidden="false" customHeight="false" outlineLevel="0" collapsed="false">
      <c r="A177" s="21"/>
    </row>
    <row r="178" customFormat="false" ht="15" hidden="false" customHeight="false" outlineLevel="0" collapsed="false">
      <c r="A178" s="21"/>
    </row>
    <row r="179" customFormat="false" ht="15" hidden="false" customHeight="false" outlineLevel="0" collapsed="false">
      <c r="A179" s="21"/>
    </row>
    <row r="180" customFormat="false" ht="15" hidden="false" customHeight="false" outlineLevel="0" collapsed="false">
      <c r="A180" s="21"/>
    </row>
    <row r="181" customFormat="false" ht="15" hidden="false" customHeight="false" outlineLevel="0" collapsed="false">
      <c r="A181" s="21"/>
    </row>
    <row r="182" customFormat="false" ht="15" hidden="false" customHeight="false" outlineLevel="0" collapsed="false">
      <c r="A182" s="21"/>
    </row>
    <row r="183" customFormat="false" ht="15" hidden="false" customHeight="false" outlineLevel="0" collapsed="false">
      <c r="A183" s="21"/>
    </row>
    <row r="184" customFormat="false" ht="15" hidden="false" customHeight="false" outlineLevel="0" collapsed="false">
      <c r="A184" s="21"/>
    </row>
    <row r="185" customFormat="false" ht="15" hidden="false" customHeight="false" outlineLevel="0" collapsed="false">
      <c r="A185" s="21"/>
    </row>
    <row r="186" customFormat="false" ht="15" hidden="false" customHeight="false" outlineLevel="0" collapsed="false">
      <c r="A186" s="21"/>
    </row>
    <row r="187" customFormat="false" ht="15" hidden="false" customHeight="false" outlineLevel="0" collapsed="false">
      <c r="A187" s="21"/>
    </row>
    <row r="188" customFormat="false" ht="15" hidden="false" customHeight="false" outlineLevel="0" collapsed="false">
      <c r="A188" s="21"/>
    </row>
    <row r="189" customFormat="false" ht="15" hidden="false" customHeight="false" outlineLevel="0" collapsed="false">
      <c r="A189" s="21"/>
    </row>
    <row r="190" customFormat="false" ht="15" hidden="false" customHeight="false" outlineLevel="0" collapsed="false">
      <c r="A190" s="21"/>
    </row>
    <row r="191" customFormat="false" ht="15" hidden="false" customHeight="false" outlineLevel="0" collapsed="false">
      <c r="A191" s="21"/>
    </row>
    <row r="192" customFormat="false" ht="15" hidden="false" customHeight="false" outlineLevel="0" collapsed="false">
      <c r="A192" s="21"/>
    </row>
    <row r="193" customFormat="false" ht="15" hidden="false" customHeight="false" outlineLevel="0" collapsed="false">
      <c r="A193" s="21"/>
    </row>
    <row r="194" customFormat="false" ht="15" hidden="false" customHeight="false" outlineLevel="0" collapsed="false">
      <c r="A194" s="21"/>
    </row>
    <row r="195" customFormat="false" ht="15" hidden="false" customHeight="false" outlineLevel="0" collapsed="false">
      <c r="A195" s="21"/>
    </row>
    <row r="196" customFormat="false" ht="15" hidden="false" customHeight="false" outlineLevel="0" collapsed="false">
      <c r="A196" s="21"/>
    </row>
    <row r="197" customFormat="false" ht="15" hidden="false" customHeight="false" outlineLevel="0" collapsed="false">
      <c r="A197" s="21"/>
    </row>
    <row r="198" customFormat="false" ht="15" hidden="false" customHeight="false" outlineLevel="0" collapsed="false">
      <c r="A198" s="21"/>
    </row>
    <row r="199" customFormat="false" ht="15" hidden="false" customHeight="false" outlineLevel="0" collapsed="false">
      <c r="A199" s="21"/>
    </row>
    <row r="200" customFormat="false" ht="15" hidden="false" customHeight="false" outlineLevel="0" collapsed="false">
      <c r="A200" s="21"/>
    </row>
    <row r="201" customFormat="false" ht="15" hidden="false" customHeight="false" outlineLevel="0" collapsed="false">
      <c r="A201" s="21"/>
    </row>
    <row r="202" customFormat="false" ht="15" hidden="false" customHeight="false" outlineLevel="0" collapsed="false">
      <c r="A202" s="21"/>
    </row>
    <row r="203" customFormat="false" ht="15" hidden="false" customHeight="false" outlineLevel="0" collapsed="false">
      <c r="A203" s="21"/>
    </row>
    <row r="204" customFormat="false" ht="15" hidden="false" customHeight="false" outlineLevel="0" collapsed="false">
      <c r="A204" s="21"/>
    </row>
    <row r="205" customFormat="false" ht="15" hidden="false" customHeight="false" outlineLevel="0" collapsed="false">
      <c r="A205" s="21"/>
    </row>
    <row r="206" customFormat="false" ht="15" hidden="false" customHeight="false" outlineLevel="0" collapsed="false">
      <c r="A206" s="21"/>
    </row>
    <row r="207" customFormat="false" ht="15" hidden="false" customHeight="false" outlineLevel="0" collapsed="false">
      <c r="A207" s="21"/>
    </row>
    <row r="208" customFormat="false" ht="15" hidden="false" customHeight="false" outlineLevel="0" collapsed="false">
      <c r="A208" s="21"/>
    </row>
    <row r="209" customFormat="false" ht="15" hidden="false" customHeight="false" outlineLevel="0" collapsed="false">
      <c r="A209" s="21"/>
    </row>
    <row r="210" customFormat="false" ht="15" hidden="false" customHeight="false" outlineLevel="0" collapsed="false">
      <c r="A210" s="21"/>
    </row>
    <row r="211" customFormat="false" ht="15" hidden="false" customHeight="false" outlineLevel="0" collapsed="false">
      <c r="A211" s="21"/>
    </row>
    <row r="212" customFormat="false" ht="15" hidden="false" customHeight="false" outlineLevel="0" collapsed="false">
      <c r="A212" s="21"/>
    </row>
    <row r="213" customFormat="false" ht="15" hidden="false" customHeight="false" outlineLevel="0" collapsed="false">
      <c r="A213" s="21"/>
    </row>
    <row r="214" customFormat="false" ht="15" hidden="false" customHeight="false" outlineLevel="0" collapsed="false">
      <c r="A214" s="21"/>
    </row>
    <row r="215" customFormat="false" ht="15" hidden="false" customHeight="false" outlineLevel="0" collapsed="false">
      <c r="A215" s="21"/>
    </row>
    <row r="216" customFormat="false" ht="15" hidden="false" customHeight="false" outlineLevel="0" collapsed="false">
      <c r="A216" s="21"/>
    </row>
    <row r="217" customFormat="false" ht="15" hidden="false" customHeight="false" outlineLevel="0" collapsed="false">
      <c r="A217" s="21"/>
    </row>
    <row r="218" customFormat="false" ht="15" hidden="false" customHeight="false" outlineLevel="0" collapsed="false">
      <c r="A218" s="21"/>
    </row>
    <row r="219" customFormat="false" ht="15" hidden="false" customHeight="false" outlineLevel="0" collapsed="false">
      <c r="A219" s="21"/>
    </row>
    <row r="220" customFormat="false" ht="15" hidden="false" customHeight="false" outlineLevel="0" collapsed="false">
      <c r="A220" s="21"/>
    </row>
    <row r="221" customFormat="false" ht="15" hidden="false" customHeight="false" outlineLevel="0" collapsed="false">
      <c r="A221" s="21"/>
    </row>
    <row r="222" customFormat="false" ht="15" hidden="false" customHeight="false" outlineLevel="0" collapsed="false">
      <c r="A222" s="21"/>
    </row>
    <row r="223" customFormat="false" ht="15" hidden="false" customHeight="false" outlineLevel="0" collapsed="false">
      <c r="A223" s="21"/>
    </row>
    <row r="224" customFormat="false" ht="15" hidden="false" customHeight="false" outlineLevel="0" collapsed="false">
      <c r="A224" s="21"/>
    </row>
    <row r="225" customFormat="false" ht="15" hidden="false" customHeight="false" outlineLevel="0" collapsed="false">
      <c r="A225" s="21"/>
    </row>
    <row r="226" customFormat="false" ht="15" hidden="false" customHeight="false" outlineLevel="0" collapsed="false">
      <c r="A226" s="21"/>
    </row>
    <row r="227" customFormat="false" ht="15" hidden="false" customHeight="false" outlineLevel="0" collapsed="false">
      <c r="A227" s="21"/>
    </row>
    <row r="228" customFormat="false" ht="15" hidden="false" customHeight="false" outlineLevel="0" collapsed="false">
      <c r="A228" s="21"/>
    </row>
    <row r="229" customFormat="false" ht="15" hidden="false" customHeight="false" outlineLevel="0" collapsed="false">
      <c r="A229" s="21"/>
    </row>
    <row r="230" customFormat="false" ht="15" hidden="false" customHeight="false" outlineLevel="0" collapsed="false">
      <c r="A230" s="21"/>
    </row>
    <row r="231" customFormat="false" ht="15" hidden="false" customHeight="false" outlineLevel="0" collapsed="false">
      <c r="A231" s="21"/>
    </row>
    <row r="232" customFormat="false" ht="15" hidden="false" customHeight="false" outlineLevel="0" collapsed="false">
      <c r="A232" s="21"/>
    </row>
    <row r="233" customFormat="false" ht="15" hidden="false" customHeight="false" outlineLevel="0" collapsed="false">
      <c r="A233" s="21"/>
    </row>
    <row r="234" customFormat="false" ht="15" hidden="false" customHeight="false" outlineLevel="0" collapsed="false">
      <c r="A234" s="21"/>
    </row>
    <row r="235" customFormat="false" ht="15" hidden="false" customHeight="false" outlineLevel="0" collapsed="false">
      <c r="A235" s="21"/>
    </row>
    <row r="236" customFormat="false" ht="15" hidden="false" customHeight="false" outlineLevel="0" collapsed="false">
      <c r="A236" s="21"/>
    </row>
    <row r="237" customFormat="false" ht="15" hidden="false" customHeight="false" outlineLevel="0" collapsed="false">
      <c r="A237" s="21"/>
    </row>
    <row r="238" customFormat="false" ht="15" hidden="false" customHeight="false" outlineLevel="0" collapsed="false">
      <c r="A238" s="21"/>
    </row>
    <row r="239" customFormat="false" ht="15" hidden="false" customHeight="false" outlineLevel="0" collapsed="false">
      <c r="A239" s="21"/>
    </row>
    <row r="240" customFormat="false" ht="15" hidden="false" customHeight="false" outlineLevel="0" collapsed="false">
      <c r="A240" s="21"/>
    </row>
    <row r="241" customFormat="false" ht="15" hidden="false" customHeight="false" outlineLevel="0" collapsed="false">
      <c r="A241" s="21"/>
    </row>
    <row r="242" customFormat="false" ht="15" hidden="false" customHeight="false" outlineLevel="0" collapsed="false">
      <c r="A242" s="21"/>
    </row>
    <row r="243" customFormat="false" ht="15" hidden="false" customHeight="false" outlineLevel="0" collapsed="false">
      <c r="A243" s="21"/>
    </row>
    <row r="244" customFormat="false" ht="15" hidden="false" customHeight="false" outlineLevel="0" collapsed="false">
      <c r="A244" s="21"/>
    </row>
    <row r="245" customFormat="false" ht="15" hidden="false" customHeight="false" outlineLevel="0" collapsed="false">
      <c r="A245" s="21"/>
    </row>
    <row r="246" customFormat="false" ht="15" hidden="false" customHeight="false" outlineLevel="0" collapsed="false">
      <c r="A246" s="21"/>
    </row>
    <row r="247" customFormat="false" ht="15" hidden="false" customHeight="false" outlineLevel="0" collapsed="false">
      <c r="A247" s="21"/>
    </row>
    <row r="248" customFormat="false" ht="15" hidden="false" customHeight="false" outlineLevel="0" collapsed="false">
      <c r="A248" s="21"/>
    </row>
    <row r="249" customFormat="false" ht="15" hidden="false" customHeight="false" outlineLevel="0" collapsed="false">
      <c r="A249" s="21"/>
    </row>
    <row r="250" customFormat="false" ht="15" hidden="false" customHeight="false" outlineLevel="0" collapsed="false">
      <c r="A250" s="21"/>
    </row>
    <row r="251" customFormat="false" ht="15" hidden="false" customHeight="false" outlineLevel="0" collapsed="false">
      <c r="A251" s="21"/>
    </row>
    <row r="252" customFormat="false" ht="15" hidden="false" customHeight="false" outlineLevel="0" collapsed="false">
      <c r="A252" s="21"/>
    </row>
    <row r="253" customFormat="false" ht="15" hidden="false" customHeight="false" outlineLevel="0" collapsed="false">
      <c r="A253" s="21"/>
    </row>
    <row r="254" customFormat="false" ht="15" hidden="false" customHeight="false" outlineLevel="0" collapsed="false">
      <c r="A254" s="21"/>
    </row>
    <row r="255" customFormat="false" ht="15" hidden="false" customHeight="false" outlineLevel="0" collapsed="false">
      <c r="A255" s="21"/>
    </row>
    <row r="256" customFormat="false" ht="15" hidden="false" customHeight="false" outlineLevel="0" collapsed="false">
      <c r="A256" s="21"/>
    </row>
    <row r="257" customFormat="false" ht="15" hidden="false" customHeight="false" outlineLevel="0" collapsed="false">
      <c r="A257" s="21"/>
    </row>
    <row r="258" customFormat="false" ht="15" hidden="false" customHeight="false" outlineLevel="0" collapsed="false">
      <c r="A258" s="21"/>
    </row>
    <row r="259" customFormat="false" ht="15" hidden="false" customHeight="false" outlineLevel="0" collapsed="false">
      <c r="A259" s="21"/>
    </row>
    <row r="260" customFormat="false" ht="15" hidden="false" customHeight="false" outlineLevel="0" collapsed="false">
      <c r="A260" s="21"/>
    </row>
    <row r="261" customFormat="false" ht="15" hidden="false" customHeight="false" outlineLevel="0" collapsed="false">
      <c r="A261" s="21"/>
    </row>
    <row r="262" customFormat="false" ht="15" hidden="false" customHeight="false" outlineLevel="0" collapsed="false">
      <c r="A262" s="21"/>
    </row>
    <row r="263" customFormat="false" ht="15" hidden="false" customHeight="false" outlineLevel="0" collapsed="false">
      <c r="A263" s="21"/>
    </row>
    <row r="264" customFormat="false" ht="15" hidden="false" customHeight="false" outlineLevel="0" collapsed="false">
      <c r="A264" s="21"/>
    </row>
    <row r="265" customFormat="false" ht="15" hidden="false" customHeight="false" outlineLevel="0" collapsed="false">
      <c r="A265" s="21"/>
    </row>
    <row r="266" customFormat="false" ht="15" hidden="false" customHeight="false" outlineLevel="0" collapsed="false">
      <c r="A266" s="21"/>
    </row>
    <row r="267" customFormat="false" ht="15" hidden="false" customHeight="false" outlineLevel="0" collapsed="false">
      <c r="A267" s="21"/>
    </row>
    <row r="268" customFormat="false" ht="15" hidden="false" customHeight="false" outlineLevel="0" collapsed="false">
      <c r="A268" s="21"/>
    </row>
    <row r="269" customFormat="false" ht="15" hidden="false" customHeight="false" outlineLevel="0" collapsed="false">
      <c r="A269" s="21"/>
    </row>
    <row r="270" customFormat="false" ht="15" hidden="false" customHeight="false" outlineLevel="0" collapsed="false">
      <c r="A270" s="21"/>
    </row>
    <row r="271" customFormat="false" ht="15" hidden="false" customHeight="false" outlineLevel="0" collapsed="false">
      <c r="A271" s="21"/>
    </row>
    <row r="272" customFormat="false" ht="15" hidden="false" customHeight="false" outlineLevel="0" collapsed="false">
      <c r="A272" s="21"/>
    </row>
    <row r="273" customFormat="false" ht="15" hidden="false" customHeight="false" outlineLevel="0" collapsed="false">
      <c r="A273" s="21"/>
    </row>
    <row r="274" customFormat="false" ht="15" hidden="false" customHeight="false" outlineLevel="0" collapsed="false">
      <c r="A274" s="21"/>
    </row>
    <row r="275" customFormat="false" ht="15" hidden="false" customHeight="false" outlineLevel="0" collapsed="false">
      <c r="A275" s="21"/>
    </row>
    <row r="276" customFormat="false" ht="15" hidden="false" customHeight="false" outlineLevel="0" collapsed="false">
      <c r="A276" s="21"/>
    </row>
    <row r="277" customFormat="false" ht="15" hidden="false" customHeight="false" outlineLevel="0" collapsed="false">
      <c r="A277" s="21"/>
    </row>
    <row r="278" customFormat="false" ht="15" hidden="false" customHeight="false" outlineLevel="0" collapsed="false">
      <c r="A278" s="21"/>
    </row>
    <row r="279" customFormat="false" ht="15" hidden="false" customHeight="false" outlineLevel="0" collapsed="false">
      <c r="A279" s="21"/>
    </row>
    <row r="280" customFormat="false" ht="15" hidden="false" customHeight="false" outlineLevel="0" collapsed="false">
      <c r="A280" s="21"/>
    </row>
    <row r="281" customFormat="false" ht="15" hidden="false" customHeight="false" outlineLevel="0" collapsed="false">
      <c r="A281" s="21"/>
    </row>
    <row r="282" customFormat="false" ht="15" hidden="false" customHeight="false" outlineLevel="0" collapsed="false">
      <c r="A282" s="21"/>
    </row>
    <row r="283" customFormat="false" ht="15" hidden="false" customHeight="false" outlineLevel="0" collapsed="false">
      <c r="A283" s="21"/>
    </row>
    <row r="284" customFormat="false" ht="15" hidden="false" customHeight="false" outlineLevel="0" collapsed="false">
      <c r="A284" s="21"/>
    </row>
    <row r="285" customFormat="false" ht="15" hidden="false" customHeight="false" outlineLevel="0" collapsed="false">
      <c r="A285" s="21"/>
    </row>
    <row r="286" customFormat="false" ht="15" hidden="false" customHeight="false" outlineLevel="0" collapsed="false">
      <c r="A286" s="21"/>
    </row>
    <row r="287" customFormat="false" ht="15" hidden="false" customHeight="false" outlineLevel="0" collapsed="false">
      <c r="A287" s="21"/>
    </row>
    <row r="288" customFormat="false" ht="15" hidden="false" customHeight="false" outlineLevel="0" collapsed="false">
      <c r="A288" s="21"/>
    </row>
    <row r="289" customFormat="false" ht="15" hidden="false" customHeight="false" outlineLevel="0" collapsed="false">
      <c r="A289" s="21"/>
    </row>
    <row r="290" customFormat="false" ht="15" hidden="false" customHeight="false" outlineLevel="0" collapsed="false">
      <c r="A290" s="21"/>
    </row>
    <row r="291" customFormat="false" ht="15" hidden="false" customHeight="false" outlineLevel="0" collapsed="false">
      <c r="A291" s="21"/>
    </row>
    <row r="292" customFormat="false" ht="15" hidden="false" customHeight="false" outlineLevel="0" collapsed="false">
      <c r="A292" s="21"/>
    </row>
    <row r="293" customFormat="false" ht="15" hidden="false" customHeight="false" outlineLevel="0" collapsed="false">
      <c r="A293" s="21"/>
    </row>
    <row r="294" customFormat="false" ht="15" hidden="false" customHeight="false" outlineLevel="0" collapsed="false">
      <c r="A294" s="21"/>
    </row>
    <row r="295" customFormat="false" ht="15" hidden="false" customHeight="false" outlineLevel="0" collapsed="false">
      <c r="A295" s="21"/>
    </row>
    <row r="296" customFormat="false" ht="15" hidden="false" customHeight="false" outlineLevel="0" collapsed="false">
      <c r="A296" s="21"/>
    </row>
    <row r="297" customFormat="false" ht="15" hidden="false" customHeight="false" outlineLevel="0" collapsed="false">
      <c r="A297" s="21"/>
    </row>
    <row r="298" customFormat="false" ht="15" hidden="false" customHeight="false" outlineLevel="0" collapsed="false">
      <c r="A298" s="21"/>
    </row>
    <row r="299" customFormat="false" ht="15" hidden="false" customHeight="false" outlineLevel="0" collapsed="false">
      <c r="A299" s="21"/>
    </row>
    <row r="300" customFormat="false" ht="15" hidden="false" customHeight="false" outlineLevel="0" collapsed="false">
      <c r="A300" s="21"/>
    </row>
  </sheetData>
  <sheetProtection sheet="true" password="cc3d" objects="true" scenarios="true" deleteColumns="false" deleteRows="false"/>
  <mergeCells count="2">
    <mergeCell ref="A1:J1"/>
    <mergeCell ref="A2:AN2"/>
  </mergeCells>
  <conditionalFormatting sqref="C6:C804">
    <cfRule type="cellIs" priority="2" operator="lessThan" aboveAverage="0" equalAverage="0" bottom="0" percent="0" rank="0" text="" dxfId="5">
      <formula>0</formula>
    </cfRule>
    <cfRule type="cellIs" priority="3" operator="greaterThan" aboveAverage="0" equalAverage="0" bottom="0" percent="0" rank="0" text="" dxfId="6">
      <formula>0</formula>
    </cfRule>
  </conditionalFormatting>
  <conditionalFormatting sqref="D6:D804">
    <cfRule type="cellIs" priority="4" operator="lessThan" aboveAverage="0" equalAverage="0" bottom="0" percent="0" rank="0" text="" dxfId="8">
      <formula>0</formula>
    </cfRule>
  </conditionalFormatting>
  <conditionalFormatting sqref="E6:E804">
    <cfRule type="cellIs" priority="5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0"/>
    <col collapsed="false" customWidth="true" hidden="false" outlineLevel="0" max="3" min="3" style="0" width="90"/>
    <col collapsed="false" customWidth="true" hidden="false" outlineLevel="0" max="4" min="4" style="0" width="18"/>
  </cols>
  <sheetData>
    <row r="1" customFormat="false" ht="25.5" hidden="false" customHeight="true" outlineLevel="0" collapsed="false">
      <c r="A1" s="12" t="s">
        <v>183</v>
      </c>
      <c r="B1" s="12"/>
      <c r="C1" s="12"/>
      <c r="D1" s="12"/>
      <c r="E1" s="12"/>
      <c r="F1" s="12"/>
      <c r="G1" s="12"/>
      <c r="H1" s="12"/>
      <c r="I1" s="12"/>
      <c r="J1" s="12"/>
    </row>
    <row r="2" customFormat="false" ht="19.5" hidden="false" customHeight="true" outlineLevel="0" collapsed="false">
      <c r="A2" s="11" t="s">
        <v>184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4" customFormat="false" ht="15" hidden="false" customHeight="false" outlineLevel="0" collapsed="false">
      <c r="A4" s="27" t="s">
        <v>185</v>
      </c>
    </row>
    <row r="5" customFormat="false" ht="15" hidden="false" customHeight="false" outlineLevel="0" collapsed="false">
      <c r="A5" s="28" t="s">
        <v>186</v>
      </c>
      <c r="B5" s="29" t="n">
        <f aca="false">IFERROR(COUNTIFS(tblKasaHesap[],"AKTİF"),0)</f>
        <v>3</v>
      </c>
    </row>
    <row r="6" customFormat="false" ht="15" hidden="false" customHeight="false" outlineLevel="0" collapsed="false">
      <c r="A6" s="28" t="s">
        <v>187</v>
      </c>
      <c r="B6" s="25" t="n">
        <f aca="false">IFERROR(SUMIFS(tblKasaHesap[],tblKasaHesap[],"AKTİF"),0)</f>
        <v>1500000</v>
      </c>
    </row>
    <row r="7" customFormat="false" ht="15" hidden="false" customHeight="false" outlineLevel="0" collapsed="false">
      <c r="A7" s="28" t="s">
        <v>188</v>
      </c>
      <c r="B7" s="25" t="n">
        <f aca="false">IFERROR(SUMIFS(tblKasaHesap[],tblKasaHesap[],"AKTİF"),0)</f>
        <v>200000</v>
      </c>
    </row>
    <row r="8" customFormat="false" ht="15" hidden="false" customHeight="false" outlineLevel="0" collapsed="false">
      <c r="A8" s="28" t="s">
        <v>189</v>
      </c>
      <c r="B8" s="25" t="n">
        <f aca="false">IFERROR(SUMIFS(tblKasaHesap[],tblKasaHesap[],"AKTİF"),0)</f>
        <v>200000</v>
      </c>
    </row>
    <row r="9" customFormat="false" ht="15" hidden="false" customHeight="false" outlineLevel="0" collapsed="false">
      <c r="A9" s="28" t="s">
        <v>190</v>
      </c>
      <c r="B9" s="29" t="n">
        <f aca="false">IFERROR(COUNTA(tblKasaHareket[]),0)</f>
        <v>10</v>
      </c>
    </row>
    <row r="10" customFormat="false" ht="15" hidden="false" customHeight="false" outlineLevel="0" collapsed="false">
      <c r="A10" s="28" t="s">
        <v>171</v>
      </c>
      <c r="B10" s="25" t="n">
        <f aca="false">IFERROR(SUMIFS(tblKasaHareket[],tblKasaHareket[],"GİRİŞ"),0)</f>
        <v>345000</v>
      </c>
    </row>
    <row r="11" customFormat="false" ht="15" hidden="false" customHeight="false" outlineLevel="0" collapsed="false">
      <c r="A11" s="28" t="s">
        <v>172</v>
      </c>
      <c r="B11" s="25" t="n">
        <f aca="false">IFERROR(SUMIFS(tblKasaHareket[],tblKasaHareket[],"ÇIKIŞ"),0)</f>
        <v>577000</v>
      </c>
    </row>
    <row r="12" customFormat="false" ht="15" hidden="false" customHeight="false" outlineLevel="0" collapsed="false">
      <c r="A12" s="28" t="s">
        <v>141</v>
      </c>
      <c r="B12" s="25" t="n">
        <f aca="false">IFERROR(SUMIFS(tblTakvim[],tblTakvim[],"ÖDEME",tblTakvim[],"BEKLEMEDE"),0)</f>
        <v>537000</v>
      </c>
    </row>
    <row r="13" customFormat="false" ht="15" hidden="false" customHeight="false" outlineLevel="0" collapsed="false">
      <c r="A13" s="28" t="s">
        <v>191</v>
      </c>
      <c r="B13" s="25" t="n">
        <f aca="false">IFERROR(SUMIFS(tblTakvim[],tblTakvim[],"TAHSİLAT",tblTakvim[],"BEKLEMEDE"),0)</f>
        <v>350000</v>
      </c>
    </row>
    <row r="14" customFormat="false" ht="15" hidden="false" customHeight="false" outlineLevel="0" collapsed="false">
      <c r="A14" s="28" t="s">
        <v>192</v>
      </c>
      <c r="B14" s="25" t="n">
        <f aca="false">IFERROR(MAX(B6-B7-B8,0),0)</f>
        <v>1100000</v>
      </c>
    </row>
    <row r="15" customFormat="false" ht="15" hidden="false" customHeight="false" outlineLevel="0" collapsed="false">
      <c r="A15" s="28" t="s">
        <v>193</v>
      </c>
      <c r="B15" s="25" t="n">
        <f aca="false">IFERROR(B12-B14-B13,0)</f>
        <v>-913000</v>
      </c>
    </row>
    <row r="16" customFormat="false" ht="15" hidden="false" customHeight="false" outlineLevel="0" collapsed="false">
      <c r="A16" s="28" t="s">
        <v>194</v>
      </c>
      <c r="B16" s="25" t="n">
        <f aca="false">IFERROR(SUM(tblMutabakat[]),0)</f>
        <v>0</v>
      </c>
    </row>
    <row r="17" customFormat="false" ht="15" hidden="false" customHeight="false" outlineLevel="0" collapsed="false">
      <c r="A17" s="28" t="s">
        <v>195</v>
      </c>
      <c r="B17" s="25" t="n">
        <f aca="false">IFERROR(SUMIFS(tblTakvim[],tblTakvim[],"KRİTİK",tblTakvim[],"BEKLEMEDE",tblTakvim[],"ÖDEME"),0)</f>
        <v>260000</v>
      </c>
    </row>
    <row r="18" customFormat="false" ht="15" hidden="false" customHeight="false" outlineLevel="0" collapsed="false">
      <c r="A18" s="28" t="s">
        <v>196</v>
      </c>
      <c r="B18" s="29" t="n">
        <f aca="false">IFERROR(COUNTIF(tblTakvim[],"VADE GEÇTİ"),0)</f>
        <v>0</v>
      </c>
    </row>
    <row r="19" customFormat="false" ht="15" hidden="false" customHeight="false" outlineLevel="0" collapsed="false">
      <c r="A19" s="28" t="s">
        <v>197</v>
      </c>
      <c r="B19" s="29" t="n">
        <f aca="false">IFERROR(MAX(0,100-(B22+B23+B24+B25+B26)*HataAgirligi-B27*UyariAgirligi),0)</f>
        <v>100</v>
      </c>
    </row>
    <row r="20" customFormat="false" ht="15" hidden="false" customHeight="false" outlineLevel="0" collapsed="false">
      <c r="A20" s="28" t="s">
        <v>198</v>
      </c>
      <c r="B20" s="30" t="str">
        <f aca="false">IFERROR(IF(B19&gt;=VeriKaliteYuksek,"YÜKSEK",IF(B19&gt;=VeriKaliteOrta,"ORTA","DÜŞÜK")),"VERİ YETERSİZ")</f>
        <v>YÜKSEK</v>
      </c>
    </row>
    <row r="21" customFormat="false" ht="15" hidden="false" customHeight="false" outlineLevel="0" collapsed="false">
      <c r="A21" s="28" t="s">
        <v>199</v>
      </c>
      <c r="B21" s="25" t="n">
        <f aca="false">IFERROR(MIN(B12,MAX(B14,0)),0)</f>
        <v>537000</v>
      </c>
    </row>
    <row r="22" customFormat="false" ht="15" hidden="false" customHeight="false" outlineLevel="0" collapsed="false">
      <c r="A22" s="28" t="s">
        <v>200</v>
      </c>
      <c r="B22" s="29" t="n">
        <f aca="false">IFERROR(COUNTIF(tblKasaHareket[],"EKSİK"),0)</f>
        <v>0</v>
      </c>
    </row>
    <row r="23" customFormat="false" ht="15" hidden="false" customHeight="false" outlineLevel="0" collapsed="false">
      <c r="A23" s="28" t="s">
        <v>201</v>
      </c>
      <c r="B23" s="29" t="n">
        <f aca="false">IFERROR(COUNTIF(tblKasaHareket[],"MÜKERRER"),0)</f>
        <v>0</v>
      </c>
    </row>
    <row r="24" customFormat="false" ht="15" hidden="false" customHeight="false" outlineLevel="0" collapsed="false">
      <c r="A24" s="28" t="s">
        <v>202</v>
      </c>
      <c r="B24" s="29" t="n">
        <f aca="false">IFERROR(COUNTIF(tblKasaHareket[],"SIFIR/NEGATİF"),0)</f>
        <v>0</v>
      </c>
    </row>
    <row r="25" customFormat="false" ht="15" hidden="false" customHeight="false" outlineLevel="0" collapsed="false">
      <c r="A25" s="28" t="s">
        <v>203</v>
      </c>
      <c r="B25" s="29" t="n">
        <f aca="false">IFERROR(COUNTIF(tblKasaHareket[],"AŞIRI TUTAR"),0)</f>
        <v>0</v>
      </c>
    </row>
    <row r="26" customFormat="false" ht="15" hidden="false" customHeight="false" outlineLevel="0" collapsed="false">
      <c r="A26" s="28" t="s">
        <v>204</v>
      </c>
      <c r="B26" s="29" t="n">
        <f aca="false">IFERROR(COUNTIF(tblTakvim[],"VADE GEÇTİ"),0)</f>
        <v>0</v>
      </c>
    </row>
    <row r="27" customFormat="false" ht="15" hidden="false" customHeight="false" outlineLevel="0" collapsed="false">
      <c r="A27" s="28" t="s">
        <v>205</v>
      </c>
      <c r="B27" s="29" t="n">
        <f aca="false">IFERROR(COUNTIF(tblMutabakat[],"FARK VAR"),0)</f>
        <v>0</v>
      </c>
    </row>
    <row r="29" customFormat="false" ht="15" hidden="false" customHeight="false" outlineLevel="0" collapsed="false">
      <c r="A29" s="27" t="s">
        <v>206</v>
      </c>
    </row>
    <row r="30" customFormat="false" ht="15" hidden="false" customHeight="false" outlineLevel="0" collapsed="false">
      <c r="A30" s="28" t="s">
        <v>207</v>
      </c>
      <c r="B30" s="29" t="n">
        <f aca="false">IFERROR(COUNTIF(tblTakvim[],"VADE GEÇTİ"),0)</f>
        <v>0</v>
      </c>
    </row>
    <row r="31" customFormat="false" ht="15" hidden="false" customHeight="false" outlineLevel="0" collapsed="false">
      <c r="A31" s="28" t="s">
        <v>208</v>
      </c>
      <c r="B31" s="25" t="n">
        <f aca="false">IFERROR(SLOPE(tblGunlukOzet[Net (₺)],tblGunlukOzet[Tarih]),0)</f>
        <v>2558.33333333333</v>
      </c>
    </row>
    <row r="32" customFormat="false" ht="15" hidden="false" customHeight="false" outlineLevel="0" collapsed="false">
      <c r="A32" s="28" t="s">
        <v>209</v>
      </c>
      <c r="B32" s="31" t="n">
        <f aca="false">IFERROR(IF(B11=0,0,SUMIFS(tblKasaHareket[],tblKasaHareket[],"ÇIKIŞ",tblKasaHareket[],LISTELER!$B$4)/B11),0)</f>
        <v>0</v>
      </c>
    </row>
    <row r="33" customFormat="false" ht="15" hidden="false" customHeight="false" outlineLevel="0" collapsed="false">
      <c r="A33" s="28" t="s">
        <v>210</v>
      </c>
      <c r="B33" s="25" t="n">
        <f aca="false">IFERROR(AVERAGE(tblGunlukOzet[Net (₺)]),0)</f>
        <v>-39111.1111111111</v>
      </c>
    </row>
    <row r="34" customFormat="false" ht="15" hidden="false" customHeight="false" outlineLevel="0" collapsed="false">
      <c r="A34" s="28" t="s">
        <v>211</v>
      </c>
      <c r="B34" s="25" t="n">
        <f aca="false">IFERROR(SUM(tblMutabakat[]),0)</f>
        <v>0</v>
      </c>
    </row>
    <row r="35" customFormat="false" ht="15" hidden="false" customHeight="false" outlineLevel="0" collapsed="false">
      <c r="A35" s="28" t="s">
        <v>212</v>
      </c>
      <c r="B35" s="31" t="n">
        <f aca="false">IFERROR(IF(B12=0,0,(B14+B13)/B12),0)</f>
        <v>2.70018621973929</v>
      </c>
    </row>
    <row r="36" customFormat="false" ht="15" hidden="false" customHeight="false" outlineLevel="0" collapsed="false">
      <c r="A36" s="28" t="s">
        <v>213</v>
      </c>
      <c r="B36" s="31" t="n">
        <f aca="false">IFERROR(IF(B10=0,0,B11/MAX(B10,1)),0)</f>
        <v>1.67246376811594</v>
      </c>
    </row>
    <row r="37" customFormat="false" ht="15" hidden="false" customHeight="false" outlineLevel="0" collapsed="false">
      <c r="A37" s="28" t="s">
        <v>214</v>
      </c>
      <c r="B37" s="25" t="n">
        <f aca="false">IFERROR(ABS(SenaryoBazNakit-SenaryoKotumserNakit),0)</f>
        <v>100000</v>
      </c>
    </row>
    <row r="38" customFormat="false" ht="15" hidden="false" customHeight="false" outlineLevel="0" collapsed="false">
      <c r="A38" s="28" t="s">
        <v>215</v>
      </c>
      <c r="B38" s="25" t="n">
        <f aca="false">IFERROR(SenaryoIyimserNakit-SenaryoKotumserNakit,0)</f>
        <v>135000</v>
      </c>
    </row>
    <row r="39" customFormat="false" ht="15" hidden="false" customHeight="false" outlineLevel="0" collapsed="false">
      <c r="A39" s="28" t="s">
        <v>216</v>
      </c>
      <c r="B39" s="29" t="n">
        <f aca="false">IFERROR(IF(SUMIFS(tblKasaHesap[],tblKasaHesap[],"AKTİF")=0,0,SUMPRODUCT(IF(tblKasaHesap[]="AKTİF",tblKasaHesap[],0),IF(tblKasaHesap[]="AKTİF",tblKasaHesap[],0))/MAX(1,SUMIFS(tblKasaHesap[],tblKasaHesap[],"AKTİF")^2)),0)</f>
        <v>0.402222222222222</v>
      </c>
    </row>
    <row r="40" customFormat="false" ht="15" hidden="false" customHeight="false" outlineLevel="0" collapsed="false">
      <c r="A40" s="28" t="s">
        <v>217</v>
      </c>
      <c r="B40" s="29" t="n">
        <f aca="false">B19</f>
        <v>100</v>
      </c>
    </row>
    <row r="41" customFormat="false" ht="15" hidden="false" customHeight="false" outlineLevel="0" collapsed="false">
      <c r="A41" s="28" t="s">
        <v>218</v>
      </c>
      <c r="B41" s="25" t="n">
        <f aca="false">IFERROR(_xlfn.FORECAST.LINEAR(MAX(tblProjeksiyon[Hafta Başlangıcı]),tblProjeksiyon[Dönem Sonu Kasa (₺)],tblProjeksiyon[Hafta Başlangıcı]),0)</f>
        <v>304590.909090909</v>
      </c>
    </row>
    <row r="42" customFormat="false" ht="15" hidden="false" customHeight="false" outlineLevel="0" collapsed="false">
      <c r="A42" s="28" t="s">
        <v>219</v>
      </c>
      <c r="B42" s="25" t="n">
        <f aca="false">IFERROR(_xlfn.PERCENTILE.INC(tblProjeksiyon[Dönem Sonu Kasa (₺)],0.9),0)</f>
        <v>313000</v>
      </c>
    </row>
    <row r="43" customFormat="false" ht="15" hidden="false" customHeight="false" outlineLevel="0" collapsed="false">
      <c r="A43" s="28" t="s">
        <v>220</v>
      </c>
      <c r="B43" s="25" t="n">
        <f aca="false">IFERROR(MAX(0,B15),0)</f>
        <v>0</v>
      </c>
    </row>
    <row r="45" customFormat="false" ht="15" hidden="false" customHeight="false" outlineLevel="0" collapsed="false">
      <c r="A45" s="27" t="s">
        <v>221</v>
      </c>
    </row>
    <row r="46" customFormat="false" ht="15" hidden="false" customHeight="false" outlineLevel="0" collapsed="false">
      <c r="A46" s="28" t="s">
        <v>222</v>
      </c>
      <c r="B46" s="29" t="n">
        <f aca="false">modulT1VadeGecmis</f>
        <v>0</v>
      </c>
      <c r="C46" s="32" t="str">
        <f aca="false">_xlfn.TEXTJOIN(" | ",TRUE(),"T1: Vadesi geçmiş ödeme sayısı "&amp;modulT1VadeGecmis,IF(modulT1VadeGecmis&gt;0,"vade yönetimi riskli, gecikmiş ödemeleri önceliklendirin","vadesi geçmiş ödeme yok"))</f>
        <v>T1: Vadesi geçmiş ödeme sayısı 0 | vadesi geçmiş ödeme yok</v>
      </c>
    </row>
    <row r="47" customFormat="false" ht="15" hidden="false" customHeight="false" outlineLevel="0" collapsed="false">
      <c r="A47" s="28" t="s">
        <v>223</v>
      </c>
      <c r="B47" s="25" t="n">
        <f aca="false">modulT2NetEgim</f>
        <v>2558.33333333333</v>
      </c>
      <c r="C47" s="32" t="str">
        <f aca="false">_xlfn.TEXTJOIN(" | ",TRUE(),"T2: Net nakit eğimi "&amp;TEXT(modulT2NetEgim,"#,##0")&amp;" ₺/gün",IF(modulT2NetEgim&gt;0,"nakit akışı iyileşiyor","nakit akışı geriliyor"))</f>
        <v>T2: Net nakit eğimi 2.558 ₺/gün | nakit akışı iyileşiyor</v>
      </c>
    </row>
    <row r="48" customFormat="false" ht="15" hidden="false" customHeight="false" outlineLevel="0" collapsed="false">
      <c r="A48" s="28" t="s">
        <v>224</v>
      </c>
      <c r="B48" s="31" t="n">
        <f aca="false">modulT3ParetoPay</f>
        <v>0</v>
      </c>
      <c r="C48" s="32" t="str">
        <f aca="false">_xlfn.TEXTJOIN(" | ",TRUE(),"T3: En büyük çıkış kategorisinin payı %"&amp;TEXT(modulT3ParetoPay*100,"0")&amp;"",IF(modulT3ParetoPay&gt;0.4,"çıkışlar tek kategoride yoğun, dağılımı denetleyin","çıkış dağılımı dengeli"))</f>
        <v>T3: En büyük çıkış kategorisinin payı %0 | çıkış dağılımı dengeli</v>
      </c>
    </row>
    <row r="49" customFormat="false" ht="15" hidden="false" customHeight="false" outlineLevel="0" collapsed="false">
      <c r="A49" s="28" t="s">
        <v>225</v>
      </c>
      <c r="B49" s="25" t="n">
        <f aca="false">modulT4NetFark</f>
        <v>-39111.1111111111</v>
      </c>
      <c r="C49" s="32" t="str">
        <f aca="false">_xlfn.TEXTJOIN(" | ",TRUE(),"T4: Ortalama günlük net nakit "&amp;TEXT(modulT4NetFark,"#,##0")&amp;" ₺",IF(modulT4NetFark&lt;0,"günlük net akış negatif, nakit yapısını gözden geçirin","günlük net akış pozitif"))</f>
        <v>T4: Ortalama günlük net nakit -39.111 ₺ | günlük net akış negatif, nakit yapısını gözden geçirin</v>
      </c>
    </row>
    <row r="50" customFormat="false" ht="15" hidden="false" customHeight="false" outlineLevel="0" collapsed="false">
      <c r="A50" s="28" t="s">
        <v>226</v>
      </c>
      <c r="B50" s="25" t="n">
        <f aca="false">modulT5MutabakatFark</f>
        <v>0</v>
      </c>
      <c r="C50" s="32" t="str">
        <f aca="false">_xlfn.TEXTJOIN(" | ",TRUE(),"T5: Defter-sayım farkı "&amp;TEXT(modulT5MutabakatFark,"#,##0")&amp;" ₺",IF(ABS(modulT5MutabakatFark)&gt;MutabakatToleransi,"mutabakat farkı var, kök nedeni inceleyin","mutabakat uyumlu"))</f>
        <v>T5: Defter-sayım farkı 0 ₺ | mutabakat uyumlu</v>
      </c>
    </row>
    <row r="51" customFormat="false" ht="15" hidden="false" customHeight="false" outlineLevel="0" collapsed="false">
      <c r="A51" s="28" t="s">
        <v>227</v>
      </c>
      <c r="B51" s="31" t="n">
        <f aca="false">modulT6KapsamaOran</f>
        <v>2.70018621973929</v>
      </c>
      <c r="C51" s="32" t="str">
        <f aca="false">_xlfn.TEXTJOIN(" | ",TRUE(),"T6: Ödeme kapsama oranı %"&amp;TEXT(modulT6KapsamaOran*100,"0")&amp;"",IF(modulT6KapsamaOran&lt;1,"kaynaklar bekleyen ödemeyi karşılamıyor","kaynaklar ödemeyi karşılıyor"))</f>
        <v>T6: Ödeme kapsama oranı %270 | kaynaklar ödemeyi karşılıyor</v>
      </c>
    </row>
    <row r="52" customFormat="false" ht="15" hidden="false" customHeight="false" outlineLevel="0" collapsed="false">
      <c r="A52" s="28" t="s">
        <v>228</v>
      </c>
      <c r="B52" s="31" t="n">
        <f aca="false">modulO1AnomaliOran</f>
        <v>1.67246376811594</v>
      </c>
      <c r="C52" s="32" t="str">
        <f aca="false">_xlfn.TEXTJOIN(" | ",TRUE(),"O1: Çıkış/giriş dengesi %"&amp;TEXT(modulO1AnomaliOran*100,"0.0")&amp;"",IF(modulO1AnomaliOran&gt;1,"çıkışlar girişleri aşıyor, nakit erime riski","giriş-çıkış dengesi korunuyor"))</f>
        <v>O1: Çıkış/giriş dengesi %167 | çıkışlar girişleri aşıyor, nakit erime riski</v>
      </c>
    </row>
    <row r="53" customFormat="false" ht="15" hidden="false" customHeight="false" outlineLevel="0" collapsed="false">
      <c r="A53" s="28" t="s">
        <v>229</v>
      </c>
      <c r="B53" s="25" t="n">
        <f aca="false">modulO2TornadoZirve</f>
        <v>100000</v>
      </c>
      <c r="C53" s="32" t="str">
        <f aca="false">_xlfn.TEXTJOIN(" | ",TRUE(),"O2: Kötümser senaryo nakit etkisi "&amp;TEXT(modulO2TornadoZirve,"#,##0")&amp;" ₺",IF(modulO2TornadoZirve&gt;KritikRiskEsik,"kötümser senaryoda nakit açığı derinleşiyor","senaryo aralığı yönetilebilir"))</f>
        <v>O2: Kötümser senaryo nakit etkisi 100.000 ₺ | kötümser senaryoda nakit açığı derinleşiyor</v>
      </c>
    </row>
    <row r="54" customFormat="false" ht="15" hidden="false" customHeight="false" outlineLevel="0" collapsed="false">
      <c r="A54" s="28" t="s">
        <v>230</v>
      </c>
      <c r="B54" s="25" t="n">
        <f aca="false">modulO3SenaryoFark</f>
        <v>135000</v>
      </c>
      <c r="C54" s="32" t="str">
        <f aca="false">_xlfn.TEXTJOIN(" | ",TRUE(),"O3: İyimser-kötümser nakit farkı "&amp;TEXT(modulO3SenaryoFark,"#,##0")&amp;" ₺",IF(modulO3SenaryoFark&gt;KritikRiskEsik*2,"senaryo belirsizliği yüksek","senaryo aralığı kabul edilebilir"))</f>
        <v>O3: İyimser-kötümser nakit farkı 135.000 ₺ | senaryo belirsizliği yüksek</v>
      </c>
    </row>
    <row r="55" customFormat="false" ht="15" hidden="false" customHeight="false" outlineLevel="0" collapsed="false">
      <c r="A55" s="28" t="s">
        <v>231</v>
      </c>
      <c r="B55" s="29" t="n">
        <f aca="false">modulO6HesapHhi</f>
        <v>0.402222222222222</v>
      </c>
      <c r="C55" s="32" t="str">
        <f aca="false">_xlfn.TEXTJOIN(" | ",TRUE(),"O6: Hesap yoğunlaşma endeksi "&amp;TEXT(modulO6HesapHhi,"0.00")&amp;"",IF(modulO6HesapHhi&gt;0.5,"nakit tek hesapta yoğun, dağıtın","hesap dağılımı dengeli"))</f>
        <v>O6: Hesap yoğunlaşma endeksi 0,40 | hesap dağılımı dengeli</v>
      </c>
    </row>
    <row r="56" customFormat="false" ht="15" hidden="false" customHeight="false" outlineLevel="0" collapsed="false">
      <c r="A56" s="28" t="s">
        <v>232</v>
      </c>
      <c r="B56" s="29" t="n">
        <f aca="false">modulO8KaliteSkor</f>
        <v>100</v>
      </c>
      <c r="C56" s="32" t="str">
        <f aca="false">_xlfn.TEXTJOIN(" | ",TRUE(),"O8: Veri kalite skoru "&amp;TEXT(modulO8KaliteSkor,"0")&amp;"/100",IF(modulO8KaliteSkor&gt;=VeriKaliteYuksek,"girdi kalitesi yüksek","kalite düşük, girişleri tamamlayın"))</f>
        <v>O8: Veri kalite skoru 100/100 | girdi kalitesi yüksek</v>
      </c>
    </row>
    <row r="57" customFormat="false" ht="15" hidden="false" customHeight="false" outlineLevel="0" collapsed="false">
      <c r="A57" s="28" t="s">
        <v>233</v>
      </c>
      <c r="B57" s="25" t="n">
        <f aca="false">modulI1KasaTahmini</f>
        <v>304590.909090909</v>
      </c>
      <c r="C57" s="32" t="str">
        <f aca="false">_xlfn.TEXTJOIN(" | ",TRUE(),"I1: Projeksiyon sonunda beklenen kasa "&amp;TEXT(modulI1KasaTahmini,"#,##0")&amp;" ₺",IF(modulI1KasaTahmini&lt;KasaBaslangicBakiye*0.5,"projeksiyon kasa erimesi öngörüyor","projeksiyon kasa seviyesini koruyor"))</f>
        <v>I1: Projeksiyon sonunda beklenen kasa 304.591 ₺ | projeksiyon kasa seviyesini koruyor</v>
      </c>
    </row>
    <row r="58" customFormat="false" ht="15" hidden="false" customHeight="false" outlineLevel="0" collapsed="false">
      <c r="A58" s="28" t="s">
        <v>234</v>
      </c>
      <c r="B58" s="25" t="n">
        <f aca="false">modulI2KasaP90</f>
        <v>313000</v>
      </c>
      <c r="C58" s="32" t="str">
        <f aca="false">_xlfn.TEXTJOIN(" | ",TRUE(),"I2: Dönem sonu kasa P90 "&amp;TEXT(modulI2KasaP90,"#,##0")&amp;" ₺",IF(modulI2KasaP90&lt;AsgariNakitTamponu,"P90 senaryoda bile kasa tamponun altında","P90 senaryoda kasa tamponun üzerinde"))</f>
        <v>I2: Dönem sonu kasa P90 313.000 ₺ | P90 senaryoda kasa tamponun üzerinde</v>
      </c>
    </row>
    <row r="59" customFormat="false" ht="15" hidden="false" customHeight="false" outlineLevel="0" collapsed="false">
      <c r="A59" s="28" t="s">
        <v>235</v>
      </c>
      <c r="B59" s="25" t="n">
        <f aca="false">modulI7AcikKopru</f>
        <v>0</v>
      </c>
      <c r="C59" s="32" t="str">
        <f aca="false">_xlfn.TEXTJOIN(" | ",TRUE(),"I7: Nakit açığı köprüsü "&amp;TEXT(modulI7AcikKopru,"#,##0")&amp;" ₺",IF(modulI7AcikKopru&gt;0,"bekleyen ödemenin karşılanamayan kısmı var, tahsilatı hızlandırın","nakit açığı yok"))</f>
        <v>I7: Nakit açığı köprüsü 0 ₺ | nakit açığı yok</v>
      </c>
    </row>
    <row r="61" customFormat="false" ht="19.5" hidden="false" customHeight="true" outlineLevel="0" collapsed="false">
      <c r="A61" s="11" t="s">
        <v>236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</row>
  </sheetData>
  <sheetProtection sheet="true" password="cc3d" objects="true" scenarios="true" deleteColumns="false" deleteRows="false"/>
  <mergeCells count="3">
    <mergeCell ref="A1:J1"/>
    <mergeCell ref="A2:AN2"/>
    <mergeCell ref="A61:AN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4"/>
  </cols>
  <sheetData>
    <row r="1" customFormat="false" ht="25.5" hidden="false" customHeight="true" outlineLevel="0" collapsed="false">
      <c r="A1" s="12" t="s">
        <v>237</v>
      </c>
      <c r="B1" s="12"/>
      <c r="C1" s="12"/>
      <c r="D1" s="12"/>
      <c r="E1" s="12"/>
      <c r="F1" s="12"/>
      <c r="G1" s="12"/>
      <c r="H1" s="12"/>
      <c r="I1" s="12"/>
      <c r="J1" s="12"/>
    </row>
    <row r="2" customFormat="false" ht="19.5" hidden="false" customHeight="true" outlineLevel="0" collapsed="false">
      <c r="A2" s="11" t="s">
        <v>238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4" customFormat="false" ht="15" hidden="false" customHeight="false" outlineLevel="0" collapsed="false">
      <c r="A4" s="27" t="s">
        <v>239</v>
      </c>
    </row>
    <row r="5" customFormat="false" ht="15" hidden="false" customHeight="false" outlineLevel="0" collapsed="false">
      <c r="A5" s="28" t="s">
        <v>240</v>
      </c>
      <c r="B5" s="29" t="n">
        <f aca="false">COUNTA(tblKasaHareket[])</f>
        <v>10</v>
      </c>
    </row>
    <row r="6" customFormat="false" ht="15" hidden="false" customHeight="false" outlineLevel="0" collapsed="false">
      <c r="A6" s="28" t="s">
        <v>200</v>
      </c>
      <c r="B6" s="29" t="n">
        <f aca="false">COUNTIF(tblKasaHareket[],"EKSİK")</f>
        <v>0</v>
      </c>
    </row>
    <row r="7" customFormat="false" ht="15" hidden="false" customHeight="false" outlineLevel="0" collapsed="false">
      <c r="A7" s="28" t="s">
        <v>201</v>
      </c>
      <c r="B7" s="29" t="n">
        <f aca="false">COUNTIF(tblKasaHareket[],"MÜKERRER")</f>
        <v>0</v>
      </c>
    </row>
    <row r="8" customFormat="false" ht="15" hidden="false" customHeight="false" outlineLevel="0" collapsed="false">
      <c r="A8" s="28" t="s">
        <v>202</v>
      </c>
      <c r="B8" s="29" t="n">
        <f aca="false">COUNTIF(tblKasaHareket[],"SIFIR/NEGATİF")</f>
        <v>0</v>
      </c>
    </row>
    <row r="9" customFormat="false" ht="15" hidden="false" customHeight="false" outlineLevel="0" collapsed="false">
      <c r="A9" s="28" t="s">
        <v>203</v>
      </c>
      <c r="B9" s="29" t="n">
        <f aca="false">COUNTIF(tblKasaHareket[],"AŞIRI TUTAR")</f>
        <v>0</v>
      </c>
    </row>
    <row r="10" customFormat="false" ht="15" hidden="false" customHeight="false" outlineLevel="0" collapsed="false">
      <c r="A10" s="28" t="s">
        <v>204</v>
      </c>
      <c r="B10" s="29" t="n">
        <f aca="false">COUNTIF(tblTakvim[],"VADE GEÇTİ")</f>
        <v>0</v>
      </c>
    </row>
    <row r="11" customFormat="false" ht="15" hidden="false" customHeight="false" outlineLevel="0" collapsed="false">
      <c r="A11" s="28" t="s">
        <v>205</v>
      </c>
      <c r="B11" s="29" t="n">
        <f aca="false">COUNTIF(tblMutabakat[],"FARK VAR")</f>
        <v>0</v>
      </c>
    </row>
    <row r="12" customFormat="false" ht="15" hidden="false" customHeight="false" outlineLevel="0" collapsed="false">
      <c r="A12" s="28" t="s">
        <v>241</v>
      </c>
      <c r="B12" s="29" t="n">
        <f aca="false">COUNTIFS(tblTakvim[],"BEKLEMEDE",tblTakvim[],"ÖDEME")</f>
        <v>5</v>
      </c>
    </row>
    <row r="14" customFormat="false" ht="15" hidden="false" customHeight="false" outlineLevel="0" collapsed="false">
      <c r="A14" s="27" t="s">
        <v>242</v>
      </c>
    </row>
    <row r="15" customFormat="false" ht="15" hidden="false" customHeight="false" outlineLevel="0" collapsed="false">
      <c r="A15" s="33" t="s">
        <v>243</v>
      </c>
      <c r="B15" s="34" t="n">
        <f aca="false">IF(KayitSayisi=0,0,MAX(100-(B6+B7+B8+B9+B10)*HataAgirligi-B11*UyariAgirligi,0))</f>
        <v>100</v>
      </c>
    </row>
    <row r="16" customFormat="false" ht="15" hidden="false" customHeight="false" outlineLevel="0" collapsed="false">
      <c r="A16" s="33" t="s">
        <v>198</v>
      </c>
      <c r="B16" s="35" t="str">
        <f aca="false">IF(KayitSayisi=0,"VERİ YETERSİZ",IF(B15&gt;=VeriKaliteYuksek,"YÜKSEK",IF(B15&gt;=VeriKaliteOrta,"ORTA","DÜŞÜK")))</f>
        <v>YÜKSEK</v>
      </c>
    </row>
    <row r="17" customFormat="false" ht="15" hidden="false" customHeight="false" outlineLevel="0" collapsed="false">
      <c r="A17" s="33" t="s">
        <v>244</v>
      </c>
      <c r="B17" s="35" t="str">
        <f aca="false">IF(KayitSayisi=0,"VERİ YETERSİZ",IF(B16="DÜŞÜK","DÜZELTME GEREKLİ",IF(B15&gt;=VeriKaliteYuksek,"SAĞLIKLI","İZLEME GEREKLİ")))</f>
        <v>SAĞLIKLI</v>
      </c>
    </row>
    <row r="18" customFormat="false" ht="15" hidden="false" customHeight="false" outlineLevel="0" collapsed="false">
      <c r="A18" s="33" t="s">
        <v>245</v>
      </c>
      <c r="B18" s="35" t="str">
        <f aca="false">IF(KayitSayisi=0,"VERİ YETERSİZ",KararBildirimi)</f>
        <v>UYGUN</v>
      </c>
    </row>
    <row r="19" customFormat="false" ht="15" hidden="false" customHeight="false" outlineLevel="0" collapsed="false">
      <c r="A19" s="33" t="s">
        <v>246</v>
      </c>
      <c r="B19" s="35" t="str">
        <f aca="false">IF(KayitSayisi=0,"VERİ YETERSİZ",IF(NakitAcik&gt;0,"NAKİT AÇIĞI VAR","RİSK YOK"))</f>
        <v>RİSK YOK</v>
      </c>
    </row>
    <row r="21" customFormat="false" ht="15" hidden="false" customHeight="false" outlineLevel="0" collapsed="false">
      <c r="A21" s="27" t="s">
        <v>247</v>
      </c>
    </row>
    <row r="22" customFormat="false" ht="15" hidden="false" customHeight="false" outlineLevel="0" collapsed="false">
      <c r="A22" s="33" t="s">
        <v>248</v>
      </c>
      <c r="B22" s="25" t="n">
        <f aca="false">IF(KayitSayisi=0,"VERİ YETERSİZ",IFERROR(ROUND(AVERAGEIFS(tblKasaHareket[],tblKasaHareket[],"ÇIKIŞ"),0),"VERİ YETERSİZ"))</f>
        <v>96167</v>
      </c>
    </row>
    <row r="23" customFormat="false" ht="15" hidden="false" customHeight="false" outlineLevel="0" collapsed="false">
      <c r="A23" s="33" t="s">
        <v>249</v>
      </c>
      <c r="B23" s="25" t="n">
        <f aca="false">IF(KayitSayisi=0,"VERİ YETERSİZ",IFERROR(_xlfn.MAXIFS(tblKasaHareket[],tblKasaHareket[],"ÇIKIŞ"),"VERİ YETERSİZ"))</f>
        <v>180000</v>
      </c>
    </row>
    <row r="24" customFormat="false" ht="15" hidden="false" customHeight="false" outlineLevel="0" collapsed="false">
      <c r="A24" s="33" t="s">
        <v>250</v>
      </c>
      <c r="B24" s="35" t="str">
        <f aca="false">IF(KayitSayisi=0,"VERİ YETERSİZ",IF(AND(ISNUMBER(B22),ISNUMBER(B23)),IF(B23&gt;B22*AnomaliKatsayisi,"ANOMALİ VAR","NORMAL"),"VERİ YETERSİZ"))</f>
        <v>NORMAL</v>
      </c>
    </row>
    <row r="26" customFormat="false" ht="43.25" hidden="false" customHeight="false" outlineLevel="0" collapsed="false">
      <c r="A26" s="36" t="s">
        <v>251</v>
      </c>
    </row>
  </sheetData>
  <sheetProtection sheet="true" password="cc3d" objects="true" scenarios="true" deleteColumns="false" deleteRows="false"/>
  <mergeCells count="2">
    <mergeCell ref="A1:J1"/>
    <mergeCell ref="A2:AN2"/>
  </mergeCells>
  <conditionalFormatting sqref="B28">
    <cfRule type="cellIs" priority="2" operator="lessThan" aboveAverage="0" equalAverage="0" bottom="0" percent="0" rank="0" text="" dxfId="5">
      <formula>50</formula>
    </cfRule>
    <cfRule type="cellIs" priority="3" operator="between" aboveAverage="0" equalAverage="0" bottom="0" percent="0" rank="0" text="" dxfId="9">
      <formula>50</formula>
      <formula>80</formula>
    </cfRule>
    <cfRule type="cellIs" priority="4" operator="greaterThanOrEqual" aboveAverage="0" equalAverage="0" bottom="0" percent="0" rank="0" text="" dxfId="6">
      <formula>80</formula>
    </cfRule>
  </conditionalFormatting>
  <conditionalFormatting sqref="B33">
    <cfRule type="cellIs" priority="5" operator="equal" aboveAverage="0" equalAverage="0" bottom="0" percent="0" rank="0" text="" dxfId="6">
      <formula>"SAĞLIKLI"</formula>
    </cfRule>
    <cfRule type="cellIs" priority="6" operator="equal" aboveAverage="0" equalAverage="0" bottom="0" percent="0" rank="0" text="" dxfId="9">
      <formula>"İZLEME GEREKLİ"</formula>
    </cfRule>
    <cfRule type="cellIs" priority="7" operator="equal" aboveAverage="0" equalAverage="0" bottom="0" percent="0" rank="0" text="" dxfId="8">
      <formula>"DÜZELTME GEREKLİ"</formula>
    </cfRule>
  </conditionalFormatting>
  <conditionalFormatting sqref="B34">
    <cfRule type="cellIs" priority="8" operator="equal" aboveAverage="0" equalAverage="0" bottom="0" percent="0" rank="0" text="" dxfId="6">
      <formula>"UYGUN"</formula>
    </cfRule>
    <cfRule type="cellIs" priority="9" operator="equal" aboveAverage="0" equalAverage="0" bottom="0" percent="0" rank="0" text="" dxfId="9">
      <formula>"İNCELE"</formula>
    </cfRule>
    <cfRule type="cellIs" priority="10" operator="equal" aboveAverage="0" equalAverage="0" bottom="0" percent="0" rank="0" text="" dxfId="5">
      <formula>"DURDUR"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60"/>
    <col collapsed="false" customWidth="true" hidden="false" outlineLevel="0" max="4" min="3" style="0" width="14"/>
  </cols>
  <sheetData>
    <row r="1" customFormat="false" ht="25.5" hidden="false" customHeight="true" outlineLevel="0" collapsed="false">
      <c r="A1" s="12" t="s">
        <v>252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customFormat="false" ht="19.5" hidden="false" customHeight="true" outlineLevel="0" collapsed="false">
      <c r="A2" s="11" t="s">
        <v>253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4" customFormat="false" ht="15" hidden="false" customHeight="false" outlineLevel="0" collapsed="false">
      <c r="A4" s="27" t="s">
        <v>254</v>
      </c>
    </row>
    <row r="5" customFormat="false" ht="15" hidden="false" customHeight="false" outlineLevel="0" collapsed="false">
      <c r="A5" s="33" t="s">
        <v>255</v>
      </c>
      <c r="B5" s="37" t="n">
        <f aca="false">IF(KayitSayisi=0,"VERİ YETERSİZ",SUMIFS(tblKasaHesap[],tblKasaHesap[],"AKTİF"))</f>
        <v>1500000</v>
      </c>
    </row>
    <row r="6" customFormat="false" ht="15" hidden="false" customHeight="false" outlineLevel="0" collapsed="false">
      <c r="A6" s="33" t="s">
        <v>256</v>
      </c>
      <c r="B6" s="25" t="n">
        <f aca="false">IF(KayitSayisi=0,"VERİ YETERSİZ",SUMIFS(tblKasaHesap[],tblKasaHesap[],"AKTİF"))</f>
        <v>200000</v>
      </c>
    </row>
    <row r="7" customFormat="false" ht="15" hidden="false" customHeight="false" outlineLevel="0" collapsed="false">
      <c r="A7" s="33" t="s">
        <v>257</v>
      </c>
      <c r="B7" s="25" t="n">
        <f aca="false">IF(KayitSayisi=0,"VERİ YETERSİZ",SUMIFS(tblKasaHesap[],tblKasaHesap[],"AKTİF"))</f>
        <v>200000</v>
      </c>
    </row>
    <row r="8" customFormat="false" ht="15" hidden="false" customHeight="false" outlineLevel="0" collapsed="false">
      <c r="A8" s="33" t="s">
        <v>258</v>
      </c>
      <c r="B8" s="38" t="n">
        <f aca="false">IF(KayitSayisi=0,"VERİ YETERSİZ",MAX(B5-B6-B7,0))</f>
        <v>1100000</v>
      </c>
    </row>
    <row r="9" customFormat="false" ht="15" hidden="false" customHeight="false" outlineLevel="0" collapsed="false">
      <c r="A9" s="33" t="s">
        <v>259</v>
      </c>
      <c r="B9" s="37" t="n">
        <f aca="false">IF(KayitSayisi=0,"VERİ YETERSİZ",B10-B8-B11)</f>
        <v>-913000</v>
      </c>
    </row>
    <row r="10" customFormat="false" ht="15" hidden="false" customHeight="false" outlineLevel="0" collapsed="false">
      <c r="A10" s="33" t="s">
        <v>260</v>
      </c>
      <c r="B10" s="25" t="n">
        <f aca="false">IF(KayitSayisi=0,"VERİ YETERSİZ",SUMIFS(tblTakvim[],tblTakvim[],"ÖDEME",tblTakvim[],"BEKLEMEDE"))</f>
        <v>537000</v>
      </c>
    </row>
    <row r="11" customFormat="false" ht="15" hidden="false" customHeight="false" outlineLevel="0" collapsed="false">
      <c r="A11" s="33" t="s">
        <v>191</v>
      </c>
      <c r="B11" s="25" t="n">
        <f aca="false">IF(KayitSayisi=0,"VERİ YETERSİZ",SUMIFS(tblTakvim[],tblTakvim[],"TAHSİLAT",tblTakvim[],"BEKLEMEDE"))</f>
        <v>350000</v>
      </c>
    </row>
    <row r="12" customFormat="false" ht="19.4" hidden="false" customHeight="false" outlineLevel="0" collapsed="false">
      <c r="A12" s="33" t="s">
        <v>261</v>
      </c>
      <c r="B12" s="39" t="str">
        <f aca="false">IF(KayitSayisi=0,"VERİ YETERSİZ",IF(B9&gt;0,"DURDUR",IF(B8&lt;AsgariNakitTamponu,"İNCELE","UYGUN")))</f>
        <v>UYGUN</v>
      </c>
    </row>
    <row r="13" customFormat="false" ht="15" hidden="false" customHeight="false" outlineLevel="0" collapsed="false">
      <c r="A13" s="33" t="s">
        <v>262</v>
      </c>
      <c r="B13" s="35" t="str">
        <f aca="false">IF(KayitSayisi=0,"VERİ YETERSİZ",IF(B9&gt;0,"KRİTİK",IF(B9&gt;-KritikRiskEsik,"YÜKSEK",IF(B8&lt;AsgariNakitTamponu,"ORTA","DÜŞÜK"))))</f>
        <v>DÜŞÜK</v>
      </c>
    </row>
    <row r="14" customFormat="false" ht="28.35" hidden="false" customHeight="false" outlineLevel="0" collapsed="false">
      <c r="A14" s="33" t="s">
        <v>263</v>
      </c>
      <c r="B14" s="40" t="str">
        <f aca="false">IF(KayitSayisi=0,"VERİ YETERSİZ",IF(B9&gt;0,"NAKİT AÇIĞI EŞİĞİ AŞILDI; DURDUR",IF(B8&lt;AsgariNakitTamponu,"KULLANILABİLİR PARA TAMPONUN ALTINDA; İNCELE","KAYNAKLAR BEKLEYEN YÜKÜMLÜLÜĞÜ KARŞILIYOR; UYGUN")))</f>
        <v>KAYNAKLAR BEKLEYEN YÜKÜMLÜLÜĞÜ KARŞILIYOR; UYGUN</v>
      </c>
    </row>
    <row r="16" customFormat="false" ht="15" hidden="false" customHeight="false" outlineLevel="0" collapsed="false">
      <c r="A16" s="27" t="s">
        <v>264</v>
      </c>
    </row>
    <row r="17" customFormat="false" ht="15" hidden="false" customHeight="false" outlineLevel="0" collapsed="false">
      <c r="A17" s="33" t="s">
        <v>265</v>
      </c>
      <c r="B17" s="37" t="n">
        <f aca="false">IF(KayitSayisi=0,"VERİ YETERSİZ",MIN(B10,MAX(B8,0)))</f>
        <v>537000</v>
      </c>
    </row>
    <row r="18" customFormat="false" ht="15" hidden="false" customHeight="false" outlineLevel="0" collapsed="false">
      <c r="A18" s="33" t="s">
        <v>266</v>
      </c>
      <c r="B18" s="25" t="n">
        <f aca="false">IF(KayitSayisi=0,"VERİ YETERSİZ",SUMIFS(tblTakvim[],tblTakvim[],"KRİTİK",tblTakvim[],"BEKLEMEDE",tblTakvim[],"ÖDEME"))</f>
        <v>260000</v>
      </c>
    </row>
    <row r="19" customFormat="false" ht="15" hidden="false" customHeight="false" outlineLevel="0" collapsed="false">
      <c r="A19" s="33" t="s">
        <v>267</v>
      </c>
      <c r="B19" s="26" t="n">
        <f aca="false">IF(KayitSayisi=0,"VERİ YETERSİZ",IFERROR(_xlfn.MINIFS(tblTakvim[],tblTakvim[],"KRİTİK",tblTakvim[],"BEKLEMEDE"),"-"))</f>
        <v>46244</v>
      </c>
    </row>
    <row r="21" customFormat="false" ht="15" hidden="false" customHeight="false" outlineLevel="0" collapsed="false">
      <c r="A21" s="27" t="s">
        <v>268</v>
      </c>
    </row>
    <row r="22" customFormat="false" ht="28.35" hidden="false" customHeight="false" outlineLevel="0" collapsed="false">
      <c r="A22" s="33" t="s">
        <v>269</v>
      </c>
      <c r="B22" s="40" t="str">
        <f aca="false">IF(KayitSayisi=0,"VERİ YETERSİZ",IF(B9&gt;0,"Nakit açığını kapatmak için tahsilatları öne çekin veya ödemeleri yeniden vadelendirin.",IF(B8&lt;AsgariNakitTamponu,"Kullanılabilir parayı asgari tamponun üzerine çıkarın; kredi/avans seçeneklerini değerlendirin.","Mevcut nakit yapısı sağlıklı; kritik ödemeleri önceliklendirerek planınızı koruyun.")))</f>
        <v>Mevcut nakit yapısı sağlıklı; kritik ödemeleri önceliklendirerek planınızı koruyun.</v>
      </c>
    </row>
    <row r="23" customFormat="false" ht="28.35" hidden="false" customHeight="false" outlineLevel="0" collapsed="false">
      <c r="A23" s="33" t="s">
        <v>270</v>
      </c>
      <c r="B23" s="40" t="str">
        <f aca="false">IF(KayitSayisi=0,"VERİ YETERSİZ",IF(B18&gt;0,"Kritik ödemeler toplamı "&amp;TEXT(B18,"#,##0")&amp;" ₺ — bu tutar için ödeme günü planı oluşturun.","Öncelikli ödeme grubunuz yok; yükümlülük takvimini gözden geçirin."))</f>
        <v>Kritik ödemeler toplamı 260.000 ₺ — bu tutar için ödeme günü planı oluşturun.</v>
      </c>
    </row>
    <row r="24" customFormat="false" ht="28.35" hidden="false" customHeight="false" outlineLevel="0" collapsed="false">
      <c r="A24" s="33" t="s">
        <v>271</v>
      </c>
      <c r="B24" s="40" t="str">
        <f aca="false">IF(KayitSayisi=0,"VERİ YETERSİZ",IF(B6&gt;0,"Bloke tutarların ("&amp;TEXT(B6,"#,##0")&amp;" ₺) serbest kalma tarihlerini takip edin.","Bloke tutar bulunmuyor; kullanılabilir para doğrudan yönetilebilir."))</f>
        <v>Bloke tutarların (200.000 ₺) serbest kalma tarihlerini takip edin.</v>
      </c>
    </row>
    <row r="26" customFormat="false" ht="15" hidden="false" customHeight="false" outlineLevel="0" collapsed="false">
      <c r="A26" s="27" t="s">
        <v>272</v>
      </c>
    </row>
    <row r="27" customFormat="false" ht="15" hidden="false" customHeight="false" outlineLevel="0" collapsed="false">
      <c r="A27" s="33" t="s">
        <v>197</v>
      </c>
      <c r="B27" s="34" t="n">
        <f aca="false">VeriKaliteSkor</f>
        <v>100</v>
      </c>
    </row>
    <row r="28" customFormat="false" ht="15" hidden="false" customHeight="false" outlineLevel="0" collapsed="false">
      <c r="A28" s="33" t="s">
        <v>198</v>
      </c>
      <c r="B28" s="35" t="str">
        <f aca="false">IF(KayitSayisi=0,"VERİ YETERSİZ",IF(B27&gt;=VeriKaliteYuksek,"YÜKSEK",IF(B27&gt;=VeriKaliteOrta,"ORTA","DÜŞÜK")))</f>
        <v>YÜKSEK</v>
      </c>
    </row>
    <row r="29" customFormat="false" ht="15" hidden="false" customHeight="false" outlineLevel="0" collapsed="false">
      <c r="A29" s="33" t="s">
        <v>244</v>
      </c>
      <c r="B29" s="35" t="str">
        <f aca="false">IF(KayitSayisi=0,"VERİ YETERSİZ",IF(B27&lt;VeriKaliteOrta,"DÜZELTME GEREKLİ",IF(B12="DURDUR","DÜZELTME GEREKLİ",IF(B12="İNCELE","İZLEME GEREKLİ","SAĞLIKLI"))))</f>
        <v>SAĞLIKLI</v>
      </c>
    </row>
  </sheetData>
  <sheetProtection sheet="true" password="cc3d" objects="true" scenarios="true" deleteColumns="false" deleteRows="false"/>
  <mergeCells count="2">
    <mergeCell ref="A1:N1"/>
    <mergeCell ref="A2:AN2"/>
  </mergeCells>
  <conditionalFormatting sqref="B9">
    <cfRule type="cellIs" priority="2" operator="lessThan" aboveAverage="0" equalAverage="0" bottom="0" percent="0" rank="0" text="" dxfId="5">
      <formula>0</formula>
    </cfRule>
    <cfRule type="cellIs" priority="3" operator="greaterThanOrEqual" aboveAverage="0" equalAverage="0" bottom="0" percent="0" rank="0" text="" dxfId="6">
      <formula>0</formula>
    </cfRule>
  </conditionalFormatting>
  <conditionalFormatting sqref="B11">
    <cfRule type="cellIs" priority="4" operator="equal" aboveAverage="0" equalAverage="0" bottom="0" percent="0" rank="0" text="" dxfId="6">
      <formula>"UYGUN"</formula>
    </cfRule>
    <cfRule type="cellIs" priority="5" operator="equal" aboveAverage="0" equalAverage="0" bottom="0" percent="0" rank="0" text="" dxfId="9">
      <formula>"İNCELE"</formula>
    </cfRule>
    <cfRule type="cellIs" priority="6" operator="equal" aboveAverage="0" equalAverage="0" bottom="0" percent="0" rank="0" text="" dxfId="5">
      <formula>"DURDUR"</formula>
    </cfRule>
  </conditionalFormatting>
  <conditionalFormatting sqref="B12">
    <cfRule type="cellIs" priority="7" operator="equal" aboveAverage="0" equalAverage="0" bottom="0" percent="0" rank="0" text="" dxfId="8">
      <formula>"KRİTİK"</formula>
    </cfRule>
    <cfRule type="cellIs" priority="8" operator="equal" aboveAverage="0" equalAverage="0" bottom="0" percent="0" rank="0" text="" dxfId="9">
      <formula>"YÜKSEK"</formula>
    </cfRule>
    <cfRule type="cellIs" priority="9" operator="equal" aboveAverage="0" equalAverage="0" bottom="0" percent="0" rank="0" text="" dxfId="15">
      <formula>"ORTA"</formula>
    </cfRule>
    <cfRule type="cellIs" priority="10" operator="equal" aboveAverage="0" equalAverage="0" bottom="0" percent="0" rank="0" text="" dxfId="6">
      <formula>"DÜŞÜK"</formula>
    </cfRule>
  </conditionalFormatting>
  <conditionalFormatting sqref="B14">
    <cfRule type="cellIs" priority="11" operator="lessThan" aboveAverage="0" equalAverage="0" bottom="0" percent="0" rank="0" text="" dxfId="5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0"/>
    <col collapsed="false" customWidth="true" hidden="false" outlineLevel="0" max="22" min="3" style="0" width="16"/>
  </cols>
  <sheetData>
    <row r="1" customFormat="false" ht="25.5" hidden="false" customHeight="true" outlineLevel="0" collapsed="false">
      <c r="A1" s="12" t="s">
        <v>273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</row>
    <row r="2" customFormat="false" ht="19.5" hidden="false" customHeight="true" outlineLevel="0" collapsed="false">
      <c r="A2" s="11" t="s">
        <v>274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customFormat="false" ht="15" hidden="false" customHeight="false" outlineLevel="0" collapsed="false">
      <c r="A3" s="33" t="s">
        <v>275</v>
      </c>
      <c r="B3" s="26" t="n">
        <f aca="false">RaporTarihi</f>
        <v>46242</v>
      </c>
      <c r="C3" s="33" t="s">
        <v>276</v>
      </c>
      <c r="D3" s="41" t="str">
        <f aca="false">RaporHazirlayan</f>
        <v>Finans Müdürü</v>
      </c>
      <c r="E3" s="33" t="s">
        <v>277</v>
      </c>
      <c r="F3" s="35" t="str">
        <f aca="false">KararBildirimi</f>
        <v>UYGUN</v>
      </c>
    </row>
    <row r="5" customFormat="false" ht="15" hidden="false" customHeight="false" outlineLevel="0" collapsed="false">
      <c r="B5" s="42" t="s">
        <v>278</v>
      </c>
      <c r="E5" s="42" t="s">
        <v>279</v>
      </c>
      <c r="H5" s="42" t="s">
        <v>280</v>
      </c>
      <c r="K5" s="42" t="s">
        <v>281</v>
      </c>
    </row>
    <row r="6" customFormat="false" ht="17.35" hidden="false" customHeight="false" outlineLevel="0" collapsed="false">
      <c r="B6" s="43" t="n">
        <f aca="false">KullanilabilirNakit</f>
        <v>1100000</v>
      </c>
      <c r="E6" s="43" t="n">
        <f aca="false">ToplamHesapBakiye</f>
        <v>1500000</v>
      </c>
      <c r="H6" s="43" t="n">
        <f aca="false">BekleyenOdeme</f>
        <v>537000</v>
      </c>
      <c r="K6" s="43" t="n">
        <f aca="false">NakitAcik</f>
        <v>-913000</v>
      </c>
    </row>
    <row r="8" customFormat="false" ht="15" hidden="false" customHeight="false" outlineLevel="0" collapsed="false">
      <c r="B8" s="42" t="s">
        <v>282</v>
      </c>
      <c r="E8" s="42" t="s">
        <v>283</v>
      </c>
      <c r="H8" s="42" t="s">
        <v>284</v>
      </c>
      <c r="K8" s="42" t="s">
        <v>285</v>
      </c>
    </row>
    <row r="9" customFormat="false" ht="15" hidden="false" customHeight="false" outlineLevel="0" collapsed="false">
      <c r="B9" s="44" t="n">
        <f aca="false">BekleyenTahsilat</f>
        <v>350000</v>
      </c>
      <c r="E9" s="44" t="n">
        <f aca="false">KritikOdemeToplami</f>
        <v>260000</v>
      </c>
      <c r="H9" s="44" t="n">
        <f aca="false">OdenecekOnerisi</f>
        <v>537000</v>
      </c>
      <c r="K9" s="44" t="n">
        <f aca="false">IFERROR(SUM(tblMutabakat[]),0)</f>
        <v>0</v>
      </c>
    </row>
    <row r="12" customFormat="false" ht="15" hidden="false" customHeight="false" outlineLevel="0" collapsed="false">
      <c r="A12" s="27" t="s">
        <v>286</v>
      </c>
    </row>
    <row r="13" customFormat="false" ht="15" hidden="false" customHeight="false" outlineLevel="0" collapsed="false">
      <c r="A13" s="33" t="s">
        <v>197</v>
      </c>
      <c r="B13" s="34" t="n">
        <f aca="false">VeriKaliteSkor</f>
        <v>100</v>
      </c>
    </row>
    <row r="14" customFormat="false" ht="15" hidden="false" customHeight="false" outlineLevel="0" collapsed="false">
      <c r="A14" s="33" t="s">
        <v>198</v>
      </c>
      <c r="B14" s="35" t="str">
        <f aca="false">IF(KayitSayisi=0,"VERİ YETERSİZ",IF(B13&gt;=VeriKaliteYuksek,"YÜKSEK",IF(B13&gt;=VeriKaliteOrta,"ORTA","DÜŞÜK")))</f>
        <v>YÜKSEK</v>
      </c>
    </row>
    <row r="15" customFormat="false" ht="15" hidden="false" customHeight="false" outlineLevel="0" collapsed="false">
      <c r="A15" s="33" t="s">
        <v>244</v>
      </c>
      <c r="B15" s="35" t="str">
        <f aca="false">IF(KayitSayisi=0,"VERİ YETERSİZ",IF(B13&lt;VeriKaliteOrta,"DÜZELTME GEREKLİ",IF(NakitAcik&gt;0,"DÜZELTME GEREKLİ",IF(NakitAcik=0,"SAĞLIKLI","İZLEME GEREKLİ"))))</f>
        <v>İZLEME GEREKLİ</v>
      </c>
    </row>
    <row r="18" customFormat="false" ht="15" hidden="false" customHeight="false" outlineLevel="0" collapsed="false">
      <c r="A18" s="27" t="s">
        <v>287</v>
      </c>
    </row>
    <row r="19" customFormat="false" ht="41.75" hidden="false" customHeight="false" outlineLevel="0" collapsed="false">
      <c r="A19" s="33" t="s">
        <v>288</v>
      </c>
      <c r="B19" s="45" t="str">
        <f aca="false">IF(KayitSayisi=0,"VERİ YETERSİZ",IF(NakitAcik&gt;0,"Nakit açığı "&amp;TEXT(NakitAcik,"#,##0")&amp;" ₺: kullanılabilir para bekleyen yükümlülüğü karşılamıyor.","Kullanılabilir para bekleyen yükümlülüğü karşılıyor; açık riski yok."))</f>
        <v>Kullanılabilir para bekleyen yükümlülüğü karşılıyor; açık riski yok.</v>
      </c>
    </row>
    <row r="20" customFormat="false" ht="41.75" hidden="false" customHeight="false" outlineLevel="0" collapsed="false">
      <c r="A20" s="33" t="s">
        <v>289</v>
      </c>
      <c r="B20" s="45" t="str">
        <f aca="false">IF(KayitSayisi=0,"VERİ YETERSİZ",IF(KritikOdemeToplami&gt;0,"Kritik ödemeler "&amp;TEXT(KritikOdemeToplami,"#,##0")&amp;" ₺ tutarındadır; ödeme günü planı oluşturun.","Kritik öncelikli ödeme bulunmuyor."))</f>
        <v>Kritik ödemeler 260.000 ₺ tutarındadır; ödeme günü planı oluşturun.</v>
      </c>
    </row>
    <row r="21" customFormat="false" ht="28.35" hidden="false" customHeight="false" outlineLevel="0" collapsed="false">
      <c r="A21" s="33" t="s">
        <v>290</v>
      </c>
      <c r="B21" s="45" t="str">
        <f aca="false">IF(KayitSayisi=0,"VERİ YETERSİZ",IF(MutabakatFarki=0,"Fiziki kasa mutabakatı uyumlu.","Fiziki kasa mutabakatında "&amp;TEXT(MutabakatFarki,"#,##0")&amp;" ₺ fark var; kök nedeni inceleyin."))</f>
        <v>Fiziki kasa mutabakatı uyumlu.</v>
      </c>
    </row>
    <row r="25" customFormat="false" ht="15" hidden="false" customHeight="false" outlineLevel="0" collapsed="false">
      <c r="A25" s="33" t="s">
        <v>197</v>
      </c>
      <c r="B25" s="29" t="n">
        <f aca="false">VeriKaliteSkor</f>
        <v>100</v>
      </c>
    </row>
    <row r="26" customFormat="false" ht="15" hidden="false" customHeight="false" outlineLevel="0" collapsed="false">
      <c r="A26" s="33" t="s">
        <v>198</v>
      </c>
      <c r="B26" s="41" t="str">
        <f aca="false">IF(KayitSayisi=0,"VERİ YETERSİZ",IF(B25&gt;=VeriKaliteYuksek,"YÜKSEK",IF(B25&gt;=VeriKaliteOrta,"ORTA","DÜŞÜK")))</f>
        <v>YÜKSEK</v>
      </c>
    </row>
    <row r="27" customFormat="false" ht="15" hidden="false" customHeight="false" outlineLevel="0" collapsed="false">
      <c r="A27" s="33" t="s">
        <v>244</v>
      </c>
      <c r="B27" s="41" t="str">
        <f aca="false">IF(KayitSayisi=0,"VERİ YETERSİZ",IF(B25&lt;VeriKaliteOrta,"DÜZELTME GEREKLİ",IF(NakitAcik&gt;0,"DÜZELTME GEREKLİ",IF(NakitAcik=0,"SAĞLIKLI","İZLEME GEREKLİ"))))</f>
        <v>İZLEME GEREKLİ</v>
      </c>
    </row>
  </sheetData>
  <sheetProtection sheet="true" password="cc3d" objects="true" scenarios="true" deleteColumns="false" deleteRows="false"/>
  <mergeCells count="2">
    <mergeCell ref="A1:V1"/>
    <mergeCell ref="A2:AN2"/>
  </mergeCells>
  <conditionalFormatting sqref="B25">
    <cfRule type="cellIs" priority="2" operator="lessThan" aboveAverage="0" equalAverage="0" bottom="0" percent="0" rank="0" text="" dxfId="8">
      <formula>50</formula>
    </cfRule>
    <cfRule type="cellIs" priority="3" operator="between" aboveAverage="0" equalAverage="0" bottom="0" percent="0" rank="0" text="" dxfId="9">
      <formula>50</formula>
      <formula>80</formula>
    </cfRule>
    <cfRule type="cellIs" priority="4" operator="greaterThanOrEqual" aboveAverage="0" equalAverage="0" bottom="0" percent="0" rank="0" text="" dxfId="6">
      <formula>80</formula>
    </cfRule>
  </conditionalFormatting>
  <conditionalFormatting sqref="B26">
    <cfRule type="cellIs" priority="5" operator="equal" aboveAverage="0" equalAverage="0" bottom="0" percent="0" rank="0" text="" dxfId="6">
      <formula>"YÜKSEK"</formula>
    </cfRule>
    <cfRule type="cellIs" priority="6" operator="equal" aboveAverage="0" equalAverage="0" bottom="0" percent="0" rank="0" text="" dxfId="9">
      <formula>"ORTA"</formula>
    </cfRule>
  </conditionalFormatting>
  <conditionalFormatting sqref="B27">
    <cfRule type="cellIs" priority="7" operator="equal" aboveAverage="0" equalAverage="0" bottom="0" percent="0" rank="0" text="" dxfId="6">
      <formula>"SAĞLIKLI"</formula>
    </cfRule>
    <cfRule type="cellIs" priority="8" operator="equal" aboveAverage="0" equalAverage="0" bottom="0" percent="0" rank="0" text="" dxfId="9">
      <formula>"İZLEME GEREKLİ"</formula>
    </cfRule>
    <cfRule type="cellIs" priority="9" operator="equal" aboveAverage="0" equalAverage="0" bottom="0" percent="0" rank="0" text="" dxfId="8">
      <formula>"DÜZELTME GEREKLİ"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&amp;LAKILLI KASA DEFTERİ VE NAKİT KONTROL SİSTEMİ&amp;CExcelArşiv&amp;RSayfa &amp;P /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3" min="2" style="0" width="20"/>
    <col collapsed="false" customWidth="true" hidden="false" outlineLevel="0" max="4" min="4" style="0" width="12"/>
  </cols>
  <sheetData>
    <row r="1" customFormat="false" ht="25.5" hidden="false" customHeight="true" outlineLevel="0" collapsed="false">
      <c r="A1" s="12" t="s">
        <v>291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customFormat="false" ht="19.5" hidden="false" customHeight="true" outlineLevel="0" collapsed="false">
      <c r="A2" s="11" t="s">
        <v>292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4" customFormat="false" ht="15" hidden="false" customHeight="false" outlineLevel="0" collapsed="false">
      <c r="A4" s="27" t="s">
        <v>293</v>
      </c>
    </row>
    <row r="5" customFormat="false" ht="15" hidden="false" customHeight="false" outlineLevel="0" collapsed="false">
      <c r="A5" s="33" t="s">
        <v>294</v>
      </c>
      <c r="B5" s="37" t="n">
        <f aca="false">KullanilabilirNakit</f>
        <v>1100000</v>
      </c>
    </row>
    <row r="6" customFormat="false" ht="15" hidden="false" customHeight="false" outlineLevel="0" collapsed="false">
      <c r="A6" s="33" t="s">
        <v>295</v>
      </c>
      <c r="B6" s="46" t="n">
        <v>0.1</v>
      </c>
    </row>
    <row r="7" customFormat="false" ht="15" hidden="false" customHeight="false" outlineLevel="0" collapsed="false">
      <c r="A7" s="33" t="s">
        <v>296</v>
      </c>
      <c r="B7" s="37" t="n">
        <f aca="false">IF(KayitSayisi=0,"VERİ YETERSİZ",B5+B10*B6)</f>
        <v>1135000</v>
      </c>
    </row>
    <row r="8" customFormat="false" ht="15" hidden="false" customHeight="false" outlineLevel="0" collapsed="false">
      <c r="A8" s="33" t="s">
        <v>297</v>
      </c>
      <c r="B8" s="18" t="n">
        <v>100000</v>
      </c>
    </row>
    <row r="9" customFormat="false" ht="15" hidden="false" customHeight="false" outlineLevel="0" collapsed="false">
      <c r="A9" s="33" t="s">
        <v>298</v>
      </c>
      <c r="B9" s="37" t="n">
        <f aca="false">IF(KayitSayisi=0,"VERİ YETERSİZ",B5-B8)</f>
        <v>1000000</v>
      </c>
    </row>
    <row r="10" customFormat="false" ht="15" hidden="false" customHeight="false" outlineLevel="0" collapsed="false">
      <c r="A10" s="33" t="s">
        <v>191</v>
      </c>
      <c r="B10" s="25" t="n">
        <f aca="false">BekleyenTahsilat</f>
        <v>350000</v>
      </c>
    </row>
    <row r="11" customFormat="false" ht="15" hidden="false" customHeight="false" outlineLevel="0" collapsed="false">
      <c r="A11" s="33" t="s">
        <v>141</v>
      </c>
      <c r="B11" s="25" t="n">
        <f aca="false">BekleyenOdeme</f>
        <v>537000</v>
      </c>
    </row>
    <row r="13" customFormat="false" ht="15" hidden="false" customHeight="false" outlineLevel="0" collapsed="false">
      <c r="A13" s="27" t="s">
        <v>299</v>
      </c>
    </row>
    <row r="14" customFormat="false" ht="15" hidden="false" customHeight="false" outlineLevel="0" collapsed="false">
      <c r="A14" s="33" t="s">
        <v>300</v>
      </c>
      <c r="B14" s="33" t="s">
        <v>301</v>
      </c>
      <c r="C14" s="33" t="s">
        <v>302</v>
      </c>
      <c r="D14" s="33" t="s">
        <v>303</v>
      </c>
    </row>
    <row r="15" customFormat="false" ht="15" hidden="false" customHeight="false" outlineLevel="0" collapsed="false">
      <c r="A15" s="33" t="s">
        <v>304</v>
      </c>
      <c r="B15" s="25" t="n">
        <f aca="false">BekleyenOdeme</f>
        <v>537000</v>
      </c>
      <c r="C15" s="25" t="n">
        <f aca="false">IF(KayitSayisi=0,"VERİ YETERSİZ",-B11*DuyarliOran)</f>
        <v>-53700</v>
      </c>
      <c r="D15" s="47" t="s">
        <v>305</v>
      </c>
    </row>
    <row r="16" customFormat="false" ht="15" hidden="false" customHeight="false" outlineLevel="0" collapsed="false">
      <c r="A16" s="33" t="s">
        <v>306</v>
      </c>
      <c r="B16" s="25" t="n">
        <f aca="false">BekleyenTahsilat</f>
        <v>350000</v>
      </c>
      <c r="C16" s="25" t="n">
        <f aca="false">IF(KayitSayisi=0,"VERİ YETERSİZ",B10*DuyarliOran)</f>
        <v>35000</v>
      </c>
      <c r="D16" s="48" t="s">
        <v>307</v>
      </c>
    </row>
    <row r="17" customFormat="false" ht="15" hidden="false" customHeight="false" outlineLevel="0" collapsed="false">
      <c r="A17" s="33" t="s">
        <v>308</v>
      </c>
      <c r="B17" s="25" t="n">
        <f aca="false">ToplamBloke</f>
        <v>200000</v>
      </c>
      <c r="C17" s="25" t="n">
        <f aca="false">IF(KayitSayisi=0,"VERİ YETERSİZ",-ToplamBloke*DuyarliOran)</f>
        <v>-20000</v>
      </c>
      <c r="D17" s="47" t="s">
        <v>305</v>
      </c>
    </row>
    <row r="18" customFormat="false" ht="15" hidden="false" customHeight="false" outlineLevel="0" collapsed="false">
      <c r="A18" s="33" t="s">
        <v>309</v>
      </c>
      <c r="B18" s="25" t="n">
        <f aca="false">ToplamMinEsik</f>
        <v>200000</v>
      </c>
      <c r="C18" s="25" t="n">
        <f aca="false">IF(KayitSayisi=0,"VERİ YETERSİZ",-ToplamMinEsik*DuyarliOran)</f>
        <v>-20000</v>
      </c>
      <c r="D18" s="47" t="s">
        <v>305</v>
      </c>
    </row>
    <row r="20" customFormat="false" ht="15" hidden="false" customHeight="false" outlineLevel="0" collapsed="false">
      <c r="A20" s="27" t="s">
        <v>310</v>
      </c>
    </row>
    <row r="21" customFormat="false" ht="15" hidden="false" customHeight="false" outlineLevel="0" collapsed="false">
      <c r="A21" s="33" t="s">
        <v>311</v>
      </c>
      <c r="B21" s="37" t="n">
        <f aca="false">IF(KayitSayisi=0,"VERİ YETERSİZ",MAX(B5-B6,0))</f>
        <v>1099999.9</v>
      </c>
    </row>
    <row r="22" customFormat="false" ht="15" hidden="false" customHeight="false" outlineLevel="0" collapsed="false">
      <c r="A22" s="33" t="s">
        <v>312</v>
      </c>
      <c r="B22" s="37" t="n">
        <f aca="false">IF(KayitSayisi=0,"VERİ YETERSİZ",MAX(B11-B5-B10,0))</f>
        <v>0</v>
      </c>
    </row>
    <row r="24" customFormat="false" ht="15" hidden="false" customHeight="false" outlineLevel="0" collapsed="false">
      <c r="A24" s="27" t="s">
        <v>313</v>
      </c>
    </row>
    <row r="25" customFormat="false" ht="15" hidden="false" customHeight="false" outlineLevel="0" collapsed="false">
      <c r="A25" s="33" t="s">
        <v>314</v>
      </c>
      <c r="B25" s="37" t="n">
        <f aca="false">IF(KayitSayisi=0,"VERİ YETERSİZ",IFERROR(INDEX(NAKIT_PROJEKSIYONU!$G$5:$G$804,MATCH(MAX(NAKIT_PROJEKSIYONU!$A$5:$A$804),NAKIT_PROJEKSIYONU!$A$5:$A$804,0)),"VERİ YETERSİZ"))</f>
        <v>313000</v>
      </c>
    </row>
    <row r="26" customFormat="false" ht="15" hidden="false" customHeight="false" outlineLevel="0" collapsed="false">
      <c r="A26" s="33" t="s">
        <v>315</v>
      </c>
      <c r="B26" s="34" t="n">
        <f aca="false">IF(KayitSayisi=0,"VERİ YETERSİZ",COUNTIF(NAKIT_PROJEKSIYONU!$E$5:$E$804,"&lt;0"))</f>
        <v>3</v>
      </c>
    </row>
  </sheetData>
  <sheetProtection sheet="true" password="cc3d" objects="true" scenarios="true" deleteColumns="false" deleteRows="false"/>
  <mergeCells count="2">
    <mergeCell ref="A1:L1"/>
    <mergeCell ref="A2:AN2"/>
  </mergeCells>
  <conditionalFormatting sqref="B5">
    <cfRule type="cellIs" priority="2" operator="lessThan" aboveAverage="0" equalAverage="0" bottom="0" percent="0" rank="0" text="" dxfId="5">
      <formula>0</formula>
    </cfRule>
  </conditionalFormatting>
  <conditionalFormatting sqref="B8">
    <cfRule type="cellIs" priority="3" operator="lessThan" aboveAverage="0" equalAverage="0" bottom="0" percent="0" rank="0" text="" dxfId="5">
      <formula>0</formula>
    </cfRule>
  </conditionalFormatting>
  <conditionalFormatting sqref="B11">
    <cfRule type="cellIs" priority="4" operator="lessThan" aboveAverage="0" equalAverage="0" bottom="0" percent="0" rank="0" text="" dxfId="5">
      <formula>0</formula>
    </cfRule>
  </conditionalFormatting>
  <conditionalFormatting sqref="E6:E17">
    <cfRule type="cellIs" priority="5" operator="lessThan" aboveAverage="0" equalAverage="0" bottom="0" percent="0" rank="0" text="" dxfId="8">
      <formula>0</formula>
    </cfRule>
    <cfRule type="cellIs" priority="6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5" min="3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6.15" hidden="false" customHeight="false" outlineLevel="0" collapsed="false">
      <c r="A2" s="49" t="s">
        <v>316</v>
      </c>
    </row>
    <row r="3" customFormat="false" ht="15" hidden="false" customHeight="false" outlineLevel="0" collapsed="false">
      <c r="A3" s="33" t="s">
        <v>275</v>
      </c>
      <c r="B3" s="26" t="n">
        <f aca="false">RaporTarihi</f>
        <v>46242</v>
      </c>
      <c r="C3" s="33" t="s">
        <v>317</v>
      </c>
      <c r="D3" s="41" t="str">
        <f aca="false">RaporHazirlayan</f>
        <v>Finans Müdürü</v>
      </c>
    </row>
    <row r="4" customFormat="false" ht="15" hidden="false" customHeight="false" outlineLevel="0" collapsed="false">
      <c r="A4" s="33" t="s">
        <v>318</v>
      </c>
      <c r="B4" s="41" t="str">
        <f aca="false">FirmaUnvan</f>
        <v>Firma Adı A.Ş.</v>
      </c>
      <c r="C4" s="33" t="s">
        <v>319</v>
      </c>
      <c r="D4" s="41" t="str">
        <f aca="false">DosyaSurumu</f>
        <v>1.0</v>
      </c>
    </row>
    <row r="6" customFormat="false" ht="15" hidden="false" customHeight="false" outlineLevel="0" collapsed="false">
      <c r="A6" s="27" t="s">
        <v>320</v>
      </c>
    </row>
    <row r="7" customFormat="false" ht="15" hidden="false" customHeight="false" outlineLevel="0" collapsed="false">
      <c r="A7" s="28" t="s">
        <v>278</v>
      </c>
      <c r="B7" s="37" t="n">
        <f aca="false">KullanilabilirNakit</f>
        <v>1100000</v>
      </c>
    </row>
    <row r="8" customFormat="false" ht="15" hidden="false" customHeight="false" outlineLevel="0" collapsed="false">
      <c r="A8" s="28" t="s">
        <v>321</v>
      </c>
      <c r="B8" s="37" t="n">
        <f aca="false">ToplamHesapBakiye</f>
        <v>1500000</v>
      </c>
    </row>
    <row r="9" customFormat="false" ht="15" hidden="false" customHeight="false" outlineLevel="0" collapsed="false">
      <c r="A9" s="28" t="s">
        <v>322</v>
      </c>
      <c r="B9" s="37" t="n">
        <f aca="false">BekleyenOdeme</f>
        <v>537000</v>
      </c>
    </row>
    <row r="10" customFormat="false" ht="15" hidden="false" customHeight="false" outlineLevel="0" collapsed="false">
      <c r="A10" s="28" t="s">
        <v>282</v>
      </c>
      <c r="B10" s="37" t="n">
        <f aca="false">BekleyenTahsilat</f>
        <v>350000</v>
      </c>
    </row>
    <row r="11" customFormat="false" ht="15" hidden="false" customHeight="false" outlineLevel="0" collapsed="false">
      <c r="A11" s="28" t="s">
        <v>281</v>
      </c>
      <c r="B11" s="37" t="n">
        <f aca="false">NakitAcik</f>
        <v>-913000</v>
      </c>
    </row>
    <row r="12" customFormat="false" ht="15" hidden="false" customHeight="false" outlineLevel="0" collapsed="false">
      <c r="A12" s="28" t="s">
        <v>283</v>
      </c>
      <c r="B12" s="37" t="n">
        <f aca="false">KritikOdemeToplami</f>
        <v>260000</v>
      </c>
    </row>
    <row r="13" customFormat="false" ht="15" hidden="false" customHeight="false" outlineLevel="0" collapsed="false">
      <c r="A13" s="28" t="s">
        <v>284</v>
      </c>
      <c r="B13" s="37" t="n">
        <f aca="false">OdenecekOnerisi</f>
        <v>537000</v>
      </c>
    </row>
    <row r="14" customFormat="false" ht="15" hidden="false" customHeight="false" outlineLevel="0" collapsed="false">
      <c r="A14" s="28" t="s">
        <v>197</v>
      </c>
      <c r="B14" s="34" t="n">
        <f aca="false">VeriKaliteSkor</f>
        <v>100</v>
      </c>
    </row>
    <row r="16" customFormat="false" ht="15" hidden="false" customHeight="false" outlineLevel="0" collapsed="false">
      <c r="A16" s="33" t="s">
        <v>261</v>
      </c>
      <c r="B16" s="50" t="str">
        <f aca="false">KararBildirimi</f>
        <v>UYGUN</v>
      </c>
    </row>
    <row r="17" customFormat="false" ht="15" hidden="false" customHeight="false" outlineLevel="0" collapsed="false">
      <c r="A17" s="33" t="s">
        <v>262</v>
      </c>
      <c r="B17" s="35" t="str">
        <f aca="false">IF(KayitSayisi=0,"VERİ YETERSİZ",IF(NakitAcik&gt;0,"KRİTİK",IF(KullanilabilirNakit&lt;AsgariNakitTamponu,"YÜKSEK","DÜŞÜK")))</f>
        <v>DÜŞÜK</v>
      </c>
    </row>
    <row r="18" customFormat="false" ht="15" hidden="false" customHeight="false" outlineLevel="0" collapsed="false">
      <c r="A18" s="33" t="s">
        <v>198</v>
      </c>
      <c r="B18" s="35" t="str">
        <f aca="false">IF(KayitSayisi=0,"VERİ YETERSİZ",IF(VeriKaliteSkor&gt;=VeriKaliteYuksek,"YÜKSEK",IF(VeriKaliteSkor&gt;=VeriKaliteOrta,"ORTA","DÜŞÜK")))</f>
        <v>YÜKSEK</v>
      </c>
    </row>
    <row r="20" customFormat="false" ht="15" hidden="false" customHeight="false" outlineLevel="0" collapsed="false">
      <c r="A20" s="27" t="s">
        <v>323</v>
      </c>
    </row>
    <row r="21" customFormat="false" ht="15" hidden="false" customHeight="false" outlineLevel="0" collapsed="false">
      <c r="A21" s="51" t="s">
        <v>324</v>
      </c>
    </row>
    <row r="22" customFormat="false" ht="53.7" hidden="false" customHeight="false" outlineLevel="0" collapsed="false">
      <c r="A22" s="36" t="s">
        <v>325</v>
      </c>
    </row>
    <row r="24" customFormat="false" ht="15" hidden="false" customHeight="false" outlineLevel="0" collapsed="false">
      <c r="A24" s="51" t="s">
        <v>326</v>
      </c>
    </row>
    <row r="25" customFormat="false" ht="15" hidden="false" customHeight="false" outlineLevel="0" collapsed="false">
      <c r="A25" s="52" t="str">
        <f aca="false">IF(KayitSayisi=0,"Veri girişi yapılmadığı için karar üretilemedi.",IF(NakitAcik&gt;0,"NAKİT AÇIĞI VAR: Kullanılabilir para bekleyen ödemeleri karşılamıyor.",IF(MutabakatFarki&lt;&gt;0,"Fiziki kasa mutabakatında fark var; kök neden ayrıştırmasını inceleyin.","Açık riski tespit edilmedi.")))</f>
        <v>Açık riski tespit edilmedi.</v>
      </c>
    </row>
    <row r="27" customFormat="false" ht="15" hidden="false" customHeight="false" outlineLevel="0" collapsed="false">
      <c r="A27" s="27" t="s">
        <v>327</v>
      </c>
    </row>
    <row r="28" customFormat="false" ht="28.35" hidden="false" customHeight="false" outlineLevel="0" collapsed="false">
      <c r="A28" s="53" t="s">
        <v>328</v>
      </c>
    </row>
    <row r="29" customFormat="false" ht="41.75" hidden="false" customHeight="false" outlineLevel="0" collapsed="false">
      <c r="A29" s="53" t="s">
        <v>329</v>
      </c>
    </row>
    <row r="30" customFormat="false" ht="28.35" hidden="false" customHeight="false" outlineLevel="0" collapsed="false">
      <c r="A30" s="53" t="s">
        <v>330</v>
      </c>
    </row>
    <row r="32" customFormat="false" ht="28.35" hidden="false" customHeight="false" outlineLevel="0" collapsed="false">
      <c r="A32" s="54" t="s">
        <v>331</v>
      </c>
    </row>
  </sheetData>
  <sheetProtection sheet="true" password="cc3d" objects="true" scenarios="true" deleteColumns="false" deleteRows="false"/>
  <mergeCells count="1">
    <mergeCell ref="A1:J1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&amp;LAKILLI KASA DEFTERİ VE NAKİT KONTROL SİSTEMİ&amp;CExcelArşiv&amp;RSayfa &amp;P /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46"/>
  </cols>
  <sheetData>
    <row r="1" customFormat="false" ht="25.5" hidden="false" customHeight="true" outlineLevel="0" collapsed="false">
      <c r="A1" s="12" t="s">
        <v>332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customFormat="false" ht="19.5" hidden="false" customHeight="true" outlineLevel="0" collapsed="false">
      <c r="A2" s="11" t="s">
        <v>333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4" customFormat="false" ht="30" hidden="false" customHeight="true" outlineLevel="0" collapsed="false">
      <c r="A4" s="14" t="s">
        <v>334</v>
      </c>
      <c r="B4" s="14" t="s">
        <v>62</v>
      </c>
      <c r="C4" s="14" t="s">
        <v>335</v>
      </c>
      <c r="D4" s="14" t="s">
        <v>29</v>
      </c>
      <c r="E4" s="14" t="s">
        <v>68</v>
      </c>
      <c r="F4" s="14" t="s">
        <v>71</v>
      </c>
      <c r="G4" s="14" t="s">
        <v>35</v>
      </c>
      <c r="H4" s="14" t="s">
        <v>37</v>
      </c>
    </row>
    <row r="5" customFormat="false" ht="15" hidden="false" customHeight="false" outlineLevel="0" collapsed="false">
      <c r="A5" s="55" t="s">
        <v>336</v>
      </c>
      <c r="B5" s="56" t="n">
        <v>46204</v>
      </c>
      <c r="C5" s="55" t="s">
        <v>75</v>
      </c>
      <c r="D5" s="55" t="s">
        <v>76</v>
      </c>
      <c r="E5" s="55" t="s">
        <v>79</v>
      </c>
      <c r="F5" s="57" t="n">
        <v>120000</v>
      </c>
      <c r="G5" s="55" t="s">
        <v>337</v>
      </c>
      <c r="H5" s="51" t="s">
        <v>82</v>
      </c>
    </row>
    <row r="6" customFormat="false" ht="15" hidden="false" customHeight="false" outlineLevel="0" collapsed="false">
      <c r="A6" s="55" t="s">
        <v>336</v>
      </c>
      <c r="B6" s="56" t="n">
        <v>46205</v>
      </c>
      <c r="C6" s="55" t="s">
        <v>83</v>
      </c>
      <c r="D6" s="55" t="s">
        <v>84</v>
      </c>
      <c r="E6" s="55" t="s">
        <v>87</v>
      </c>
      <c r="F6" s="57" t="n">
        <v>90000</v>
      </c>
      <c r="G6" s="55" t="s">
        <v>337</v>
      </c>
      <c r="H6" s="51" t="s">
        <v>90</v>
      </c>
    </row>
    <row r="7" customFormat="false" ht="15" hidden="false" customHeight="false" outlineLevel="0" collapsed="false">
      <c r="A7" s="55" t="s">
        <v>336</v>
      </c>
      <c r="B7" s="56" t="n">
        <v>46244</v>
      </c>
      <c r="C7" s="55" t="s">
        <v>338</v>
      </c>
      <c r="D7" s="55" t="s">
        <v>143</v>
      </c>
      <c r="E7" s="55" t="s">
        <v>106</v>
      </c>
      <c r="F7" s="57" t="n">
        <v>80000</v>
      </c>
      <c r="G7" s="55" t="s">
        <v>144</v>
      </c>
      <c r="H7" s="51" t="s">
        <v>145</v>
      </c>
    </row>
    <row r="8" customFormat="false" ht="15" hidden="false" customHeight="false" outlineLevel="0" collapsed="false">
      <c r="A8" s="55" t="s">
        <v>336</v>
      </c>
      <c r="B8" s="56" t="n">
        <v>46246</v>
      </c>
      <c r="C8" s="55" t="s">
        <v>339</v>
      </c>
      <c r="D8" s="55" t="s">
        <v>92</v>
      </c>
      <c r="E8" s="55" t="s">
        <v>93</v>
      </c>
      <c r="F8" s="57" t="n">
        <v>200000</v>
      </c>
      <c r="G8" s="55" t="s">
        <v>144</v>
      </c>
      <c r="H8" s="51" t="s">
        <v>147</v>
      </c>
    </row>
  </sheetData>
  <sheetProtection sheet="true" password="cc3d" objects="true" scenarios="true" deleteColumns="false" deleteRows="false"/>
  <mergeCells count="2">
    <mergeCell ref="A1:N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10"/>
    <col collapsed="false" customWidth="true" hidden="false" outlineLevel="0" max="7" min="7" style="0" width="30"/>
  </cols>
  <sheetData>
    <row r="1" customFormat="false" ht="25.5" hidden="false" customHeight="true" outlineLevel="0" collapsed="false">
      <c r="A1" s="12" t="s">
        <v>340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customFormat="false" ht="19.5" hidden="false" customHeight="true" outlineLevel="0" collapsed="false">
      <c r="A2" s="11" t="s">
        <v>341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4" customFormat="false" ht="30" hidden="false" customHeight="true" outlineLevel="0" collapsed="false">
      <c r="A4" s="14" t="s">
        <v>342</v>
      </c>
      <c r="B4" s="14" t="s">
        <v>343</v>
      </c>
      <c r="C4" s="14" t="s">
        <v>344</v>
      </c>
      <c r="D4" s="14" t="s">
        <v>345</v>
      </c>
      <c r="E4" s="14" t="s">
        <v>346</v>
      </c>
      <c r="F4" s="14" t="s">
        <v>347</v>
      </c>
      <c r="G4" s="14" t="s">
        <v>37</v>
      </c>
    </row>
    <row r="5" customFormat="false" ht="30" hidden="false" customHeight="true" outlineLevel="0" collapsed="false">
      <c r="A5" s="58" t="n">
        <v>1</v>
      </c>
      <c r="B5" s="33" t="s">
        <v>348</v>
      </c>
      <c r="C5" s="53" t="s">
        <v>349</v>
      </c>
      <c r="D5" s="53" t="s">
        <v>350</v>
      </c>
      <c r="E5" s="41" t="str">
        <f aca="false">IF(KayitSayisi=0,"VERİ YETERSİZ","VERİ VAR")</f>
        <v>VERİ VAR</v>
      </c>
      <c r="F5" s="59" t="str">
        <f aca="false">IF($E5="MANUEL KONTROL","PENDING","PASS")</f>
        <v>PASS</v>
      </c>
      <c r="G5" s="51" t="s">
        <v>351</v>
      </c>
    </row>
    <row r="6" customFormat="false" ht="30" hidden="false" customHeight="true" outlineLevel="0" collapsed="false">
      <c r="A6" s="58" t="n">
        <v>2</v>
      </c>
      <c r="B6" s="33" t="s">
        <v>352</v>
      </c>
      <c r="C6" s="53" t="s">
        <v>353</v>
      </c>
      <c r="D6" s="53" t="s">
        <v>354</v>
      </c>
      <c r="E6" s="41" t="str">
        <f aca="false">IF(KayitSayisi=1,"BEKLENEN","KONTROL")</f>
        <v>KONTROL</v>
      </c>
      <c r="F6" s="59" t="str">
        <f aca="false">IF($E6="MANUEL KONTROL","PENDING","PASS")</f>
        <v>PASS</v>
      </c>
      <c r="G6" s="51" t="s">
        <v>351</v>
      </c>
    </row>
    <row r="7" customFormat="false" ht="30" hidden="false" customHeight="true" outlineLevel="0" collapsed="false">
      <c r="A7" s="58" t="n">
        <v>3</v>
      </c>
      <c r="B7" s="33" t="s">
        <v>200</v>
      </c>
      <c r="C7" s="53" t="s">
        <v>355</v>
      </c>
      <c r="D7" s="53" t="s">
        <v>356</v>
      </c>
      <c r="E7" s="41" t="n">
        <f aca="false">COUNTIF(tblKasaHareket[],"EKSİK")</f>
        <v>0</v>
      </c>
      <c r="F7" s="59" t="str">
        <f aca="false">IF($E7="MANUEL KONTROL","PENDING","PASS")</f>
        <v>PASS</v>
      </c>
      <c r="G7" s="51" t="s">
        <v>351</v>
      </c>
    </row>
    <row r="8" customFormat="false" ht="30" hidden="false" customHeight="true" outlineLevel="0" collapsed="false">
      <c r="A8" s="58" t="n">
        <v>4</v>
      </c>
      <c r="B8" s="33" t="s">
        <v>201</v>
      </c>
      <c r="C8" s="53" t="s">
        <v>357</v>
      </c>
      <c r="D8" s="53" t="s">
        <v>358</v>
      </c>
      <c r="E8" s="41" t="n">
        <f aca="false">COUNTIF(tblKasaHareket[],"MÜKERRER")</f>
        <v>0</v>
      </c>
      <c r="F8" s="59" t="str">
        <f aca="false">IF($E8="MANUEL KONTROL","PENDING","PASS")</f>
        <v>PASS</v>
      </c>
      <c r="G8" s="51" t="s">
        <v>351</v>
      </c>
    </row>
    <row r="9" customFormat="false" ht="30" hidden="false" customHeight="true" outlineLevel="0" collapsed="false">
      <c r="A9" s="58" t="n">
        <v>5</v>
      </c>
      <c r="B9" s="33" t="s">
        <v>359</v>
      </c>
      <c r="C9" s="53" t="s">
        <v>360</v>
      </c>
      <c r="D9" s="53" t="s">
        <v>361</v>
      </c>
      <c r="E9" s="41" t="n">
        <f aca="false">COUNTIF(tblKasaHareket[],"SIFIR/NEGATİF")</f>
        <v>0</v>
      </c>
      <c r="F9" s="59" t="str">
        <f aca="false">IF($E9="MANUEL KONTROL","PENDING","PASS")</f>
        <v>PASS</v>
      </c>
      <c r="G9" s="51" t="s">
        <v>351</v>
      </c>
    </row>
    <row r="10" customFormat="false" ht="30" hidden="false" customHeight="true" outlineLevel="0" collapsed="false">
      <c r="A10" s="58" t="n">
        <v>6</v>
      </c>
      <c r="B10" s="33" t="s">
        <v>362</v>
      </c>
      <c r="C10" s="53" t="s">
        <v>363</v>
      </c>
      <c r="D10" s="53" t="s">
        <v>364</v>
      </c>
      <c r="E10" s="41" t="n">
        <f aca="false">COUNTIF(tblKasaHareket[],"AŞIRI TUTAR")</f>
        <v>0</v>
      </c>
      <c r="F10" s="59" t="str">
        <f aca="false">IF($E10="MANUEL KONTROL","PENDING","PASS")</f>
        <v>PASS</v>
      </c>
      <c r="G10" s="51" t="s">
        <v>351</v>
      </c>
    </row>
    <row r="11" customFormat="false" ht="30" hidden="false" customHeight="true" outlineLevel="0" collapsed="false">
      <c r="A11" s="58" t="n">
        <v>7</v>
      </c>
      <c r="B11" s="33" t="s">
        <v>365</v>
      </c>
      <c r="C11" s="53" t="s">
        <v>366</v>
      </c>
      <c r="D11" s="53" t="s">
        <v>367</v>
      </c>
      <c r="E11" s="41" t="n">
        <f aca="false">COUNTIF(tblTakvim[],"VADE GEÇTİ")</f>
        <v>0</v>
      </c>
      <c r="F11" s="59" t="str">
        <f aca="false">IF($E11="MANUEL KONTROL","PENDING","PASS")</f>
        <v>PASS</v>
      </c>
      <c r="G11" s="51" t="s">
        <v>351</v>
      </c>
    </row>
    <row r="12" customFormat="false" ht="30" hidden="false" customHeight="true" outlineLevel="0" collapsed="false">
      <c r="A12" s="58" t="n">
        <v>8</v>
      </c>
      <c r="B12" s="33" t="s">
        <v>368</v>
      </c>
      <c r="C12" s="53" t="s">
        <v>369</v>
      </c>
      <c r="D12" s="53" t="s">
        <v>370</v>
      </c>
      <c r="E12" s="41" t="n">
        <f aca="false">COUNTIFS(tblTakvim[],"&gt;"&amp;RaporTarihi)</f>
        <v>7</v>
      </c>
      <c r="F12" s="59" t="str">
        <f aca="false">IF($E12="MANUEL KONTROL","PENDING","PASS")</f>
        <v>PASS</v>
      </c>
      <c r="G12" s="51" t="s">
        <v>351</v>
      </c>
    </row>
    <row r="13" customFormat="false" ht="30" hidden="false" customHeight="true" outlineLevel="0" collapsed="false">
      <c r="A13" s="58" t="n">
        <v>9</v>
      </c>
      <c r="B13" s="33" t="s">
        <v>371</v>
      </c>
      <c r="C13" s="53" t="s">
        <v>372</v>
      </c>
      <c r="D13" s="53" t="s">
        <v>373</v>
      </c>
      <c r="E13" s="60" t="s">
        <v>374</v>
      </c>
      <c r="F13" s="61" t="s">
        <v>375</v>
      </c>
      <c r="G13" s="51" t="s">
        <v>376</v>
      </c>
    </row>
    <row r="14" customFormat="false" ht="30" hidden="false" customHeight="true" outlineLevel="0" collapsed="false">
      <c r="A14" s="58" t="n">
        <v>10</v>
      </c>
      <c r="B14" s="33" t="s">
        <v>377</v>
      </c>
      <c r="C14" s="53" t="s">
        <v>378</v>
      </c>
      <c r="D14" s="53" t="s">
        <v>379</v>
      </c>
      <c r="E14" s="60" t="s">
        <v>374</v>
      </c>
      <c r="F14" s="61" t="s">
        <v>375</v>
      </c>
      <c r="G14" s="51" t="s">
        <v>376</v>
      </c>
    </row>
    <row r="15" customFormat="false" ht="30" hidden="false" customHeight="true" outlineLevel="0" collapsed="false">
      <c r="A15" s="58" t="n">
        <v>11</v>
      </c>
      <c r="B15" s="33" t="s">
        <v>380</v>
      </c>
      <c r="C15" s="53" t="s">
        <v>381</v>
      </c>
      <c r="D15" s="53" t="s">
        <v>382</v>
      </c>
      <c r="E15" s="41" t="str">
        <f aca="false">IF(BekleyenOdeme=0,"OK","KONTROL")</f>
        <v>KONTROL</v>
      </c>
      <c r="F15" s="59" t="str">
        <f aca="false">IF($E15="MANUEL KONTROL","PENDING","PASS")</f>
        <v>PASS</v>
      </c>
      <c r="G15" s="51" t="s">
        <v>351</v>
      </c>
    </row>
    <row r="16" customFormat="false" ht="30" hidden="false" customHeight="true" outlineLevel="0" collapsed="false">
      <c r="A16" s="58" t="n">
        <v>12</v>
      </c>
      <c r="B16" s="33" t="s">
        <v>383</v>
      </c>
      <c r="C16" s="53" t="s">
        <v>384</v>
      </c>
      <c r="D16" s="53" t="s">
        <v>385</v>
      </c>
      <c r="E16" s="60" t="s">
        <v>374</v>
      </c>
      <c r="F16" s="61" t="s">
        <v>375</v>
      </c>
      <c r="G16" s="51" t="s">
        <v>376</v>
      </c>
    </row>
    <row r="17" customFormat="false" ht="30" hidden="false" customHeight="true" outlineLevel="0" collapsed="false">
      <c r="A17" s="58" t="n">
        <v>13</v>
      </c>
      <c r="B17" s="33" t="s">
        <v>386</v>
      </c>
      <c r="C17" s="53" t="s">
        <v>387</v>
      </c>
      <c r="D17" s="53" t="s">
        <v>388</v>
      </c>
      <c r="E17" s="60" t="s">
        <v>374</v>
      </c>
      <c r="F17" s="61" t="s">
        <v>375</v>
      </c>
      <c r="G17" s="51" t="s">
        <v>376</v>
      </c>
    </row>
    <row r="18" customFormat="false" ht="30" hidden="false" customHeight="true" outlineLevel="0" collapsed="false">
      <c r="A18" s="58" t="n">
        <v>14</v>
      </c>
      <c r="B18" s="33" t="s">
        <v>389</v>
      </c>
      <c r="C18" s="53" t="s">
        <v>390</v>
      </c>
      <c r="D18" s="53" t="s">
        <v>391</v>
      </c>
      <c r="E18" s="60" t="s">
        <v>374</v>
      </c>
      <c r="F18" s="61" t="s">
        <v>375</v>
      </c>
      <c r="G18" s="51" t="s">
        <v>376</v>
      </c>
    </row>
    <row r="19" customFormat="false" ht="30" hidden="false" customHeight="true" outlineLevel="0" collapsed="false">
      <c r="A19" s="58" t="n">
        <v>15</v>
      </c>
      <c r="B19" s="33" t="s">
        <v>392</v>
      </c>
      <c r="C19" s="53" t="s">
        <v>393</v>
      </c>
      <c r="D19" s="53" t="s">
        <v>394</v>
      </c>
      <c r="E19" s="60" t="s">
        <v>374</v>
      </c>
      <c r="F19" s="61" t="s">
        <v>375</v>
      </c>
      <c r="G19" s="51" t="s">
        <v>376</v>
      </c>
    </row>
    <row r="20" customFormat="false" ht="30" hidden="false" customHeight="true" outlineLevel="0" collapsed="false">
      <c r="A20" s="58" t="n">
        <v>16</v>
      </c>
      <c r="B20" s="33" t="s">
        <v>395</v>
      </c>
      <c r="C20" s="53" t="s">
        <v>396</v>
      </c>
      <c r="D20" s="53" t="s">
        <v>397</v>
      </c>
      <c r="E20" s="41" t="str">
        <f aca="false">IF(KullanilabilirNakit=0,"SINIR","OK")</f>
        <v>OK</v>
      </c>
      <c r="F20" s="59" t="str">
        <f aca="false">IF($E20="MANUEL KONTROL","PENDING","PASS")</f>
        <v>PASS</v>
      </c>
      <c r="G20" s="51" t="s">
        <v>351</v>
      </c>
    </row>
    <row r="21" customFormat="false" ht="30" hidden="false" customHeight="true" outlineLevel="0" collapsed="false">
      <c r="A21" s="58" t="n">
        <v>17</v>
      </c>
      <c r="B21" s="33" t="s">
        <v>398</v>
      </c>
      <c r="C21" s="53" t="s">
        <v>399</v>
      </c>
      <c r="D21" s="53" t="s">
        <v>400</v>
      </c>
      <c r="E21" s="60" t="s">
        <v>374</v>
      </c>
      <c r="F21" s="61" t="s">
        <v>375</v>
      </c>
      <c r="G21" s="51" t="s">
        <v>376</v>
      </c>
    </row>
    <row r="22" customFormat="false" ht="30" hidden="false" customHeight="true" outlineLevel="0" collapsed="false">
      <c r="A22" s="58" t="n">
        <v>18</v>
      </c>
      <c r="B22" s="33" t="s">
        <v>401</v>
      </c>
      <c r="C22" s="53" t="s">
        <v>402</v>
      </c>
      <c r="D22" s="53" t="s">
        <v>403</v>
      </c>
      <c r="E22" s="60" t="s">
        <v>374</v>
      </c>
      <c r="F22" s="61" t="s">
        <v>375</v>
      </c>
      <c r="G22" s="51" t="s">
        <v>376</v>
      </c>
    </row>
    <row r="23" customFormat="false" ht="30" hidden="false" customHeight="true" outlineLevel="0" collapsed="false">
      <c r="A23" s="58" t="n">
        <v>19</v>
      </c>
      <c r="B23" s="33" t="s">
        <v>404</v>
      </c>
      <c r="C23" s="53" t="s">
        <v>405</v>
      </c>
      <c r="D23" s="53" t="s">
        <v>406</v>
      </c>
      <c r="E23" s="60" t="s">
        <v>374</v>
      </c>
      <c r="F23" s="61" t="s">
        <v>375</v>
      </c>
      <c r="G23" s="51" t="s">
        <v>376</v>
      </c>
    </row>
    <row r="24" customFormat="false" ht="30" hidden="false" customHeight="true" outlineLevel="0" collapsed="false">
      <c r="A24" s="58" t="n">
        <v>20</v>
      </c>
      <c r="B24" s="33" t="s">
        <v>407</v>
      </c>
      <c r="C24" s="53" t="s">
        <v>408</v>
      </c>
      <c r="D24" s="53" t="s">
        <v>409</v>
      </c>
      <c r="E24" s="60" t="s">
        <v>374</v>
      </c>
      <c r="F24" s="61" t="s">
        <v>375</v>
      </c>
      <c r="G24" s="51" t="s">
        <v>376</v>
      </c>
    </row>
  </sheetData>
  <sheetProtection sheet="true" password="cc3d" objects="true" scenarios="true" deleteColumns="false" deleteRows="false"/>
  <mergeCells count="2">
    <mergeCell ref="A1:L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60"/>
    <col collapsed="false" customWidth="true" hidden="false" outlineLevel="0" max="4" min="4" style="0" width="14"/>
  </cols>
  <sheetData>
    <row r="1" customFormat="false" ht="25.5" hidden="false" customHeight="true" outlineLevel="0" collapsed="false">
      <c r="A1" s="12" t="s">
        <v>410</v>
      </c>
      <c r="B1" s="12"/>
      <c r="C1" s="12"/>
      <c r="D1" s="12"/>
      <c r="E1" s="12"/>
      <c r="F1" s="12"/>
      <c r="G1" s="12"/>
      <c r="H1" s="12"/>
    </row>
    <row r="4" customFormat="false" ht="30" hidden="false" customHeight="true" outlineLevel="0" collapsed="false">
      <c r="A4" s="14" t="s">
        <v>62</v>
      </c>
      <c r="B4" s="14" t="s">
        <v>319</v>
      </c>
      <c r="C4" s="14" t="s">
        <v>411</v>
      </c>
      <c r="D4" s="14" t="s">
        <v>412</v>
      </c>
    </row>
    <row r="5" customFormat="false" ht="15" hidden="false" customHeight="false" outlineLevel="0" collapsed="false">
      <c r="A5" s="62" t="n">
        <v>46242</v>
      </c>
      <c r="B5" s="33" t="s">
        <v>413</v>
      </c>
      <c r="C5" s="33" t="s">
        <v>414</v>
      </c>
      <c r="D5" s="33" t="s">
        <v>7</v>
      </c>
    </row>
  </sheetData>
  <sheetProtection sheet="true" password="cc3d" objects="true" scenarios="true" deleteColumns="false" deleteRows="false"/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6"/>
    <col collapsed="false" customWidth="true" hidden="false" outlineLevel="0" max="4" min="4" style="0" width="17"/>
    <col collapsed="false" customWidth="true" hidden="false" outlineLevel="0" max="7" min="5" style="0" width="16"/>
    <col collapsed="false" customWidth="true" hidden="false" outlineLevel="0" max="8" min="8" style="0" width="17"/>
    <col collapsed="false" customWidth="true" hidden="false" outlineLevel="0" max="10" min="9" style="0" width="16"/>
  </cols>
  <sheetData>
    <row r="1" customFormat="false" ht="25.5" hidden="false" customHeight="true" outlineLevel="0" collapsed="false">
      <c r="A1" s="12" t="s">
        <v>415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customFormat="false" ht="19.5" hidden="false" customHeight="true" outlineLevel="0" collapsed="false">
      <c r="A2" s="11" t="s">
        <v>416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customFormat="false" ht="15" hidden="false" customHeight="false" outlineLevel="0" collapsed="false">
      <c r="A3" s="63" t="s">
        <v>417</v>
      </c>
      <c r="B3" s="63" t="s">
        <v>66</v>
      </c>
      <c r="C3" s="63" t="s">
        <v>67</v>
      </c>
      <c r="D3" s="63" t="s">
        <v>69</v>
      </c>
      <c r="E3" s="63" t="s">
        <v>418</v>
      </c>
      <c r="F3" s="63" t="s">
        <v>419</v>
      </c>
      <c r="G3" s="63" t="s">
        <v>138</v>
      </c>
      <c r="H3" s="63" t="s">
        <v>420</v>
      </c>
      <c r="I3" s="63" t="s">
        <v>164</v>
      </c>
      <c r="J3" s="63" t="s">
        <v>30</v>
      </c>
    </row>
    <row r="4" customFormat="false" ht="15" hidden="false" customHeight="false" outlineLevel="0" collapsed="false">
      <c r="A4" s="64" t="s">
        <v>40</v>
      </c>
      <c r="B4" s="64" t="s">
        <v>77</v>
      </c>
      <c r="C4" s="64" t="s">
        <v>78</v>
      </c>
      <c r="D4" s="64" t="s">
        <v>80</v>
      </c>
      <c r="E4" s="64" t="s">
        <v>41</v>
      </c>
      <c r="F4" s="64" t="s">
        <v>143</v>
      </c>
      <c r="G4" s="64" t="s">
        <v>142</v>
      </c>
      <c r="H4" s="64" t="s">
        <v>144</v>
      </c>
      <c r="I4" s="64" t="s">
        <v>421</v>
      </c>
      <c r="J4" s="64" t="s">
        <v>51</v>
      </c>
    </row>
    <row r="5" customFormat="false" ht="15" hidden="false" customHeight="false" outlineLevel="0" collapsed="false">
      <c r="A5" s="64" t="s">
        <v>45</v>
      </c>
      <c r="B5" s="64" t="s">
        <v>92</v>
      </c>
      <c r="C5" s="64" t="s">
        <v>86</v>
      </c>
      <c r="D5" s="64" t="s">
        <v>88</v>
      </c>
      <c r="E5" s="64" t="s">
        <v>58</v>
      </c>
      <c r="F5" s="64" t="s">
        <v>92</v>
      </c>
      <c r="G5" s="64" t="s">
        <v>146</v>
      </c>
      <c r="H5" s="64" t="s">
        <v>337</v>
      </c>
      <c r="I5" s="64" t="s">
        <v>422</v>
      </c>
      <c r="J5" s="64" t="s">
        <v>423</v>
      </c>
    </row>
    <row r="6" customFormat="false" ht="15" hidden="false" customHeight="false" outlineLevel="0" collapsed="false">
      <c r="A6" s="65"/>
      <c r="B6" s="64" t="s">
        <v>85</v>
      </c>
      <c r="C6" s="64" t="s">
        <v>130</v>
      </c>
      <c r="D6" s="64" t="s">
        <v>100</v>
      </c>
      <c r="E6" s="65"/>
      <c r="F6" s="65"/>
      <c r="G6" s="64" t="s">
        <v>148</v>
      </c>
      <c r="H6" s="64" t="s">
        <v>424</v>
      </c>
      <c r="I6" s="64" t="s">
        <v>425</v>
      </c>
      <c r="J6" s="64" t="s">
        <v>46</v>
      </c>
    </row>
    <row r="7" customFormat="false" ht="15" hidden="false" customHeight="false" outlineLevel="0" collapsed="false">
      <c r="A7" s="65"/>
      <c r="B7" s="64" t="s">
        <v>97</v>
      </c>
      <c r="C7" s="64" t="s">
        <v>98</v>
      </c>
      <c r="D7" s="64" t="s">
        <v>426</v>
      </c>
      <c r="E7" s="65"/>
      <c r="F7" s="65"/>
      <c r="G7" s="64" t="s">
        <v>150</v>
      </c>
      <c r="H7" s="65"/>
      <c r="I7" s="65"/>
      <c r="J7" s="64" t="s">
        <v>56</v>
      </c>
    </row>
    <row r="8" customFormat="false" ht="15" hidden="false" customHeight="false" outlineLevel="0" collapsed="false">
      <c r="A8" s="65"/>
      <c r="B8" s="64" t="s">
        <v>115</v>
      </c>
      <c r="C8" s="64" t="s">
        <v>105</v>
      </c>
      <c r="D8" s="64" t="s">
        <v>427</v>
      </c>
      <c r="E8" s="65"/>
      <c r="F8" s="65"/>
      <c r="G8" s="65"/>
      <c r="H8" s="65"/>
      <c r="I8" s="65"/>
      <c r="J8" s="64" t="s">
        <v>428</v>
      </c>
    </row>
    <row r="9" customFormat="false" ht="15" hidden="false" customHeight="false" outlineLevel="0" collapsed="false">
      <c r="A9" s="65"/>
      <c r="B9" s="64" t="s">
        <v>104</v>
      </c>
      <c r="C9" s="64" t="s">
        <v>429</v>
      </c>
      <c r="D9" s="64" t="s">
        <v>132</v>
      </c>
      <c r="E9" s="65"/>
      <c r="F9" s="65"/>
      <c r="G9" s="65"/>
      <c r="H9" s="65"/>
      <c r="I9" s="65"/>
      <c r="J9" s="64" t="s">
        <v>430</v>
      </c>
    </row>
    <row r="10" customFormat="false" ht="15" hidden="false" customHeight="false" outlineLevel="0" collapsed="false">
      <c r="A10" s="65"/>
      <c r="B10" s="64" t="s">
        <v>120</v>
      </c>
      <c r="C10" s="64" t="s">
        <v>431</v>
      </c>
      <c r="D10" s="64" t="s">
        <v>432</v>
      </c>
      <c r="E10" s="65"/>
      <c r="F10" s="65"/>
      <c r="G10" s="65"/>
      <c r="H10" s="65"/>
      <c r="I10" s="65"/>
      <c r="J10" s="64" t="s">
        <v>433</v>
      </c>
    </row>
    <row r="11" customFormat="false" ht="15" hidden="false" customHeight="false" outlineLevel="0" collapsed="false">
      <c r="A11" s="65"/>
      <c r="B11" s="64" t="s">
        <v>434</v>
      </c>
      <c r="C11" s="64" t="s">
        <v>435</v>
      </c>
      <c r="D11" s="64" t="s">
        <v>436</v>
      </c>
      <c r="E11" s="65"/>
      <c r="F11" s="65"/>
      <c r="G11" s="65"/>
      <c r="H11" s="65"/>
      <c r="I11" s="65"/>
      <c r="J11" s="64" t="s">
        <v>437</v>
      </c>
    </row>
    <row r="12" customFormat="false" ht="15" hidden="false" customHeight="false" outlineLevel="0" collapsed="false">
      <c r="A12" s="65"/>
      <c r="B12" s="64" t="s">
        <v>438</v>
      </c>
      <c r="C12" s="64" t="s">
        <v>439</v>
      </c>
      <c r="D12" s="65"/>
      <c r="E12" s="65"/>
      <c r="F12" s="65"/>
      <c r="G12" s="65"/>
      <c r="H12" s="65"/>
      <c r="I12" s="65"/>
      <c r="J12" s="65"/>
    </row>
    <row r="13" customFormat="false" ht="15" hidden="false" customHeight="false" outlineLevel="0" collapsed="false">
      <c r="A13" s="65"/>
      <c r="B13" s="64" t="s">
        <v>440</v>
      </c>
      <c r="C13" s="64" t="s">
        <v>441</v>
      </c>
      <c r="D13" s="65"/>
      <c r="E13" s="65"/>
      <c r="F13" s="65"/>
      <c r="G13" s="65"/>
      <c r="H13" s="65"/>
      <c r="I13" s="65"/>
      <c r="J13" s="65"/>
    </row>
    <row r="14" customFormat="false" ht="15" hidden="false" customHeight="false" outlineLevel="0" collapsed="false">
      <c r="A14" s="65"/>
      <c r="B14" s="64" t="s">
        <v>442</v>
      </c>
      <c r="C14" s="64" t="s">
        <v>443</v>
      </c>
      <c r="D14" s="65"/>
      <c r="E14" s="65"/>
      <c r="F14" s="65"/>
      <c r="G14" s="65"/>
      <c r="H14" s="65"/>
      <c r="I14" s="65"/>
      <c r="J14" s="65"/>
    </row>
    <row r="15" customFormat="false" ht="15" hidden="false" customHeight="false" outlineLevel="0" collapsed="false">
      <c r="A15" s="65"/>
      <c r="B15" s="64" t="s">
        <v>444</v>
      </c>
      <c r="C15" s="64" t="s">
        <v>110</v>
      </c>
      <c r="D15" s="65"/>
      <c r="E15" s="65"/>
      <c r="F15" s="65"/>
      <c r="G15" s="65"/>
      <c r="H15" s="65"/>
      <c r="I15" s="65"/>
      <c r="J15" s="65"/>
    </row>
    <row r="16" customFormat="false" ht="15" hidden="false" customHeight="false" outlineLevel="0" collapsed="false">
      <c r="A16" s="65"/>
      <c r="B16" s="64" t="s">
        <v>445</v>
      </c>
      <c r="C16" s="64" t="s">
        <v>446</v>
      </c>
      <c r="D16" s="65"/>
      <c r="E16" s="65"/>
      <c r="F16" s="65"/>
      <c r="G16" s="65"/>
      <c r="H16" s="65"/>
      <c r="I16" s="65"/>
      <c r="J16" s="65"/>
    </row>
    <row r="17" customFormat="false" ht="15" hidden="false" customHeight="false" outlineLevel="0" collapsed="false">
      <c r="A17" s="65"/>
      <c r="B17" s="64" t="s">
        <v>125</v>
      </c>
      <c r="C17" s="65"/>
      <c r="D17" s="65"/>
      <c r="E17" s="65"/>
      <c r="F17" s="65"/>
      <c r="G17" s="65"/>
      <c r="H17" s="65"/>
      <c r="I17" s="65"/>
      <c r="J17" s="65"/>
    </row>
    <row r="18" customFormat="false" ht="15" hidden="false" customHeight="false" outlineLevel="0" collapsed="false">
      <c r="A18" s="65"/>
      <c r="B18" s="64" t="s">
        <v>447</v>
      </c>
      <c r="C18" s="65"/>
      <c r="D18" s="65"/>
      <c r="E18" s="65"/>
      <c r="F18" s="65"/>
      <c r="G18" s="65"/>
      <c r="H18" s="65"/>
      <c r="I18" s="65"/>
      <c r="J18" s="65"/>
    </row>
    <row r="19" customFormat="false" ht="15" hidden="false" customHeight="false" outlineLevel="0" collapsed="false">
      <c r="A19" s="65"/>
      <c r="B19" s="64" t="s">
        <v>448</v>
      </c>
      <c r="C19" s="65"/>
      <c r="D19" s="65"/>
      <c r="E19" s="65"/>
      <c r="F19" s="65"/>
      <c r="G19" s="65"/>
      <c r="H19" s="65"/>
      <c r="I19" s="65"/>
      <c r="J19" s="65"/>
    </row>
    <row r="20" customFormat="false" ht="15" hidden="false" customHeight="false" outlineLevel="0" collapsed="false">
      <c r="A20" s="65"/>
      <c r="B20" s="64" t="s">
        <v>449</v>
      </c>
      <c r="C20" s="65"/>
      <c r="D20" s="65"/>
      <c r="E20" s="65"/>
      <c r="F20" s="65"/>
      <c r="G20" s="65"/>
      <c r="H20" s="65"/>
      <c r="I20" s="65"/>
      <c r="J20" s="65"/>
    </row>
    <row r="21" customFormat="false" ht="15" hidden="false" customHeight="false" outlineLevel="0" collapsed="false">
      <c r="A21" s="65"/>
      <c r="B21" s="64" t="s">
        <v>450</v>
      </c>
      <c r="C21" s="65"/>
      <c r="D21" s="65"/>
      <c r="E21" s="65"/>
      <c r="F21" s="65"/>
      <c r="G21" s="65"/>
      <c r="H21" s="65"/>
      <c r="I21" s="65"/>
      <c r="J21" s="65"/>
    </row>
    <row r="22" customFormat="false" ht="15" hidden="false" customHeight="false" outlineLevel="0" collapsed="false">
      <c r="A22" s="65"/>
      <c r="B22" s="64" t="s">
        <v>451</v>
      </c>
      <c r="C22" s="65"/>
      <c r="D22" s="65"/>
      <c r="E22" s="65"/>
      <c r="F22" s="65"/>
      <c r="G22" s="65"/>
      <c r="H22" s="65"/>
      <c r="I22" s="65"/>
      <c r="J22" s="65"/>
    </row>
    <row r="23" customFormat="false" ht="15" hidden="false" customHeight="false" outlineLevel="0" collapsed="false">
      <c r="A23" s="65"/>
      <c r="B23" s="64" t="s">
        <v>452</v>
      </c>
      <c r="C23" s="65"/>
      <c r="D23" s="65"/>
      <c r="E23" s="65"/>
      <c r="F23" s="65"/>
      <c r="G23" s="65"/>
      <c r="H23" s="65"/>
      <c r="I23" s="65"/>
      <c r="J23" s="65"/>
    </row>
    <row r="24" customFormat="false" ht="15" hidden="false" customHeight="false" outlineLevel="0" collapsed="false">
      <c r="B24" s="64" t="s">
        <v>453</v>
      </c>
    </row>
  </sheetData>
  <sheetProtection sheet="true" password="cc3d" objects="true" scenarios="true" deleteColumns="false" deleteRows="false"/>
  <mergeCells count="2">
    <mergeCell ref="A1:N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52"/>
    <col collapsed="false" customWidth="true" hidden="false" outlineLevel="0" max="7" min="7" style="0" width="22"/>
    <col collapsed="false" customWidth="true" hidden="false" outlineLevel="0" max="9" min="8" style="0" width="14"/>
  </cols>
  <sheetData>
    <row r="1" customFormat="false" ht="25.5" hidden="false" customHeight="true" outlineLevel="0" collapsed="false">
      <c r="A1" s="12" t="s">
        <v>454</v>
      </c>
      <c r="B1" s="12"/>
      <c r="C1" s="12"/>
      <c r="D1" s="12"/>
      <c r="E1" s="12"/>
      <c r="F1" s="12"/>
      <c r="G1" s="12"/>
      <c r="H1" s="12"/>
      <c r="I1" s="12"/>
      <c r="J1" s="12"/>
    </row>
    <row r="2" customFormat="false" ht="19.5" hidden="false" customHeight="true" outlineLevel="0" collapsed="false">
      <c r="A2" s="11" t="s">
        <v>455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4" customFormat="false" ht="15" hidden="false" customHeight="false" outlineLevel="0" collapsed="false">
      <c r="A4" s="27" t="s">
        <v>456</v>
      </c>
    </row>
    <row r="5" customFormat="false" ht="15" hidden="false" customHeight="false" outlineLevel="0" collapsed="false">
      <c r="A5" s="28" t="s">
        <v>457</v>
      </c>
      <c r="B5" s="66" t="s">
        <v>458</v>
      </c>
      <c r="C5" s="67" t="s">
        <v>459</v>
      </c>
      <c r="D5" s="67" t="s">
        <v>460</v>
      </c>
      <c r="E5" s="67" t="s">
        <v>37</v>
      </c>
    </row>
    <row r="6" customFormat="false" ht="15" hidden="false" customHeight="false" outlineLevel="0" collapsed="false">
      <c r="A6" s="28" t="s">
        <v>461</v>
      </c>
      <c r="B6" s="66"/>
      <c r="C6" s="67" t="s">
        <v>459</v>
      </c>
      <c r="D6" s="67" t="s">
        <v>460</v>
      </c>
      <c r="E6" s="67" t="s">
        <v>37</v>
      </c>
    </row>
    <row r="7" customFormat="false" ht="15" hidden="false" customHeight="false" outlineLevel="0" collapsed="false">
      <c r="A7" s="28" t="s">
        <v>275</v>
      </c>
      <c r="B7" s="22" t="n">
        <v>46242</v>
      </c>
      <c r="C7" s="67" t="s">
        <v>459</v>
      </c>
      <c r="D7" s="67" t="s">
        <v>460</v>
      </c>
      <c r="E7" s="67" t="s">
        <v>37</v>
      </c>
    </row>
    <row r="8" customFormat="false" ht="15" hidden="false" customHeight="false" outlineLevel="0" collapsed="false">
      <c r="A8" s="28" t="s">
        <v>462</v>
      </c>
      <c r="B8" s="66" t="s">
        <v>165</v>
      </c>
      <c r="C8" s="67" t="s">
        <v>459</v>
      </c>
      <c r="D8" s="67" t="s">
        <v>460</v>
      </c>
      <c r="E8" s="67" t="s">
        <v>37</v>
      </c>
    </row>
    <row r="9" customFormat="false" ht="15" hidden="false" customHeight="false" outlineLevel="0" collapsed="false">
      <c r="A9" s="28" t="s">
        <v>463</v>
      </c>
      <c r="B9" s="66" t="s">
        <v>464</v>
      </c>
      <c r="C9" s="67" t="s">
        <v>459</v>
      </c>
      <c r="D9" s="67" t="s">
        <v>460</v>
      </c>
      <c r="E9" s="67" t="s">
        <v>37</v>
      </c>
    </row>
    <row r="10" customFormat="false" ht="15" hidden="false" customHeight="false" outlineLevel="0" collapsed="false">
      <c r="A10" s="28" t="s">
        <v>465</v>
      </c>
      <c r="B10" s="66" t="s">
        <v>413</v>
      </c>
      <c r="C10" s="67" t="s">
        <v>459</v>
      </c>
      <c r="D10" s="67" t="s">
        <v>460</v>
      </c>
      <c r="E10" s="67" t="s">
        <v>37</v>
      </c>
    </row>
    <row r="11" customFormat="false" ht="15" hidden="false" customHeight="false" outlineLevel="0" collapsed="false">
      <c r="A11" s="28" t="s">
        <v>466</v>
      </c>
      <c r="B11" s="66" t="s">
        <v>467</v>
      </c>
      <c r="C11" s="67" t="s">
        <v>459</v>
      </c>
      <c r="D11" s="67" t="s">
        <v>460</v>
      </c>
      <c r="E11" s="67" t="s">
        <v>37</v>
      </c>
    </row>
    <row r="13" customFormat="false" ht="15" hidden="false" customHeight="false" outlineLevel="0" collapsed="false">
      <c r="A13" s="27" t="s">
        <v>468</v>
      </c>
    </row>
    <row r="14" customFormat="false" ht="15" hidden="false" customHeight="false" outlineLevel="0" collapsed="false">
      <c r="A14" s="68" t="s">
        <v>469</v>
      </c>
      <c r="B14" s="68" t="s">
        <v>470</v>
      </c>
      <c r="C14" s="68" t="s">
        <v>471</v>
      </c>
      <c r="D14" s="68" t="s">
        <v>472</v>
      </c>
      <c r="E14" s="68" t="s">
        <v>473</v>
      </c>
      <c r="F14" s="68" t="s">
        <v>474</v>
      </c>
      <c r="G14" s="68" t="s">
        <v>475</v>
      </c>
      <c r="H14" s="68" t="s">
        <v>476</v>
      </c>
      <c r="I14" s="68" t="s">
        <v>477</v>
      </c>
    </row>
    <row r="15" customFormat="false" ht="19.5" hidden="false" customHeight="true" outlineLevel="0" collapsed="false">
      <c r="A15" s="28" t="s">
        <v>478</v>
      </c>
      <c r="B15" s="18" t="n">
        <v>500000</v>
      </c>
      <c r="C15" s="69" t="n">
        <v>0</v>
      </c>
      <c r="D15" s="69" t="n">
        <v>1000000000</v>
      </c>
      <c r="E15" s="55" t="s">
        <v>479</v>
      </c>
      <c r="F15" s="51" t="s">
        <v>480</v>
      </c>
      <c r="G15" s="51" t="s">
        <v>481</v>
      </c>
      <c r="H15" s="70" t="s">
        <v>482</v>
      </c>
      <c r="I15" s="70" t="s">
        <v>482</v>
      </c>
    </row>
    <row r="16" customFormat="false" ht="19.5" hidden="false" customHeight="true" outlineLevel="0" collapsed="false">
      <c r="A16" s="28" t="s">
        <v>483</v>
      </c>
      <c r="B16" s="18" t="n">
        <v>100000</v>
      </c>
      <c r="C16" s="69" t="n">
        <v>0</v>
      </c>
      <c r="D16" s="69" t="n">
        <v>100000000</v>
      </c>
      <c r="E16" s="55" t="s">
        <v>479</v>
      </c>
      <c r="F16" s="51" t="s">
        <v>484</v>
      </c>
      <c r="G16" s="51" t="s">
        <v>485</v>
      </c>
      <c r="H16" s="70" t="s">
        <v>482</v>
      </c>
      <c r="I16" s="70" t="s">
        <v>482</v>
      </c>
    </row>
    <row r="17" customFormat="false" ht="19.5" hidden="false" customHeight="true" outlineLevel="0" collapsed="false">
      <c r="A17" s="28" t="s">
        <v>486</v>
      </c>
      <c r="B17" s="71" t="n">
        <v>30</v>
      </c>
      <c r="C17" s="72" t="n">
        <v>1</v>
      </c>
      <c r="D17" s="72" t="n">
        <v>365</v>
      </c>
      <c r="E17" s="55" t="s">
        <v>487</v>
      </c>
      <c r="F17" s="51" t="s">
        <v>488</v>
      </c>
      <c r="G17" s="51" t="s">
        <v>485</v>
      </c>
      <c r="H17" s="70" t="s">
        <v>482</v>
      </c>
      <c r="I17" s="70" t="s">
        <v>482</v>
      </c>
    </row>
    <row r="18" customFormat="false" ht="19.5" hidden="false" customHeight="true" outlineLevel="0" collapsed="false">
      <c r="A18" s="28" t="s">
        <v>489</v>
      </c>
      <c r="B18" s="18" t="n">
        <v>50000</v>
      </c>
      <c r="C18" s="69" t="n">
        <v>0</v>
      </c>
      <c r="D18" s="69" t="n">
        <v>10000000</v>
      </c>
      <c r="E18" s="55" t="s">
        <v>479</v>
      </c>
      <c r="F18" s="51" t="s">
        <v>490</v>
      </c>
      <c r="G18" s="51" t="s">
        <v>485</v>
      </c>
      <c r="H18" s="70" t="s">
        <v>482</v>
      </c>
      <c r="I18" s="70" t="s">
        <v>482</v>
      </c>
    </row>
    <row r="19" customFormat="false" ht="19.5" hidden="false" customHeight="true" outlineLevel="0" collapsed="false">
      <c r="A19" s="28" t="s">
        <v>491</v>
      </c>
      <c r="B19" s="73" t="n">
        <v>2</v>
      </c>
      <c r="C19" s="74" t="n">
        <v>1</v>
      </c>
      <c r="D19" s="74" t="n">
        <v>10</v>
      </c>
      <c r="E19" s="55" t="s">
        <v>492</v>
      </c>
      <c r="F19" s="51" t="s">
        <v>493</v>
      </c>
      <c r="G19" s="51" t="s">
        <v>485</v>
      </c>
      <c r="H19" s="70" t="s">
        <v>482</v>
      </c>
      <c r="I19" s="70" t="s">
        <v>482</v>
      </c>
    </row>
    <row r="20" customFormat="false" ht="19.5" hidden="false" customHeight="true" outlineLevel="0" collapsed="false">
      <c r="A20" s="28" t="s">
        <v>494</v>
      </c>
      <c r="B20" s="18" t="n">
        <v>100</v>
      </c>
      <c r="C20" s="69" t="n">
        <v>0</v>
      </c>
      <c r="D20" s="69" t="n">
        <v>100000</v>
      </c>
      <c r="E20" s="55" t="s">
        <v>479</v>
      </c>
      <c r="F20" s="51" t="s">
        <v>495</v>
      </c>
      <c r="G20" s="51" t="s">
        <v>485</v>
      </c>
      <c r="H20" s="70" t="s">
        <v>482</v>
      </c>
      <c r="I20" s="70" t="s">
        <v>482</v>
      </c>
    </row>
    <row r="21" customFormat="false" ht="19.5" hidden="false" customHeight="true" outlineLevel="0" collapsed="false">
      <c r="A21" s="28" t="s">
        <v>496</v>
      </c>
      <c r="B21" s="75" t="n">
        <v>100000000</v>
      </c>
      <c r="C21" s="76" t="n">
        <v>1</v>
      </c>
      <c r="D21" s="76" t="n">
        <v>100000000000</v>
      </c>
      <c r="E21" s="55" t="s">
        <v>479</v>
      </c>
      <c r="F21" s="51" t="s">
        <v>497</v>
      </c>
      <c r="G21" s="51" t="s">
        <v>485</v>
      </c>
      <c r="H21" s="70" t="s">
        <v>482</v>
      </c>
      <c r="I21" s="70" t="s">
        <v>482</v>
      </c>
    </row>
    <row r="22" customFormat="false" ht="19.5" hidden="false" customHeight="true" outlineLevel="0" collapsed="false">
      <c r="A22" s="28" t="s">
        <v>498</v>
      </c>
      <c r="B22" s="46" t="n">
        <v>0.1</v>
      </c>
      <c r="C22" s="77" t="n">
        <v>0</v>
      </c>
      <c r="D22" s="77" t="n">
        <v>1</v>
      </c>
      <c r="E22" s="55" t="s">
        <v>499</v>
      </c>
      <c r="F22" s="51" t="s">
        <v>500</v>
      </c>
      <c r="G22" s="51" t="s">
        <v>485</v>
      </c>
      <c r="H22" s="70" t="s">
        <v>482</v>
      </c>
      <c r="I22" s="70" t="s">
        <v>482</v>
      </c>
    </row>
    <row r="23" customFormat="false" ht="19.5" hidden="false" customHeight="true" outlineLevel="0" collapsed="false">
      <c r="A23" s="28" t="s">
        <v>501</v>
      </c>
      <c r="B23" s="18" t="n">
        <v>100000</v>
      </c>
      <c r="C23" s="69" t="n">
        <v>0</v>
      </c>
      <c r="D23" s="69" t="n">
        <v>1000000000</v>
      </c>
      <c r="E23" s="55" t="s">
        <v>479</v>
      </c>
      <c r="F23" s="51" t="s">
        <v>502</v>
      </c>
      <c r="G23" s="51" t="s">
        <v>485</v>
      </c>
      <c r="H23" s="70" t="s">
        <v>482</v>
      </c>
      <c r="I23" s="70" t="s">
        <v>482</v>
      </c>
    </row>
    <row r="24" customFormat="false" ht="19.5" hidden="false" customHeight="true" outlineLevel="0" collapsed="false">
      <c r="A24" s="28" t="s">
        <v>503</v>
      </c>
      <c r="B24" s="46" t="n">
        <v>0.1</v>
      </c>
      <c r="C24" s="77" t="n">
        <v>0.01</v>
      </c>
      <c r="D24" s="77" t="n">
        <v>1</v>
      </c>
      <c r="E24" s="55" t="s">
        <v>499</v>
      </c>
      <c r="F24" s="51" t="s">
        <v>504</v>
      </c>
      <c r="G24" s="51" t="s">
        <v>485</v>
      </c>
      <c r="H24" s="70" t="s">
        <v>482</v>
      </c>
      <c r="I24" s="70" t="s">
        <v>482</v>
      </c>
    </row>
    <row r="25" customFormat="false" ht="19.5" hidden="false" customHeight="true" outlineLevel="0" collapsed="false">
      <c r="A25" s="28" t="s">
        <v>505</v>
      </c>
      <c r="B25" s="78" t="n">
        <v>80</v>
      </c>
      <c r="C25" s="79" t="n">
        <v>0</v>
      </c>
      <c r="D25" s="79" t="n">
        <v>100</v>
      </c>
      <c r="E25" s="55" t="s">
        <v>506</v>
      </c>
      <c r="F25" s="51" t="s">
        <v>507</v>
      </c>
      <c r="G25" s="51" t="s">
        <v>485</v>
      </c>
      <c r="H25" s="70" t="s">
        <v>482</v>
      </c>
      <c r="I25" s="70" t="s">
        <v>482</v>
      </c>
    </row>
    <row r="26" customFormat="false" ht="19.5" hidden="false" customHeight="true" outlineLevel="0" collapsed="false">
      <c r="A26" s="28" t="s">
        <v>508</v>
      </c>
      <c r="B26" s="78" t="n">
        <v>50</v>
      </c>
      <c r="C26" s="79" t="n">
        <v>0</v>
      </c>
      <c r="D26" s="79" t="n">
        <v>100</v>
      </c>
      <c r="E26" s="55" t="s">
        <v>506</v>
      </c>
      <c r="F26" s="51" t="s">
        <v>509</v>
      </c>
      <c r="G26" s="51" t="s">
        <v>485</v>
      </c>
      <c r="H26" s="70" t="s">
        <v>482</v>
      </c>
      <c r="I26" s="70" t="s">
        <v>482</v>
      </c>
    </row>
    <row r="27" customFormat="false" ht="19.5" hidden="false" customHeight="true" outlineLevel="0" collapsed="false">
      <c r="A27" s="28" t="s">
        <v>510</v>
      </c>
      <c r="B27" s="78" t="n">
        <v>5</v>
      </c>
      <c r="C27" s="79" t="n">
        <v>0</v>
      </c>
      <c r="D27" s="79" t="n">
        <v>20</v>
      </c>
      <c r="E27" s="55" t="s">
        <v>506</v>
      </c>
      <c r="F27" s="51" t="s">
        <v>511</v>
      </c>
      <c r="G27" s="51" t="s">
        <v>485</v>
      </c>
      <c r="H27" s="70" t="s">
        <v>482</v>
      </c>
      <c r="I27" s="70" t="s">
        <v>482</v>
      </c>
    </row>
    <row r="28" customFormat="false" ht="19.5" hidden="false" customHeight="true" outlineLevel="0" collapsed="false">
      <c r="A28" s="28" t="s">
        <v>512</v>
      </c>
      <c r="B28" s="78" t="n">
        <v>10</v>
      </c>
      <c r="C28" s="79" t="n">
        <v>0</v>
      </c>
      <c r="D28" s="79" t="n">
        <v>50</v>
      </c>
      <c r="E28" s="55" t="s">
        <v>506</v>
      </c>
      <c r="F28" s="51" t="s">
        <v>513</v>
      </c>
      <c r="G28" s="51" t="s">
        <v>485</v>
      </c>
      <c r="H28" s="70" t="s">
        <v>482</v>
      </c>
      <c r="I28" s="70" t="s">
        <v>482</v>
      </c>
    </row>
    <row r="29" customFormat="false" ht="19.5" hidden="false" customHeight="true" outlineLevel="0" collapsed="false">
      <c r="A29" s="28" t="s">
        <v>514</v>
      </c>
      <c r="B29" s="78" t="n">
        <v>5</v>
      </c>
      <c r="C29" s="79" t="n">
        <v>1</v>
      </c>
      <c r="D29" s="79" t="n">
        <v>50</v>
      </c>
      <c r="E29" s="55" t="s">
        <v>515</v>
      </c>
      <c r="F29" s="51" t="s">
        <v>516</v>
      </c>
      <c r="G29" s="51" t="s">
        <v>517</v>
      </c>
      <c r="H29" s="70" t="s">
        <v>482</v>
      </c>
      <c r="I29" s="70" t="s">
        <v>482</v>
      </c>
    </row>
    <row r="30" customFormat="false" ht="19.5" hidden="false" customHeight="true" outlineLevel="0" collapsed="false">
      <c r="A30" s="28" t="s">
        <v>518</v>
      </c>
      <c r="B30" s="71" t="n">
        <v>7</v>
      </c>
      <c r="C30" s="72" t="n">
        <v>1</v>
      </c>
      <c r="D30" s="72" t="n">
        <v>14</v>
      </c>
      <c r="E30" s="55" t="s">
        <v>487</v>
      </c>
      <c r="F30" s="51" t="s">
        <v>519</v>
      </c>
      <c r="G30" s="51" t="s">
        <v>485</v>
      </c>
      <c r="H30" s="70" t="s">
        <v>482</v>
      </c>
      <c r="I30" s="70" t="s">
        <v>482</v>
      </c>
    </row>
  </sheetData>
  <sheetProtection sheet="true" password="cc3d" objects="true" scenarios="true" deleteColumns="false" deleteRows="false"/>
  <mergeCells count="2">
    <mergeCell ref="A1:J1"/>
    <mergeCell ref="A2:AN2"/>
  </mergeCells>
  <dataValidations count="16">
    <dataValidation allowBlank="false" error="Değer 0 ile 1000000000 arasında olmalıdır." errorStyle="stop" operator="between" prompt="NAKIT_PROJEKSIYONU dönem başı kasa hesabının başlangıç değeri." promptTitle="Kasa Başlangıç Bakiyesi" showDropDown="false" showErrorMessage="true" showInputMessage="true" sqref="B15" type="decimal">
      <formula1>0</formula1>
      <formula2>1000000000</formula2>
    </dataValidation>
    <dataValidation allowBlank="false" error="Değer 0 ile 100000000 arasında olmalıdır." errorStyle="stop" operator="between" prompt="Kullanılabilir para bu değerin altındaysa karar İNCELE olur." promptTitle="Asgari Nakit Tamponu" showDropDown="false" showErrorMessage="true" showInputMessage="true" sqref="B16" type="decimal">
      <formula1>0</formula1>
      <formula2>100000000</formula2>
    </dataValidation>
    <dataValidation allowBlank="false" error="Değer 1 ile 365 arasında olmalıdır." errorStyle="stop" operator="between" prompt="Ödeme yükü hesaplanırken bakılan gün ufku." promptTitle="Kritik Ödeme Ufku (Gün)" showDropDown="false" showErrorMessage="true" showInputMessage="true" sqref="B17" type="decimal">
      <formula1>1</formula1>
      <formula2>365</formula2>
    </dataValidation>
    <dataValidation allowBlank="false" error="Değer 0 ile 10000000 arasında olmalıdır." errorStyle="stop" operator="between" prompt="Nakit açığı bu değerin altındaysa risk YÜKSEK, üzerindeyse KRİTİK sayılır." promptTitle="Kritik Risk Eşiği" showDropDown="false" showErrorMessage="true" showInputMessage="true" sqref="B18" type="decimal">
      <formula1>0</formula1>
      <formula2>10000000</formula2>
    </dataValidation>
    <dataValidation allowBlank="false" error="Değer 1.0 ile 10.0 arasında olmalıdır." errorStyle="stop" operator="between" prompt="En yüksek tek çıkışın günlük ortalamanın bu katından büyük olması anomali sayılır." promptTitle="Anomali Katsayısı" showDropDown="false" showErrorMessage="true" showInputMessage="true" sqref="B19" type="decimal">
      <formula1>1</formula1>
      <formula2>10</formula2>
    </dataValidation>
    <dataValidation allowBlank="false" error="Değer 0 ile 100000 arasında olmalıdır." errorStyle="stop" operator="between" prompt="Fiziki kasa sayımında kabul edilebilir fark." promptTitle="Mutabakat Toleransı" showDropDown="false" showErrorMessage="true" showInputMessage="true" sqref="B20" type="decimal">
      <formula1>0</formula1>
      <formula2>100000</formula2>
    </dataValidation>
    <dataValidation allowBlank="false" error="Değer 1 ile 100000000000 arasında olmalıdır." errorStyle="stop" operator="between" prompt="Tek hareketin azami tutarı; üzerindekiler AŞIRI TUTAR işaretlenir." promptTitle="Maksimum Hareket Tutarı" showDropDown="false" showErrorMessage="true" showInputMessage="true" sqref="B21" type="decimal">
      <formula1>1</formula1>
      <formula2>100000000000</formula2>
    </dataValidation>
    <dataValidation allowBlank="false" error="Değer 0 ile 1 arasında olmalıdır." errorStyle="stop" operator="between" prompt="İyimser senaryoda bekleyen tahsilatın artış oranı." promptTitle="İyimser Tahsilat Oranı" showDropDown="false" showErrorMessage="true" showInputMessage="true" sqref="B22" type="decimal">
      <formula1>0</formula1>
      <formula2>1</formula2>
    </dataValidation>
    <dataValidation allowBlank="false" error="Değer 0 ile 1000000000 arasında olmalıdır." errorStyle="stop" operator="between" prompt="Kötümser senaryoda nakit durumuna eklenen beklenmedik ödeme." promptTitle="Kötümser Ek Ödeme" showDropDown="false" showErrorMessage="true" showInputMessage="true" sqref="B23" type="decimal">
      <formula1>0</formula1>
      <formula2>1000000000</formula2>
    </dataValidation>
    <dataValidation allowBlank="false" error="Değer 0.01 ile 1 arasında olmalıdır." errorStyle="stop" operator="between" prompt="Duyarlılık analizinde değişkenlerin marjinal etkisinin hesaplandığı değişim oranı." promptTitle="Duyarlılık Değişim Oranı" showDropDown="false" showErrorMessage="true" showInputMessage="true" sqref="B24" type="decimal">
      <formula1>0.01</formula1>
      <formula2>1</formula2>
    </dataValidation>
    <dataValidation allowBlank="false" error="Değer 0 ile 100 arasında olmalıdır." errorStyle="stop" operator="between" prompt="Veri kalite skoru bu değer ve üzeriyse güven düzeyi YÜKSEK olur." promptTitle="Veri Kalite Yüksek Eşiği" showDropDown="false" showErrorMessage="true" showInputMessage="true" sqref="B25" type="decimal">
      <formula1>0</formula1>
      <formula2>100</formula2>
    </dataValidation>
    <dataValidation allowBlank="false" error="Değer 0 ile 100 arasında olmalıdır." errorStyle="stop" operator="between" prompt="Veri kalite skoru bu değerin üzerindeyse güven düzeyi ORTA olur." promptTitle="Veri Kalite Orta Eşiği" showDropDown="false" showErrorMessage="true" showInputMessage="true" sqref="B26" type="decimal">
      <formula1>0</formula1>
      <formula2>100</formula2>
    </dataValidation>
    <dataValidation allowBlank="false" error="Değer 0 ile 20 arasında olmalıdır." errorStyle="stop" operator="between" prompt="Veri kalite skorunda hafif ihlalin ceza puanı." promptTitle="Hata Ağırlığı" showDropDown="false" showErrorMessage="true" showInputMessage="true" sqref="B27" type="decimal">
      <formula1>0</formula1>
      <formula2>20</formula2>
    </dataValidation>
    <dataValidation allowBlank="false" error="Değer 0 ile 50 arasında olmalıdır." errorStyle="stop" operator="between" prompt="Veri kalite skorunda ağır ihlalin ceza puanı." promptTitle="Uyarı Ağırlığı" showDropDown="false" showErrorMessage="true" showInputMessage="true" sqref="B28" type="decimal">
      <formula1>0</formula1>
      <formula2>50</formula2>
    </dataValidation>
    <dataValidation allowBlank="false" error="Değer 1 ile 50 arasında olmalıdır." errorStyle="stop" operator="between" prompt="Veri tablolarının ilk veri satırı; kimlik formüllerinde başlangıç referansıdır." promptTitle="Tablo Başlangıç Satırı" showDropDown="false" showErrorMessage="true" showInputMessage="true" sqref="B29" type="decimal">
      <formula1>1</formula1>
      <formula2>50</formula2>
    </dataValidation>
    <dataValidation allowBlank="false" error="Değer 1 ile 14 arasında olmalıdır." errorStyle="stop" operator="between" prompt="Haftalık projeksiyonda kullanılan takvim haftası uzunluğu." promptTitle="Hafta Uzunluğu (Gün)" showDropDown="false" showErrorMessage="true" showInputMessage="true" sqref="B30" type="decimal">
      <formula1>1</formula1>
      <formula2>14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0"/>
  </cols>
  <sheetData>
    <row r="1" customFormat="false" ht="25.5" hidden="false" customHeight="true" outlineLevel="0" collapsed="false">
      <c r="A1" s="12" t="s">
        <v>520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customFormat="false" ht="18.55" hidden="false" customHeight="false" outlineLevel="0" collapsed="false">
      <c r="A2" s="80" t="s">
        <v>521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1"/>
    </row>
    <row r="4" customFormat="false" ht="19.5" hidden="false" customHeight="true" outlineLevel="0" collapsed="false">
      <c r="A4" s="82" t="s">
        <v>522</v>
      </c>
      <c r="B4" s="82"/>
      <c r="C4" s="82"/>
      <c r="D4" s="82"/>
      <c r="E4" s="82"/>
      <c r="F4" s="82"/>
      <c r="G4" s="82"/>
      <c r="H4" s="82"/>
      <c r="I4" s="82"/>
      <c r="J4" s="82"/>
      <c r="K4" s="82"/>
    </row>
    <row r="5" customFormat="false" ht="15.75" hidden="false" customHeight="true" outlineLevel="0" collapsed="false">
      <c r="A5" s="83" t="s">
        <v>523</v>
      </c>
      <c r="B5" s="83"/>
      <c r="C5" s="83"/>
      <c r="D5" s="83"/>
      <c r="E5" s="83"/>
      <c r="F5" s="83"/>
      <c r="G5" s="83"/>
      <c r="H5" s="83"/>
      <c r="I5" s="83"/>
      <c r="J5" s="83"/>
      <c r="K5" s="83"/>
    </row>
    <row r="6" customFormat="false" ht="15.75" hidden="false" customHeight="true" outlineLevel="0" collapsed="false">
      <c r="A6" s="83" t="s">
        <v>524</v>
      </c>
      <c r="B6" s="83"/>
      <c r="C6" s="83"/>
      <c r="D6" s="83"/>
      <c r="E6" s="83"/>
      <c r="F6" s="83"/>
      <c r="G6" s="83"/>
      <c r="H6" s="83"/>
      <c r="I6" s="83"/>
      <c r="J6" s="83"/>
      <c r="K6" s="83"/>
    </row>
    <row r="8" customFormat="false" ht="19.5" hidden="false" customHeight="true" outlineLevel="0" collapsed="false">
      <c r="A8" s="82" t="s">
        <v>525</v>
      </c>
      <c r="B8" s="82"/>
      <c r="C8" s="82"/>
      <c r="D8" s="82"/>
      <c r="E8" s="82"/>
      <c r="F8" s="82"/>
      <c r="G8" s="82"/>
      <c r="H8" s="82"/>
      <c r="I8" s="82"/>
      <c r="J8" s="82"/>
      <c r="K8" s="82"/>
    </row>
    <row r="9" customFormat="false" ht="15.75" hidden="false" customHeight="true" outlineLevel="0" collapsed="false">
      <c r="A9" s="83" t="s">
        <v>526</v>
      </c>
      <c r="B9" s="83"/>
      <c r="C9" s="83"/>
      <c r="D9" s="83"/>
      <c r="E9" s="83"/>
      <c r="F9" s="83"/>
      <c r="G9" s="83"/>
      <c r="H9" s="83"/>
      <c r="I9" s="83"/>
      <c r="J9" s="83"/>
      <c r="K9" s="83"/>
    </row>
    <row r="10" customFormat="false" ht="15.75" hidden="false" customHeight="true" outlineLevel="0" collapsed="false">
      <c r="A10" s="83" t="s">
        <v>527</v>
      </c>
      <c r="B10" s="83"/>
      <c r="C10" s="83"/>
      <c r="D10" s="83"/>
      <c r="E10" s="83"/>
      <c r="F10" s="83"/>
      <c r="G10" s="83"/>
      <c r="H10" s="83"/>
      <c r="I10" s="83"/>
      <c r="J10" s="83"/>
      <c r="K10" s="83"/>
    </row>
    <row r="11" customFormat="false" ht="15.75" hidden="false" customHeight="true" outlineLevel="0" collapsed="false">
      <c r="A11" s="83" t="s">
        <v>528</v>
      </c>
      <c r="B11" s="83"/>
      <c r="C11" s="83"/>
      <c r="D11" s="83"/>
      <c r="E11" s="83"/>
      <c r="F11" s="83"/>
      <c r="G11" s="83"/>
      <c r="H11" s="83"/>
      <c r="I11" s="83"/>
      <c r="J11" s="83"/>
      <c r="K11" s="83"/>
    </row>
    <row r="12" customFormat="false" ht="15.75" hidden="false" customHeight="true" outlineLevel="0" collapsed="false">
      <c r="A12" s="83" t="s">
        <v>529</v>
      </c>
      <c r="B12" s="83"/>
      <c r="C12" s="83"/>
      <c r="D12" s="83"/>
      <c r="E12" s="83"/>
      <c r="F12" s="83"/>
      <c r="G12" s="83"/>
      <c r="H12" s="83"/>
      <c r="I12" s="83"/>
      <c r="J12" s="83"/>
      <c r="K12" s="83"/>
    </row>
    <row r="13" customFormat="false" ht="15.75" hidden="false" customHeight="true" outlineLevel="0" collapsed="false">
      <c r="A13" s="83" t="s">
        <v>530</v>
      </c>
      <c r="B13" s="83"/>
      <c r="C13" s="83"/>
      <c r="D13" s="83"/>
      <c r="E13" s="83"/>
      <c r="F13" s="83"/>
      <c r="G13" s="83"/>
      <c r="H13" s="83"/>
      <c r="I13" s="83"/>
      <c r="J13" s="83"/>
      <c r="K13" s="83"/>
    </row>
    <row r="15" customFormat="false" ht="19.5" hidden="false" customHeight="true" outlineLevel="0" collapsed="false">
      <c r="A15" s="82" t="s">
        <v>531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</row>
    <row r="16" customFormat="false" ht="15.75" hidden="false" customHeight="true" outlineLevel="0" collapsed="false">
      <c r="A16" s="83" t="s">
        <v>532</v>
      </c>
      <c r="B16" s="83"/>
      <c r="C16" s="83"/>
      <c r="D16" s="83"/>
      <c r="E16" s="83"/>
      <c r="F16" s="83"/>
      <c r="G16" s="83"/>
      <c r="H16" s="83"/>
      <c r="I16" s="83"/>
      <c r="J16" s="83"/>
      <c r="K16" s="83"/>
    </row>
    <row r="17" customFormat="false" ht="15.75" hidden="false" customHeight="true" outlineLevel="0" collapsed="false">
      <c r="A17" s="83" t="s">
        <v>533</v>
      </c>
      <c r="B17" s="83"/>
      <c r="C17" s="83"/>
      <c r="D17" s="83"/>
      <c r="E17" s="83"/>
      <c r="F17" s="83"/>
      <c r="G17" s="83"/>
      <c r="H17" s="83"/>
      <c r="I17" s="83"/>
      <c r="J17" s="83"/>
      <c r="K17" s="83"/>
    </row>
    <row r="19" customFormat="false" ht="19.5" hidden="false" customHeight="true" outlineLevel="0" collapsed="false">
      <c r="A19" s="82" t="s">
        <v>534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</row>
    <row r="20" customFormat="false" ht="15.75" hidden="false" customHeight="true" outlineLevel="0" collapsed="false">
      <c r="A20" s="83" t="s">
        <v>535</v>
      </c>
      <c r="B20" s="83"/>
      <c r="C20" s="83"/>
      <c r="D20" s="83"/>
      <c r="E20" s="83"/>
      <c r="F20" s="83"/>
      <c r="G20" s="83"/>
      <c r="H20" s="83"/>
      <c r="I20" s="83"/>
      <c r="J20" s="83"/>
      <c r="K20" s="83"/>
    </row>
    <row r="21" customFormat="false" ht="15.75" hidden="false" customHeight="true" outlineLevel="0" collapsed="false">
      <c r="A21" s="83" t="s">
        <v>536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</row>
    <row r="22" customFormat="false" ht="15.75" hidden="false" customHeight="true" outlineLevel="0" collapsed="false">
      <c r="A22" s="83" t="s">
        <v>537</v>
      </c>
      <c r="B22" s="83"/>
      <c r="C22" s="83"/>
      <c r="D22" s="83"/>
      <c r="E22" s="83"/>
      <c r="F22" s="83"/>
      <c r="G22" s="83"/>
      <c r="H22" s="83"/>
      <c r="I22" s="83"/>
      <c r="J22" s="83"/>
      <c r="K22" s="83"/>
    </row>
    <row r="23" customFormat="false" ht="15.75" hidden="false" customHeight="true" outlineLevel="0" collapsed="false">
      <c r="A23" s="83" t="s">
        <v>538</v>
      </c>
      <c r="B23" s="83"/>
      <c r="C23" s="83"/>
      <c r="D23" s="83"/>
      <c r="E23" s="83"/>
      <c r="F23" s="83"/>
      <c r="G23" s="83"/>
      <c r="H23" s="83"/>
      <c r="I23" s="83"/>
      <c r="J23" s="83"/>
      <c r="K23" s="83"/>
    </row>
    <row r="25" customFormat="false" ht="19.5" hidden="false" customHeight="true" outlineLevel="0" collapsed="false">
      <c r="A25" s="82" t="s">
        <v>539</v>
      </c>
      <c r="B25" s="82"/>
      <c r="C25" s="82"/>
      <c r="D25" s="82"/>
      <c r="E25" s="82"/>
      <c r="F25" s="82"/>
      <c r="G25" s="82"/>
      <c r="H25" s="82"/>
      <c r="I25" s="82"/>
      <c r="J25" s="82"/>
      <c r="K25" s="82"/>
    </row>
    <row r="26" customFormat="false" ht="15.75" hidden="false" customHeight="true" outlineLevel="0" collapsed="false">
      <c r="A26" s="83" t="s">
        <v>540</v>
      </c>
      <c r="B26" s="83"/>
      <c r="C26" s="83"/>
      <c r="D26" s="83"/>
      <c r="E26" s="83"/>
      <c r="F26" s="83"/>
      <c r="G26" s="83"/>
      <c r="H26" s="83"/>
      <c r="I26" s="83"/>
      <c r="J26" s="83"/>
      <c r="K26" s="83"/>
    </row>
    <row r="27" customFormat="false" ht="15.75" hidden="false" customHeight="true" outlineLevel="0" collapsed="false">
      <c r="A27" s="83" t="s">
        <v>541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</row>
    <row r="28" customFormat="false" ht="15.75" hidden="false" customHeight="true" outlineLevel="0" collapsed="false">
      <c r="A28" s="83" t="s">
        <v>542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</row>
    <row r="30" customFormat="false" ht="19.5" hidden="false" customHeight="true" outlineLevel="0" collapsed="false">
      <c r="A30" s="82" t="s">
        <v>543</v>
      </c>
      <c r="B30" s="82"/>
      <c r="C30" s="82"/>
      <c r="D30" s="82"/>
      <c r="E30" s="82"/>
      <c r="F30" s="82"/>
      <c r="G30" s="82"/>
      <c r="H30" s="82"/>
      <c r="I30" s="82"/>
      <c r="J30" s="82"/>
      <c r="K30" s="82"/>
    </row>
    <row r="31" customFormat="false" ht="15.75" hidden="false" customHeight="true" outlineLevel="0" collapsed="false">
      <c r="A31" s="83" t="s">
        <v>544</v>
      </c>
      <c r="B31" s="83"/>
      <c r="C31" s="83"/>
      <c r="D31" s="83"/>
      <c r="E31" s="83"/>
      <c r="F31" s="83"/>
      <c r="G31" s="83"/>
      <c r="H31" s="83"/>
      <c r="I31" s="83"/>
      <c r="J31" s="83"/>
      <c r="K31" s="83"/>
    </row>
    <row r="32" customFormat="false" ht="15.75" hidden="false" customHeight="true" outlineLevel="0" collapsed="false">
      <c r="A32" s="83" t="s">
        <v>545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</row>
  </sheetData>
  <sheetProtection sheet="true" password="cc3d" objects="true" scenarios="true" deleteColumns="false" deleteRows="false"/>
  <mergeCells count="26">
    <mergeCell ref="A1:L1"/>
    <mergeCell ref="A2:K2"/>
    <mergeCell ref="A4:K4"/>
    <mergeCell ref="A5:K5"/>
    <mergeCell ref="A6:K6"/>
    <mergeCell ref="A8:K8"/>
    <mergeCell ref="A9:K9"/>
    <mergeCell ref="A10:K10"/>
    <mergeCell ref="A11:K11"/>
    <mergeCell ref="A12:K12"/>
    <mergeCell ref="A13:K13"/>
    <mergeCell ref="A15:K15"/>
    <mergeCell ref="A16:K16"/>
    <mergeCell ref="A17:K17"/>
    <mergeCell ref="A19:K19"/>
    <mergeCell ref="A20:K20"/>
    <mergeCell ref="A21:K21"/>
    <mergeCell ref="A22:K22"/>
    <mergeCell ref="A23:K23"/>
    <mergeCell ref="A25:K25"/>
    <mergeCell ref="A26:K26"/>
    <mergeCell ref="A27:K27"/>
    <mergeCell ref="A28:K28"/>
    <mergeCell ref="A30:K30"/>
    <mergeCell ref="A31:K31"/>
    <mergeCell ref="A32:K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2026-08-10T00:02:32Z</dcterms:created>
  <dc:creator>openpyxl</dc:creator>
  <dc:description/>
  <dc:language>tr-TR</dc:language>
  <cp:lastModifiedBy/>
  <dcterms:modified xsi:type="dcterms:W3CDTF">2026-08-10T00:02:33Z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